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_Harian" sheetId="1" state="visible" r:id="rId3"/>
    <sheet name="Statistik_Tahunan" sheetId="2" state="visible" r:id="rId4"/>
    <sheet name="Statistik" sheetId="3" state="visible" r:id="rId5"/>
    <sheet name="Uji_Homogenitas" sheetId="4" state="visible" r:id="rId6"/>
    <sheet name="Uji_Konsistensi" sheetId="5" state="visible" r:id="rId7"/>
    <sheet name="Frekuensi" sheetId="6" state="visible" r:id="rId8"/>
    <sheet name="Chi_Kuadrat" sheetId="7" state="visible" r:id="rId9"/>
    <sheet name="Debit_Rencana" sheetId="8" state="visible" r:id="rId10"/>
    <sheet name="Kawasan" sheetId="9" state="visible" r:id="rId11"/>
    <sheet name="Evaporasi" sheetId="10" state="visible" r:id="rId12"/>
    <sheet name="Hidrolika_Pipa" sheetId="11" state="visible" r:id="rId13"/>
    <sheet name="Neraca_Air" sheetId="12" state="visible" r:id="rId14"/>
    <sheet name="Desain_Kolam" sheetId="13" state="visible" r:id="rId15"/>
    <sheet name="Koefisien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<sst xmlns="http://schemas.openxmlformats.org/spreadsheetml/2006/main" count="5799" uniqueCount="5539">
  <si>
    <t xml:space="preserve">Tahun</t>
  </si>
  <si>
    <t xml:space="preserve">Bulan</t>
  </si>
  <si>
    <t xml:space="preserve">Tanggal</t>
  </si>
  <si>
    <t xml:space="preserve">Tanggal (ISO)</t>
  </si>
  <si>
    <t xml:space="preserve">Curah Hujan (mm)</t>
  </si>
  <si>
    <t xml:space="preserve">Sumber: data/processed/hidrologi.db (src/build_db.py) &lt;- Curah_Hujan_Sungai_Ambawang_BWSK_2012-2025.xlsx (BWSK). Sel kosong = data hilang.</t>
  </si>
  <si>
    <t xml:space="preserve">2012-01-01</t>
  </si>
  <si>
    <t xml:space="preserve">2012-01-02</t>
  </si>
  <si>
    <t xml:space="preserve">2012-01-03</t>
  </si>
  <si>
    <t xml:space="preserve">2012-01-04</t>
  </si>
  <si>
    <t xml:space="preserve">2012-01-05</t>
  </si>
  <si>
    <t xml:space="preserve">2012-01-06</t>
  </si>
  <si>
    <t xml:space="preserve">2012-01-07</t>
  </si>
  <si>
    <t xml:space="preserve">2012-01-08</t>
  </si>
  <si>
    <t xml:space="preserve">2012-01-09</t>
  </si>
  <si>
    <t xml:space="preserve">2012-01-10</t>
  </si>
  <si>
    <t xml:space="preserve">2012-01-11</t>
  </si>
  <si>
    <t xml:space="preserve">2012-01-12</t>
  </si>
  <si>
    <t xml:space="preserve">2012-01-13</t>
  </si>
  <si>
    <t xml:space="preserve">2012-01-14</t>
  </si>
  <si>
    <t xml:space="preserve">2012-01-15</t>
  </si>
  <si>
    <t xml:space="preserve">2012-01-16</t>
  </si>
  <si>
    <t xml:space="preserve">2012-01-17</t>
  </si>
  <si>
    <t xml:space="preserve">2012-01-18</t>
  </si>
  <si>
    <t xml:space="preserve">2012-01-19</t>
  </si>
  <si>
    <t xml:space="preserve">2012-01-20</t>
  </si>
  <si>
    <t xml:space="preserve">2012-01-21</t>
  </si>
  <si>
    <t xml:space="preserve">2012-01-22</t>
  </si>
  <si>
    <t xml:space="preserve">2012-01-23</t>
  </si>
  <si>
    <t xml:space="preserve">2012-01-24</t>
  </si>
  <si>
    <t xml:space="preserve">2012-01-25</t>
  </si>
  <si>
    <t xml:space="preserve">2012-01-26</t>
  </si>
  <si>
    <t xml:space="preserve">2012-01-27</t>
  </si>
  <si>
    <t xml:space="preserve">2012-01-28</t>
  </si>
  <si>
    <t xml:space="preserve">2012-01-29</t>
  </si>
  <si>
    <t xml:space="preserve">2012-01-30</t>
  </si>
  <si>
    <t xml:space="preserve">2012-01-31</t>
  </si>
  <si>
    <t xml:space="preserve">2012-02-01</t>
  </si>
  <si>
    <t xml:space="preserve">2012-02-02</t>
  </si>
  <si>
    <t xml:space="preserve">2012-02-03</t>
  </si>
  <si>
    <t xml:space="preserve">2012-02-04</t>
  </si>
  <si>
    <t xml:space="preserve">2012-02-05</t>
  </si>
  <si>
    <t xml:space="preserve">2012-02-06</t>
  </si>
  <si>
    <t xml:space="preserve">2012-02-07</t>
  </si>
  <si>
    <t xml:space="preserve">2012-02-08</t>
  </si>
  <si>
    <t xml:space="preserve">2012-02-09</t>
  </si>
  <si>
    <t xml:space="preserve">2012-02-10</t>
  </si>
  <si>
    <t xml:space="preserve">2012-02-11</t>
  </si>
  <si>
    <t xml:space="preserve">2012-02-12</t>
  </si>
  <si>
    <t xml:space="preserve">2012-02-13</t>
  </si>
  <si>
    <t xml:space="preserve">2012-02-14</t>
  </si>
  <si>
    <t xml:space="preserve">2012-02-15</t>
  </si>
  <si>
    <t xml:space="preserve">2012-02-16</t>
  </si>
  <si>
    <t xml:space="preserve">2012-02-17</t>
  </si>
  <si>
    <t xml:space="preserve">2012-02-18</t>
  </si>
  <si>
    <t xml:space="preserve">2012-02-19</t>
  </si>
  <si>
    <t xml:space="preserve">2012-02-20</t>
  </si>
  <si>
    <t xml:space="preserve">2012-02-21</t>
  </si>
  <si>
    <t xml:space="preserve">2012-02-22</t>
  </si>
  <si>
    <t xml:space="preserve">2012-02-23</t>
  </si>
  <si>
    <t xml:space="preserve">2012-02-24</t>
  </si>
  <si>
    <t xml:space="preserve">2012-02-25</t>
  </si>
  <si>
    <t xml:space="preserve">2012-02-26</t>
  </si>
  <si>
    <t xml:space="preserve">2012-02-27</t>
  </si>
  <si>
    <t xml:space="preserve">2012-02-28</t>
  </si>
  <si>
    <t xml:space="preserve">2012-02-29</t>
  </si>
  <si>
    <t xml:space="preserve">2012-03-01</t>
  </si>
  <si>
    <t xml:space="preserve">2012-03-02</t>
  </si>
  <si>
    <t xml:space="preserve">2012-03-03</t>
  </si>
  <si>
    <t xml:space="preserve">2012-03-04</t>
  </si>
  <si>
    <t xml:space="preserve">2012-03-05</t>
  </si>
  <si>
    <t xml:space="preserve">2012-03-06</t>
  </si>
  <si>
    <t xml:space="preserve">2012-03-07</t>
  </si>
  <si>
    <t xml:space="preserve">2012-03-08</t>
  </si>
  <si>
    <t xml:space="preserve">2012-03-09</t>
  </si>
  <si>
    <t xml:space="preserve">2012-03-10</t>
  </si>
  <si>
    <t xml:space="preserve">2012-03-11</t>
  </si>
  <si>
    <t xml:space="preserve">2012-03-12</t>
  </si>
  <si>
    <t xml:space="preserve">2012-03-13</t>
  </si>
  <si>
    <t xml:space="preserve">2012-03-14</t>
  </si>
  <si>
    <t xml:space="preserve">2012-03-15</t>
  </si>
  <si>
    <t xml:space="preserve">2012-03-16</t>
  </si>
  <si>
    <t xml:space="preserve">2012-03-17</t>
  </si>
  <si>
    <t xml:space="preserve">2012-03-18</t>
  </si>
  <si>
    <t xml:space="preserve">2012-03-19</t>
  </si>
  <si>
    <t xml:space="preserve">2012-03-20</t>
  </si>
  <si>
    <t xml:space="preserve">2012-03-21</t>
  </si>
  <si>
    <t xml:space="preserve">2012-03-22</t>
  </si>
  <si>
    <t xml:space="preserve">2012-03-23</t>
  </si>
  <si>
    <t xml:space="preserve">2012-03-24</t>
  </si>
  <si>
    <t xml:space="preserve">2012-03-25</t>
  </si>
  <si>
    <t xml:space="preserve">2012-03-26</t>
  </si>
  <si>
    <t xml:space="preserve">2012-03-27</t>
  </si>
  <si>
    <t xml:space="preserve">2012-03-28</t>
  </si>
  <si>
    <t xml:space="preserve">2012-03-29</t>
  </si>
  <si>
    <t xml:space="preserve">2012-03-30</t>
  </si>
  <si>
    <t xml:space="preserve">2012-03-31</t>
  </si>
  <si>
    <t xml:space="preserve">2012-04-01</t>
  </si>
  <si>
    <t xml:space="preserve">2012-04-02</t>
  </si>
  <si>
    <t xml:space="preserve">2012-04-03</t>
  </si>
  <si>
    <t xml:space="preserve">2012-04-04</t>
  </si>
  <si>
    <t xml:space="preserve">2012-04-05</t>
  </si>
  <si>
    <t xml:space="preserve">2012-04-06</t>
  </si>
  <si>
    <t xml:space="preserve">2012-04-07</t>
  </si>
  <si>
    <t xml:space="preserve">2012-04-08</t>
  </si>
  <si>
    <t xml:space="preserve">2012-04-09</t>
  </si>
  <si>
    <t xml:space="preserve">2012-04-10</t>
  </si>
  <si>
    <t xml:space="preserve">2012-04-11</t>
  </si>
  <si>
    <t xml:space="preserve">2012-04-12</t>
  </si>
  <si>
    <t xml:space="preserve">2012-04-13</t>
  </si>
  <si>
    <t xml:space="preserve">2012-04-14</t>
  </si>
  <si>
    <t xml:space="preserve">2012-04-15</t>
  </si>
  <si>
    <t xml:space="preserve">2012-04-16</t>
  </si>
  <si>
    <t xml:space="preserve">2012-04-17</t>
  </si>
  <si>
    <t xml:space="preserve">2012-04-18</t>
  </si>
  <si>
    <t xml:space="preserve">2012-04-19</t>
  </si>
  <si>
    <t xml:space="preserve">2012-04-20</t>
  </si>
  <si>
    <t xml:space="preserve">2012-04-21</t>
  </si>
  <si>
    <t xml:space="preserve">2012-04-22</t>
  </si>
  <si>
    <t xml:space="preserve">2012-04-23</t>
  </si>
  <si>
    <t xml:space="preserve">2012-04-24</t>
  </si>
  <si>
    <t xml:space="preserve">2012-04-25</t>
  </si>
  <si>
    <t xml:space="preserve">2012-04-26</t>
  </si>
  <si>
    <t xml:space="preserve">2012-04-27</t>
  </si>
  <si>
    <t xml:space="preserve">2012-04-28</t>
  </si>
  <si>
    <t xml:space="preserve">2012-04-29</t>
  </si>
  <si>
    <t xml:space="preserve">2012-04-30</t>
  </si>
  <si>
    <t xml:space="preserve">2012-05-01</t>
  </si>
  <si>
    <t xml:space="preserve">2012-05-02</t>
  </si>
  <si>
    <t xml:space="preserve">2012-05-03</t>
  </si>
  <si>
    <t xml:space="preserve">2012-05-04</t>
  </si>
  <si>
    <t xml:space="preserve">2012-05-05</t>
  </si>
  <si>
    <t xml:space="preserve">2012-05-06</t>
  </si>
  <si>
    <t xml:space="preserve">2012-05-07</t>
  </si>
  <si>
    <t xml:space="preserve">2012-05-08</t>
  </si>
  <si>
    <t xml:space="preserve">2012-05-09</t>
  </si>
  <si>
    <t xml:space="preserve">2012-05-10</t>
  </si>
  <si>
    <t xml:space="preserve">2012-05-11</t>
  </si>
  <si>
    <t xml:space="preserve">2012-05-12</t>
  </si>
  <si>
    <t xml:space="preserve">2012-05-13</t>
  </si>
  <si>
    <t xml:space="preserve">2012-05-14</t>
  </si>
  <si>
    <t xml:space="preserve">2012-05-15</t>
  </si>
  <si>
    <t xml:space="preserve">2012-05-16</t>
  </si>
  <si>
    <t xml:space="preserve">2012-05-17</t>
  </si>
  <si>
    <t xml:space="preserve">2012-05-18</t>
  </si>
  <si>
    <t xml:space="preserve">2012-05-19</t>
  </si>
  <si>
    <t xml:space="preserve">2012-05-20</t>
  </si>
  <si>
    <t xml:space="preserve">2012-05-21</t>
  </si>
  <si>
    <t xml:space="preserve">2012-05-22</t>
  </si>
  <si>
    <t xml:space="preserve">2012-05-23</t>
  </si>
  <si>
    <t xml:space="preserve">2012-05-24</t>
  </si>
  <si>
    <t xml:space="preserve">2012-05-25</t>
  </si>
  <si>
    <t xml:space="preserve">2012-05-26</t>
  </si>
  <si>
    <t xml:space="preserve">2012-05-27</t>
  </si>
  <si>
    <t xml:space="preserve">2012-05-28</t>
  </si>
  <si>
    <t xml:space="preserve">2012-05-29</t>
  </si>
  <si>
    <t xml:space="preserve">2012-05-30</t>
  </si>
  <si>
    <t xml:space="preserve">2012-05-31</t>
  </si>
  <si>
    <t xml:space="preserve">2012-06-01</t>
  </si>
  <si>
    <t xml:space="preserve">2012-06-02</t>
  </si>
  <si>
    <t xml:space="preserve">2012-06-03</t>
  </si>
  <si>
    <t xml:space="preserve">2012-06-04</t>
  </si>
  <si>
    <t xml:space="preserve">2012-06-05</t>
  </si>
  <si>
    <t xml:space="preserve">2012-06-06</t>
  </si>
  <si>
    <t xml:space="preserve">2012-06-07</t>
  </si>
  <si>
    <t xml:space="preserve">2012-06-08</t>
  </si>
  <si>
    <t xml:space="preserve">2012-06-09</t>
  </si>
  <si>
    <t xml:space="preserve">2012-06-10</t>
  </si>
  <si>
    <t xml:space="preserve">2012-06-11</t>
  </si>
  <si>
    <t xml:space="preserve">2012-06-12</t>
  </si>
  <si>
    <t xml:space="preserve">2012-06-13</t>
  </si>
  <si>
    <t xml:space="preserve">2012-06-14</t>
  </si>
  <si>
    <t xml:space="preserve">2012-06-15</t>
  </si>
  <si>
    <t xml:space="preserve">2012-06-16</t>
  </si>
  <si>
    <t xml:space="preserve">2012-06-17</t>
  </si>
  <si>
    <t xml:space="preserve">2012-06-18</t>
  </si>
  <si>
    <t xml:space="preserve">2012-06-19</t>
  </si>
  <si>
    <t xml:space="preserve">2012-06-20</t>
  </si>
  <si>
    <t xml:space="preserve">2012-06-21</t>
  </si>
  <si>
    <t xml:space="preserve">2012-06-22</t>
  </si>
  <si>
    <t xml:space="preserve">2012-06-23</t>
  </si>
  <si>
    <t xml:space="preserve">2012-06-24</t>
  </si>
  <si>
    <t xml:space="preserve">2012-06-25</t>
  </si>
  <si>
    <t xml:space="preserve">2012-06-26</t>
  </si>
  <si>
    <t xml:space="preserve">2012-06-27</t>
  </si>
  <si>
    <t xml:space="preserve">2012-06-28</t>
  </si>
  <si>
    <t xml:space="preserve">2012-06-29</t>
  </si>
  <si>
    <t xml:space="preserve">2012-06-30</t>
  </si>
  <si>
    <t xml:space="preserve">2012-07-01</t>
  </si>
  <si>
    <t xml:space="preserve">2012-07-02</t>
  </si>
  <si>
    <t xml:space="preserve">2012-07-03</t>
  </si>
  <si>
    <t xml:space="preserve">2012-07-04</t>
  </si>
  <si>
    <t xml:space="preserve">2012-07-05</t>
  </si>
  <si>
    <t xml:space="preserve">2012-07-06</t>
  </si>
  <si>
    <t xml:space="preserve">2012-07-07</t>
  </si>
  <si>
    <t xml:space="preserve">2012-07-08</t>
  </si>
  <si>
    <t xml:space="preserve">2012-07-09</t>
  </si>
  <si>
    <t xml:space="preserve">2012-07-10</t>
  </si>
  <si>
    <t xml:space="preserve">2012-07-11</t>
  </si>
  <si>
    <t xml:space="preserve">2012-07-12</t>
  </si>
  <si>
    <t xml:space="preserve">2012-07-13</t>
  </si>
  <si>
    <t xml:space="preserve">2012-07-14</t>
  </si>
  <si>
    <t xml:space="preserve">2012-07-15</t>
  </si>
  <si>
    <t xml:space="preserve">2012-07-16</t>
  </si>
  <si>
    <t xml:space="preserve">2012-07-17</t>
  </si>
  <si>
    <t xml:space="preserve">2012-07-18</t>
  </si>
  <si>
    <t xml:space="preserve">2012-07-19</t>
  </si>
  <si>
    <t xml:space="preserve">2012-07-20</t>
  </si>
  <si>
    <t xml:space="preserve">2012-07-21</t>
  </si>
  <si>
    <t xml:space="preserve">2012-07-22</t>
  </si>
  <si>
    <t xml:space="preserve">2012-07-23</t>
  </si>
  <si>
    <t xml:space="preserve">2012-07-24</t>
  </si>
  <si>
    <t xml:space="preserve">2012-07-25</t>
  </si>
  <si>
    <t xml:space="preserve">2012-07-26</t>
  </si>
  <si>
    <t xml:space="preserve">2012-07-27</t>
  </si>
  <si>
    <t xml:space="preserve">2012-07-28</t>
  </si>
  <si>
    <t xml:space="preserve">2012-07-29</t>
  </si>
  <si>
    <t xml:space="preserve">2012-07-30</t>
  </si>
  <si>
    <t xml:space="preserve">2012-07-31</t>
  </si>
  <si>
    <t xml:space="preserve">2012-08-01</t>
  </si>
  <si>
    <t xml:space="preserve">2012-08-02</t>
  </si>
  <si>
    <t xml:space="preserve">2012-08-03</t>
  </si>
  <si>
    <t xml:space="preserve">2012-08-04</t>
  </si>
  <si>
    <t xml:space="preserve">2012-08-05</t>
  </si>
  <si>
    <t xml:space="preserve">2012-08-06</t>
  </si>
  <si>
    <t xml:space="preserve">2012-08-07</t>
  </si>
  <si>
    <t xml:space="preserve">2012-08-08</t>
  </si>
  <si>
    <t xml:space="preserve">2012-08-09</t>
  </si>
  <si>
    <t xml:space="preserve">2012-08-10</t>
  </si>
  <si>
    <t xml:space="preserve">2012-08-11</t>
  </si>
  <si>
    <t xml:space="preserve">2012-08-12</t>
  </si>
  <si>
    <t xml:space="preserve">2012-08-13</t>
  </si>
  <si>
    <t xml:space="preserve">2012-08-14</t>
  </si>
  <si>
    <t xml:space="preserve">2012-08-15</t>
  </si>
  <si>
    <t xml:space="preserve">2012-08-16</t>
  </si>
  <si>
    <t xml:space="preserve">2012-08-17</t>
  </si>
  <si>
    <t xml:space="preserve">2012-08-18</t>
  </si>
  <si>
    <t xml:space="preserve">2012-08-19</t>
  </si>
  <si>
    <t xml:space="preserve">2012-08-20</t>
  </si>
  <si>
    <t xml:space="preserve">2012-08-21</t>
  </si>
  <si>
    <t xml:space="preserve">2012-08-22</t>
  </si>
  <si>
    <t xml:space="preserve">2012-08-23</t>
  </si>
  <si>
    <t xml:space="preserve">2012-08-24</t>
  </si>
  <si>
    <t xml:space="preserve">2012-08-25</t>
  </si>
  <si>
    <t xml:space="preserve">2012-08-26</t>
  </si>
  <si>
    <t xml:space="preserve">2012-08-27</t>
  </si>
  <si>
    <t xml:space="preserve">2012-08-28</t>
  </si>
  <si>
    <t xml:space="preserve">2012-08-29</t>
  </si>
  <si>
    <t xml:space="preserve">2012-08-30</t>
  </si>
  <si>
    <t xml:space="preserve">2012-08-31</t>
  </si>
  <si>
    <t xml:space="preserve">2012-09-01</t>
  </si>
  <si>
    <t xml:space="preserve">2012-09-02</t>
  </si>
  <si>
    <t xml:space="preserve">2012-09-03</t>
  </si>
  <si>
    <t xml:space="preserve">2012-09-04</t>
  </si>
  <si>
    <t xml:space="preserve">2012-09-05</t>
  </si>
  <si>
    <t xml:space="preserve">2012-09-06</t>
  </si>
  <si>
    <t xml:space="preserve">2012-09-07</t>
  </si>
  <si>
    <t xml:space="preserve">2012-09-08</t>
  </si>
  <si>
    <t xml:space="preserve">2012-09-09</t>
  </si>
  <si>
    <t xml:space="preserve">2012-09-10</t>
  </si>
  <si>
    <t xml:space="preserve">2012-09-11</t>
  </si>
  <si>
    <t xml:space="preserve">2012-09-12</t>
  </si>
  <si>
    <t xml:space="preserve">2012-09-13</t>
  </si>
  <si>
    <t xml:space="preserve">2012-09-14</t>
  </si>
  <si>
    <t xml:space="preserve">2012-09-15</t>
  </si>
  <si>
    <t xml:space="preserve">2012-09-16</t>
  </si>
  <si>
    <t xml:space="preserve">2012-09-17</t>
  </si>
  <si>
    <t xml:space="preserve">2012-09-18</t>
  </si>
  <si>
    <t xml:space="preserve">2012-09-19</t>
  </si>
  <si>
    <t xml:space="preserve">2012-09-20</t>
  </si>
  <si>
    <t xml:space="preserve">2012-09-21</t>
  </si>
  <si>
    <t xml:space="preserve">2012-09-22</t>
  </si>
  <si>
    <t xml:space="preserve">2012-09-23</t>
  </si>
  <si>
    <t xml:space="preserve">2012-09-24</t>
  </si>
  <si>
    <t xml:space="preserve">2012-09-25</t>
  </si>
  <si>
    <t xml:space="preserve">2012-09-26</t>
  </si>
  <si>
    <t xml:space="preserve">2012-09-27</t>
  </si>
  <si>
    <t xml:space="preserve">2012-09-28</t>
  </si>
  <si>
    <t xml:space="preserve">2012-09-29</t>
  </si>
  <si>
    <t xml:space="preserve">2012-09-30</t>
  </si>
  <si>
    <t xml:space="preserve">2012-10-01</t>
  </si>
  <si>
    <t xml:space="preserve">2012-10-02</t>
  </si>
  <si>
    <t xml:space="preserve">2012-10-03</t>
  </si>
  <si>
    <t xml:space="preserve">2012-10-04</t>
  </si>
  <si>
    <t xml:space="preserve">2012-10-05</t>
  </si>
  <si>
    <t xml:space="preserve">2012-10-06</t>
  </si>
  <si>
    <t xml:space="preserve">2012-10-07</t>
  </si>
  <si>
    <t xml:space="preserve">2012-10-08</t>
  </si>
  <si>
    <t xml:space="preserve">2012-10-09</t>
  </si>
  <si>
    <t xml:space="preserve">2012-10-10</t>
  </si>
  <si>
    <t xml:space="preserve">2012-10-11</t>
  </si>
  <si>
    <t xml:space="preserve">2012-10-12</t>
  </si>
  <si>
    <t xml:space="preserve">2012-10-13</t>
  </si>
  <si>
    <t xml:space="preserve">2012-10-14</t>
  </si>
  <si>
    <t xml:space="preserve">2012-10-15</t>
  </si>
  <si>
    <t xml:space="preserve">2012-10-16</t>
  </si>
  <si>
    <t xml:space="preserve">2012-10-17</t>
  </si>
  <si>
    <t xml:space="preserve">2012-10-18</t>
  </si>
  <si>
    <t xml:space="preserve">2012-10-19</t>
  </si>
  <si>
    <t xml:space="preserve">2012-10-20</t>
  </si>
  <si>
    <t xml:space="preserve">2012-10-21</t>
  </si>
  <si>
    <t xml:space="preserve">2012-10-22</t>
  </si>
  <si>
    <t xml:space="preserve">2012-10-23</t>
  </si>
  <si>
    <t xml:space="preserve">2012-10-24</t>
  </si>
  <si>
    <t xml:space="preserve">2012-10-25</t>
  </si>
  <si>
    <t xml:space="preserve">2012-10-26</t>
  </si>
  <si>
    <t xml:space="preserve">2012-10-27</t>
  </si>
  <si>
    <t xml:space="preserve">2012-10-28</t>
  </si>
  <si>
    <t xml:space="preserve">2012-10-29</t>
  </si>
  <si>
    <t xml:space="preserve">2012-10-30</t>
  </si>
  <si>
    <t xml:space="preserve">2012-10-31</t>
  </si>
  <si>
    <t xml:space="preserve">2012-11-01</t>
  </si>
  <si>
    <t xml:space="preserve">2012-11-02</t>
  </si>
  <si>
    <t xml:space="preserve">2012-11-03</t>
  </si>
  <si>
    <t xml:space="preserve">2012-11-04</t>
  </si>
  <si>
    <t xml:space="preserve">2012-11-05</t>
  </si>
  <si>
    <t xml:space="preserve">2012-11-06</t>
  </si>
  <si>
    <t xml:space="preserve">2012-11-07</t>
  </si>
  <si>
    <t xml:space="preserve">2012-11-08</t>
  </si>
  <si>
    <t xml:space="preserve">2012-11-09</t>
  </si>
  <si>
    <t xml:space="preserve">2012-11-10</t>
  </si>
  <si>
    <t xml:space="preserve">2012-11-11</t>
  </si>
  <si>
    <t xml:space="preserve">2012-11-12</t>
  </si>
  <si>
    <t xml:space="preserve">2012-11-13</t>
  </si>
  <si>
    <t xml:space="preserve">2012-11-14</t>
  </si>
  <si>
    <t xml:space="preserve">2012-11-15</t>
  </si>
  <si>
    <t xml:space="preserve">2012-11-16</t>
  </si>
  <si>
    <t xml:space="preserve">2012-11-17</t>
  </si>
  <si>
    <t xml:space="preserve">2012-11-18</t>
  </si>
  <si>
    <t xml:space="preserve">2012-11-19</t>
  </si>
  <si>
    <t xml:space="preserve">2012-11-20</t>
  </si>
  <si>
    <t xml:space="preserve">2012-11-21</t>
  </si>
  <si>
    <t xml:space="preserve">2012-11-22</t>
  </si>
  <si>
    <t xml:space="preserve">2012-11-23</t>
  </si>
  <si>
    <t xml:space="preserve">2012-11-24</t>
  </si>
  <si>
    <t xml:space="preserve">2012-11-25</t>
  </si>
  <si>
    <t xml:space="preserve">2012-11-26</t>
  </si>
  <si>
    <t xml:space="preserve">2012-11-27</t>
  </si>
  <si>
    <t xml:space="preserve">2012-11-28</t>
  </si>
  <si>
    <t xml:space="preserve">2012-11-29</t>
  </si>
  <si>
    <t xml:space="preserve">2012-11-30</t>
  </si>
  <si>
    <t xml:space="preserve">2012-12-01</t>
  </si>
  <si>
    <t xml:space="preserve">2012-12-02</t>
  </si>
  <si>
    <t xml:space="preserve">2012-12-03</t>
  </si>
  <si>
    <t xml:space="preserve">2012-12-04</t>
  </si>
  <si>
    <t xml:space="preserve">2012-12-05</t>
  </si>
  <si>
    <t xml:space="preserve">2012-12-06</t>
  </si>
  <si>
    <t xml:space="preserve">2012-12-07</t>
  </si>
  <si>
    <t xml:space="preserve">2012-12-08</t>
  </si>
  <si>
    <t xml:space="preserve">2012-12-09</t>
  </si>
  <si>
    <t xml:space="preserve">2012-12-10</t>
  </si>
  <si>
    <t xml:space="preserve">2012-12-11</t>
  </si>
  <si>
    <t xml:space="preserve">2012-12-12</t>
  </si>
  <si>
    <t xml:space="preserve">2012-12-13</t>
  </si>
  <si>
    <t xml:space="preserve">2012-12-14</t>
  </si>
  <si>
    <t xml:space="preserve">2012-12-15</t>
  </si>
  <si>
    <t xml:space="preserve">2012-12-16</t>
  </si>
  <si>
    <t xml:space="preserve">2012-12-17</t>
  </si>
  <si>
    <t xml:space="preserve">2012-12-18</t>
  </si>
  <si>
    <t xml:space="preserve">2012-12-19</t>
  </si>
  <si>
    <t xml:space="preserve">2012-12-20</t>
  </si>
  <si>
    <t xml:space="preserve">2012-12-21</t>
  </si>
  <si>
    <t xml:space="preserve">2012-12-22</t>
  </si>
  <si>
    <t xml:space="preserve">2012-12-23</t>
  </si>
  <si>
    <t xml:space="preserve">2012-12-24</t>
  </si>
  <si>
    <t xml:space="preserve">2012-12-25</t>
  </si>
  <si>
    <t xml:space="preserve">2012-12-26</t>
  </si>
  <si>
    <t xml:space="preserve">2012-12-27</t>
  </si>
  <si>
    <t xml:space="preserve">2012-12-28</t>
  </si>
  <si>
    <t xml:space="preserve">2012-12-29</t>
  </si>
  <si>
    <t xml:space="preserve">2012-12-30</t>
  </si>
  <si>
    <t xml:space="preserve">2012-12-31</t>
  </si>
  <si>
    <t xml:space="preserve">2013-01-01</t>
  </si>
  <si>
    <t xml:space="preserve">2013-01-02</t>
  </si>
  <si>
    <t xml:space="preserve">2013-01-03</t>
  </si>
  <si>
    <t xml:space="preserve">2013-01-04</t>
  </si>
  <si>
    <t xml:space="preserve">2013-01-05</t>
  </si>
  <si>
    <t xml:space="preserve">2013-01-06</t>
  </si>
  <si>
    <t xml:space="preserve">2013-01-07</t>
  </si>
  <si>
    <t xml:space="preserve">2013-01-08</t>
  </si>
  <si>
    <t xml:space="preserve">2013-01-09</t>
  </si>
  <si>
    <t xml:space="preserve">2013-01-10</t>
  </si>
  <si>
    <t xml:space="preserve">2013-01-11</t>
  </si>
  <si>
    <t xml:space="preserve">2013-01-12</t>
  </si>
  <si>
    <t xml:space="preserve">2013-01-13</t>
  </si>
  <si>
    <t xml:space="preserve">2013-01-14</t>
  </si>
  <si>
    <t xml:space="preserve">2013-01-15</t>
  </si>
  <si>
    <t xml:space="preserve">2013-01-16</t>
  </si>
  <si>
    <t xml:space="preserve">2013-01-17</t>
  </si>
  <si>
    <t xml:space="preserve">2013-01-18</t>
  </si>
  <si>
    <t xml:space="preserve">2013-01-19</t>
  </si>
  <si>
    <t xml:space="preserve">2013-01-20</t>
  </si>
  <si>
    <t xml:space="preserve">2013-01-21</t>
  </si>
  <si>
    <t xml:space="preserve">2013-01-22</t>
  </si>
  <si>
    <t xml:space="preserve">2013-01-23</t>
  </si>
  <si>
    <t xml:space="preserve">2013-01-24</t>
  </si>
  <si>
    <t xml:space="preserve">2013-01-25</t>
  </si>
  <si>
    <t xml:space="preserve">2013-01-26</t>
  </si>
  <si>
    <t xml:space="preserve">2013-01-27</t>
  </si>
  <si>
    <t xml:space="preserve">2013-01-28</t>
  </si>
  <si>
    <t xml:space="preserve">2013-01-29</t>
  </si>
  <si>
    <t xml:space="preserve">2013-01-30</t>
  </si>
  <si>
    <t xml:space="preserve">2013-01-31</t>
  </si>
  <si>
    <t xml:space="preserve">2013-02-01</t>
  </si>
  <si>
    <t xml:space="preserve">2013-02-02</t>
  </si>
  <si>
    <t xml:space="preserve">2013-02-03</t>
  </si>
  <si>
    <t xml:space="preserve">2013-02-04</t>
  </si>
  <si>
    <t xml:space="preserve">2013-02-05</t>
  </si>
  <si>
    <t xml:space="preserve">2013-02-06</t>
  </si>
  <si>
    <t xml:space="preserve">2013-02-07</t>
  </si>
  <si>
    <t xml:space="preserve">2013-02-08</t>
  </si>
  <si>
    <t xml:space="preserve">2013-02-09</t>
  </si>
  <si>
    <t xml:space="preserve">2013-02-10</t>
  </si>
  <si>
    <t xml:space="preserve">2013-02-11</t>
  </si>
  <si>
    <t xml:space="preserve">2013-02-12</t>
  </si>
  <si>
    <t xml:space="preserve">2013-02-13</t>
  </si>
  <si>
    <t xml:space="preserve">2013-02-14</t>
  </si>
  <si>
    <t xml:space="preserve">2013-02-15</t>
  </si>
  <si>
    <t xml:space="preserve">2013-02-16</t>
  </si>
  <si>
    <t xml:space="preserve">2013-02-17</t>
  </si>
  <si>
    <t xml:space="preserve">2013-02-18</t>
  </si>
  <si>
    <t xml:space="preserve">2013-02-19</t>
  </si>
  <si>
    <t xml:space="preserve">2013-02-20</t>
  </si>
  <si>
    <t xml:space="preserve">2013-02-21</t>
  </si>
  <si>
    <t xml:space="preserve">2013-02-22</t>
  </si>
  <si>
    <t xml:space="preserve">2013-02-23</t>
  </si>
  <si>
    <t xml:space="preserve">2013-02-24</t>
  </si>
  <si>
    <t xml:space="preserve">2013-02-25</t>
  </si>
  <si>
    <t xml:space="preserve">2013-02-26</t>
  </si>
  <si>
    <t xml:space="preserve">2013-02-27</t>
  </si>
  <si>
    <t xml:space="preserve">2013-02-28</t>
  </si>
  <si>
    <t xml:space="preserve">2013-03-01</t>
  </si>
  <si>
    <t xml:space="preserve">2013-03-02</t>
  </si>
  <si>
    <t xml:space="preserve">2013-03-03</t>
  </si>
  <si>
    <t xml:space="preserve">2013-03-04</t>
  </si>
  <si>
    <t xml:space="preserve">2013-03-05</t>
  </si>
  <si>
    <t xml:space="preserve">2013-03-06</t>
  </si>
  <si>
    <t xml:space="preserve">2013-03-07</t>
  </si>
  <si>
    <t xml:space="preserve">2013-03-08</t>
  </si>
  <si>
    <t xml:space="preserve">2013-03-09</t>
  </si>
  <si>
    <t xml:space="preserve">2013-03-10</t>
  </si>
  <si>
    <t xml:space="preserve">2013-03-11</t>
  </si>
  <si>
    <t xml:space="preserve">2013-03-12</t>
  </si>
  <si>
    <t xml:space="preserve">2013-03-13</t>
  </si>
  <si>
    <t xml:space="preserve">2013-03-14</t>
  </si>
  <si>
    <t xml:space="preserve">2013-03-15</t>
  </si>
  <si>
    <t xml:space="preserve">2013-03-16</t>
  </si>
  <si>
    <t xml:space="preserve">2013-03-17</t>
  </si>
  <si>
    <t xml:space="preserve">2013-03-18</t>
  </si>
  <si>
    <t xml:space="preserve">2013-03-19</t>
  </si>
  <si>
    <t xml:space="preserve">2013-03-20</t>
  </si>
  <si>
    <t xml:space="preserve">2013-03-21</t>
  </si>
  <si>
    <t xml:space="preserve">2013-03-22</t>
  </si>
  <si>
    <t xml:space="preserve">2013-03-23</t>
  </si>
  <si>
    <t xml:space="preserve">2013-03-24</t>
  </si>
  <si>
    <t xml:space="preserve">2013-03-25</t>
  </si>
  <si>
    <t xml:space="preserve">2013-03-26</t>
  </si>
  <si>
    <t xml:space="preserve">2013-03-27</t>
  </si>
  <si>
    <t xml:space="preserve">2013-03-28</t>
  </si>
  <si>
    <t xml:space="preserve">2013-03-29</t>
  </si>
  <si>
    <t xml:space="preserve">2013-03-30</t>
  </si>
  <si>
    <t xml:space="preserve">2013-03-31</t>
  </si>
  <si>
    <t xml:space="preserve">2013-04-01</t>
  </si>
  <si>
    <t xml:space="preserve">2013-04-02</t>
  </si>
  <si>
    <t xml:space="preserve">2013-04-03</t>
  </si>
  <si>
    <t xml:space="preserve">2013-04-04</t>
  </si>
  <si>
    <t xml:space="preserve">2013-04-05</t>
  </si>
  <si>
    <t xml:space="preserve">2013-04-06</t>
  </si>
  <si>
    <t xml:space="preserve">2013-04-07</t>
  </si>
  <si>
    <t xml:space="preserve">2013-04-08</t>
  </si>
  <si>
    <t xml:space="preserve">2013-04-09</t>
  </si>
  <si>
    <t xml:space="preserve">2013-04-10</t>
  </si>
  <si>
    <t xml:space="preserve">2013-04-11</t>
  </si>
  <si>
    <t xml:space="preserve">2013-04-12</t>
  </si>
  <si>
    <t xml:space="preserve">2013-04-13</t>
  </si>
  <si>
    <t xml:space="preserve">2013-04-14</t>
  </si>
  <si>
    <t xml:space="preserve">2013-04-15</t>
  </si>
  <si>
    <t xml:space="preserve">2013-04-16</t>
  </si>
  <si>
    <t xml:space="preserve">2013-04-17</t>
  </si>
  <si>
    <t xml:space="preserve">2013-04-18</t>
  </si>
  <si>
    <t xml:space="preserve">2013-04-19</t>
  </si>
  <si>
    <t xml:space="preserve">2013-04-20</t>
  </si>
  <si>
    <t xml:space="preserve">2013-04-21</t>
  </si>
  <si>
    <t xml:space="preserve">2013-04-22</t>
  </si>
  <si>
    <t xml:space="preserve">2013-04-23</t>
  </si>
  <si>
    <t xml:space="preserve">2013-04-24</t>
  </si>
  <si>
    <t xml:space="preserve">2013-04-25</t>
  </si>
  <si>
    <t xml:space="preserve">2013-04-26</t>
  </si>
  <si>
    <t xml:space="preserve">2013-04-27</t>
  </si>
  <si>
    <t xml:space="preserve">2013-04-28</t>
  </si>
  <si>
    <t xml:space="preserve">2013-04-29</t>
  </si>
  <si>
    <t xml:space="preserve">2013-04-30</t>
  </si>
  <si>
    <t xml:space="preserve">2013-05-01</t>
  </si>
  <si>
    <t xml:space="preserve">2013-05-02</t>
  </si>
  <si>
    <t xml:space="preserve">2013-05-03</t>
  </si>
  <si>
    <t xml:space="preserve">2013-05-04</t>
  </si>
  <si>
    <t xml:space="preserve">2013-05-05</t>
  </si>
  <si>
    <t xml:space="preserve">2013-05-06</t>
  </si>
  <si>
    <t xml:space="preserve">2013-05-07</t>
  </si>
  <si>
    <t xml:space="preserve">2013-05-08</t>
  </si>
  <si>
    <t xml:space="preserve">2013-05-09</t>
  </si>
  <si>
    <t xml:space="preserve">2013-05-10</t>
  </si>
  <si>
    <t xml:space="preserve">2013-05-11</t>
  </si>
  <si>
    <t xml:space="preserve">2013-05-12</t>
  </si>
  <si>
    <t xml:space="preserve">2013-05-13</t>
  </si>
  <si>
    <t xml:space="preserve">2013-05-14</t>
  </si>
  <si>
    <t xml:space="preserve">2013-05-15</t>
  </si>
  <si>
    <t xml:space="preserve">2013-05-16</t>
  </si>
  <si>
    <t xml:space="preserve">2013-05-17</t>
  </si>
  <si>
    <t xml:space="preserve">2013-05-18</t>
  </si>
  <si>
    <t xml:space="preserve">2013-05-19</t>
  </si>
  <si>
    <t xml:space="preserve">2013-05-20</t>
  </si>
  <si>
    <t xml:space="preserve">2013-05-21</t>
  </si>
  <si>
    <t xml:space="preserve">2013-05-22</t>
  </si>
  <si>
    <t xml:space="preserve">2013-05-23</t>
  </si>
  <si>
    <t xml:space="preserve">2013-05-24</t>
  </si>
  <si>
    <t xml:space="preserve">2013-05-25</t>
  </si>
  <si>
    <t xml:space="preserve">2013-05-26</t>
  </si>
  <si>
    <t xml:space="preserve">2013-05-27</t>
  </si>
  <si>
    <t xml:space="preserve">2013-05-28</t>
  </si>
  <si>
    <t xml:space="preserve">2013-05-29</t>
  </si>
  <si>
    <t xml:space="preserve">2013-05-30</t>
  </si>
  <si>
    <t xml:space="preserve">2013-05-31</t>
  </si>
  <si>
    <t xml:space="preserve">2013-06-01</t>
  </si>
  <si>
    <t xml:space="preserve">2013-06-02</t>
  </si>
  <si>
    <t xml:space="preserve">2013-06-03</t>
  </si>
  <si>
    <t xml:space="preserve">2013-06-04</t>
  </si>
  <si>
    <t xml:space="preserve">2013-06-05</t>
  </si>
  <si>
    <t xml:space="preserve">2013-06-06</t>
  </si>
  <si>
    <t xml:space="preserve">2013-06-07</t>
  </si>
  <si>
    <t xml:space="preserve">2013-06-08</t>
  </si>
  <si>
    <t xml:space="preserve">2013-06-09</t>
  </si>
  <si>
    <t xml:space="preserve">2013-06-10</t>
  </si>
  <si>
    <t xml:space="preserve">2013-06-11</t>
  </si>
  <si>
    <t xml:space="preserve">2013-06-12</t>
  </si>
  <si>
    <t xml:space="preserve">2013-06-13</t>
  </si>
  <si>
    <t xml:space="preserve">2013-06-14</t>
  </si>
  <si>
    <t xml:space="preserve">2013-06-15</t>
  </si>
  <si>
    <t xml:space="preserve">2013-06-16</t>
  </si>
  <si>
    <t xml:space="preserve">2013-06-17</t>
  </si>
  <si>
    <t xml:space="preserve">2013-06-18</t>
  </si>
  <si>
    <t xml:space="preserve">2013-06-19</t>
  </si>
  <si>
    <t xml:space="preserve">2013-06-20</t>
  </si>
  <si>
    <t xml:space="preserve">2013-06-21</t>
  </si>
  <si>
    <t xml:space="preserve">2013-06-22</t>
  </si>
  <si>
    <t xml:space="preserve">2013-06-23</t>
  </si>
  <si>
    <t xml:space="preserve">2013-06-24</t>
  </si>
  <si>
    <t xml:space="preserve">2013-06-25</t>
  </si>
  <si>
    <t xml:space="preserve">2013-06-26</t>
  </si>
  <si>
    <t xml:space="preserve">2013-06-27</t>
  </si>
  <si>
    <t xml:space="preserve">2013-06-28</t>
  </si>
  <si>
    <t xml:space="preserve">2013-06-29</t>
  </si>
  <si>
    <t xml:space="preserve">2013-06-30</t>
  </si>
  <si>
    <t xml:space="preserve">2013-07-01</t>
  </si>
  <si>
    <t xml:space="preserve">2013-07-02</t>
  </si>
  <si>
    <t xml:space="preserve">2013-07-03</t>
  </si>
  <si>
    <t xml:space="preserve">2013-07-04</t>
  </si>
  <si>
    <t xml:space="preserve">2013-07-05</t>
  </si>
  <si>
    <t xml:space="preserve">2013-07-06</t>
  </si>
  <si>
    <t xml:space="preserve">2013-07-07</t>
  </si>
  <si>
    <t xml:space="preserve">2013-07-08</t>
  </si>
  <si>
    <t xml:space="preserve">2013-07-09</t>
  </si>
  <si>
    <t xml:space="preserve">2013-07-10</t>
  </si>
  <si>
    <t xml:space="preserve">2013-07-11</t>
  </si>
  <si>
    <t xml:space="preserve">2013-07-12</t>
  </si>
  <si>
    <t xml:space="preserve">2013-07-13</t>
  </si>
  <si>
    <t xml:space="preserve">2013-07-14</t>
  </si>
  <si>
    <t xml:space="preserve">2013-07-15</t>
  </si>
  <si>
    <t xml:space="preserve">2013-07-16</t>
  </si>
  <si>
    <t xml:space="preserve">2013-07-17</t>
  </si>
  <si>
    <t xml:space="preserve">2013-07-18</t>
  </si>
  <si>
    <t xml:space="preserve">2013-07-19</t>
  </si>
  <si>
    <t xml:space="preserve">2013-07-20</t>
  </si>
  <si>
    <t xml:space="preserve">2013-07-21</t>
  </si>
  <si>
    <t xml:space="preserve">2013-07-22</t>
  </si>
  <si>
    <t xml:space="preserve">2013-07-23</t>
  </si>
  <si>
    <t xml:space="preserve">2013-07-24</t>
  </si>
  <si>
    <t xml:space="preserve">2013-07-25</t>
  </si>
  <si>
    <t xml:space="preserve">2013-07-26</t>
  </si>
  <si>
    <t xml:space="preserve">2013-07-27</t>
  </si>
  <si>
    <t xml:space="preserve">2013-07-28</t>
  </si>
  <si>
    <t xml:space="preserve">2013-07-29</t>
  </si>
  <si>
    <t xml:space="preserve">2013-07-30</t>
  </si>
  <si>
    <t xml:space="preserve">2013-07-31</t>
  </si>
  <si>
    <t xml:space="preserve">2013-08-01</t>
  </si>
  <si>
    <t xml:space="preserve">2013-08-02</t>
  </si>
  <si>
    <t xml:space="preserve">2013-08-03</t>
  </si>
  <si>
    <t xml:space="preserve">2013-08-04</t>
  </si>
  <si>
    <t xml:space="preserve">2013-08-05</t>
  </si>
  <si>
    <t xml:space="preserve">2013-08-06</t>
  </si>
  <si>
    <t xml:space="preserve">2013-08-07</t>
  </si>
  <si>
    <t xml:space="preserve">2013-08-08</t>
  </si>
  <si>
    <t xml:space="preserve">2013-08-09</t>
  </si>
  <si>
    <t xml:space="preserve">2013-08-10</t>
  </si>
  <si>
    <t xml:space="preserve">2013-08-11</t>
  </si>
  <si>
    <t xml:space="preserve">2013-08-12</t>
  </si>
  <si>
    <t xml:space="preserve">2013-08-13</t>
  </si>
  <si>
    <t xml:space="preserve">2013-08-14</t>
  </si>
  <si>
    <t xml:space="preserve">2013-08-15</t>
  </si>
  <si>
    <t xml:space="preserve">2013-08-16</t>
  </si>
  <si>
    <t xml:space="preserve">2013-08-17</t>
  </si>
  <si>
    <t xml:space="preserve">2013-08-18</t>
  </si>
  <si>
    <t xml:space="preserve">2013-08-19</t>
  </si>
  <si>
    <t xml:space="preserve">2013-08-20</t>
  </si>
  <si>
    <t xml:space="preserve">2013-08-21</t>
  </si>
  <si>
    <t xml:space="preserve">2013-08-22</t>
  </si>
  <si>
    <t xml:space="preserve">2013-08-23</t>
  </si>
  <si>
    <t xml:space="preserve">2013-08-24</t>
  </si>
  <si>
    <t xml:space="preserve">2013-08-25</t>
  </si>
  <si>
    <t xml:space="preserve">2013-08-26</t>
  </si>
  <si>
    <t xml:space="preserve">2013-08-27</t>
  </si>
  <si>
    <t xml:space="preserve">2013-08-28</t>
  </si>
  <si>
    <t xml:space="preserve">2013-08-29</t>
  </si>
  <si>
    <t xml:space="preserve">2013-08-30</t>
  </si>
  <si>
    <t xml:space="preserve">2013-08-31</t>
  </si>
  <si>
    <t xml:space="preserve">2013-09-01</t>
  </si>
  <si>
    <t xml:space="preserve">2013-09-02</t>
  </si>
  <si>
    <t xml:space="preserve">2013-09-03</t>
  </si>
  <si>
    <t xml:space="preserve">2013-09-04</t>
  </si>
  <si>
    <t xml:space="preserve">2013-09-05</t>
  </si>
  <si>
    <t xml:space="preserve">2013-09-06</t>
  </si>
  <si>
    <t xml:space="preserve">2013-09-07</t>
  </si>
  <si>
    <t xml:space="preserve">2013-09-08</t>
  </si>
  <si>
    <t xml:space="preserve">2013-09-09</t>
  </si>
  <si>
    <t xml:space="preserve">2013-09-10</t>
  </si>
  <si>
    <t xml:space="preserve">2013-09-11</t>
  </si>
  <si>
    <t xml:space="preserve">2013-09-12</t>
  </si>
  <si>
    <t xml:space="preserve">2013-09-13</t>
  </si>
  <si>
    <t xml:space="preserve">2013-09-14</t>
  </si>
  <si>
    <t xml:space="preserve">2013-09-15</t>
  </si>
  <si>
    <t xml:space="preserve">2013-09-16</t>
  </si>
  <si>
    <t xml:space="preserve">2013-09-17</t>
  </si>
  <si>
    <t xml:space="preserve">2013-09-18</t>
  </si>
  <si>
    <t xml:space="preserve">2013-09-19</t>
  </si>
  <si>
    <t xml:space="preserve">2013-09-20</t>
  </si>
  <si>
    <t xml:space="preserve">2013-09-21</t>
  </si>
  <si>
    <t xml:space="preserve">2013-09-22</t>
  </si>
  <si>
    <t xml:space="preserve">2013-09-23</t>
  </si>
  <si>
    <t xml:space="preserve">2013-09-24</t>
  </si>
  <si>
    <t xml:space="preserve">2013-09-25</t>
  </si>
  <si>
    <t xml:space="preserve">2013-09-26</t>
  </si>
  <si>
    <t xml:space="preserve">2013-09-27</t>
  </si>
  <si>
    <t xml:space="preserve">2013-09-28</t>
  </si>
  <si>
    <t xml:space="preserve">2013-09-29</t>
  </si>
  <si>
    <t xml:space="preserve">2013-09-30</t>
  </si>
  <si>
    <t xml:space="preserve">2013-10-01</t>
  </si>
  <si>
    <t xml:space="preserve">2013-10-02</t>
  </si>
  <si>
    <t xml:space="preserve">2013-10-03</t>
  </si>
  <si>
    <t xml:space="preserve">2013-10-04</t>
  </si>
  <si>
    <t xml:space="preserve">2013-10-05</t>
  </si>
  <si>
    <t xml:space="preserve">2013-10-06</t>
  </si>
  <si>
    <t xml:space="preserve">2013-10-07</t>
  </si>
  <si>
    <t xml:space="preserve">2013-10-08</t>
  </si>
  <si>
    <t xml:space="preserve">2013-10-09</t>
  </si>
  <si>
    <t xml:space="preserve">2013-10-10</t>
  </si>
  <si>
    <t xml:space="preserve">2013-10-11</t>
  </si>
  <si>
    <t xml:space="preserve">2013-10-12</t>
  </si>
  <si>
    <t xml:space="preserve">2013-10-13</t>
  </si>
  <si>
    <t xml:space="preserve">2013-10-14</t>
  </si>
  <si>
    <t xml:space="preserve">2013-10-15</t>
  </si>
  <si>
    <t xml:space="preserve">2013-10-16</t>
  </si>
  <si>
    <t xml:space="preserve">2013-10-17</t>
  </si>
  <si>
    <t xml:space="preserve">2013-10-18</t>
  </si>
  <si>
    <t xml:space="preserve">2013-10-19</t>
  </si>
  <si>
    <t xml:space="preserve">2013-10-20</t>
  </si>
  <si>
    <t xml:space="preserve">2013-10-21</t>
  </si>
  <si>
    <t xml:space="preserve">2013-10-22</t>
  </si>
  <si>
    <t xml:space="preserve">2013-10-23</t>
  </si>
  <si>
    <t xml:space="preserve">2013-10-24</t>
  </si>
  <si>
    <t xml:space="preserve">2013-10-25</t>
  </si>
  <si>
    <t xml:space="preserve">2013-10-26</t>
  </si>
  <si>
    <t xml:space="preserve">2013-10-27</t>
  </si>
  <si>
    <t xml:space="preserve">2013-10-28</t>
  </si>
  <si>
    <t xml:space="preserve">2013-10-29</t>
  </si>
  <si>
    <t xml:space="preserve">2013-10-30</t>
  </si>
  <si>
    <t xml:space="preserve">2013-10-31</t>
  </si>
  <si>
    <t xml:space="preserve">2013-11-01</t>
  </si>
  <si>
    <t xml:space="preserve">2013-11-02</t>
  </si>
  <si>
    <t xml:space="preserve">2013-11-03</t>
  </si>
  <si>
    <t xml:space="preserve">2013-11-04</t>
  </si>
  <si>
    <t xml:space="preserve">2013-11-05</t>
  </si>
  <si>
    <t xml:space="preserve">2013-11-06</t>
  </si>
  <si>
    <t xml:space="preserve">2013-11-07</t>
  </si>
  <si>
    <t xml:space="preserve">2013-11-08</t>
  </si>
  <si>
    <t xml:space="preserve">2013-11-09</t>
  </si>
  <si>
    <t xml:space="preserve">2013-11-10</t>
  </si>
  <si>
    <t xml:space="preserve">2013-11-11</t>
  </si>
  <si>
    <t xml:space="preserve">2013-11-12</t>
  </si>
  <si>
    <t xml:space="preserve">2013-11-13</t>
  </si>
  <si>
    <t xml:space="preserve">2013-11-14</t>
  </si>
  <si>
    <t xml:space="preserve">2013-11-15</t>
  </si>
  <si>
    <t xml:space="preserve">2013-11-16</t>
  </si>
  <si>
    <t xml:space="preserve">2013-11-17</t>
  </si>
  <si>
    <t xml:space="preserve">2013-11-18</t>
  </si>
  <si>
    <t xml:space="preserve">2013-11-19</t>
  </si>
  <si>
    <t xml:space="preserve">2013-11-20</t>
  </si>
  <si>
    <t xml:space="preserve">2013-11-21</t>
  </si>
  <si>
    <t xml:space="preserve">2013-11-22</t>
  </si>
  <si>
    <t xml:space="preserve">2013-11-23</t>
  </si>
  <si>
    <t xml:space="preserve">2013-11-24</t>
  </si>
  <si>
    <t xml:space="preserve">2013-11-25</t>
  </si>
  <si>
    <t xml:space="preserve">2013-11-26</t>
  </si>
  <si>
    <t xml:space="preserve">2013-11-27</t>
  </si>
  <si>
    <t xml:space="preserve">2013-11-28</t>
  </si>
  <si>
    <t xml:space="preserve">2013-11-29</t>
  </si>
  <si>
    <t xml:space="preserve">2013-11-30</t>
  </si>
  <si>
    <t xml:space="preserve">2013-12-01</t>
  </si>
  <si>
    <t xml:space="preserve">2013-12-02</t>
  </si>
  <si>
    <t xml:space="preserve">2013-12-03</t>
  </si>
  <si>
    <t xml:space="preserve">2013-12-04</t>
  </si>
  <si>
    <t xml:space="preserve">2013-12-05</t>
  </si>
  <si>
    <t xml:space="preserve">2013-12-06</t>
  </si>
  <si>
    <t xml:space="preserve">2013-12-07</t>
  </si>
  <si>
    <t xml:space="preserve">2013-12-08</t>
  </si>
  <si>
    <t xml:space="preserve">2013-12-09</t>
  </si>
  <si>
    <t xml:space="preserve">2013-12-10</t>
  </si>
  <si>
    <t xml:space="preserve">2013-12-11</t>
  </si>
  <si>
    <t xml:space="preserve">2013-12-12</t>
  </si>
  <si>
    <t xml:space="preserve">2013-12-13</t>
  </si>
  <si>
    <t xml:space="preserve">2013-12-14</t>
  </si>
  <si>
    <t xml:space="preserve">2013-12-15</t>
  </si>
  <si>
    <t xml:space="preserve">2013-12-16</t>
  </si>
  <si>
    <t xml:space="preserve">2013-12-17</t>
  </si>
  <si>
    <t xml:space="preserve">2013-12-18</t>
  </si>
  <si>
    <t xml:space="preserve">2013-12-19</t>
  </si>
  <si>
    <t xml:space="preserve">2013-12-20</t>
  </si>
  <si>
    <t xml:space="preserve">2013-12-21</t>
  </si>
  <si>
    <t xml:space="preserve">2013-12-22</t>
  </si>
  <si>
    <t xml:space="preserve">2013-12-23</t>
  </si>
  <si>
    <t xml:space="preserve">2013-12-24</t>
  </si>
  <si>
    <t xml:space="preserve">2013-12-25</t>
  </si>
  <si>
    <t xml:space="preserve">2013-12-26</t>
  </si>
  <si>
    <t xml:space="preserve">2013-12-27</t>
  </si>
  <si>
    <t xml:space="preserve">2013-12-28</t>
  </si>
  <si>
    <t xml:space="preserve">2013-12-29</t>
  </si>
  <si>
    <t xml:space="preserve">2013-12-30</t>
  </si>
  <si>
    <t xml:space="preserve">2013-12-31</t>
  </si>
  <si>
    <t xml:space="preserve">2014-01-01</t>
  </si>
  <si>
    <t xml:space="preserve">2014-01-02</t>
  </si>
  <si>
    <t xml:space="preserve">2014-01-03</t>
  </si>
  <si>
    <t xml:space="preserve">2014-01-04</t>
  </si>
  <si>
    <t xml:space="preserve">2014-01-05</t>
  </si>
  <si>
    <t xml:space="preserve">2014-01-06</t>
  </si>
  <si>
    <t xml:space="preserve">2014-01-07</t>
  </si>
  <si>
    <t xml:space="preserve">2014-01-08</t>
  </si>
  <si>
    <t xml:space="preserve">2014-01-09</t>
  </si>
  <si>
    <t xml:space="preserve">2014-01-10</t>
  </si>
  <si>
    <t xml:space="preserve">2014-01-11</t>
  </si>
  <si>
    <t xml:space="preserve">2014-01-12</t>
  </si>
  <si>
    <t xml:space="preserve">2014-01-13</t>
  </si>
  <si>
    <t xml:space="preserve">2014-01-14</t>
  </si>
  <si>
    <t xml:space="preserve">2014-01-15</t>
  </si>
  <si>
    <t xml:space="preserve">2014-01-16</t>
  </si>
  <si>
    <t xml:space="preserve">2014-01-17</t>
  </si>
  <si>
    <t xml:space="preserve">2014-01-18</t>
  </si>
  <si>
    <t xml:space="preserve">2014-01-19</t>
  </si>
  <si>
    <t xml:space="preserve">2014-01-20</t>
  </si>
  <si>
    <t xml:space="preserve">2014-01-21</t>
  </si>
  <si>
    <t xml:space="preserve">2014-01-22</t>
  </si>
  <si>
    <t xml:space="preserve">2014-01-23</t>
  </si>
  <si>
    <t xml:space="preserve">2014-01-24</t>
  </si>
  <si>
    <t xml:space="preserve">2014-01-25</t>
  </si>
  <si>
    <t xml:space="preserve">2014-01-26</t>
  </si>
  <si>
    <t xml:space="preserve">2014-01-27</t>
  </si>
  <si>
    <t xml:space="preserve">2014-01-28</t>
  </si>
  <si>
    <t xml:space="preserve">2014-01-29</t>
  </si>
  <si>
    <t xml:space="preserve">2014-01-30</t>
  </si>
  <si>
    <t xml:space="preserve">2014-01-31</t>
  </si>
  <si>
    <t xml:space="preserve">2014-02-01</t>
  </si>
  <si>
    <t xml:space="preserve">2014-02-02</t>
  </si>
  <si>
    <t xml:space="preserve">2014-02-03</t>
  </si>
  <si>
    <t xml:space="preserve">2014-02-04</t>
  </si>
  <si>
    <t xml:space="preserve">2014-02-05</t>
  </si>
  <si>
    <t xml:space="preserve">2014-02-06</t>
  </si>
  <si>
    <t xml:space="preserve">2014-02-07</t>
  </si>
  <si>
    <t xml:space="preserve">2014-02-08</t>
  </si>
  <si>
    <t xml:space="preserve">2014-02-09</t>
  </si>
  <si>
    <t xml:space="preserve">2014-02-10</t>
  </si>
  <si>
    <t xml:space="preserve">2014-02-11</t>
  </si>
  <si>
    <t xml:space="preserve">2014-02-12</t>
  </si>
  <si>
    <t xml:space="preserve">2014-02-13</t>
  </si>
  <si>
    <t xml:space="preserve">2014-02-14</t>
  </si>
  <si>
    <t xml:space="preserve">2014-02-15</t>
  </si>
  <si>
    <t xml:space="preserve">2014-02-16</t>
  </si>
  <si>
    <t xml:space="preserve">2014-02-17</t>
  </si>
  <si>
    <t xml:space="preserve">2014-02-18</t>
  </si>
  <si>
    <t xml:space="preserve">2014-02-19</t>
  </si>
  <si>
    <t xml:space="preserve">2014-02-20</t>
  </si>
  <si>
    <t xml:space="preserve">2014-02-21</t>
  </si>
  <si>
    <t xml:space="preserve">2014-02-22</t>
  </si>
  <si>
    <t xml:space="preserve">2014-02-23</t>
  </si>
  <si>
    <t xml:space="preserve">2014-02-24</t>
  </si>
  <si>
    <t xml:space="preserve">2014-02-25</t>
  </si>
  <si>
    <t xml:space="preserve">2014-02-26</t>
  </si>
  <si>
    <t xml:space="preserve">2014-02-27</t>
  </si>
  <si>
    <t xml:space="preserve">2014-02-28</t>
  </si>
  <si>
    <t xml:space="preserve">2014-03-01</t>
  </si>
  <si>
    <t xml:space="preserve">2014-03-02</t>
  </si>
  <si>
    <t xml:space="preserve">2014-03-03</t>
  </si>
  <si>
    <t xml:space="preserve">2014-03-04</t>
  </si>
  <si>
    <t xml:space="preserve">2014-03-05</t>
  </si>
  <si>
    <t xml:space="preserve">2014-03-06</t>
  </si>
  <si>
    <t xml:space="preserve">2014-03-07</t>
  </si>
  <si>
    <t xml:space="preserve">2014-03-08</t>
  </si>
  <si>
    <t xml:space="preserve">2014-03-09</t>
  </si>
  <si>
    <t xml:space="preserve">2014-03-10</t>
  </si>
  <si>
    <t xml:space="preserve">2014-03-11</t>
  </si>
  <si>
    <t xml:space="preserve">2014-03-12</t>
  </si>
  <si>
    <t xml:space="preserve">2014-03-13</t>
  </si>
  <si>
    <t xml:space="preserve">2014-03-14</t>
  </si>
  <si>
    <t xml:space="preserve">2014-03-15</t>
  </si>
  <si>
    <t xml:space="preserve">2014-03-16</t>
  </si>
  <si>
    <t xml:space="preserve">2014-03-17</t>
  </si>
  <si>
    <t xml:space="preserve">2014-03-18</t>
  </si>
  <si>
    <t xml:space="preserve">2014-03-19</t>
  </si>
  <si>
    <t xml:space="preserve">2014-03-20</t>
  </si>
  <si>
    <t xml:space="preserve">2014-03-21</t>
  </si>
  <si>
    <t xml:space="preserve">2014-03-22</t>
  </si>
  <si>
    <t xml:space="preserve">2014-03-23</t>
  </si>
  <si>
    <t xml:space="preserve">2014-03-24</t>
  </si>
  <si>
    <t xml:space="preserve">2014-03-25</t>
  </si>
  <si>
    <t xml:space="preserve">2014-03-26</t>
  </si>
  <si>
    <t xml:space="preserve">2014-03-27</t>
  </si>
  <si>
    <t xml:space="preserve">2014-03-28</t>
  </si>
  <si>
    <t xml:space="preserve">2014-03-29</t>
  </si>
  <si>
    <t xml:space="preserve">2014-03-30</t>
  </si>
  <si>
    <t xml:space="preserve">2014-03-31</t>
  </si>
  <si>
    <t xml:space="preserve">2014-04-01</t>
  </si>
  <si>
    <t xml:space="preserve">2014-04-02</t>
  </si>
  <si>
    <t xml:space="preserve">2014-04-03</t>
  </si>
  <si>
    <t xml:space="preserve">2014-04-04</t>
  </si>
  <si>
    <t xml:space="preserve">2014-04-05</t>
  </si>
  <si>
    <t xml:space="preserve">2014-04-06</t>
  </si>
  <si>
    <t xml:space="preserve">2014-04-07</t>
  </si>
  <si>
    <t xml:space="preserve">2014-04-08</t>
  </si>
  <si>
    <t xml:space="preserve">2014-04-09</t>
  </si>
  <si>
    <t xml:space="preserve">2014-04-10</t>
  </si>
  <si>
    <t xml:space="preserve">2014-04-11</t>
  </si>
  <si>
    <t xml:space="preserve">2014-04-12</t>
  </si>
  <si>
    <t xml:space="preserve">2014-04-13</t>
  </si>
  <si>
    <t xml:space="preserve">2014-04-14</t>
  </si>
  <si>
    <t xml:space="preserve">2014-04-15</t>
  </si>
  <si>
    <t xml:space="preserve">2014-04-16</t>
  </si>
  <si>
    <t xml:space="preserve">2014-04-17</t>
  </si>
  <si>
    <t xml:space="preserve">2014-04-18</t>
  </si>
  <si>
    <t xml:space="preserve">2014-04-19</t>
  </si>
  <si>
    <t xml:space="preserve">2014-04-20</t>
  </si>
  <si>
    <t xml:space="preserve">2014-04-21</t>
  </si>
  <si>
    <t xml:space="preserve">2014-04-22</t>
  </si>
  <si>
    <t xml:space="preserve">2014-04-23</t>
  </si>
  <si>
    <t xml:space="preserve">2014-04-24</t>
  </si>
  <si>
    <t xml:space="preserve">2014-04-25</t>
  </si>
  <si>
    <t xml:space="preserve">2014-04-26</t>
  </si>
  <si>
    <t xml:space="preserve">2014-04-27</t>
  </si>
  <si>
    <t xml:space="preserve">2014-04-28</t>
  </si>
  <si>
    <t xml:space="preserve">2014-04-29</t>
  </si>
  <si>
    <t xml:space="preserve">2014-04-30</t>
  </si>
  <si>
    <t xml:space="preserve">2014-05-01</t>
  </si>
  <si>
    <t xml:space="preserve">2014-05-02</t>
  </si>
  <si>
    <t xml:space="preserve">2014-05-03</t>
  </si>
  <si>
    <t xml:space="preserve">2014-05-04</t>
  </si>
  <si>
    <t xml:space="preserve">2014-05-05</t>
  </si>
  <si>
    <t xml:space="preserve">2014-05-06</t>
  </si>
  <si>
    <t xml:space="preserve">2014-05-07</t>
  </si>
  <si>
    <t xml:space="preserve">2014-05-08</t>
  </si>
  <si>
    <t xml:space="preserve">2014-05-09</t>
  </si>
  <si>
    <t xml:space="preserve">2014-05-10</t>
  </si>
  <si>
    <t xml:space="preserve">2014-05-11</t>
  </si>
  <si>
    <t xml:space="preserve">2014-05-12</t>
  </si>
  <si>
    <t xml:space="preserve">2014-05-13</t>
  </si>
  <si>
    <t xml:space="preserve">2014-05-14</t>
  </si>
  <si>
    <t xml:space="preserve">2014-05-15</t>
  </si>
  <si>
    <t xml:space="preserve">2014-05-16</t>
  </si>
  <si>
    <t xml:space="preserve">2014-05-17</t>
  </si>
  <si>
    <t xml:space="preserve">2014-05-18</t>
  </si>
  <si>
    <t xml:space="preserve">2014-05-19</t>
  </si>
  <si>
    <t xml:space="preserve">2014-05-20</t>
  </si>
  <si>
    <t xml:space="preserve">2014-05-21</t>
  </si>
  <si>
    <t xml:space="preserve">2014-05-22</t>
  </si>
  <si>
    <t xml:space="preserve">2014-05-23</t>
  </si>
  <si>
    <t xml:space="preserve">2014-05-24</t>
  </si>
  <si>
    <t xml:space="preserve">2014-05-25</t>
  </si>
  <si>
    <t xml:space="preserve">2014-05-26</t>
  </si>
  <si>
    <t xml:space="preserve">2014-05-27</t>
  </si>
  <si>
    <t xml:space="preserve">2014-05-28</t>
  </si>
  <si>
    <t xml:space="preserve">2014-05-29</t>
  </si>
  <si>
    <t xml:space="preserve">2014-05-30</t>
  </si>
  <si>
    <t xml:space="preserve">2014-05-31</t>
  </si>
  <si>
    <t xml:space="preserve">2014-06-01</t>
  </si>
  <si>
    <t xml:space="preserve">2014-06-02</t>
  </si>
  <si>
    <t xml:space="preserve">2014-06-03</t>
  </si>
  <si>
    <t xml:space="preserve">2014-06-04</t>
  </si>
  <si>
    <t xml:space="preserve">2014-06-05</t>
  </si>
  <si>
    <t xml:space="preserve">2014-06-06</t>
  </si>
  <si>
    <t xml:space="preserve">2014-06-07</t>
  </si>
  <si>
    <t xml:space="preserve">2014-06-08</t>
  </si>
  <si>
    <t xml:space="preserve">2014-06-09</t>
  </si>
  <si>
    <t xml:space="preserve">2014-06-10</t>
  </si>
  <si>
    <t xml:space="preserve">2014-06-11</t>
  </si>
  <si>
    <t xml:space="preserve">2014-06-12</t>
  </si>
  <si>
    <t xml:space="preserve">2014-06-13</t>
  </si>
  <si>
    <t xml:space="preserve">2014-06-14</t>
  </si>
  <si>
    <t xml:space="preserve">2014-06-15</t>
  </si>
  <si>
    <t xml:space="preserve">2014-06-16</t>
  </si>
  <si>
    <t xml:space="preserve">2014-06-17</t>
  </si>
  <si>
    <t xml:space="preserve">2014-06-18</t>
  </si>
  <si>
    <t xml:space="preserve">2014-06-19</t>
  </si>
  <si>
    <t xml:space="preserve">2014-06-20</t>
  </si>
  <si>
    <t xml:space="preserve">2014-06-21</t>
  </si>
  <si>
    <t xml:space="preserve">2014-06-22</t>
  </si>
  <si>
    <t xml:space="preserve">2014-06-23</t>
  </si>
  <si>
    <t xml:space="preserve">2014-06-24</t>
  </si>
  <si>
    <t xml:space="preserve">2014-06-25</t>
  </si>
  <si>
    <t xml:space="preserve">2014-06-26</t>
  </si>
  <si>
    <t xml:space="preserve">2014-06-27</t>
  </si>
  <si>
    <t xml:space="preserve">2014-06-28</t>
  </si>
  <si>
    <t xml:space="preserve">2014-06-29</t>
  </si>
  <si>
    <t xml:space="preserve">2014-06-30</t>
  </si>
  <si>
    <t xml:space="preserve">2014-07-01</t>
  </si>
  <si>
    <t xml:space="preserve">2014-07-02</t>
  </si>
  <si>
    <t xml:space="preserve">2014-07-03</t>
  </si>
  <si>
    <t xml:space="preserve">2014-07-04</t>
  </si>
  <si>
    <t xml:space="preserve">2014-07-05</t>
  </si>
  <si>
    <t xml:space="preserve">2014-07-06</t>
  </si>
  <si>
    <t xml:space="preserve">2014-07-07</t>
  </si>
  <si>
    <t xml:space="preserve">2014-07-08</t>
  </si>
  <si>
    <t xml:space="preserve">2014-07-09</t>
  </si>
  <si>
    <t xml:space="preserve">2014-07-10</t>
  </si>
  <si>
    <t xml:space="preserve">2014-07-11</t>
  </si>
  <si>
    <t xml:space="preserve">2014-07-12</t>
  </si>
  <si>
    <t xml:space="preserve">2014-07-13</t>
  </si>
  <si>
    <t xml:space="preserve">2014-07-14</t>
  </si>
  <si>
    <t xml:space="preserve">2014-07-15</t>
  </si>
  <si>
    <t xml:space="preserve">2014-07-16</t>
  </si>
  <si>
    <t xml:space="preserve">2014-07-17</t>
  </si>
  <si>
    <t xml:space="preserve">2014-07-18</t>
  </si>
  <si>
    <t xml:space="preserve">2014-07-19</t>
  </si>
  <si>
    <t xml:space="preserve">2014-07-20</t>
  </si>
  <si>
    <t xml:space="preserve">2014-07-21</t>
  </si>
  <si>
    <t xml:space="preserve">2014-07-22</t>
  </si>
  <si>
    <t xml:space="preserve">2014-07-23</t>
  </si>
  <si>
    <t xml:space="preserve">2014-07-24</t>
  </si>
  <si>
    <t xml:space="preserve">2014-07-25</t>
  </si>
  <si>
    <t xml:space="preserve">2014-07-26</t>
  </si>
  <si>
    <t xml:space="preserve">2014-07-27</t>
  </si>
  <si>
    <t xml:space="preserve">2014-07-28</t>
  </si>
  <si>
    <t xml:space="preserve">2014-07-29</t>
  </si>
  <si>
    <t xml:space="preserve">2014-07-30</t>
  </si>
  <si>
    <t xml:space="preserve">2014-07-31</t>
  </si>
  <si>
    <t xml:space="preserve">2014-08-01</t>
  </si>
  <si>
    <t xml:space="preserve">2014-08-02</t>
  </si>
  <si>
    <t xml:space="preserve">2014-08-03</t>
  </si>
  <si>
    <t xml:space="preserve">2014-08-04</t>
  </si>
  <si>
    <t xml:space="preserve">2014-08-05</t>
  </si>
  <si>
    <t xml:space="preserve">2014-08-06</t>
  </si>
  <si>
    <t xml:space="preserve">2014-08-07</t>
  </si>
  <si>
    <t xml:space="preserve">2014-08-08</t>
  </si>
  <si>
    <t xml:space="preserve">2014-08-09</t>
  </si>
  <si>
    <t xml:space="preserve">2014-08-10</t>
  </si>
  <si>
    <t xml:space="preserve">2014-08-11</t>
  </si>
  <si>
    <t xml:space="preserve">2014-08-12</t>
  </si>
  <si>
    <t xml:space="preserve">2014-08-13</t>
  </si>
  <si>
    <t xml:space="preserve">2014-08-14</t>
  </si>
  <si>
    <t xml:space="preserve">2014-08-15</t>
  </si>
  <si>
    <t xml:space="preserve">2014-08-16</t>
  </si>
  <si>
    <t xml:space="preserve">2014-08-17</t>
  </si>
  <si>
    <t xml:space="preserve">2014-08-18</t>
  </si>
  <si>
    <t xml:space="preserve">2014-08-19</t>
  </si>
  <si>
    <t xml:space="preserve">2014-08-20</t>
  </si>
  <si>
    <t xml:space="preserve">2014-08-21</t>
  </si>
  <si>
    <t xml:space="preserve">2014-08-22</t>
  </si>
  <si>
    <t xml:space="preserve">2014-08-23</t>
  </si>
  <si>
    <t xml:space="preserve">2014-08-24</t>
  </si>
  <si>
    <t xml:space="preserve">2014-08-25</t>
  </si>
  <si>
    <t xml:space="preserve">2014-08-26</t>
  </si>
  <si>
    <t xml:space="preserve">2014-08-27</t>
  </si>
  <si>
    <t xml:space="preserve">2014-08-28</t>
  </si>
  <si>
    <t xml:space="preserve">2014-08-29</t>
  </si>
  <si>
    <t xml:space="preserve">2014-08-30</t>
  </si>
  <si>
    <t xml:space="preserve">2014-08-31</t>
  </si>
  <si>
    <t xml:space="preserve">2014-09-01</t>
  </si>
  <si>
    <t xml:space="preserve">2014-09-02</t>
  </si>
  <si>
    <t xml:space="preserve">2014-09-03</t>
  </si>
  <si>
    <t xml:space="preserve">2014-09-04</t>
  </si>
  <si>
    <t xml:space="preserve">2014-09-05</t>
  </si>
  <si>
    <t xml:space="preserve">2014-09-06</t>
  </si>
  <si>
    <t xml:space="preserve">2014-09-07</t>
  </si>
  <si>
    <t xml:space="preserve">2014-09-08</t>
  </si>
  <si>
    <t xml:space="preserve">2014-09-09</t>
  </si>
  <si>
    <t xml:space="preserve">2014-09-10</t>
  </si>
  <si>
    <t xml:space="preserve">2014-09-11</t>
  </si>
  <si>
    <t xml:space="preserve">2014-09-12</t>
  </si>
  <si>
    <t xml:space="preserve">2014-09-13</t>
  </si>
  <si>
    <t xml:space="preserve">2014-09-14</t>
  </si>
  <si>
    <t xml:space="preserve">2014-09-15</t>
  </si>
  <si>
    <t xml:space="preserve">2014-09-16</t>
  </si>
  <si>
    <t xml:space="preserve">2014-09-17</t>
  </si>
  <si>
    <t xml:space="preserve">2014-09-18</t>
  </si>
  <si>
    <t xml:space="preserve">2014-09-19</t>
  </si>
  <si>
    <t xml:space="preserve">2014-09-20</t>
  </si>
  <si>
    <t xml:space="preserve">2014-09-21</t>
  </si>
  <si>
    <t xml:space="preserve">2014-09-22</t>
  </si>
  <si>
    <t xml:space="preserve">2014-09-23</t>
  </si>
  <si>
    <t xml:space="preserve">2014-09-24</t>
  </si>
  <si>
    <t xml:space="preserve">2014-09-25</t>
  </si>
  <si>
    <t xml:space="preserve">2014-09-26</t>
  </si>
  <si>
    <t xml:space="preserve">2014-09-27</t>
  </si>
  <si>
    <t xml:space="preserve">2014-09-28</t>
  </si>
  <si>
    <t xml:space="preserve">2014-09-29</t>
  </si>
  <si>
    <t xml:space="preserve">2014-09-30</t>
  </si>
  <si>
    <t xml:space="preserve">2014-10-01</t>
  </si>
  <si>
    <t xml:space="preserve">2014-10-02</t>
  </si>
  <si>
    <t xml:space="preserve">2014-10-03</t>
  </si>
  <si>
    <t xml:space="preserve">2014-10-04</t>
  </si>
  <si>
    <t xml:space="preserve">2014-10-05</t>
  </si>
  <si>
    <t xml:space="preserve">2014-10-06</t>
  </si>
  <si>
    <t xml:space="preserve">2014-10-07</t>
  </si>
  <si>
    <t xml:space="preserve">2014-10-08</t>
  </si>
  <si>
    <t xml:space="preserve">2014-10-09</t>
  </si>
  <si>
    <t xml:space="preserve">2014-10-10</t>
  </si>
  <si>
    <t xml:space="preserve">2014-10-11</t>
  </si>
  <si>
    <t xml:space="preserve">2014-10-12</t>
  </si>
  <si>
    <t xml:space="preserve">2014-10-13</t>
  </si>
  <si>
    <t xml:space="preserve">2014-10-14</t>
  </si>
  <si>
    <t xml:space="preserve">2014-10-15</t>
  </si>
  <si>
    <t xml:space="preserve">2014-10-16</t>
  </si>
  <si>
    <t xml:space="preserve">2014-10-17</t>
  </si>
  <si>
    <t xml:space="preserve">2014-10-18</t>
  </si>
  <si>
    <t xml:space="preserve">2014-10-19</t>
  </si>
  <si>
    <t xml:space="preserve">2014-10-20</t>
  </si>
  <si>
    <t xml:space="preserve">2014-10-21</t>
  </si>
  <si>
    <t xml:space="preserve">2014-10-22</t>
  </si>
  <si>
    <t xml:space="preserve">2014-10-23</t>
  </si>
  <si>
    <t xml:space="preserve">2014-10-24</t>
  </si>
  <si>
    <t xml:space="preserve">2014-10-25</t>
  </si>
  <si>
    <t xml:space="preserve">2014-10-26</t>
  </si>
  <si>
    <t xml:space="preserve">2014-10-27</t>
  </si>
  <si>
    <t xml:space="preserve">2014-10-28</t>
  </si>
  <si>
    <t xml:space="preserve">2014-10-29</t>
  </si>
  <si>
    <t xml:space="preserve">2014-10-30</t>
  </si>
  <si>
    <t xml:space="preserve">2014-10-31</t>
  </si>
  <si>
    <t xml:space="preserve">2014-11-01</t>
  </si>
  <si>
    <t xml:space="preserve">2014-11-02</t>
  </si>
  <si>
    <t xml:space="preserve">2014-11-03</t>
  </si>
  <si>
    <t xml:space="preserve">2014-11-04</t>
  </si>
  <si>
    <t xml:space="preserve">2014-11-05</t>
  </si>
  <si>
    <t xml:space="preserve">2014-11-06</t>
  </si>
  <si>
    <t xml:space="preserve">2014-11-07</t>
  </si>
  <si>
    <t xml:space="preserve">2014-11-08</t>
  </si>
  <si>
    <t xml:space="preserve">2014-11-09</t>
  </si>
  <si>
    <t xml:space="preserve">2014-11-10</t>
  </si>
  <si>
    <t xml:space="preserve">2014-11-11</t>
  </si>
  <si>
    <t xml:space="preserve">2014-11-12</t>
  </si>
  <si>
    <t xml:space="preserve">2014-11-13</t>
  </si>
  <si>
    <t xml:space="preserve">2014-11-14</t>
  </si>
  <si>
    <t xml:space="preserve">2014-11-15</t>
  </si>
  <si>
    <t xml:space="preserve">2014-11-16</t>
  </si>
  <si>
    <t xml:space="preserve">2014-11-17</t>
  </si>
  <si>
    <t xml:space="preserve">2014-11-18</t>
  </si>
  <si>
    <t xml:space="preserve">2014-11-19</t>
  </si>
  <si>
    <t xml:space="preserve">2014-11-20</t>
  </si>
  <si>
    <t xml:space="preserve">2014-11-21</t>
  </si>
  <si>
    <t xml:space="preserve">2014-11-22</t>
  </si>
  <si>
    <t xml:space="preserve">2014-11-23</t>
  </si>
  <si>
    <t xml:space="preserve">2014-11-24</t>
  </si>
  <si>
    <t xml:space="preserve">2014-11-25</t>
  </si>
  <si>
    <t xml:space="preserve">2014-11-26</t>
  </si>
  <si>
    <t xml:space="preserve">2014-11-27</t>
  </si>
  <si>
    <t xml:space="preserve">2014-11-28</t>
  </si>
  <si>
    <t xml:space="preserve">2014-11-29</t>
  </si>
  <si>
    <t xml:space="preserve">2014-11-30</t>
  </si>
  <si>
    <t xml:space="preserve">2014-12-01</t>
  </si>
  <si>
    <t xml:space="preserve">2014-12-02</t>
  </si>
  <si>
    <t xml:space="preserve">2014-12-03</t>
  </si>
  <si>
    <t xml:space="preserve">2014-12-04</t>
  </si>
  <si>
    <t xml:space="preserve">2014-12-05</t>
  </si>
  <si>
    <t xml:space="preserve">2014-12-06</t>
  </si>
  <si>
    <t xml:space="preserve">2014-12-07</t>
  </si>
  <si>
    <t xml:space="preserve">2014-12-08</t>
  </si>
  <si>
    <t xml:space="preserve">2014-12-09</t>
  </si>
  <si>
    <t xml:space="preserve">2014-12-10</t>
  </si>
  <si>
    <t xml:space="preserve">2014-12-11</t>
  </si>
  <si>
    <t xml:space="preserve">2014-12-12</t>
  </si>
  <si>
    <t xml:space="preserve">2014-12-13</t>
  </si>
  <si>
    <t xml:space="preserve">2014-12-14</t>
  </si>
  <si>
    <t xml:space="preserve">2014-12-15</t>
  </si>
  <si>
    <t xml:space="preserve">2014-12-16</t>
  </si>
  <si>
    <t xml:space="preserve">2014-12-17</t>
  </si>
  <si>
    <t xml:space="preserve">2014-12-18</t>
  </si>
  <si>
    <t xml:space="preserve">2014-12-19</t>
  </si>
  <si>
    <t xml:space="preserve">2014-12-20</t>
  </si>
  <si>
    <t xml:space="preserve">2014-12-21</t>
  </si>
  <si>
    <t xml:space="preserve">2014-12-22</t>
  </si>
  <si>
    <t xml:space="preserve">2014-12-23</t>
  </si>
  <si>
    <t xml:space="preserve">2014-12-24</t>
  </si>
  <si>
    <t xml:space="preserve">2014-12-25</t>
  </si>
  <si>
    <t xml:space="preserve">2014-12-26</t>
  </si>
  <si>
    <t xml:space="preserve">2014-12-27</t>
  </si>
  <si>
    <t xml:space="preserve">2014-12-28</t>
  </si>
  <si>
    <t xml:space="preserve">2014-12-29</t>
  </si>
  <si>
    <t xml:space="preserve">2014-12-30</t>
  </si>
  <si>
    <t xml:space="preserve">2014-12-31</t>
  </si>
  <si>
    <t xml:space="preserve">2015-01-01</t>
  </si>
  <si>
    <t xml:space="preserve">2015-01-02</t>
  </si>
  <si>
    <t xml:space="preserve">2015-01-03</t>
  </si>
  <si>
    <t xml:space="preserve">2015-01-04</t>
  </si>
  <si>
    <t xml:space="preserve">2015-01-05</t>
  </si>
  <si>
    <t xml:space="preserve">2015-01-06</t>
  </si>
  <si>
    <t xml:space="preserve">2015-01-07</t>
  </si>
  <si>
    <t xml:space="preserve">2015-01-08</t>
  </si>
  <si>
    <t xml:space="preserve">2015-01-09</t>
  </si>
  <si>
    <t xml:space="preserve">2015-01-10</t>
  </si>
  <si>
    <t xml:space="preserve">2015-01-11</t>
  </si>
  <si>
    <t xml:space="preserve">2015-01-12</t>
  </si>
  <si>
    <t xml:space="preserve">2015-01-13</t>
  </si>
  <si>
    <t xml:space="preserve">2015-01-14</t>
  </si>
  <si>
    <t xml:space="preserve">2015-01-15</t>
  </si>
  <si>
    <t xml:space="preserve">2015-01-16</t>
  </si>
  <si>
    <t xml:space="preserve">2015-01-17</t>
  </si>
  <si>
    <t xml:space="preserve">2015-01-18</t>
  </si>
  <si>
    <t xml:space="preserve">2015-01-19</t>
  </si>
  <si>
    <t xml:space="preserve">2015-01-20</t>
  </si>
  <si>
    <t xml:space="preserve">2015-01-21</t>
  </si>
  <si>
    <t xml:space="preserve">2015-01-22</t>
  </si>
  <si>
    <t xml:space="preserve">2015-01-23</t>
  </si>
  <si>
    <t xml:space="preserve">2015-01-24</t>
  </si>
  <si>
    <t xml:space="preserve">2015-01-25</t>
  </si>
  <si>
    <t xml:space="preserve">2015-01-26</t>
  </si>
  <si>
    <t xml:space="preserve">2015-01-27</t>
  </si>
  <si>
    <t xml:space="preserve">2015-01-28</t>
  </si>
  <si>
    <t xml:space="preserve">2015-01-29</t>
  </si>
  <si>
    <t xml:space="preserve">2015-01-30</t>
  </si>
  <si>
    <t xml:space="preserve">2015-01-31</t>
  </si>
  <si>
    <t xml:space="preserve">2015-02-01</t>
  </si>
  <si>
    <t xml:space="preserve">2015-02-02</t>
  </si>
  <si>
    <t xml:space="preserve">2015-02-03</t>
  </si>
  <si>
    <t xml:space="preserve">2015-02-04</t>
  </si>
  <si>
    <t xml:space="preserve">2015-02-05</t>
  </si>
  <si>
    <t xml:space="preserve">2015-02-06</t>
  </si>
  <si>
    <t xml:space="preserve">2015-02-07</t>
  </si>
  <si>
    <t xml:space="preserve">2015-02-08</t>
  </si>
  <si>
    <t xml:space="preserve">2015-02-09</t>
  </si>
  <si>
    <t xml:space="preserve">2015-02-10</t>
  </si>
  <si>
    <t xml:space="preserve">2015-02-11</t>
  </si>
  <si>
    <t xml:space="preserve">2015-02-12</t>
  </si>
  <si>
    <t xml:space="preserve">2015-02-13</t>
  </si>
  <si>
    <t xml:space="preserve">2015-02-14</t>
  </si>
  <si>
    <t xml:space="preserve">2015-02-15</t>
  </si>
  <si>
    <t xml:space="preserve">2015-02-16</t>
  </si>
  <si>
    <t xml:space="preserve">2015-02-17</t>
  </si>
  <si>
    <t xml:space="preserve">2015-02-18</t>
  </si>
  <si>
    <t xml:space="preserve">2015-02-19</t>
  </si>
  <si>
    <t xml:space="preserve">2015-02-20</t>
  </si>
  <si>
    <t xml:space="preserve">2015-02-21</t>
  </si>
  <si>
    <t xml:space="preserve">2015-02-22</t>
  </si>
  <si>
    <t xml:space="preserve">2015-02-23</t>
  </si>
  <si>
    <t xml:space="preserve">2015-02-24</t>
  </si>
  <si>
    <t xml:space="preserve">2015-02-25</t>
  </si>
  <si>
    <t xml:space="preserve">2015-02-26</t>
  </si>
  <si>
    <t xml:space="preserve">2015-02-27</t>
  </si>
  <si>
    <t xml:space="preserve">2015-02-28</t>
  </si>
  <si>
    <t xml:space="preserve">2015-03-01</t>
  </si>
  <si>
    <t xml:space="preserve">2015-03-02</t>
  </si>
  <si>
    <t xml:space="preserve">2015-03-03</t>
  </si>
  <si>
    <t xml:space="preserve">2015-03-04</t>
  </si>
  <si>
    <t xml:space="preserve">2015-03-05</t>
  </si>
  <si>
    <t xml:space="preserve">2015-03-06</t>
  </si>
  <si>
    <t xml:space="preserve">2015-03-07</t>
  </si>
  <si>
    <t xml:space="preserve">2015-03-08</t>
  </si>
  <si>
    <t xml:space="preserve">2015-03-09</t>
  </si>
  <si>
    <t xml:space="preserve">2015-03-10</t>
  </si>
  <si>
    <t xml:space="preserve">2015-03-11</t>
  </si>
  <si>
    <t xml:space="preserve">2015-03-12</t>
  </si>
  <si>
    <t xml:space="preserve">2015-03-13</t>
  </si>
  <si>
    <t xml:space="preserve">2015-03-14</t>
  </si>
  <si>
    <t xml:space="preserve">2015-03-15</t>
  </si>
  <si>
    <t xml:space="preserve">2015-03-16</t>
  </si>
  <si>
    <t xml:space="preserve">2015-03-17</t>
  </si>
  <si>
    <t xml:space="preserve">2015-03-18</t>
  </si>
  <si>
    <t xml:space="preserve">2015-03-19</t>
  </si>
  <si>
    <t xml:space="preserve">2015-03-20</t>
  </si>
  <si>
    <t xml:space="preserve">2015-03-21</t>
  </si>
  <si>
    <t xml:space="preserve">2015-03-22</t>
  </si>
  <si>
    <t xml:space="preserve">2015-03-23</t>
  </si>
  <si>
    <t xml:space="preserve">2015-03-24</t>
  </si>
  <si>
    <t xml:space="preserve">2015-03-25</t>
  </si>
  <si>
    <t xml:space="preserve">2015-03-26</t>
  </si>
  <si>
    <t xml:space="preserve">2015-03-27</t>
  </si>
  <si>
    <t xml:space="preserve">2015-03-28</t>
  </si>
  <si>
    <t xml:space="preserve">2015-03-29</t>
  </si>
  <si>
    <t xml:space="preserve">2015-03-30</t>
  </si>
  <si>
    <t xml:space="preserve">2015-03-31</t>
  </si>
  <si>
    <t xml:space="preserve">2015-04-01</t>
  </si>
  <si>
    <t xml:space="preserve">2015-04-02</t>
  </si>
  <si>
    <t xml:space="preserve">2015-04-03</t>
  </si>
  <si>
    <t xml:space="preserve">2015-04-04</t>
  </si>
  <si>
    <t xml:space="preserve">2015-04-05</t>
  </si>
  <si>
    <t xml:space="preserve">2015-04-06</t>
  </si>
  <si>
    <t xml:space="preserve">2015-04-07</t>
  </si>
  <si>
    <t xml:space="preserve">2015-04-08</t>
  </si>
  <si>
    <t xml:space="preserve">2015-04-09</t>
  </si>
  <si>
    <t xml:space="preserve">2015-04-10</t>
  </si>
  <si>
    <t xml:space="preserve">2015-04-11</t>
  </si>
  <si>
    <t xml:space="preserve">2015-04-12</t>
  </si>
  <si>
    <t xml:space="preserve">2015-04-13</t>
  </si>
  <si>
    <t xml:space="preserve">2015-04-14</t>
  </si>
  <si>
    <t xml:space="preserve">2015-04-15</t>
  </si>
  <si>
    <t xml:space="preserve">2015-04-16</t>
  </si>
  <si>
    <t xml:space="preserve">2015-04-17</t>
  </si>
  <si>
    <t xml:space="preserve">2015-04-18</t>
  </si>
  <si>
    <t xml:space="preserve">2015-04-19</t>
  </si>
  <si>
    <t xml:space="preserve">2015-04-20</t>
  </si>
  <si>
    <t xml:space="preserve">2015-04-21</t>
  </si>
  <si>
    <t xml:space="preserve">2015-04-22</t>
  </si>
  <si>
    <t xml:space="preserve">2015-04-23</t>
  </si>
  <si>
    <t xml:space="preserve">2015-04-24</t>
  </si>
  <si>
    <t xml:space="preserve">2015-04-25</t>
  </si>
  <si>
    <t xml:space="preserve">2015-04-26</t>
  </si>
  <si>
    <t xml:space="preserve">2015-04-27</t>
  </si>
  <si>
    <t xml:space="preserve">2015-04-28</t>
  </si>
  <si>
    <t xml:space="preserve">2015-04-29</t>
  </si>
  <si>
    <t xml:space="preserve">2015-04-30</t>
  </si>
  <si>
    <t xml:space="preserve">2015-05-01</t>
  </si>
  <si>
    <t xml:space="preserve">2015-05-02</t>
  </si>
  <si>
    <t xml:space="preserve">2015-05-03</t>
  </si>
  <si>
    <t xml:space="preserve">2015-05-04</t>
  </si>
  <si>
    <t xml:space="preserve">2015-05-05</t>
  </si>
  <si>
    <t xml:space="preserve">2015-05-06</t>
  </si>
  <si>
    <t xml:space="preserve">2015-05-07</t>
  </si>
  <si>
    <t xml:space="preserve">2015-05-08</t>
  </si>
  <si>
    <t xml:space="preserve">2015-05-09</t>
  </si>
  <si>
    <t xml:space="preserve">2015-05-10</t>
  </si>
  <si>
    <t xml:space="preserve">2015-05-11</t>
  </si>
  <si>
    <t xml:space="preserve">2015-05-12</t>
  </si>
  <si>
    <t xml:space="preserve">2015-05-13</t>
  </si>
  <si>
    <t xml:space="preserve">2015-05-14</t>
  </si>
  <si>
    <t xml:space="preserve">2015-05-15</t>
  </si>
  <si>
    <t xml:space="preserve">2015-05-16</t>
  </si>
  <si>
    <t xml:space="preserve">2015-05-17</t>
  </si>
  <si>
    <t xml:space="preserve">2015-05-18</t>
  </si>
  <si>
    <t xml:space="preserve">2015-05-19</t>
  </si>
  <si>
    <t xml:space="preserve">2015-05-20</t>
  </si>
  <si>
    <t xml:space="preserve">2015-05-21</t>
  </si>
  <si>
    <t xml:space="preserve">2015-05-22</t>
  </si>
  <si>
    <t xml:space="preserve">2015-05-23</t>
  </si>
  <si>
    <t xml:space="preserve">2015-05-24</t>
  </si>
  <si>
    <t xml:space="preserve">2015-05-25</t>
  </si>
  <si>
    <t xml:space="preserve">2015-05-26</t>
  </si>
  <si>
    <t xml:space="preserve">2015-05-27</t>
  </si>
  <si>
    <t xml:space="preserve">2015-05-28</t>
  </si>
  <si>
    <t xml:space="preserve">2015-05-29</t>
  </si>
  <si>
    <t xml:space="preserve">2015-05-30</t>
  </si>
  <si>
    <t xml:space="preserve">2015-05-31</t>
  </si>
  <si>
    <t xml:space="preserve">2015-06-01</t>
  </si>
  <si>
    <t xml:space="preserve">2015-06-02</t>
  </si>
  <si>
    <t xml:space="preserve">2015-06-03</t>
  </si>
  <si>
    <t xml:space="preserve">2015-06-04</t>
  </si>
  <si>
    <t xml:space="preserve">2015-06-05</t>
  </si>
  <si>
    <t xml:space="preserve">2015-06-06</t>
  </si>
  <si>
    <t xml:space="preserve">2015-06-07</t>
  </si>
  <si>
    <t xml:space="preserve">2015-06-08</t>
  </si>
  <si>
    <t xml:space="preserve">2015-06-09</t>
  </si>
  <si>
    <t xml:space="preserve">2015-06-10</t>
  </si>
  <si>
    <t xml:space="preserve">2015-06-11</t>
  </si>
  <si>
    <t xml:space="preserve">2015-06-12</t>
  </si>
  <si>
    <t xml:space="preserve">2015-06-13</t>
  </si>
  <si>
    <t xml:space="preserve">2015-06-14</t>
  </si>
  <si>
    <t xml:space="preserve">2015-06-15</t>
  </si>
  <si>
    <t xml:space="preserve">2015-06-16</t>
  </si>
  <si>
    <t xml:space="preserve">2015-06-17</t>
  </si>
  <si>
    <t xml:space="preserve">2015-06-18</t>
  </si>
  <si>
    <t xml:space="preserve">2015-06-19</t>
  </si>
  <si>
    <t xml:space="preserve">2015-06-20</t>
  </si>
  <si>
    <t xml:space="preserve">2015-06-21</t>
  </si>
  <si>
    <t xml:space="preserve">2015-06-22</t>
  </si>
  <si>
    <t xml:space="preserve">2015-06-23</t>
  </si>
  <si>
    <t xml:space="preserve">2015-06-24</t>
  </si>
  <si>
    <t xml:space="preserve">2015-06-25</t>
  </si>
  <si>
    <t xml:space="preserve">2015-06-26</t>
  </si>
  <si>
    <t xml:space="preserve">2015-06-27</t>
  </si>
  <si>
    <t xml:space="preserve">2015-06-28</t>
  </si>
  <si>
    <t xml:space="preserve">2015-06-29</t>
  </si>
  <si>
    <t xml:space="preserve">2015-06-30</t>
  </si>
  <si>
    <t xml:space="preserve">2015-07-01</t>
  </si>
  <si>
    <t xml:space="preserve">2015-07-02</t>
  </si>
  <si>
    <t xml:space="preserve">2015-07-03</t>
  </si>
  <si>
    <t xml:space="preserve">2015-07-04</t>
  </si>
  <si>
    <t xml:space="preserve">2015-07-05</t>
  </si>
  <si>
    <t xml:space="preserve">2015-07-06</t>
  </si>
  <si>
    <t xml:space="preserve">2015-07-07</t>
  </si>
  <si>
    <t xml:space="preserve">2015-07-08</t>
  </si>
  <si>
    <t xml:space="preserve">2015-07-09</t>
  </si>
  <si>
    <t xml:space="preserve">2015-07-10</t>
  </si>
  <si>
    <t xml:space="preserve">2015-07-11</t>
  </si>
  <si>
    <t xml:space="preserve">2015-07-12</t>
  </si>
  <si>
    <t xml:space="preserve">2015-07-13</t>
  </si>
  <si>
    <t xml:space="preserve">2015-07-14</t>
  </si>
  <si>
    <t xml:space="preserve">2015-07-15</t>
  </si>
  <si>
    <t xml:space="preserve">2015-07-16</t>
  </si>
  <si>
    <t xml:space="preserve">2015-07-17</t>
  </si>
  <si>
    <t xml:space="preserve">2015-07-18</t>
  </si>
  <si>
    <t xml:space="preserve">2015-07-19</t>
  </si>
  <si>
    <t xml:space="preserve">2015-07-20</t>
  </si>
  <si>
    <t xml:space="preserve">2015-07-21</t>
  </si>
  <si>
    <t xml:space="preserve">2015-07-22</t>
  </si>
  <si>
    <t xml:space="preserve">2015-07-23</t>
  </si>
  <si>
    <t xml:space="preserve">2015-07-24</t>
  </si>
  <si>
    <t xml:space="preserve">2015-07-25</t>
  </si>
  <si>
    <t xml:space="preserve">2015-07-26</t>
  </si>
  <si>
    <t xml:space="preserve">2015-07-27</t>
  </si>
  <si>
    <t xml:space="preserve">2015-07-28</t>
  </si>
  <si>
    <t xml:space="preserve">2015-07-29</t>
  </si>
  <si>
    <t xml:space="preserve">2015-07-30</t>
  </si>
  <si>
    <t xml:space="preserve">2015-07-31</t>
  </si>
  <si>
    <t xml:space="preserve">2015-08-01</t>
  </si>
  <si>
    <t xml:space="preserve">2015-08-02</t>
  </si>
  <si>
    <t xml:space="preserve">2015-08-03</t>
  </si>
  <si>
    <t xml:space="preserve">2015-08-04</t>
  </si>
  <si>
    <t xml:space="preserve">2015-08-05</t>
  </si>
  <si>
    <t xml:space="preserve">2015-08-06</t>
  </si>
  <si>
    <t xml:space="preserve">2015-08-07</t>
  </si>
  <si>
    <t xml:space="preserve">2015-08-08</t>
  </si>
  <si>
    <t xml:space="preserve">2015-08-09</t>
  </si>
  <si>
    <t xml:space="preserve">2015-08-10</t>
  </si>
  <si>
    <t xml:space="preserve">2015-08-11</t>
  </si>
  <si>
    <t xml:space="preserve">2015-08-12</t>
  </si>
  <si>
    <t xml:space="preserve">2015-08-13</t>
  </si>
  <si>
    <t xml:space="preserve">2015-08-14</t>
  </si>
  <si>
    <t xml:space="preserve">2015-08-15</t>
  </si>
  <si>
    <t xml:space="preserve">2015-08-16</t>
  </si>
  <si>
    <t xml:space="preserve">2015-08-17</t>
  </si>
  <si>
    <t xml:space="preserve">2015-08-18</t>
  </si>
  <si>
    <t xml:space="preserve">2015-08-19</t>
  </si>
  <si>
    <t xml:space="preserve">2015-08-20</t>
  </si>
  <si>
    <t xml:space="preserve">2015-08-21</t>
  </si>
  <si>
    <t xml:space="preserve">2015-08-22</t>
  </si>
  <si>
    <t xml:space="preserve">2015-08-23</t>
  </si>
  <si>
    <t xml:space="preserve">2015-08-24</t>
  </si>
  <si>
    <t xml:space="preserve">2015-08-25</t>
  </si>
  <si>
    <t xml:space="preserve">2015-08-26</t>
  </si>
  <si>
    <t xml:space="preserve">2015-08-27</t>
  </si>
  <si>
    <t xml:space="preserve">2015-08-28</t>
  </si>
  <si>
    <t xml:space="preserve">2015-08-29</t>
  </si>
  <si>
    <t xml:space="preserve">2015-08-30</t>
  </si>
  <si>
    <t xml:space="preserve">2015-08-31</t>
  </si>
  <si>
    <t xml:space="preserve">2015-09-01</t>
  </si>
  <si>
    <t xml:space="preserve">2015-09-02</t>
  </si>
  <si>
    <t xml:space="preserve">2015-09-03</t>
  </si>
  <si>
    <t xml:space="preserve">2015-09-04</t>
  </si>
  <si>
    <t xml:space="preserve">2015-09-05</t>
  </si>
  <si>
    <t xml:space="preserve">2015-09-06</t>
  </si>
  <si>
    <t xml:space="preserve">2015-09-07</t>
  </si>
  <si>
    <t xml:space="preserve">2015-09-08</t>
  </si>
  <si>
    <t xml:space="preserve">2015-09-09</t>
  </si>
  <si>
    <t xml:space="preserve">2015-09-10</t>
  </si>
  <si>
    <t xml:space="preserve">2015-09-11</t>
  </si>
  <si>
    <t xml:space="preserve">2015-09-12</t>
  </si>
  <si>
    <t xml:space="preserve">2015-09-13</t>
  </si>
  <si>
    <t xml:space="preserve">2015-09-14</t>
  </si>
  <si>
    <t xml:space="preserve">2015-09-15</t>
  </si>
  <si>
    <t xml:space="preserve">2015-09-16</t>
  </si>
  <si>
    <t xml:space="preserve">2015-09-17</t>
  </si>
  <si>
    <t xml:space="preserve">2015-09-18</t>
  </si>
  <si>
    <t xml:space="preserve">2015-09-19</t>
  </si>
  <si>
    <t xml:space="preserve">2015-09-20</t>
  </si>
  <si>
    <t xml:space="preserve">2015-09-21</t>
  </si>
  <si>
    <t xml:space="preserve">2015-09-22</t>
  </si>
  <si>
    <t xml:space="preserve">2015-09-23</t>
  </si>
  <si>
    <t xml:space="preserve">2015-09-24</t>
  </si>
  <si>
    <t xml:space="preserve">2015-09-25</t>
  </si>
  <si>
    <t xml:space="preserve">2015-09-26</t>
  </si>
  <si>
    <t xml:space="preserve">2015-09-27</t>
  </si>
  <si>
    <t xml:space="preserve">2015-09-28</t>
  </si>
  <si>
    <t xml:space="preserve">2015-09-29</t>
  </si>
  <si>
    <t xml:space="preserve">2015-09-30</t>
  </si>
  <si>
    <t xml:space="preserve">2015-10-01</t>
  </si>
  <si>
    <t xml:space="preserve">2015-10-02</t>
  </si>
  <si>
    <t xml:space="preserve">2015-10-03</t>
  </si>
  <si>
    <t xml:space="preserve">2015-10-04</t>
  </si>
  <si>
    <t xml:space="preserve">2015-10-05</t>
  </si>
  <si>
    <t xml:space="preserve">2015-10-06</t>
  </si>
  <si>
    <t xml:space="preserve">2015-10-07</t>
  </si>
  <si>
    <t xml:space="preserve">2015-10-08</t>
  </si>
  <si>
    <t xml:space="preserve">2015-10-09</t>
  </si>
  <si>
    <t xml:space="preserve">2015-10-10</t>
  </si>
  <si>
    <t xml:space="preserve">2015-10-11</t>
  </si>
  <si>
    <t xml:space="preserve">2015-10-12</t>
  </si>
  <si>
    <t xml:space="preserve">2015-10-13</t>
  </si>
  <si>
    <t xml:space="preserve">2015-10-14</t>
  </si>
  <si>
    <t xml:space="preserve">2015-10-15</t>
  </si>
  <si>
    <t xml:space="preserve">2015-10-16</t>
  </si>
  <si>
    <t xml:space="preserve">2015-10-17</t>
  </si>
  <si>
    <t xml:space="preserve">2015-10-18</t>
  </si>
  <si>
    <t xml:space="preserve">2015-10-19</t>
  </si>
  <si>
    <t xml:space="preserve">2015-10-20</t>
  </si>
  <si>
    <t xml:space="preserve">2015-10-21</t>
  </si>
  <si>
    <t xml:space="preserve">2015-10-22</t>
  </si>
  <si>
    <t xml:space="preserve">2015-10-23</t>
  </si>
  <si>
    <t xml:space="preserve">2015-10-24</t>
  </si>
  <si>
    <t xml:space="preserve">2015-10-25</t>
  </si>
  <si>
    <t xml:space="preserve">2015-10-26</t>
  </si>
  <si>
    <t xml:space="preserve">2015-10-27</t>
  </si>
  <si>
    <t xml:space="preserve">2015-10-28</t>
  </si>
  <si>
    <t xml:space="preserve">2015-10-29</t>
  </si>
  <si>
    <t xml:space="preserve">2015-10-30</t>
  </si>
  <si>
    <t xml:space="preserve">2015-10-31</t>
  </si>
  <si>
    <t xml:space="preserve">2015-11-01</t>
  </si>
  <si>
    <t xml:space="preserve">2015-11-02</t>
  </si>
  <si>
    <t xml:space="preserve">2015-11-03</t>
  </si>
  <si>
    <t xml:space="preserve">2015-11-04</t>
  </si>
  <si>
    <t xml:space="preserve">2015-11-05</t>
  </si>
  <si>
    <t xml:space="preserve">2015-11-06</t>
  </si>
  <si>
    <t xml:space="preserve">2015-11-07</t>
  </si>
  <si>
    <t xml:space="preserve">2015-11-08</t>
  </si>
  <si>
    <t xml:space="preserve">2015-11-09</t>
  </si>
  <si>
    <t xml:space="preserve">2015-11-10</t>
  </si>
  <si>
    <t xml:space="preserve">2015-11-11</t>
  </si>
  <si>
    <t xml:space="preserve">2015-11-12</t>
  </si>
  <si>
    <t xml:space="preserve">2015-11-13</t>
  </si>
  <si>
    <t xml:space="preserve">2015-11-14</t>
  </si>
  <si>
    <t xml:space="preserve">2015-11-15</t>
  </si>
  <si>
    <t xml:space="preserve">2015-11-16</t>
  </si>
  <si>
    <t xml:space="preserve">2015-11-17</t>
  </si>
  <si>
    <t xml:space="preserve">2015-11-18</t>
  </si>
  <si>
    <t xml:space="preserve">2015-11-19</t>
  </si>
  <si>
    <t xml:space="preserve">2015-11-20</t>
  </si>
  <si>
    <t xml:space="preserve">2015-11-21</t>
  </si>
  <si>
    <t xml:space="preserve">2015-11-22</t>
  </si>
  <si>
    <t xml:space="preserve">2015-11-23</t>
  </si>
  <si>
    <t xml:space="preserve">2015-11-24</t>
  </si>
  <si>
    <t xml:space="preserve">2015-11-25</t>
  </si>
  <si>
    <t xml:space="preserve">2015-11-26</t>
  </si>
  <si>
    <t xml:space="preserve">2015-11-27</t>
  </si>
  <si>
    <t xml:space="preserve">2015-11-28</t>
  </si>
  <si>
    <t xml:space="preserve">2015-11-29</t>
  </si>
  <si>
    <t xml:space="preserve">2015-11-30</t>
  </si>
  <si>
    <t xml:space="preserve">2015-12-01</t>
  </si>
  <si>
    <t xml:space="preserve">2015-12-02</t>
  </si>
  <si>
    <t xml:space="preserve">2015-12-03</t>
  </si>
  <si>
    <t xml:space="preserve">2015-12-04</t>
  </si>
  <si>
    <t xml:space="preserve">2015-12-05</t>
  </si>
  <si>
    <t xml:space="preserve">2015-12-06</t>
  </si>
  <si>
    <t xml:space="preserve">2015-12-07</t>
  </si>
  <si>
    <t xml:space="preserve">2015-12-08</t>
  </si>
  <si>
    <t xml:space="preserve">2015-12-09</t>
  </si>
  <si>
    <t xml:space="preserve">2015-12-10</t>
  </si>
  <si>
    <t xml:space="preserve">2015-12-11</t>
  </si>
  <si>
    <t xml:space="preserve">2015-12-12</t>
  </si>
  <si>
    <t xml:space="preserve">2015-12-13</t>
  </si>
  <si>
    <t xml:space="preserve">2015-12-14</t>
  </si>
  <si>
    <t xml:space="preserve">2015-12-15</t>
  </si>
  <si>
    <t xml:space="preserve">2015-12-16</t>
  </si>
  <si>
    <t xml:space="preserve">2015-12-17</t>
  </si>
  <si>
    <t xml:space="preserve">2015-12-18</t>
  </si>
  <si>
    <t xml:space="preserve">2015-12-19</t>
  </si>
  <si>
    <t xml:space="preserve">2015-12-20</t>
  </si>
  <si>
    <t xml:space="preserve">2015-12-21</t>
  </si>
  <si>
    <t xml:space="preserve">2015-12-22</t>
  </si>
  <si>
    <t xml:space="preserve">2015-12-23</t>
  </si>
  <si>
    <t xml:space="preserve">2015-12-24</t>
  </si>
  <si>
    <t xml:space="preserve">2015-12-25</t>
  </si>
  <si>
    <t xml:space="preserve">2015-12-26</t>
  </si>
  <si>
    <t xml:space="preserve">2015-12-27</t>
  </si>
  <si>
    <t xml:space="preserve">2015-12-28</t>
  </si>
  <si>
    <t xml:space="preserve">2015-12-29</t>
  </si>
  <si>
    <t xml:space="preserve">2015-12-30</t>
  </si>
  <si>
    <t xml:space="preserve">2015-12-31</t>
  </si>
  <si>
    <t xml:space="preserve">2016-01-01</t>
  </si>
  <si>
    <t xml:space="preserve">2016-01-02</t>
  </si>
  <si>
    <t xml:space="preserve">2016-01-03</t>
  </si>
  <si>
    <t xml:space="preserve">2016-01-04</t>
  </si>
  <si>
    <t xml:space="preserve">2016-01-05</t>
  </si>
  <si>
    <t xml:space="preserve">2016-01-06</t>
  </si>
  <si>
    <t xml:space="preserve">2016-01-07</t>
  </si>
  <si>
    <t xml:space="preserve">2016-01-08</t>
  </si>
  <si>
    <t xml:space="preserve">2016-01-09</t>
  </si>
  <si>
    <t xml:space="preserve">2016-01-10</t>
  </si>
  <si>
    <t xml:space="preserve">2016-01-11</t>
  </si>
  <si>
    <t xml:space="preserve">2016-01-12</t>
  </si>
  <si>
    <t xml:space="preserve">2016-01-13</t>
  </si>
  <si>
    <t xml:space="preserve">2016-01-14</t>
  </si>
  <si>
    <t xml:space="preserve">2016-01-15</t>
  </si>
  <si>
    <t xml:space="preserve">2016-01-16</t>
  </si>
  <si>
    <t xml:space="preserve">2016-01-17</t>
  </si>
  <si>
    <t xml:space="preserve">2016-01-18</t>
  </si>
  <si>
    <t xml:space="preserve">2016-01-19</t>
  </si>
  <si>
    <t xml:space="preserve">2016-01-20</t>
  </si>
  <si>
    <t xml:space="preserve">2016-01-21</t>
  </si>
  <si>
    <t xml:space="preserve">2016-01-22</t>
  </si>
  <si>
    <t xml:space="preserve">2016-01-23</t>
  </si>
  <si>
    <t xml:space="preserve">2016-01-24</t>
  </si>
  <si>
    <t xml:space="preserve">2016-01-25</t>
  </si>
  <si>
    <t xml:space="preserve">2016-01-26</t>
  </si>
  <si>
    <t xml:space="preserve">2016-01-27</t>
  </si>
  <si>
    <t xml:space="preserve">2016-01-28</t>
  </si>
  <si>
    <t xml:space="preserve">2016-01-29</t>
  </si>
  <si>
    <t xml:space="preserve">2016-01-30</t>
  </si>
  <si>
    <t xml:space="preserve">2016-01-31</t>
  </si>
  <si>
    <t xml:space="preserve">2016-02-01</t>
  </si>
  <si>
    <t xml:space="preserve">2016-02-02</t>
  </si>
  <si>
    <t xml:space="preserve">2016-02-03</t>
  </si>
  <si>
    <t xml:space="preserve">2016-02-04</t>
  </si>
  <si>
    <t xml:space="preserve">2016-02-05</t>
  </si>
  <si>
    <t xml:space="preserve">2016-02-06</t>
  </si>
  <si>
    <t xml:space="preserve">2016-02-07</t>
  </si>
  <si>
    <t xml:space="preserve">2016-02-08</t>
  </si>
  <si>
    <t xml:space="preserve">2016-02-09</t>
  </si>
  <si>
    <t xml:space="preserve">2016-02-10</t>
  </si>
  <si>
    <t xml:space="preserve">2016-02-11</t>
  </si>
  <si>
    <t xml:space="preserve">2016-02-12</t>
  </si>
  <si>
    <t xml:space="preserve">2016-02-13</t>
  </si>
  <si>
    <t xml:space="preserve">2016-02-14</t>
  </si>
  <si>
    <t xml:space="preserve">2016-02-15</t>
  </si>
  <si>
    <t xml:space="preserve">2016-02-16</t>
  </si>
  <si>
    <t xml:space="preserve">2016-02-17</t>
  </si>
  <si>
    <t xml:space="preserve">2016-02-18</t>
  </si>
  <si>
    <t xml:space="preserve">2016-02-19</t>
  </si>
  <si>
    <t xml:space="preserve">2016-02-20</t>
  </si>
  <si>
    <t xml:space="preserve">2016-02-21</t>
  </si>
  <si>
    <t xml:space="preserve">2016-02-22</t>
  </si>
  <si>
    <t xml:space="preserve">2016-02-23</t>
  </si>
  <si>
    <t xml:space="preserve">2016-02-24</t>
  </si>
  <si>
    <t xml:space="preserve">2016-02-25</t>
  </si>
  <si>
    <t xml:space="preserve">2016-02-26</t>
  </si>
  <si>
    <t xml:space="preserve">2016-02-27</t>
  </si>
  <si>
    <t xml:space="preserve">2016-02-28</t>
  </si>
  <si>
    <t xml:space="preserve">2016-02-29</t>
  </si>
  <si>
    <t xml:space="preserve">2016-03-01</t>
  </si>
  <si>
    <t xml:space="preserve">2016-03-02</t>
  </si>
  <si>
    <t xml:space="preserve">2016-03-03</t>
  </si>
  <si>
    <t xml:space="preserve">2016-03-04</t>
  </si>
  <si>
    <t xml:space="preserve">2016-03-05</t>
  </si>
  <si>
    <t xml:space="preserve">2016-03-06</t>
  </si>
  <si>
    <t xml:space="preserve">2016-03-07</t>
  </si>
  <si>
    <t xml:space="preserve">2016-03-08</t>
  </si>
  <si>
    <t xml:space="preserve">2016-03-09</t>
  </si>
  <si>
    <t xml:space="preserve">2016-03-10</t>
  </si>
  <si>
    <t xml:space="preserve">2016-03-11</t>
  </si>
  <si>
    <t xml:space="preserve">2016-03-12</t>
  </si>
  <si>
    <t xml:space="preserve">2016-03-13</t>
  </si>
  <si>
    <t xml:space="preserve">2016-03-14</t>
  </si>
  <si>
    <t xml:space="preserve">2016-03-15</t>
  </si>
  <si>
    <t xml:space="preserve">2016-03-16</t>
  </si>
  <si>
    <t xml:space="preserve">2016-03-17</t>
  </si>
  <si>
    <t xml:space="preserve">2016-03-18</t>
  </si>
  <si>
    <t xml:space="preserve">2016-03-19</t>
  </si>
  <si>
    <t xml:space="preserve">2016-03-20</t>
  </si>
  <si>
    <t xml:space="preserve">2016-03-21</t>
  </si>
  <si>
    <t xml:space="preserve">2016-03-22</t>
  </si>
  <si>
    <t xml:space="preserve">2016-03-23</t>
  </si>
  <si>
    <t xml:space="preserve">2016-03-24</t>
  </si>
  <si>
    <t xml:space="preserve">2016-03-25</t>
  </si>
  <si>
    <t xml:space="preserve">2016-03-26</t>
  </si>
  <si>
    <t xml:space="preserve">2016-03-27</t>
  </si>
  <si>
    <t xml:space="preserve">2016-03-28</t>
  </si>
  <si>
    <t xml:space="preserve">2016-03-29</t>
  </si>
  <si>
    <t xml:space="preserve">2016-03-30</t>
  </si>
  <si>
    <t xml:space="preserve">2016-03-31</t>
  </si>
  <si>
    <t xml:space="preserve">2016-04-01</t>
  </si>
  <si>
    <t xml:space="preserve">2016-04-02</t>
  </si>
  <si>
    <t xml:space="preserve">2016-04-03</t>
  </si>
  <si>
    <t xml:space="preserve">2016-04-04</t>
  </si>
  <si>
    <t xml:space="preserve">2016-04-05</t>
  </si>
  <si>
    <t xml:space="preserve">2016-04-06</t>
  </si>
  <si>
    <t xml:space="preserve">2016-04-07</t>
  </si>
  <si>
    <t xml:space="preserve">2016-04-08</t>
  </si>
  <si>
    <t xml:space="preserve">2016-04-09</t>
  </si>
  <si>
    <t xml:space="preserve">2016-04-10</t>
  </si>
  <si>
    <t xml:space="preserve">2016-04-11</t>
  </si>
  <si>
    <t xml:space="preserve">2016-04-12</t>
  </si>
  <si>
    <t xml:space="preserve">2016-04-13</t>
  </si>
  <si>
    <t xml:space="preserve">2016-04-14</t>
  </si>
  <si>
    <t xml:space="preserve">2016-04-15</t>
  </si>
  <si>
    <t xml:space="preserve">2016-04-16</t>
  </si>
  <si>
    <t xml:space="preserve">2016-04-17</t>
  </si>
  <si>
    <t xml:space="preserve">2016-04-18</t>
  </si>
  <si>
    <t xml:space="preserve">2016-04-19</t>
  </si>
  <si>
    <t xml:space="preserve">2016-04-20</t>
  </si>
  <si>
    <t xml:space="preserve">2016-04-21</t>
  </si>
  <si>
    <t xml:space="preserve">2016-04-22</t>
  </si>
  <si>
    <t xml:space="preserve">2016-04-23</t>
  </si>
  <si>
    <t xml:space="preserve">2016-04-24</t>
  </si>
  <si>
    <t xml:space="preserve">2016-04-25</t>
  </si>
  <si>
    <t xml:space="preserve">2016-04-26</t>
  </si>
  <si>
    <t xml:space="preserve">2016-04-27</t>
  </si>
  <si>
    <t xml:space="preserve">2016-04-28</t>
  </si>
  <si>
    <t xml:space="preserve">2016-04-29</t>
  </si>
  <si>
    <t xml:space="preserve">2016-04-30</t>
  </si>
  <si>
    <t xml:space="preserve">2016-05-01</t>
  </si>
  <si>
    <t xml:space="preserve">2016-05-02</t>
  </si>
  <si>
    <t xml:space="preserve">2016-05-03</t>
  </si>
  <si>
    <t xml:space="preserve">2016-05-04</t>
  </si>
  <si>
    <t xml:space="preserve">2016-05-05</t>
  </si>
  <si>
    <t xml:space="preserve">2016-05-06</t>
  </si>
  <si>
    <t xml:space="preserve">2016-05-07</t>
  </si>
  <si>
    <t xml:space="preserve">2016-05-08</t>
  </si>
  <si>
    <t xml:space="preserve">2016-05-09</t>
  </si>
  <si>
    <t xml:space="preserve">2016-05-10</t>
  </si>
  <si>
    <t xml:space="preserve">2016-05-11</t>
  </si>
  <si>
    <t xml:space="preserve">2016-05-12</t>
  </si>
  <si>
    <t xml:space="preserve">2016-05-13</t>
  </si>
  <si>
    <t xml:space="preserve">2016-05-14</t>
  </si>
  <si>
    <t xml:space="preserve">2016-05-15</t>
  </si>
  <si>
    <t xml:space="preserve">2016-05-16</t>
  </si>
  <si>
    <t xml:space="preserve">2016-05-17</t>
  </si>
  <si>
    <t xml:space="preserve">2016-05-18</t>
  </si>
  <si>
    <t xml:space="preserve">2016-05-19</t>
  </si>
  <si>
    <t xml:space="preserve">2016-05-20</t>
  </si>
  <si>
    <t xml:space="preserve">2016-05-21</t>
  </si>
  <si>
    <t xml:space="preserve">2016-05-22</t>
  </si>
  <si>
    <t xml:space="preserve">2016-05-23</t>
  </si>
  <si>
    <t xml:space="preserve">2016-05-24</t>
  </si>
  <si>
    <t xml:space="preserve">2016-05-25</t>
  </si>
  <si>
    <t xml:space="preserve">2016-05-26</t>
  </si>
  <si>
    <t xml:space="preserve">2016-05-27</t>
  </si>
  <si>
    <t xml:space="preserve">2016-05-28</t>
  </si>
  <si>
    <t xml:space="preserve">2016-05-29</t>
  </si>
  <si>
    <t xml:space="preserve">2016-05-30</t>
  </si>
  <si>
    <t xml:space="preserve">2016-05-31</t>
  </si>
  <si>
    <t xml:space="preserve">2016-06-01</t>
  </si>
  <si>
    <t xml:space="preserve">2016-06-02</t>
  </si>
  <si>
    <t xml:space="preserve">2016-06-03</t>
  </si>
  <si>
    <t xml:space="preserve">2016-06-04</t>
  </si>
  <si>
    <t xml:space="preserve">2016-06-05</t>
  </si>
  <si>
    <t xml:space="preserve">2016-06-06</t>
  </si>
  <si>
    <t xml:space="preserve">2016-06-07</t>
  </si>
  <si>
    <t xml:space="preserve">2016-06-08</t>
  </si>
  <si>
    <t xml:space="preserve">2016-06-09</t>
  </si>
  <si>
    <t xml:space="preserve">2016-06-10</t>
  </si>
  <si>
    <t xml:space="preserve">2016-06-11</t>
  </si>
  <si>
    <t xml:space="preserve">2016-06-12</t>
  </si>
  <si>
    <t xml:space="preserve">2016-06-13</t>
  </si>
  <si>
    <t xml:space="preserve">2016-06-14</t>
  </si>
  <si>
    <t xml:space="preserve">2016-06-15</t>
  </si>
  <si>
    <t xml:space="preserve">2016-06-16</t>
  </si>
  <si>
    <t xml:space="preserve">2016-06-17</t>
  </si>
  <si>
    <t xml:space="preserve">2016-06-18</t>
  </si>
  <si>
    <t xml:space="preserve">2016-06-19</t>
  </si>
  <si>
    <t xml:space="preserve">2016-06-20</t>
  </si>
  <si>
    <t xml:space="preserve">2016-06-21</t>
  </si>
  <si>
    <t xml:space="preserve">2016-06-22</t>
  </si>
  <si>
    <t xml:space="preserve">2016-06-23</t>
  </si>
  <si>
    <t xml:space="preserve">2016-06-24</t>
  </si>
  <si>
    <t xml:space="preserve">2016-06-25</t>
  </si>
  <si>
    <t xml:space="preserve">2016-06-26</t>
  </si>
  <si>
    <t xml:space="preserve">2016-06-27</t>
  </si>
  <si>
    <t xml:space="preserve">2016-06-28</t>
  </si>
  <si>
    <t xml:space="preserve">2016-06-29</t>
  </si>
  <si>
    <t xml:space="preserve">2016-06-30</t>
  </si>
  <si>
    <t xml:space="preserve">2016-07-01</t>
  </si>
  <si>
    <t xml:space="preserve">2016-07-02</t>
  </si>
  <si>
    <t xml:space="preserve">2016-07-03</t>
  </si>
  <si>
    <t xml:space="preserve">2016-07-04</t>
  </si>
  <si>
    <t xml:space="preserve">2016-07-05</t>
  </si>
  <si>
    <t xml:space="preserve">2016-07-06</t>
  </si>
  <si>
    <t xml:space="preserve">2016-07-07</t>
  </si>
  <si>
    <t xml:space="preserve">2016-07-08</t>
  </si>
  <si>
    <t xml:space="preserve">2016-07-09</t>
  </si>
  <si>
    <t xml:space="preserve">2016-07-10</t>
  </si>
  <si>
    <t xml:space="preserve">2016-07-11</t>
  </si>
  <si>
    <t xml:space="preserve">2016-07-12</t>
  </si>
  <si>
    <t xml:space="preserve">2016-07-13</t>
  </si>
  <si>
    <t xml:space="preserve">2016-07-14</t>
  </si>
  <si>
    <t xml:space="preserve">2016-07-15</t>
  </si>
  <si>
    <t xml:space="preserve">2016-07-16</t>
  </si>
  <si>
    <t xml:space="preserve">2016-07-17</t>
  </si>
  <si>
    <t xml:space="preserve">2016-07-18</t>
  </si>
  <si>
    <t xml:space="preserve">2016-07-19</t>
  </si>
  <si>
    <t xml:space="preserve">2016-07-20</t>
  </si>
  <si>
    <t xml:space="preserve">2016-07-21</t>
  </si>
  <si>
    <t xml:space="preserve">2016-07-22</t>
  </si>
  <si>
    <t xml:space="preserve">2016-07-23</t>
  </si>
  <si>
    <t xml:space="preserve">2016-07-24</t>
  </si>
  <si>
    <t xml:space="preserve">2016-07-25</t>
  </si>
  <si>
    <t xml:space="preserve">2016-07-26</t>
  </si>
  <si>
    <t xml:space="preserve">2016-07-27</t>
  </si>
  <si>
    <t xml:space="preserve">2016-07-28</t>
  </si>
  <si>
    <t xml:space="preserve">2016-07-29</t>
  </si>
  <si>
    <t xml:space="preserve">2016-07-30</t>
  </si>
  <si>
    <t xml:space="preserve">2016-07-31</t>
  </si>
  <si>
    <t xml:space="preserve">2016-08-01</t>
  </si>
  <si>
    <t xml:space="preserve">2016-08-02</t>
  </si>
  <si>
    <t xml:space="preserve">2016-08-03</t>
  </si>
  <si>
    <t xml:space="preserve">2016-08-04</t>
  </si>
  <si>
    <t xml:space="preserve">2016-08-05</t>
  </si>
  <si>
    <t xml:space="preserve">2016-08-06</t>
  </si>
  <si>
    <t xml:space="preserve">2016-08-07</t>
  </si>
  <si>
    <t xml:space="preserve">2016-08-08</t>
  </si>
  <si>
    <t xml:space="preserve">2016-08-09</t>
  </si>
  <si>
    <t xml:space="preserve">2016-08-10</t>
  </si>
  <si>
    <t xml:space="preserve">2016-08-11</t>
  </si>
  <si>
    <t xml:space="preserve">2016-08-12</t>
  </si>
  <si>
    <t xml:space="preserve">2016-08-13</t>
  </si>
  <si>
    <t xml:space="preserve">2016-08-14</t>
  </si>
  <si>
    <t xml:space="preserve">2016-08-15</t>
  </si>
  <si>
    <t xml:space="preserve">2016-08-16</t>
  </si>
  <si>
    <t xml:space="preserve">2016-08-17</t>
  </si>
  <si>
    <t xml:space="preserve">2016-08-18</t>
  </si>
  <si>
    <t xml:space="preserve">2016-08-19</t>
  </si>
  <si>
    <t xml:space="preserve">2016-08-20</t>
  </si>
  <si>
    <t xml:space="preserve">2016-08-21</t>
  </si>
  <si>
    <t xml:space="preserve">2016-08-22</t>
  </si>
  <si>
    <t xml:space="preserve">2016-08-23</t>
  </si>
  <si>
    <t xml:space="preserve">2016-08-24</t>
  </si>
  <si>
    <t xml:space="preserve">2016-08-25</t>
  </si>
  <si>
    <t xml:space="preserve">2016-08-26</t>
  </si>
  <si>
    <t xml:space="preserve">2016-08-27</t>
  </si>
  <si>
    <t xml:space="preserve">2016-08-28</t>
  </si>
  <si>
    <t xml:space="preserve">2016-08-29</t>
  </si>
  <si>
    <t xml:space="preserve">2016-08-30</t>
  </si>
  <si>
    <t xml:space="preserve">2016-08-31</t>
  </si>
  <si>
    <t xml:space="preserve">2016-09-01</t>
  </si>
  <si>
    <t xml:space="preserve">2016-09-02</t>
  </si>
  <si>
    <t xml:space="preserve">2016-09-03</t>
  </si>
  <si>
    <t xml:space="preserve">2016-09-04</t>
  </si>
  <si>
    <t xml:space="preserve">2016-09-05</t>
  </si>
  <si>
    <t xml:space="preserve">2016-09-06</t>
  </si>
  <si>
    <t xml:space="preserve">2016-09-07</t>
  </si>
  <si>
    <t xml:space="preserve">2016-09-08</t>
  </si>
  <si>
    <t xml:space="preserve">2016-09-09</t>
  </si>
  <si>
    <t xml:space="preserve">2016-09-10</t>
  </si>
  <si>
    <t xml:space="preserve">2016-09-11</t>
  </si>
  <si>
    <t xml:space="preserve">2016-09-12</t>
  </si>
  <si>
    <t xml:space="preserve">2016-09-13</t>
  </si>
  <si>
    <t xml:space="preserve">2016-09-14</t>
  </si>
  <si>
    <t xml:space="preserve">2016-09-15</t>
  </si>
  <si>
    <t xml:space="preserve">2016-09-16</t>
  </si>
  <si>
    <t xml:space="preserve">2016-09-17</t>
  </si>
  <si>
    <t xml:space="preserve">2016-09-18</t>
  </si>
  <si>
    <t xml:space="preserve">2016-09-19</t>
  </si>
  <si>
    <t xml:space="preserve">2016-09-20</t>
  </si>
  <si>
    <t xml:space="preserve">2016-09-21</t>
  </si>
  <si>
    <t xml:space="preserve">2016-09-22</t>
  </si>
  <si>
    <t xml:space="preserve">2016-09-23</t>
  </si>
  <si>
    <t xml:space="preserve">2016-09-24</t>
  </si>
  <si>
    <t xml:space="preserve">2016-09-25</t>
  </si>
  <si>
    <t xml:space="preserve">2016-09-26</t>
  </si>
  <si>
    <t xml:space="preserve">2016-09-27</t>
  </si>
  <si>
    <t xml:space="preserve">2016-09-28</t>
  </si>
  <si>
    <t xml:space="preserve">2016-09-29</t>
  </si>
  <si>
    <t xml:space="preserve">2016-09-30</t>
  </si>
  <si>
    <t xml:space="preserve">2016-10-01</t>
  </si>
  <si>
    <t xml:space="preserve">2016-10-02</t>
  </si>
  <si>
    <t xml:space="preserve">2016-10-03</t>
  </si>
  <si>
    <t xml:space="preserve">2016-10-04</t>
  </si>
  <si>
    <t xml:space="preserve">2016-10-05</t>
  </si>
  <si>
    <t xml:space="preserve">2016-10-06</t>
  </si>
  <si>
    <t xml:space="preserve">2016-10-07</t>
  </si>
  <si>
    <t xml:space="preserve">2016-10-08</t>
  </si>
  <si>
    <t xml:space="preserve">2016-10-09</t>
  </si>
  <si>
    <t xml:space="preserve">2016-10-10</t>
  </si>
  <si>
    <t xml:space="preserve">2016-10-11</t>
  </si>
  <si>
    <t xml:space="preserve">2016-10-12</t>
  </si>
  <si>
    <t xml:space="preserve">2016-10-13</t>
  </si>
  <si>
    <t xml:space="preserve">2016-10-14</t>
  </si>
  <si>
    <t xml:space="preserve">2016-10-15</t>
  </si>
  <si>
    <t xml:space="preserve">2016-10-16</t>
  </si>
  <si>
    <t xml:space="preserve">2016-10-17</t>
  </si>
  <si>
    <t xml:space="preserve">2016-10-18</t>
  </si>
  <si>
    <t xml:space="preserve">2016-10-19</t>
  </si>
  <si>
    <t xml:space="preserve">2016-10-20</t>
  </si>
  <si>
    <t xml:space="preserve">2016-10-21</t>
  </si>
  <si>
    <t xml:space="preserve">2016-10-22</t>
  </si>
  <si>
    <t xml:space="preserve">2016-10-23</t>
  </si>
  <si>
    <t xml:space="preserve">2016-10-24</t>
  </si>
  <si>
    <t xml:space="preserve">2016-10-25</t>
  </si>
  <si>
    <t xml:space="preserve">2016-10-26</t>
  </si>
  <si>
    <t xml:space="preserve">2016-10-27</t>
  </si>
  <si>
    <t xml:space="preserve">2016-10-28</t>
  </si>
  <si>
    <t xml:space="preserve">2016-10-29</t>
  </si>
  <si>
    <t xml:space="preserve">2016-10-30</t>
  </si>
  <si>
    <t xml:space="preserve">2016-10-31</t>
  </si>
  <si>
    <t xml:space="preserve">2016-11-01</t>
  </si>
  <si>
    <t xml:space="preserve">2016-11-02</t>
  </si>
  <si>
    <t xml:space="preserve">2016-11-03</t>
  </si>
  <si>
    <t xml:space="preserve">2016-11-04</t>
  </si>
  <si>
    <t xml:space="preserve">2016-11-05</t>
  </si>
  <si>
    <t xml:space="preserve">2016-11-06</t>
  </si>
  <si>
    <t xml:space="preserve">2016-11-07</t>
  </si>
  <si>
    <t xml:space="preserve">2016-11-08</t>
  </si>
  <si>
    <t xml:space="preserve">2016-11-09</t>
  </si>
  <si>
    <t xml:space="preserve">2016-11-10</t>
  </si>
  <si>
    <t xml:space="preserve">2016-11-11</t>
  </si>
  <si>
    <t xml:space="preserve">2016-11-12</t>
  </si>
  <si>
    <t xml:space="preserve">2016-11-13</t>
  </si>
  <si>
    <t xml:space="preserve">2016-11-14</t>
  </si>
  <si>
    <t xml:space="preserve">2016-11-15</t>
  </si>
  <si>
    <t xml:space="preserve">2016-11-16</t>
  </si>
  <si>
    <t xml:space="preserve">2016-11-17</t>
  </si>
  <si>
    <t xml:space="preserve">2016-11-18</t>
  </si>
  <si>
    <t xml:space="preserve">2016-11-19</t>
  </si>
  <si>
    <t xml:space="preserve">2016-11-20</t>
  </si>
  <si>
    <t xml:space="preserve">2016-11-21</t>
  </si>
  <si>
    <t xml:space="preserve">2016-11-22</t>
  </si>
  <si>
    <t xml:space="preserve">2016-11-23</t>
  </si>
  <si>
    <t xml:space="preserve">2016-11-24</t>
  </si>
  <si>
    <t xml:space="preserve">2016-11-25</t>
  </si>
  <si>
    <t xml:space="preserve">2016-11-26</t>
  </si>
  <si>
    <t xml:space="preserve">2016-11-27</t>
  </si>
  <si>
    <t xml:space="preserve">2016-11-28</t>
  </si>
  <si>
    <t xml:space="preserve">2016-11-29</t>
  </si>
  <si>
    <t xml:space="preserve">2016-11-30</t>
  </si>
  <si>
    <t xml:space="preserve">2016-12-01</t>
  </si>
  <si>
    <t xml:space="preserve">2016-12-02</t>
  </si>
  <si>
    <t xml:space="preserve">2016-12-03</t>
  </si>
  <si>
    <t xml:space="preserve">2016-12-04</t>
  </si>
  <si>
    <t xml:space="preserve">2016-12-05</t>
  </si>
  <si>
    <t xml:space="preserve">2016-12-06</t>
  </si>
  <si>
    <t xml:space="preserve">2016-12-07</t>
  </si>
  <si>
    <t xml:space="preserve">2016-12-08</t>
  </si>
  <si>
    <t xml:space="preserve">2016-12-09</t>
  </si>
  <si>
    <t xml:space="preserve">2016-12-10</t>
  </si>
  <si>
    <t xml:space="preserve">2016-12-11</t>
  </si>
  <si>
    <t xml:space="preserve">2016-12-12</t>
  </si>
  <si>
    <t xml:space="preserve">2016-12-13</t>
  </si>
  <si>
    <t xml:space="preserve">2016-12-14</t>
  </si>
  <si>
    <t xml:space="preserve">2016-12-15</t>
  </si>
  <si>
    <t xml:space="preserve">2016-12-16</t>
  </si>
  <si>
    <t xml:space="preserve">2016-12-17</t>
  </si>
  <si>
    <t xml:space="preserve">2016-12-18</t>
  </si>
  <si>
    <t xml:space="preserve">2016-12-19</t>
  </si>
  <si>
    <t xml:space="preserve">2016-12-20</t>
  </si>
  <si>
    <t xml:space="preserve">2016-12-21</t>
  </si>
  <si>
    <t xml:space="preserve">2016-12-22</t>
  </si>
  <si>
    <t xml:space="preserve">2016-12-23</t>
  </si>
  <si>
    <t xml:space="preserve">2016-12-24</t>
  </si>
  <si>
    <t xml:space="preserve">2016-12-25</t>
  </si>
  <si>
    <t xml:space="preserve">2016-12-26</t>
  </si>
  <si>
    <t xml:space="preserve">2016-12-27</t>
  </si>
  <si>
    <t xml:space="preserve">2016-12-28</t>
  </si>
  <si>
    <t xml:space="preserve">2016-12-29</t>
  </si>
  <si>
    <t xml:space="preserve">2016-12-30</t>
  </si>
  <si>
    <t xml:space="preserve">2016-12-31</t>
  </si>
  <si>
    <t xml:space="preserve">2017-01-01</t>
  </si>
  <si>
    <t xml:space="preserve">2017-01-02</t>
  </si>
  <si>
    <t xml:space="preserve">2017-01-03</t>
  </si>
  <si>
    <t xml:space="preserve">2017-01-04</t>
  </si>
  <si>
    <t xml:space="preserve">2017-01-05</t>
  </si>
  <si>
    <t xml:space="preserve">2017-01-06</t>
  </si>
  <si>
    <t xml:space="preserve">2017-01-07</t>
  </si>
  <si>
    <t xml:space="preserve">2017-01-08</t>
  </si>
  <si>
    <t xml:space="preserve">2017-01-09</t>
  </si>
  <si>
    <t xml:space="preserve">2017-01-10</t>
  </si>
  <si>
    <t xml:space="preserve">2017-01-11</t>
  </si>
  <si>
    <t xml:space="preserve">2017-01-12</t>
  </si>
  <si>
    <t xml:space="preserve">2017-01-13</t>
  </si>
  <si>
    <t xml:space="preserve">2017-01-14</t>
  </si>
  <si>
    <t xml:space="preserve">2017-01-15</t>
  </si>
  <si>
    <t xml:space="preserve">2017-01-16</t>
  </si>
  <si>
    <t xml:space="preserve">2017-01-17</t>
  </si>
  <si>
    <t xml:space="preserve">2017-01-18</t>
  </si>
  <si>
    <t xml:space="preserve">2017-01-19</t>
  </si>
  <si>
    <t xml:space="preserve">2017-01-20</t>
  </si>
  <si>
    <t xml:space="preserve">2017-01-21</t>
  </si>
  <si>
    <t xml:space="preserve">2017-01-22</t>
  </si>
  <si>
    <t xml:space="preserve">2017-01-23</t>
  </si>
  <si>
    <t xml:space="preserve">2017-01-24</t>
  </si>
  <si>
    <t xml:space="preserve">2017-01-25</t>
  </si>
  <si>
    <t xml:space="preserve">2017-01-26</t>
  </si>
  <si>
    <t xml:space="preserve">2017-01-27</t>
  </si>
  <si>
    <t xml:space="preserve">2017-01-28</t>
  </si>
  <si>
    <t xml:space="preserve">2017-01-29</t>
  </si>
  <si>
    <t xml:space="preserve">2017-01-30</t>
  </si>
  <si>
    <t xml:space="preserve">2017-01-31</t>
  </si>
  <si>
    <t xml:space="preserve">2017-02-01</t>
  </si>
  <si>
    <t xml:space="preserve">2017-02-02</t>
  </si>
  <si>
    <t xml:space="preserve">2017-02-03</t>
  </si>
  <si>
    <t xml:space="preserve">2017-02-04</t>
  </si>
  <si>
    <t xml:space="preserve">2017-02-05</t>
  </si>
  <si>
    <t xml:space="preserve">2017-02-06</t>
  </si>
  <si>
    <t xml:space="preserve">2017-02-07</t>
  </si>
  <si>
    <t xml:space="preserve">2017-02-08</t>
  </si>
  <si>
    <t xml:space="preserve">2017-02-09</t>
  </si>
  <si>
    <t xml:space="preserve">2017-02-10</t>
  </si>
  <si>
    <t xml:space="preserve">2017-02-11</t>
  </si>
  <si>
    <t xml:space="preserve">2017-02-12</t>
  </si>
  <si>
    <t xml:space="preserve">2017-02-13</t>
  </si>
  <si>
    <t xml:space="preserve">2017-02-14</t>
  </si>
  <si>
    <t xml:space="preserve">2017-02-15</t>
  </si>
  <si>
    <t xml:space="preserve">2017-02-16</t>
  </si>
  <si>
    <t xml:space="preserve">2017-02-17</t>
  </si>
  <si>
    <t xml:space="preserve">2017-02-18</t>
  </si>
  <si>
    <t xml:space="preserve">2017-02-19</t>
  </si>
  <si>
    <t xml:space="preserve">2017-02-20</t>
  </si>
  <si>
    <t xml:space="preserve">2017-02-21</t>
  </si>
  <si>
    <t xml:space="preserve">2017-02-22</t>
  </si>
  <si>
    <t xml:space="preserve">2017-02-23</t>
  </si>
  <si>
    <t xml:space="preserve">2017-02-24</t>
  </si>
  <si>
    <t xml:space="preserve">2017-02-25</t>
  </si>
  <si>
    <t xml:space="preserve">2017-02-26</t>
  </si>
  <si>
    <t xml:space="preserve">2017-02-27</t>
  </si>
  <si>
    <t xml:space="preserve">2017-02-28</t>
  </si>
  <si>
    <t xml:space="preserve">2017-03-01</t>
  </si>
  <si>
    <t xml:space="preserve">2017-03-02</t>
  </si>
  <si>
    <t xml:space="preserve">2017-03-03</t>
  </si>
  <si>
    <t xml:space="preserve">2017-03-04</t>
  </si>
  <si>
    <t xml:space="preserve">2017-03-05</t>
  </si>
  <si>
    <t xml:space="preserve">2017-03-06</t>
  </si>
  <si>
    <t xml:space="preserve">2017-03-07</t>
  </si>
  <si>
    <t xml:space="preserve">2017-03-08</t>
  </si>
  <si>
    <t xml:space="preserve">2017-03-09</t>
  </si>
  <si>
    <t xml:space="preserve">2017-03-10</t>
  </si>
  <si>
    <t xml:space="preserve">2017-03-11</t>
  </si>
  <si>
    <t xml:space="preserve">2017-03-12</t>
  </si>
  <si>
    <t xml:space="preserve">2017-03-13</t>
  </si>
  <si>
    <t xml:space="preserve">2017-03-14</t>
  </si>
  <si>
    <t xml:space="preserve">2017-03-15</t>
  </si>
  <si>
    <t xml:space="preserve">2017-03-16</t>
  </si>
  <si>
    <t xml:space="preserve">2017-03-17</t>
  </si>
  <si>
    <t xml:space="preserve">2017-03-18</t>
  </si>
  <si>
    <t xml:space="preserve">2017-03-19</t>
  </si>
  <si>
    <t xml:space="preserve">2017-03-20</t>
  </si>
  <si>
    <t xml:space="preserve">2017-03-21</t>
  </si>
  <si>
    <t xml:space="preserve">2017-03-22</t>
  </si>
  <si>
    <t xml:space="preserve">2017-03-23</t>
  </si>
  <si>
    <t xml:space="preserve">2017-03-24</t>
  </si>
  <si>
    <t xml:space="preserve">2017-03-25</t>
  </si>
  <si>
    <t xml:space="preserve">2017-03-26</t>
  </si>
  <si>
    <t xml:space="preserve">2017-03-27</t>
  </si>
  <si>
    <t xml:space="preserve">2017-03-28</t>
  </si>
  <si>
    <t xml:space="preserve">2017-03-29</t>
  </si>
  <si>
    <t xml:space="preserve">2017-03-30</t>
  </si>
  <si>
    <t xml:space="preserve">2017-03-31</t>
  </si>
  <si>
    <t xml:space="preserve">2017-04-01</t>
  </si>
  <si>
    <t xml:space="preserve">2017-04-02</t>
  </si>
  <si>
    <t xml:space="preserve">2017-04-03</t>
  </si>
  <si>
    <t xml:space="preserve">2017-04-04</t>
  </si>
  <si>
    <t xml:space="preserve">2017-04-05</t>
  </si>
  <si>
    <t xml:space="preserve">2017-04-06</t>
  </si>
  <si>
    <t xml:space="preserve">2017-04-07</t>
  </si>
  <si>
    <t xml:space="preserve">2017-04-08</t>
  </si>
  <si>
    <t xml:space="preserve">2017-04-09</t>
  </si>
  <si>
    <t xml:space="preserve">2017-04-10</t>
  </si>
  <si>
    <t xml:space="preserve">2017-04-11</t>
  </si>
  <si>
    <t xml:space="preserve">2017-04-12</t>
  </si>
  <si>
    <t xml:space="preserve">2017-04-13</t>
  </si>
  <si>
    <t xml:space="preserve">2017-04-14</t>
  </si>
  <si>
    <t xml:space="preserve">2017-04-15</t>
  </si>
  <si>
    <t xml:space="preserve">2017-04-16</t>
  </si>
  <si>
    <t xml:space="preserve">2017-04-17</t>
  </si>
  <si>
    <t xml:space="preserve">2017-04-18</t>
  </si>
  <si>
    <t xml:space="preserve">2017-04-19</t>
  </si>
  <si>
    <t xml:space="preserve">2017-04-20</t>
  </si>
  <si>
    <t xml:space="preserve">2017-04-21</t>
  </si>
  <si>
    <t xml:space="preserve">2017-04-22</t>
  </si>
  <si>
    <t xml:space="preserve">2017-04-23</t>
  </si>
  <si>
    <t xml:space="preserve">2017-04-24</t>
  </si>
  <si>
    <t xml:space="preserve">2017-04-25</t>
  </si>
  <si>
    <t xml:space="preserve">2017-04-26</t>
  </si>
  <si>
    <t xml:space="preserve">2017-04-27</t>
  </si>
  <si>
    <t xml:space="preserve">2017-04-28</t>
  </si>
  <si>
    <t xml:space="preserve">2017-04-29</t>
  </si>
  <si>
    <t xml:space="preserve">2017-04-30</t>
  </si>
  <si>
    <t xml:space="preserve">2017-05-01</t>
  </si>
  <si>
    <t xml:space="preserve">2017-05-02</t>
  </si>
  <si>
    <t xml:space="preserve">2017-05-03</t>
  </si>
  <si>
    <t xml:space="preserve">2017-05-04</t>
  </si>
  <si>
    <t xml:space="preserve">2017-05-05</t>
  </si>
  <si>
    <t xml:space="preserve">2017-05-06</t>
  </si>
  <si>
    <t xml:space="preserve">2017-05-07</t>
  </si>
  <si>
    <t xml:space="preserve">2017-05-08</t>
  </si>
  <si>
    <t xml:space="preserve">2017-05-09</t>
  </si>
  <si>
    <t xml:space="preserve">2017-05-10</t>
  </si>
  <si>
    <t xml:space="preserve">2017-05-11</t>
  </si>
  <si>
    <t xml:space="preserve">2017-05-12</t>
  </si>
  <si>
    <t xml:space="preserve">2017-05-13</t>
  </si>
  <si>
    <t xml:space="preserve">2017-05-14</t>
  </si>
  <si>
    <t xml:space="preserve">2017-05-15</t>
  </si>
  <si>
    <t xml:space="preserve">2017-05-16</t>
  </si>
  <si>
    <t xml:space="preserve">2017-05-17</t>
  </si>
  <si>
    <t xml:space="preserve">2017-05-18</t>
  </si>
  <si>
    <t xml:space="preserve">2017-05-19</t>
  </si>
  <si>
    <t xml:space="preserve">2017-05-20</t>
  </si>
  <si>
    <t xml:space="preserve">2017-05-21</t>
  </si>
  <si>
    <t xml:space="preserve">2017-05-22</t>
  </si>
  <si>
    <t xml:space="preserve">2017-05-23</t>
  </si>
  <si>
    <t xml:space="preserve">2017-05-24</t>
  </si>
  <si>
    <t xml:space="preserve">2017-05-25</t>
  </si>
  <si>
    <t xml:space="preserve">2017-05-26</t>
  </si>
  <si>
    <t xml:space="preserve">2017-05-27</t>
  </si>
  <si>
    <t xml:space="preserve">2017-05-28</t>
  </si>
  <si>
    <t xml:space="preserve">2017-05-29</t>
  </si>
  <si>
    <t xml:space="preserve">2017-05-30</t>
  </si>
  <si>
    <t xml:space="preserve">2017-05-31</t>
  </si>
  <si>
    <t xml:space="preserve">2017-06-01</t>
  </si>
  <si>
    <t xml:space="preserve">2017-06-02</t>
  </si>
  <si>
    <t xml:space="preserve">2017-06-03</t>
  </si>
  <si>
    <t xml:space="preserve">2017-06-04</t>
  </si>
  <si>
    <t xml:space="preserve">2017-06-05</t>
  </si>
  <si>
    <t xml:space="preserve">2017-06-06</t>
  </si>
  <si>
    <t xml:space="preserve">2017-06-07</t>
  </si>
  <si>
    <t xml:space="preserve">2017-06-08</t>
  </si>
  <si>
    <t xml:space="preserve">2017-06-09</t>
  </si>
  <si>
    <t xml:space="preserve">2017-06-10</t>
  </si>
  <si>
    <t xml:space="preserve">2017-06-11</t>
  </si>
  <si>
    <t xml:space="preserve">2017-06-12</t>
  </si>
  <si>
    <t xml:space="preserve">2017-06-13</t>
  </si>
  <si>
    <t xml:space="preserve">2017-06-14</t>
  </si>
  <si>
    <t xml:space="preserve">2017-06-15</t>
  </si>
  <si>
    <t xml:space="preserve">2017-06-16</t>
  </si>
  <si>
    <t xml:space="preserve">2017-06-17</t>
  </si>
  <si>
    <t xml:space="preserve">2017-06-18</t>
  </si>
  <si>
    <t xml:space="preserve">2017-06-19</t>
  </si>
  <si>
    <t xml:space="preserve">2017-06-20</t>
  </si>
  <si>
    <t xml:space="preserve">2017-06-21</t>
  </si>
  <si>
    <t xml:space="preserve">2017-06-22</t>
  </si>
  <si>
    <t xml:space="preserve">2017-06-23</t>
  </si>
  <si>
    <t xml:space="preserve">2017-06-24</t>
  </si>
  <si>
    <t xml:space="preserve">2017-06-25</t>
  </si>
  <si>
    <t xml:space="preserve">2017-06-26</t>
  </si>
  <si>
    <t xml:space="preserve">2017-06-27</t>
  </si>
  <si>
    <t xml:space="preserve">2017-06-28</t>
  </si>
  <si>
    <t xml:space="preserve">2017-06-29</t>
  </si>
  <si>
    <t xml:space="preserve">2017-06-30</t>
  </si>
  <si>
    <t xml:space="preserve">2017-07-01</t>
  </si>
  <si>
    <t xml:space="preserve">2017-07-02</t>
  </si>
  <si>
    <t xml:space="preserve">2017-07-03</t>
  </si>
  <si>
    <t xml:space="preserve">2017-07-04</t>
  </si>
  <si>
    <t xml:space="preserve">2017-07-05</t>
  </si>
  <si>
    <t xml:space="preserve">2017-07-06</t>
  </si>
  <si>
    <t xml:space="preserve">2017-07-07</t>
  </si>
  <si>
    <t xml:space="preserve">2017-07-08</t>
  </si>
  <si>
    <t xml:space="preserve">2017-07-09</t>
  </si>
  <si>
    <t xml:space="preserve">2017-07-10</t>
  </si>
  <si>
    <t xml:space="preserve">2017-07-11</t>
  </si>
  <si>
    <t xml:space="preserve">2017-07-12</t>
  </si>
  <si>
    <t xml:space="preserve">2017-07-13</t>
  </si>
  <si>
    <t xml:space="preserve">2017-07-14</t>
  </si>
  <si>
    <t xml:space="preserve">2017-07-15</t>
  </si>
  <si>
    <t xml:space="preserve">2017-07-16</t>
  </si>
  <si>
    <t xml:space="preserve">2017-07-17</t>
  </si>
  <si>
    <t xml:space="preserve">2017-07-18</t>
  </si>
  <si>
    <t xml:space="preserve">2017-07-19</t>
  </si>
  <si>
    <t xml:space="preserve">2017-07-20</t>
  </si>
  <si>
    <t xml:space="preserve">2017-07-21</t>
  </si>
  <si>
    <t xml:space="preserve">2017-07-22</t>
  </si>
  <si>
    <t xml:space="preserve">2017-07-23</t>
  </si>
  <si>
    <t xml:space="preserve">2017-07-24</t>
  </si>
  <si>
    <t xml:space="preserve">2017-07-25</t>
  </si>
  <si>
    <t xml:space="preserve">2017-07-26</t>
  </si>
  <si>
    <t xml:space="preserve">2017-07-27</t>
  </si>
  <si>
    <t xml:space="preserve">2017-07-28</t>
  </si>
  <si>
    <t xml:space="preserve">2017-07-29</t>
  </si>
  <si>
    <t xml:space="preserve">2017-07-30</t>
  </si>
  <si>
    <t xml:space="preserve">2017-07-31</t>
  </si>
  <si>
    <t xml:space="preserve">2017-08-01</t>
  </si>
  <si>
    <t xml:space="preserve">2017-08-02</t>
  </si>
  <si>
    <t xml:space="preserve">2017-08-03</t>
  </si>
  <si>
    <t xml:space="preserve">2017-08-04</t>
  </si>
  <si>
    <t xml:space="preserve">2017-08-05</t>
  </si>
  <si>
    <t xml:space="preserve">2017-08-06</t>
  </si>
  <si>
    <t xml:space="preserve">2017-08-07</t>
  </si>
  <si>
    <t xml:space="preserve">2017-08-08</t>
  </si>
  <si>
    <t xml:space="preserve">2017-08-09</t>
  </si>
  <si>
    <t xml:space="preserve">2017-08-10</t>
  </si>
  <si>
    <t xml:space="preserve">2017-08-11</t>
  </si>
  <si>
    <t xml:space="preserve">2017-08-12</t>
  </si>
  <si>
    <t xml:space="preserve">2017-08-13</t>
  </si>
  <si>
    <t xml:space="preserve">2017-08-14</t>
  </si>
  <si>
    <t xml:space="preserve">2017-08-15</t>
  </si>
  <si>
    <t xml:space="preserve">2017-08-16</t>
  </si>
  <si>
    <t xml:space="preserve">2017-08-17</t>
  </si>
  <si>
    <t xml:space="preserve">2017-08-18</t>
  </si>
  <si>
    <t xml:space="preserve">2017-08-19</t>
  </si>
  <si>
    <t xml:space="preserve">2017-08-20</t>
  </si>
  <si>
    <t xml:space="preserve">2017-08-21</t>
  </si>
  <si>
    <t xml:space="preserve">2017-08-22</t>
  </si>
  <si>
    <t xml:space="preserve">2017-08-23</t>
  </si>
  <si>
    <t xml:space="preserve">2017-08-24</t>
  </si>
  <si>
    <t xml:space="preserve">2017-08-25</t>
  </si>
  <si>
    <t xml:space="preserve">2017-08-26</t>
  </si>
  <si>
    <t xml:space="preserve">2017-08-27</t>
  </si>
  <si>
    <t xml:space="preserve">2017-08-28</t>
  </si>
  <si>
    <t xml:space="preserve">2017-08-29</t>
  </si>
  <si>
    <t xml:space="preserve">2017-08-30</t>
  </si>
  <si>
    <t xml:space="preserve">2017-08-31</t>
  </si>
  <si>
    <t xml:space="preserve">2017-09-01</t>
  </si>
  <si>
    <t xml:space="preserve">2017-09-02</t>
  </si>
  <si>
    <t xml:space="preserve">2017-09-03</t>
  </si>
  <si>
    <t xml:space="preserve">2017-09-04</t>
  </si>
  <si>
    <t xml:space="preserve">2017-09-05</t>
  </si>
  <si>
    <t xml:space="preserve">2017-09-06</t>
  </si>
  <si>
    <t xml:space="preserve">2017-09-07</t>
  </si>
  <si>
    <t xml:space="preserve">2017-09-08</t>
  </si>
  <si>
    <t xml:space="preserve">2017-09-09</t>
  </si>
  <si>
    <t xml:space="preserve">2017-09-10</t>
  </si>
  <si>
    <t xml:space="preserve">2017-09-11</t>
  </si>
  <si>
    <t xml:space="preserve">2017-09-12</t>
  </si>
  <si>
    <t xml:space="preserve">2017-09-13</t>
  </si>
  <si>
    <t xml:space="preserve">2017-09-14</t>
  </si>
  <si>
    <t xml:space="preserve">2017-09-15</t>
  </si>
  <si>
    <t xml:space="preserve">2017-09-16</t>
  </si>
  <si>
    <t xml:space="preserve">2017-09-17</t>
  </si>
  <si>
    <t xml:space="preserve">2017-09-18</t>
  </si>
  <si>
    <t xml:space="preserve">2017-09-19</t>
  </si>
  <si>
    <t xml:space="preserve">2017-09-20</t>
  </si>
  <si>
    <t xml:space="preserve">2017-09-21</t>
  </si>
  <si>
    <t xml:space="preserve">2017-09-22</t>
  </si>
  <si>
    <t xml:space="preserve">2017-09-23</t>
  </si>
  <si>
    <t xml:space="preserve">2017-09-24</t>
  </si>
  <si>
    <t xml:space="preserve">2017-09-25</t>
  </si>
  <si>
    <t xml:space="preserve">2017-09-26</t>
  </si>
  <si>
    <t xml:space="preserve">2017-09-27</t>
  </si>
  <si>
    <t xml:space="preserve">2017-09-28</t>
  </si>
  <si>
    <t xml:space="preserve">2017-09-29</t>
  </si>
  <si>
    <t xml:space="preserve">2017-09-30</t>
  </si>
  <si>
    <t xml:space="preserve">2017-10-01</t>
  </si>
  <si>
    <t xml:space="preserve">2017-10-02</t>
  </si>
  <si>
    <t xml:space="preserve">2017-10-03</t>
  </si>
  <si>
    <t xml:space="preserve">2017-10-04</t>
  </si>
  <si>
    <t xml:space="preserve">2017-10-05</t>
  </si>
  <si>
    <t xml:space="preserve">2017-10-06</t>
  </si>
  <si>
    <t xml:space="preserve">2017-10-07</t>
  </si>
  <si>
    <t xml:space="preserve">2017-10-08</t>
  </si>
  <si>
    <t xml:space="preserve">2017-10-09</t>
  </si>
  <si>
    <t xml:space="preserve">2017-10-10</t>
  </si>
  <si>
    <t xml:space="preserve">2017-10-11</t>
  </si>
  <si>
    <t xml:space="preserve">2017-10-12</t>
  </si>
  <si>
    <t xml:space="preserve">2017-10-13</t>
  </si>
  <si>
    <t xml:space="preserve">2017-10-14</t>
  </si>
  <si>
    <t xml:space="preserve">2017-10-15</t>
  </si>
  <si>
    <t xml:space="preserve">2017-10-16</t>
  </si>
  <si>
    <t xml:space="preserve">2017-10-17</t>
  </si>
  <si>
    <t xml:space="preserve">2017-10-18</t>
  </si>
  <si>
    <t xml:space="preserve">2017-10-19</t>
  </si>
  <si>
    <t xml:space="preserve">2017-10-20</t>
  </si>
  <si>
    <t xml:space="preserve">2017-10-21</t>
  </si>
  <si>
    <t xml:space="preserve">2017-10-22</t>
  </si>
  <si>
    <t xml:space="preserve">2017-10-23</t>
  </si>
  <si>
    <t xml:space="preserve">2017-10-24</t>
  </si>
  <si>
    <t xml:space="preserve">2017-10-25</t>
  </si>
  <si>
    <t xml:space="preserve">2017-10-26</t>
  </si>
  <si>
    <t xml:space="preserve">2017-10-27</t>
  </si>
  <si>
    <t xml:space="preserve">2017-10-28</t>
  </si>
  <si>
    <t xml:space="preserve">2017-10-29</t>
  </si>
  <si>
    <t xml:space="preserve">2017-10-30</t>
  </si>
  <si>
    <t xml:space="preserve">2017-10-31</t>
  </si>
  <si>
    <t xml:space="preserve">2017-11-01</t>
  </si>
  <si>
    <t xml:space="preserve">2017-11-02</t>
  </si>
  <si>
    <t xml:space="preserve">2017-11-03</t>
  </si>
  <si>
    <t xml:space="preserve">2017-11-04</t>
  </si>
  <si>
    <t xml:space="preserve">2017-11-05</t>
  </si>
  <si>
    <t xml:space="preserve">2017-11-06</t>
  </si>
  <si>
    <t xml:space="preserve">2017-11-07</t>
  </si>
  <si>
    <t xml:space="preserve">2017-11-08</t>
  </si>
  <si>
    <t xml:space="preserve">2017-11-09</t>
  </si>
  <si>
    <t xml:space="preserve">2017-11-10</t>
  </si>
  <si>
    <t xml:space="preserve">2017-11-11</t>
  </si>
  <si>
    <t xml:space="preserve">2017-11-12</t>
  </si>
  <si>
    <t xml:space="preserve">2017-11-13</t>
  </si>
  <si>
    <t xml:space="preserve">2017-11-14</t>
  </si>
  <si>
    <t xml:space="preserve">2017-11-15</t>
  </si>
  <si>
    <t xml:space="preserve">2017-11-16</t>
  </si>
  <si>
    <t xml:space="preserve">2017-11-17</t>
  </si>
  <si>
    <t xml:space="preserve">2017-11-18</t>
  </si>
  <si>
    <t xml:space="preserve">2017-11-19</t>
  </si>
  <si>
    <t xml:space="preserve">2017-11-20</t>
  </si>
  <si>
    <t xml:space="preserve">2017-11-21</t>
  </si>
  <si>
    <t xml:space="preserve">2017-11-22</t>
  </si>
  <si>
    <t xml:space="preserve">2017-11-23</t>
  </si>
  <si>
    <t xml:space="preserve">2017-11-24</t>
  </si>
  <si>
    <t xml:space="preserve">2017-11-25</t>
  </si>
  <si>
    <t xml:space="preserve">2017-11-26</t>
  </si>
  <si>
    <t xml:space="preserve">2017-11-27</t>
  </si>
  <si>
    <t xml:space="preserve">2017-11-28</t>
  </si>
  <si>
    <t xml:space="preserve">2017-11-29</t>
  </si>
  <si>
    <t xml:space="preserve">2017-11-30</t>
  </si>
  <si>
    <t xml:space="preserve">2017-12-01</t>
  </si>
  <si>
    <t xml:space="preserve">2017-12-02</t>
  </si>
  <si>
    <t xml:space="preserve">2017-12-03</t>
  </si>
  <si>
    <t xml:space="preserve">2017-12-04</t>
  </si>
  <si>
    <t xml:space="preserve">2017-12-05</t>
  </si>
  <si>
    <t xml:space="preserve">2017-12-06</t>
  </si>
  <si>
    <t xml:space="preserve">2017-12-07</t>
  </si>
  <si>
    <t xml:space="preserve">2017-12-08</t>
  </si>
  <si>
    <t xml:space="preserve">2017-12-09</t>
  </si>
  <si>
    <t xml:space="preserve">2017-12-10</t>
  </si>
  <si>
    <t xml:space="preserve">2017-12-11</t>
  </si>
  <si>
    <t xml:space="preserve">2017-12-12</t>
  </si>
  <si>
    <t xml:space="preserve">2017-12-13</t>
  </si>
  <si>
    <t xml:space="preserve">2017-12-14</t>
  </si>
  <si>
    <t xml:space="preserve">2017-12-15</t>
  </si>
  <si>
    <t xml:space="preserve">2017-12-16</t>
  </si>
  <si>
    <t xml:space="preserve">2017-12-17</t>
  </si>
  <si>
    <t xml:space="preserve">2017-12-18</t>
  </si>
  <si>
    <t xml:space="preserve">2017-12-19</t>
  </si>
  <si>
    <t xml:space="preserve">2017-12-20</t>
  </si>
  <si>
    <t xml:space="preserve">2017-12-21</t>
  </si>
  <si>
    <t xml:space="preserve">2017-12-22</t>
  </si>
  <si>
    <t xml:space="preserve">2017-12-23</t>
  </si>
  <si>
    <t xml:space="preserve">2017-12-24</t>
  </si>
  <si>
    <t xml:space="preserve">2017-12-25</t>
  </si>
  <si>
    <t xml:space="preserve">2017-12-26</t>
  </si>
  <si>
    <t xml:space="preserve">2017-12-27</t>
  </si>
  <si>
    <t xml:space="preserve">2017-12-28</t>
  </si>
  <si>
    <t xml:space="preserve">2017-12-29</t>
  </si>
  <si>
    <t xml:space="preserve">2017-12-30</t>
  </si>
  <si>
    <t xml:space="preserve">2017-12-31</t>
  </si>
  <si>
    <t xml:space="preserve">2018-01-01</t>
  </si>
  <si>
    <t xml:space="preserve">2018-01-02</t>
  </si>
  <si>
    <t xml:space="preserve">2018-01-03</t>
  </si>
  <si>
    <t xml:space="preserve">2018-01-04</t>
  </si>
  <si>
    <t xml:space="preserve">2018-01-05</t>
  </si>
  <si>
    <t xml:space="preserve">2018-01-06</t>
  </si>
  <si>
    <t xml:space="preserve">2018-01-07</t>
  </si>
  <si>
    <t xml:space="preserve">2018-01-08</t>
  </si>
  <si>
    <t xml:space="preserve">2018-01-09</t>
  </si>
  <si>
    <t xml:space="preserve">2018-01-10</t>
  </si>
  <si>
    <t xml:space="preserve">2018-01-11</t>
  </si>
  <si>
    <t xml:space="preserve">2018-01-12</t>
  </si>
  <si>
    <t xml:space="preserve">2018-01-13</t>
  </si>
  <si>
    <t xml:space="preserve">2018-01-14</t>
  </si>
  <si>
    <t xml:space="preserve">2018-01-15</t>
  </si>
  <si>
    <t xml:space="preserve">2018-01-16</t>
  </si>
  <si>
    <t xml:space="preserve">2018-01-17</t>
  </si>
  <si>
    <t xml:space="preserve">2018-01-18</t>
  </si>
  <si>
    <t xml:space="preserve">2018-01-19</t>
  </si>
  <si>
    <t xml:space="preserve">2018-01-20</t>
  </si>
  <si>
    <t xml:space="preserve">2018-01-21</t>
  </si>
  <si>
    <t xml:space="preserve">2018-01-22</t>
  </si>
  <si>
    <t xml:space="preserve">2018-01-23</t>
  </si>
  <si>
    <t xml:space="preserve">2018-01-24</t>
  </si>
  <si>
    <t xml:space="preserve">2018-01-25</t>
  </si>
  <si>
    <t xml:space="preserve">2018-01-26</t>
  </si>
  <si>
    <t xml:space="preserve">2018-01-27</t>
  </si>
  <si>
    <t xml:space="preserve">2018-01-28</t>
  </si>
  <si>
    <t xml:space="preserve">2018-01-29</t>
  </si>
  <si>
    <t xml:space="preserve">2018-01-30</t>
  </si>
  <si>
    <t xml:space="preserve">2018-01-31</t>
  </si>
  <si>
    <t xml:space="preserve">2018-02-01</t>
  </si>
  <si>
    <t xml:space="preserve">2018-02-02</t>
  </si>
  <si>
    <t xml:space="preserve">2018-02-03</t>
  </si>
  <si>
    <t xml:space="preserve">2018-02-04</t>
  </si>
  <si>
    <t xml:space="preserve">2018-02-05</t>
  </si>
  <si>
    <t xml:space="preserve">2018-02-06</t>
  </si>
  <si>
    <t xml:space="preserve">2018-02-07</t>
  </si>
  <si>
    <t xml:space="preserve">2018-02-08</t>
  </si>
  <si>
    <t xml:space="preserve">2018-02-09</t>
  </si>
  <si>
    <t xml:space="preserve">2018-02-10</t>
  </si>
  <si>
    <t xml:space="preserve">2018-02-11</t>
  </si>
  <si>
    <t xml:space="preserve">2018-02-12</t>
  </si>
  <si>
    <t xml:space="preserve">2018-02-13</t>
  </si>
  <si>
    <t xml:space="preserve">2018-02-14</t>
  </si>
  <si>
    <t xml:space="preserve">2018-02-15</t>
  </si>
  <si>
    <t xml:space="preserve">2018-02-16</t>
  </si>
  <si>
    <t xml:space="preserve">2018-02-17</t>
  </si>
  <si>
    <t xml:space="preserve">2018-02-18</t>
  </si>
  <si>
    <t xml:space="preserve">2018-02-19</t>
  </si>
  <si>
    <t xml:space="preserve">2018-02-20</t>
  </si>
  <si>
    <t xml:space="preserve">2018-02-21</t>
  </si>
  <si>
    <t xml:space="preserve">2018-02-22</t>
  </si>
  <si>
    <t xml:space="preserve">2018-02-23</t>
  </si>
  <si>
    <t xml:space="preserve">2018-02-24</t>
  </si>
  <si>
    <t xml:space="preserve">2018-02-25</t>
  </si>
  <si>
    <t xml:space="preserve">2018-02-26</t>
  </si>
  <si>
    <t xml:space="preserve">2018-02-27</t>
  </si>
  <si>
    <t xml:space="preserve">2018-02-28</t>
  </si>
  <si>
    <t xml:space="preserve">2018-03-01</t>
  </si>
  <si>
    <t xml:space="preserve">2018-03-02</t>
  </si>
  <si>
    <t xml:space="preserve">2018-03-03</t>
  </si>
  <si>
    <t xml:space="preserve">2018-03-04</t>
  </si>
  <si>
    <t xml:space="preserve">2018-03-05</t>
  </si>
  <si>
    <t xml:space="preserve">2018-03-06</t>
  </si>
  <si>
    <t xml:space="preserve">2018-03-07</t>
  </si>
  <si>
    <t xml:space="preserve">2018-03-08</t>
  </si>
  <si>
    <t xml:space="preserve">2018-03-09</t>
  </si>
  <si>
    <t xml:space="preserve">2018-03-10</t>
  </si>
  <si>
    <t xml:space="preserve">2018-03-11</t>
  </si>
  <si>
    <t xml:space="preserve">2018-03-12</t>
  </si>
  <si>
    <t xml:space="preserve">2018-03-13</t>
  </si>
  <si>
    <t xml:space="preserve">2018-03-14</t>
  </si>
  <si>
    <t xml:space="preserve">2018-03-15</t>
  </si>
  <si>
    <t xml:space="preserve">2018-03-16</t>
  </si>
  <si>
    <t xml:space="preserve">2018-03-17</t>
  </si>
  <si>
    <t xml:space="preserve">2018-03-18</t>
  </si>
  <si>
    <t xml:space="preserve">2018-03-19</t>
  </si>
  <si>
    <t xml:space="preserve">2018-03-20</t>
  </si>
  <si>
    <t xml:space="preserve">2018-03-21</t>
  </si>
  <si>
    <t xml:space="preserve">2018-03-22</t>
  </si>
  <si>
    <t xml:space="preserve">2018-03-23</t>
  </si>
  <si>
    <t xml:space="preserve">2018-03-24</t>
  </si>
  <si>
    <t xml:space="preserve">2018-03-25</t>
  </si>
  <si>
    <t xml:space="preserve">2018-03-26</t>
  </si>
  <si>
    <t xml:space="preserve">2018-03-27</t>
  </si>
  <si>
    <t xml:space="preserve">2018-03-28</t>
  </si>
  <si>
    <t xml:space="preserve">2018-03-29</t>
  </si>
  <si>
    <t xml:space="preserve">2018-03-30</t>
  </si>
  <si>
    <t xml:space="preserve">2018-03-31</t>
  </si>
  <si>
    <t xml:space="preserve">2018-04-01</t>
  </si>
  <si>
    <t xml:space="preserve">2018-04-02</t>
  </si>
  <si>
    <t xml:space="preserve">2018-04-03</t>
  </si>
  <si>
    <t xml:space="preserve">2018-04-04</t>
  </si>
  <si>
    <t xml:space="preserve">2018-04-05</t>
  </si>
  <si>
    <t xml:space="preserve">2018-04-06</t>
  </si>
  <si>
    <t xml:space="preserve">2018-04-07</t>
  </si>
  <si>
    <t xml:space="preserve">2018-04-08</t>
  </si>
  <si>
    <t xml:space="preserve">2018-04-09</t>
  </si>
  <si>
    <t xml:space="preserve">2018-04-10</t>
  </si>
  <si>
    <t xml:space="preserve">2018-04-11</t>
  </si>
  <si>
    <t xml:space="preserve">2018-04-12</t>
  </si>
  <si>
    <t xml:space="preserve">2018-04-13</t>
  </si>
  <si>
    <t xml:space="preserve">2018-04-14</t>
  </si>
  <si>
    <t xml:space="preserve">2018-04-15</t>
  </si>
  <si>
    <t xml:space="preserve">2018-04-16</t>
  </si>
  <si>
    <t xml:space="preserve">2018-04-17</t>
  </si>
  <si>
    <t xml:space="preserve">2018-04-18</t>
  </si>
  <si>
    <t xml:space="preserve">2018-04-19</t>
  </si>
  <si>
    <t xml:space="preserve">2018-04-20</t>
  </si>
  <si>
    <t xml:space="preserve">2018-04-21</t>
  </si>
  <si>
    <t xml:space="preserve">2018-04-22</t>
  </si>
  <si>
    <t xml:space="preserve">2018-04-23</t>
  </si>
  <si>
    <t xml:space="preserve">2018-04-24</t>
  </si>
  <si>
    <t xml:space="preserve">2018-04-25</t>
  </si>
  <si>
    <t xml:space="preserve">2018-04-26</t>
  </si>
  <si>
    <t xml:space="preserve">2018-04-27</t>
  </si>
  <si>
    <t xml:space="preserve">2018-04-28</t>
  </si>
  <si>
    <t xml:space="preserve">2018-04-29</t>
  </si>
  <si>
    <t xml:space="preserve">2018-04-30</t>
  </si>
  <si>
    <t xml:space="preserve">2018-05-01</t>
  </si>
  <si>
    <t xml:space="preserve">2018-05-02</t>
  </si>
  <si>
    <t xml:space="preserve">2018-05-03</t>
  </si>
  <si>
    <t xml:space="preserve">2018-05-04</t>
  </si>
  <si>
    <t xml:space="preserve">2018-05-05</t>
  </si>
  <si>
    <t xml:space="preserve">2018-05-06</t>
  </si>
  <si>
    <t xml:space="preserve">2018-05-07</t>
  </si>
  <si>
    <t xml:space="preserve">2018-05-08</t>
  </si>
  <si>
    <t xml:space="preserve">2018-05-09</t>
  </si>
  <si>
    <t xml:space="preserve">2018-05-10</t>
  </si>
  <si>
    <t xml:space="preserve">2018-05-11</t>
  </si>
  <si>
    <t xml:space="preserve">2018-05-12</t>
  </si>
  <si>
    <t xml:space="preserve">2018-05-13</t>
  </si>
  <si>
    <t xml:space="preserve">2018-05-14</t>
  </si>
  <si>
    <t xml:space="preserve">2018-05-15</t>
  </si>
  <si>
    <t xml:space="preserve">2018-05-16</t>
  </si>
  <si>
    <t xml:space="preserve">2018-05-17</t>
  </si>
  <si>
    <t xml:space="preserve">2018-05-18</t>
  </si>
  <si>
    <t xml:space="preserve">2018-05-19</t>
  </si>
  <si>
    <t xml:space="preserve">2018-05-20</t>
  </si>
  <si>
    <t xml:space="preserve">2018-05-21</t>
  </si>
  <si>
    <t xml:space="preserve">2018-05-22</t>
  </si>
  <si>
    <t xml:space="preserve">2018-05-23</t>
  </si>
  <si>
    <t xml:space="preserve">2018-05-24</t>
  </si>
  <si>
    <t xml:space="preserve">2018-05-25</t>
  </si>
  <si>
    <t xml:space="preserve">2018-05-26</t>
  </si>
  <si>
    <t xml:space="preserve">2018-05-27</t>
  </si>
  <si>
    <t xml:space="preserve">2018-05-28</t>
  </si>
  <si>
    <t xml:space="preserve">2018-05-29</t>
  </si>
  <si>
    <t xml:space="preserve">2018-05-30</t>
  </si>
  <si>
    <t xml:space="preserve">2018-05-31</t>
  </si>
  <si>
    <t xml:space="preserve">2018-06-01</t>
  </si>
  <si>
    <t xml:space="preserve">2018-06-02</t>
  </si>
  <si>
    <t xml:space="preserve">2018-06-03</t>
  </si>
  <si>
    <t xml:space="preserve">2018-06-04</t>
  </si>
  <si>
    <t xml:space="preserve">2018-06-05</t>
  </si>
  <si>
    <t xml:space="preserve">2018-06-06</t>
  </si>
  <si>
    <t xml:space="preserve">2018-06-07</t>
  </si>
  <si>
    <t xml:space="preserve">2018-06-08</t>
  </si>
  <si>
    <t xml:space="preserve">2018-06-09</t>
  </si>
  <si>
    <t xml:space="preserve">2018-06-10</t>
  </si>
  <si>
    <t xml:space="preserve">2018-06-11</t>
  </si>
  <si>
    <t xml:space="preserve">2018-06-12</t>
  </si>
  <si>
    <t xml:space="preserve">2018-06-13</t>
  </si>
  <si>
    <t xml:space="preserve">2018-06-14</t>
  </si>
  <si>
    <t xml:space="preserve">2018-06-15</t>
  </si>
  <si>
    <t xml:space="preserve">2018-06-16</t>
  </si>
  <si>
    <t xml:space="preserve">2018-06-17</t>
  </si>
  <si>
    <t xml:space="preserve">2018-06-18</t>
  </si>
  <si>
    <t xml:space="preserve">2018-06-19</t>
  </si>
  <si>
    <t xml:space="preserve">2018-06-20</t>
  </si>
  <si>
    <t xml:space="preserve">2018-06-21</t>
  </si>
  <si>
    <t xml:space="preserve">2018-06-22</t>
  </si>
  <si>
    <t xml:space="preserve">2018-06-23</t>
  </si>
  <si>
    <t xml:space="preserve">2018-06-24</t>
  </si>
  <si>
    <t xml:space="preserve">2018-06-25</t>
  </si>
  <si>
    <t xml:space="preserve">2018-06-26</t>
  </si>
  <si>
    <t xml:space="preserve">2018-06-27</t>
  </si>
  <si>
    <t xml:space="preserve">2018-06-28</t>
  </si>
  <si>
    <t xml:space="preserve">2018-06-29</t>
  </si>
  <si>
    <t xml:space="preserve">2018-06-30</t>
  </si>
  <si>
    <t xml:space="preserve">2018-07-01</t>
  </si>
  <si>
    <t xml:space="preserve">2018-07-02</t>
  </si>
  <si>
    <t xml:space="preserve">2018-07-03</t>
  </si>
  <si>
    <t xml:space="preserve">2018-07-04</t>
  </si>
  <si>
    <t xml:space="preserve">2018-07-05</t>
  </si>
  <si>
    <t xml:space="preserve">2018-07-06</t>
  </si>
  <si>
    <t xml:space="preserve">2018-07-07</t>
  </si>
  <si>
    <t xml:space="preserve">2018-07-08</t>
  </si>
  <si>
    <t xml:space="preserve">2018-07-09</t>
  </si>
  <si>
    <t xml:space="preserve">2018-07-10</t>
  </si>
  <si>
    <t xml:space="preserve">2018-07-11</t>
  </si>
  <si>
    <t xml:space="preserve">2018-07-12</t>
  </si>
  <si>
    <t xml:space="preserve">2018-07-13</t>
  </si>
  <si>
    <t xml:space="preserve">2018-07-14</t>
  </si>
  <si>
    <t xml:space="preserve">2018-07-15</t>
  </si>
  <si>
    <t xml:space="preserve">2018-07-16</t>
  </si>
  <si>
    <t xml:space="preserve">2018-07-17</t>
  </si>
  <si>
    <t xml:space="preserve">2018-07-18</t>
  </si>
  <si>
    <t xml:space="preserve">2018-07-19</t>
  </si>
  <si>
    <t xml:space="preserve">2018-07-20</t>
  </si>
  <si>
    <t xml:space="preserve">2018-07-21</t>
  </si>
  <si>
    <t xml:space="preserve">2018-07-22</t>
  </si>
  <si>
    <t xml:space="preserve">2018-07-23</t>
  </si>
  <si>
    <t xml:space="preserve">2018-07-24</t>
  </si>
  <si>
    <t xml:space="preserve">2018-07-25</t>
  </si>
  <si>
    <t xml:space="preserve">2018-07-26</t>
  </si>
  <si>
    <t xml:space="preserve">2018-07-27</t>
  </si>
  <si>
    <t xml:space="preserve">2018-07-28</t>
  </si>
  <si>
    <t xml:space="preserve">2018-07-29</t>
  </si>
  <si>
    <t xml:space="preserve">2018-07-30</t>
  </si>
  <si>
    <t xml:space="preserve">2018-07-31</t>
  </si>
  <si>
    <t xml:space="preserve">2018-08-01</t>
  </si>
  <si>
    <t xml:space="preserve">2018-08-02</t>
  </si>
  <si>
    <t xml:space="preserve">2018-08-03</t>
  </si>
  <si>
    <t xml:space="preserve">2018-08-04</t>
  </si>
  <si>
    <t xml:space="preserve">2018-08-05</t>
  </si>
  <si>
    <t xml:space="preserve">2018-08-06</t>
  </si>
  <si>
    <t xml:space="preserve">2018-08-07</t>
  </si>
  <si>
    <t xml:space="preserve">2018-08-08</t>
  </si>
  <si>
    <t xml:space="preserve">2018-08-09</t>
  </si>
  <si>
    <t xml:space="preserve">2018-08-10</t>
  </si>
  <si>
    <t xml:space="preserve">2018-08-11</t>
  </si>
  <si>
    <t xml:space="preserve">2018-08-12</t>
  </si>
  <si>
    <t xml:space="preserve">2018-08-13</t>
  </si>
  <si>
    <t xml:space="preserve">2018-08-14</t>
  </si>
  <si>
    <t xml:space="preserve">2018-08-15</t>
  </si>
  <si>
    <t xml:space="preserve">2018-08-16</t>
  </si>
  <si>
    <t xml:space="preserve">2018-08-17</t>
  </si>
  <si>
    <t xml:space="preserve">2018-08-18</t>
  </si>
  <si>
    <t xml:space="preserve">2018-08-19</t>
  </si>
  <si>
    <t xml:space="preserve">2018-08-20</t>
  </si>
  <si>
    <t xml:space="preserve">2018-08-21</t>
  </si>
  <si>
    <t xml:space="preserve">2018-08-22</t>
  </si>
  <si>
    <t xml:space="preserve">2018-08-23</t>
  </si>
  <si>
    <t xml:space="preserve">2018-08-24</t>
  </si>
  <si>
    <t xml:space="preserve">2018-08-25</t>
  </si>
  <si>
    <t xml:space="preserve">2018-08-26</t>
  </si>
  <si>
    <t xml:space="preserve">2018-08-27</t>
  </si>
  <si>
    <t xml:space="preserve">2018-08-28</t>
  </si>
  <si>
    <t xml:space="preserve">2018-08-29</t>
  </si>
  <si>
    <t xml:space="preserve">2018-08-30</t>
  </si>
  <si>
    <t xml:space="preserve">2018-08-31</t>
  </si>
  <si>
    <t xml:space="preserve">2018-09-01</t>
  </si>
  <si>
    <t xml:space="preserve">2018-09-02</t>
  </si>
  <si>
    <t xml:space="preserve">2018-09-03</t>
  </si>
  <si>
    <t xml:space="preserve">2018-09-04</t>
  </si>
  <si>
    <t xml:space="preserve">2018-09-05</t>
  </si>
  <si>
    <t xml:space="preserve">2018-09-06</t>
  </si>
  <si>
    <t xml:space="preserve">2018-09-07</t>
  </si>
  <si>
    <t xml:space="preserve">2018-09-08</t>
  </si>
  <si>
    <t xml:space="preserve">2018-09-09</t>
  </si>
  <si>
    <t xml:space="preserve">2018-09-10</t>
  </si>
  <si>
    <t xml:space="preserve">2018-09-11</t>
  </si>
  <si>
    <t xml:space="preserve">2018-09-12</t>
  </si>
  <si>
    <t xml:space="preserve">2018-09-13</t>
  </si>
  <si>
    <t xml:space="preserve">2018-09-14</t>
  </si>
  <si>
    <t xml:space="preserve">2018-09-15</t>
  </si>
  <si>
    <t xml:space="preserve">2018-09-16</t>
  </si>
  <si>
    <t xml:space="preserve">2018-09-17</t>
  </si>
  <si>
    <t xml:space="preserve">2018-09-18</t>
  </si>
  <si>
    <t xml:space="preserve">2018-09-19</t>
  </si>
  <si>
    <t xml:space="preserve">2018-09-20</t>
  </si>
  <si>
    <t xml:space="preserve">2018-09-21</t>
  </si>
  <si>
    <t xml:space="preserve">2018-09-22</t>
  </si>
  <si>
    <t xml:space="preserve">2018-09-23</t>
  </si>
  <si>
    <t xml:space="preserve">2018-09-24</t>
  </si>
  <si>
    <t xml:space="preserve">2018-09-25</t>
  </si>
  <si>
    <t xml:space="preserve">2018-09-26</t>
  </si>
  <si>
    <t xml:space="preserve">2018-09-27</t>
  </si>
  <si>
    <t xml:space="preserve">2018-09-28</t>
  </si>
  <si>
    <t xml:space="preserve">2018-09-29</t>
  </si>
  <si>
    <t xml:space="preserve">2018-09-30</t>
  </si>
  <si>
    <t xml:space="preserve">2018-10-01</t>
  </si>
  <si>
    <t xml:space="preserve">2018-10-02</t>
  </si>
  <si>
    <t xml:space="preserve">2018-10-03</t>
  </si>
  <si>
    <t xml:space="preserve">2018-10-04</t>
  </si>
  <si>
    <t xml:space="preserve">2018-10-05</t>
  </si>
  <si>
    <t xml:space="preserve">2018-10-06</t>
  </si>
  <si>
    <t xml:space="preserve">2018-10-07</t>
  </si>
  <si>
    <t xml:space="preserve">2018-10-08</t>
  </si>
  <si>
    <t xml:space="preserve">2018-10-09</t>
  </si>
  <si>
    <t xml:space="preserve">2018-10-10</t>
  </si>
  <si>
    <t xml:space="preserve">2018-10-11</t>
  </si>
  <si>
    <t xml:space="preserve">2018-10-12</t>
  </si>
  <si>
    <t xml:space="preserve">2018-10-13</t>
  </si>
  <si>
    <t xml:space="preserve">2018-10-14</t>
  </si>
  <si>
    <t xml:space="preserve">2018-10-15</t>
  </si>
  <si>
    <t xml:space="preserve">2018-10-16</t>
  </si>
  <si>
    <t xml:space="preserve">2018-10-17</t>
  </si>
  <si>
    <t xml:space="preserve">2018-10-18</t>
  </si>
  <si>
    <t xml:space="preserve">2018-10-19</t>
  </si>
  <si>
    <t xml:space="preserve">2018-10-20</t>
  </si>
  <si>
    <t xml:space="preserve">2018-10-21</t>
  </si>
  <si>
    <t xml:space="preserve">2018-10-22</t>
  </si>
  <si>
    <t xml:space="preserve">2018-10-23</t>
  </si>
  <si>
    <t xml:space="preserve">2018-10-24</t>
  </si>
  <si>
    <t xml:space="preserve">2018-10-25</t>
  </si>
  <si>
    <t xml:space="preserve">2018-10-26</t>
  </si>
  <si>
    <t xml:space="preserve">2018-10-27</t>
  </si>
  <si>
    <t xml:space="preserve">2018-10-28</t>
  </si>
  <si>
    <t xml:space="preserve">2018-10-29</t>
  </si>
  <si>
    <t xml:space="preserve">2018-10-30</t>
  </si>
  <si>
    <t xml:space="preserve">2018-10-31</t>
  </si>
  <si>
    <t xml:space="preserve">2018-11-01</t>
  </si>
  <si>
    <t xml:space="preserve">2018-11-02</t>
  </si>
  <si>
    <t xml:space="preserve">2018-11-03</t>
  </si>
  <si>
    <t xml:space="preserve">2018-11-04</t>
  </si>
  <si>
    <t xml:space="preserve">2018-11-05</t>
  </si>
  <si>
    <t xml:space="preserve">2018-11-06</t>
  </si>
  <si>
    <t xml:space="preserve">2018-11-07</t>
  </si>
  <si>
    <t xml:space="preserve">2018-11-08</t>
  </si>
  <si>
    <t xml:space="preserve">2018-11-09</t>
  </si>
  <si>
    <t xml:space="preserve">2018-11-10</t>
  </si>
  <si>
    <t xml:space="preserve">2018-11-11</t>
  </si>
  <si>
    <t xml:space="preserve">2018-11-12</t>
  </si>
  <si>
    <t xml:space="preserve">2018-11-13</t>
  </si>
  <si>
    <t xml:space="preserve">2018-11-14</t>
  </si>
  <si>
    <t xml:space="preserve">2018-11-15</t>
  </si>
  <si>
    <t xml:space="preserve">2018-11-16</t>
  </si>
  <si>
    <t xml:space="preserve">2018-11-17</t>
  </si>
  <si>
    <t xml:space="preserve">2018-11-18</t>
  </si>
  <si>
    <t xml:space="preserve">2018-11-19</t>
  </si>
  <si>
    <t xml:space="preserve">2018-11-20</t>
  </si>
  <si>
    <t xml:space="preserve">2018-11-21</t>
  </si>
  <si>
    <t xml:space="preserve">2018-11-22</t>
  </si>
  <si>
    <t xml:space="preserve">2018-11-23</t>
  </si>
  <si>
    <t xml:space="preserve">2018-11-24</t>
  </si>
  <si>
    <t xml:space="preserve">2018-11-25</t>
  </si>
  <si>
    <t xml:space="preserve">2018-11-26</t>
  </si>
  <si>
    <t xml:space="preserve">2018-11-27</t>
  </si>
  <si>
    <t xml:space="preserve">2018-11-28</t>
  </si>
  <si>
    <t xml:space="preserve">2018-11-29</t>
  </si>
  <si>
    <t xml:space="preserve">2018-11-30</t>
  </si>
  <si>
    <t xml:space="preserve">2018-12-01</t>
  </si>
  <si>
    <t xml:space="preserve">2018-12-02</t>
  </si>
  <si>
    <t xml:space="preserve">2018-12-03</t>
  </si>
  <si>
    <t xml:space="preserve">2018-12-04</t>
  </si>
  <si>
    <t xml:space="preserve">2018-12-05</t>
  </si>
  <si>
    <t xml:space="preserve">2018-12-06</t>
  </si>
  <si>
    <t xml:space="preserve">2018-12-07</t>
  </si>
  <si>
    <t xml:space="preserve">2018-12-08</t>
  </si>
  <si>
    <t xml:space="preserve">2018-12-09</t>
  </si>
  <si>
    <t xml:space="preserve">2018-12-10</t>
  </si>
  <si>
    <t xml:space="preserve">2018-12-11</t>
  </si>
  <si>
    <t xml:space="preserve">2018-12-12</t>
  </si>
  <si>
    <t xml:space="preserve">2018-12-13</t>
  </si>
  <si>
    <t xml:space="preserve">2018-12-14</t>
  </si>
  <si>
    <t xml:space="preserve">2018-12-15</t>
  </si>
  <si>
    <t xml:space="preserve">2018-12-16</t>
  </si>
  <si>
    <t xml:space="preserve">2018-12-17</t>
  </si>
  <si>
    <t xml:space="preserve">2018-12-18</t>
  </si>
  <si>
    <t xml:space="preserve">2018-12-19</t>
  </si>
  <si>
    <t xml:space="preserve">2018-12-20</t>
  </si>
  <si>
    <t xml:space="preserve">2018-12-21</t>
  </si>
  <si>
    <t xml:space="preserve">2018-12-22</t>
  </si>
  <si>
    <t xml:space="preserve">2018-12-23</t>
  </si>
  <si>
    <t xml:space="preserve">2018-12-24</t>
  </si>
  <si>
    <t xml:space="preserve">2018-12-25</t>
  </si>
  <si>
    <t xml:space="preserve">2018-12-26</t>
  </si>
  <si>
    <t xml:space="preserve">2018-12-27</t>
  </si>
  <si>
    <t xml:space="preserve">2018-12-28</t>
  </si>
  <si>
    <t xml:space="preserve">2018-12-29</t>
  </si>
  <si>
    <t xml:space="preserve">2018-12-30</t>
  </si>
  <si>
    <t xml:space="preserve">2018-12-31</t>
  </si>
  <si>
    <t xml:space="preserve">2019-01-01</t>
  </si>
  <si>
    <t xml:space="preserve">2019-01-02</t>
  </si>
  <si>
    <t xml:space="preserve">2019-01-03</t>
  </si>
  <si>
    <t xml:space="preserve">2019-01-04</t>
  </si>
  <si>
    <t xml:space="preserve">2019-01-05</t>
  </si>
  <si>
    <t xml:space="preserve">2019-01-06</t>
  </si>
  <si>
    <t xml:space="preserve">2019-01-07</t>
  </si>
  <si>
    <t xml:space="preserve">2019-01-08</t>
  </si>
  <si>
    <t xml:space="preserve">2019-01-09</t>
  </si>
  <si>
    <t xml:space="preserve">2019-01-10</t>
  </si>
  <si>
    <t xml:space="preserve">2019-01-11</t>
  </si>
  <si>
    <t xml:space="preserve">2019-01-12</t>
  </si>
  <si>
    <t xml:space="preserve">2019-01-13</t>
  </si>
  <si>
    <t xml:space="preserve">2019-01-14</t>
  </si>
  <si>
    <t xml:space="preserve">2019-01-15</t>
  </si>
  <si>
    <t xml:space="preserve">2019-01-16</t>
  </si>
  <si>
    <t xml:space="preserve">2019-01-17</t>
  </si>
  <si>
    <t xml:space="preserve">2019-01-18</t>
  </si>
  <si>
    <t xml:space="preserve">2019-01-19</t>
  </si>
  <si>
    <t xml:space="preserve">2019-01-20</t>
  </si>
  <si>
    <t xml:space="preserve">2019-01-21</t>
  </si>
  <si>
    <t xml:space="preserve">2019-01-22</t>
  </si>
  <si>
    <t xml:space="preserve">2019-01-23</t>
  </si>
  <si>
    <t xml:space="preserve">2019-01-24</t>
  </si>
  <si>
    <t xml:space="preserve">2019-01-25</t>
  </si>
  <si>
    <t xml:space="preserve">2019-01-26</t>
  </si>
  <si>
    <t xml:space="preserve">2019-01-27</t>
  </si>
  <si>
    <t xml:space="preserve">2019-01-28</t>
  </si>
  <si>
    <t xml:space="preserve">2019-01-29</t>
  </si>
  <si>
    <t xml:space="preserve">2019-01-30</t>
  </si>
  <si>
    <t xml:space="preserve">2019-01-31</t>
  </si>
  <si>
    <t xml:space="preserve">2019-02-01</t>
  </si>
  <si>
    <t xml:space="preserve">2019-02-02</t>
  </si>
  <si>
    <t xml:space="preserve">2019-02-03</t>
  </si>
  <si>
    <t xml:space="preserve">2019-02-04</t>
  </si>
  <si>
    <t xml:space="preserve">2019-02-05</t>
  </si>
  <si>
    <t xml:space="preserve">2019-02-06</t>
  </si>
  <si>
    <t xml:space="preserve">2019-02-07</t>
  </si>
  <si>
    <t xml:space="preserve">2019-02-08</t>
  </si>
  <si>
    <t xml:space="preserve">2019-02-09</t>
  </si>
  <si>
    <t xml:space="preserve">2019-02-10</t>
  </si>
  <si>
    <t xml:space="preserve">2019-02-11</t>
  </si>
  <si>
    <t xml:space="preserve">2019-02-12</t>
  </si>
  <si>
    <t xml:space="preserve">2019-02-13</t>
  </si>
  <si>
    <t xml:space="preserve">2019-02-14</t>
  </si>
  <si>
    <t xml:space="preserve">2019-02-15</t>
  </si>
  <si>
    <t xml:space="preserve">2019-02-16</t>
  </si>
  <si>
    <t xml:space="preserve">2019-02-17</t>
  </si>
  <si>
    <t xml:space="preserve">2019-02-18</t>
  </si>
  <si>
    <t xml:space="preserve">2019-02-19</t>
  </si>
  <si>
    <t xml:space="preserve">2019-02-20</t>
  </si>
  <si>
    <t xml:space="preserve">2019-02-21</t>
  </si>
  <si>
    <t xml:space="preserve">2019-02-22</t>
  </si>
  <si>
    <t xml:space="preserve">2019-02-23</t>
  </si>
  <si>
    <t xml:space="preserve">2019-02-24</t>
  </si>
  <si>
    <t xml:space="preserve">2019-02-25</t>
  </si>
  <si>
    <t xml:space="preserve">2019-02-26</t>
  </si>
  <si>
    <t xml:space="preserve">2019-02-27</t>
  </si>
  <si>
    <t xml:space="preserve">2019-02-28</t>
  </si>
  <si>
    <t xml:space="preserve">2019-03-01</t>
  </si>
  <si>
    <t xml:space="preserve">2019-03-02</t>
  </si>
  <si>
    <t xml:space="preserve">2019-03-03</t>
  </si>
  <si>
    <t xml:space="preserve">2019-03-04</t>
  </si>
  <si>
    <t xml:space="preserve">2019-03-05</t>
  </si>
  <si>
    <t xml:space="preserve">2019-03-06</t>
  </si>
  <si>
    <t xml:space="preserve">2019-03-07</t>
  </si>
  <si>
    <t xml:space="preserve">2019-03-08</t>
  </si>
  <si>
    <t xml:space="preserve">2019-03-09</t>
  </si>
  <si>
    <t xml:space="preserve">2019-03-10</t>
  </si>
  <si>
    <t xml:space="preserve">2019-03-11</t>
  </si>
  <si>
    <t xml:space="preserve">2019-03-12</t>
  </si>
  <si>
    <t xml:space="preserve">2019-03-13</t>
  </si>
  <si>
    <t xml:space="preserve">2019-03-14</t>
  </si>
  <si>
    <t xml:space="preserve">2019-03-15</t>
  </si>
  <si>
    <t xml:space="preserve">2019-03-16</t>
  </si>
  <si>
    <t xml:space="preserve">2019-03-17</t>
  </si>
  <si>
    <t xml:space="preserve">2019-03-18</t>
  </si>
  <si>
    <t xml:space="preserve">2019-03-19</t>
  </si>
  <si>
    <t xml:space="preserve">2019-03-20</t>
  </si>
  <si>
    <t xml:space="preserve">2019-03-21</t>
  </si>
  <si>
    <t xml:space="preserve">2019-03-22</t>
  </si>
  <si>
    <t xml:space="preserve">2019-03-23</t>
  </si>
  <si>
    <t xml:space="preserve">2019-03-24</t>
  </si>
  <si>
    <t xml:space="preserve">2019-03-25</t>
  </si>
  <si>
    <t xml:space="preserve">2019-03-26</t>
  </si>
  <si>
    <t xml:space="preserve">2019-03-27</t>
  </si>
  <si>
    <t xml:space="preserve">2019-03-28</t>
  </si>
  <si>
    <t xml:space="preserve">2019-03-29</t>
  </si>
  <si>
    <t xml:space="preserve">2019-03-30</t>
  </si>
  <si>
    <t xml:space="preserve">2019-03-31</t>
  </si>
  <si>
    <t xml:space="preserve">2019-04-01</t>
  </si>
  <si>
    <t xml:space="preserve">2019-04-02</t>
  </si>
  <si>
    <t xml:space="preserve">2019-04-03</t>
  </si>
  <si>
    <t xml:space="preserve">2019-04-04</t>
  </si>
  <si>
    <t xml:space="preserve">2019-04-05</t>
  </si>
  <si>
    <t xml:space="preserve">2019-04-06</t>
  </si>
  <si>
    <t xml:space="preserve">2019-04-07</t>
  </si>
  <si>
    <t xml:space="preserve">2019-04-08</t>
  </si>
  <si>
    <t xml:space="preserve">2019-04-09</t>
  </si>
  <si>
    <t xml:space="preserve">2019-04-10</t>
  </si>
  <si>
    <t xml:space="preserve">2019-04-11</t>
  </si>
  <si>
    <t xml:space="preserve">2019-04-12</t>
  </si>
  <si>
    <t xml:space="preserve">2019-04-13</t>
  </si>
  <si>
    <t xml:space="preserve">2019-04-14</t>
  </si>
  <si>
    <t xml:space="preserve">2019-04-15</t>
  </si>
  <si>
    <t xml:space="preserve">2019-04-16</t>
  </si>
  <si>
    <t xml:space="preserve">2019-04-17</t>
  </si>
  <si>
    <t xml:space="preserve">2019-04-18</t>
  </si>
  <si>
    <t xml:space="preserve">2019-04-19</t>
  </si>
  <si>
    <t xml:space="preserve">2019-04-20</t>
  </si>
  <si>
    <t xml:space="preserve">2019-04-21</t>
  </si>
  <si>
    <t xml:space="preserve">2019-04-22</t>
  </si>
  <si>
    <t xml:space="preserve">2019-04-23</t>
  </si>
  <si>
    <t xml:space="preserve">2019-04-24</t>
  </si>
  <si>
    <t xml:space="preserve">2019-04-25</t>
  </si>
  <si>
    <t xml:space="preserve">2019-04-26</t>
  </si>
  <si>
    <t xml:space="preserve">2019-04-27</t>
  </si>
  <si>
    <t xml:space="preserve">2019-04-28</t>
  </si>
  <si>
    <t xml:space="preserve">2019-04-29</t>
  </si>
  <si>
    <t xml:space="preserve">2019-04-30</t>
  </si>
  <si>
    <t xml:space="preserve">2019-05-01</t>
  </si>
  <si>
    <t xml:space="preserve">2019-05-02</t>
  </si>
  <si>
    <t xml:space="preserve">2019-05-03</t>
  </si>
  <si>
    <t xml:space="preserve">2019-05-04</t>
  </si>
  <si>
    <t xml:space="preserve">2019-05-05</t>
  </si>
  <si>
    <t xml:space="preserve">2019-05-06</t>
  </si>
  <si>
    <t xml:space="preserve">2019-05-07</t>
  </si>
  <si>
    <t xml:space="preserve">2019-05-08</t>
  </si>
  <si>
    <t xml:space="preserve">2019-05-09</t>
  </si>
  <si>
    <t xml:space="preserve">2019-05-10</t>
  </si>
  <si>
    <t xml:space="preserve">2019-05-11</t>
  </si>
  <si>
    <t xml:space="preserve">2019-05-12</t>
  </si>
  <si>
    <t xml:space="preserve">2019-05-13</t>
  </si>
  <si>
    <t xml:space="preserve">2019-05-14</t>
  </si>
  <si>
    <t xml:space="preserve">2019-05-15</t>
  </si>
  <si>
    <t xml:space="preserve">2019-05-16</t>
  </si>
  <si>
    <t xml:space="preserve">2019-05-17</t>
  </si>
  <si>
    <t xml:space="preserve">2019-05-18</t>
  </si>
  <si>
    <t xml:space="preserve">2019-05-19</t>
  </si>
  <si>
    <t xml:space="preserve">2019-05-20</t>
  </si>
  <si>
    <t xml:space="preserve">2019-05-21</t>
  </si>
  <si>
    <t xml:space="preserve">2019-05-22</t>
  </si>
  <si>
    <t xml:space="preserve">2019-05-23</t>
  </si>
  <si>
    <t xml:space="preserve">2019-05-24</t>
  </si>
  <si>
    <t xml:space="preserve">2019-05-25</t>
  </si>
  <si>
    <t xml:space="preserve">2019-05-26</t>
  </si>
  <si>
    <t xml:space="preserve">2019-05-27</t>
  </si>
  <si>
    <t xml:space="preserve">2019-05-28</t>
  </si>
  <si>
    <t xml:space="preserve">2019-05-29</t>
  </si>
  <si>
    <t xml:space="preserve">2019-05-30</t>
  </si>
  <si>
    <t xml:space="preserve">2019-05-31</t>
  </si>
  <si>
    <t xml:space="preserve">2019-06-01</t>
  </si>
  <si>
    <t xml:space="preserve">2019-06-02</t>
  </si>
  <si>
    <t xml:space="preserve">2019-06-03</t>
  </si>
  <si>
    <t xml:space="preserve">2019-06-04</t>
  </si>
  <si>
    <t xml:space="preserve">2019-06-05</t>
  </si>
  <si>
    <t xml:space="preserve">2019-06-06</t>
  </si>
  <si>
    <t xml:space="preserve">2019-06-07</t>
  </si>
  <si>
    <t xml:space="preserve">2019-06-08</t>
  </si>
  <si>
    <t xml:space="preserve">2019-06-09</t>
  </si>
  <si>
    <t xml:space="preserve">2019-06-10</t>
  </si>
  <si>
    <t xml:space="preserve">2019-06-11</t>
  </si>
  <si>
    <t xml:space="preserve">2019-06-12</t>
  </si>
  <si>
    <t xml:space="preserve">2019-06-13</t>
  </si>
  <si>
    <t xml:space="preserve">2019-06-14</t>
  </si>
  <si>
    <t xml:space="preserve">2019-06-15</t>
  </si>
  <si>
    <t xml:space="preserve">2019-06-16</t>
  </si>
  <si>
    <t xml:space="preserve">2019-06-17</t>
  </si>
  <si>
    <t xml:space="preserve">2019-06-18</t>
  </si>
  <si>
    <t xml:space="preserve">2019-06-19</t>
  </si>
  <si>
    <t xml:space="preserve">2019-06-20</t>
  </si>
  <si>
    <t xml:space="preserve">2019-06-21</t>
  </si>
  <si>
    <t xml:space="preserve">2019-06-22</t>
  </si>
  <si>
    <t xml:space="preserve">2019-06-23</t>
  </si>
  <si>
    <t xml:space="preserve">2019-06-24</t>
  </si>
  <si>
    <t xml:space="preserve">2019-06-25</t>
  </si>
  <si>
    <t xml:space="preserve">2019-06-26</t>
  </si>
  <si>
    <t xml:space="preserve">2019-06-27</t>
  </si>
  <si>
    <t xml:space="preserve">2019-06-28</t>
  </si>
  <si>
    <t xml:space="preserve">2019-06-29</t>
  </si>
  <si>
    <t xml:space="preserve">2019-06-30</t>
  </si>
  <si>
    <t xml:space="preserve">2019-07-01</t>
  </si>
  <si>
    <t xml:space="preserve">2019-07-02</t>
  </si>
  <si>
    <t xml:space="preserve">2019-07-03</t>
  </si>
  <si>
    <t xml:space="preserve">2019-07-04</t>
  </si>
  <si>
    <t xml:space="preserve">2019-07-05</t>
  </si>
  <si>
    <t xml:space="preserve">2019-07-06</t>
  </si>
  <si>
    <t xml:space="preserve">2019-07-07</t>
  </si>
  <si>
    <t xml:space="preserve">2019-07-08</t>
  </si>
  <si>
    <t xml:space="preserve">2019-07-09</t>
  </si>
  <si>
    <t xml:space="preserve">2019-07-10</t>
  </si>
  <si>
    <t xml:space="preserve">2019-07-11</t>
  </si>
  <si>
    <t xml:space="preserve">2019-07-12</t>
  </si>
  <si>
    <t xml:space="preserve">2019-07-13</t>
  </si>
  <si>
    <t xml:space="preserve">2019-07-14</t>
  </si>
  <si>
    <t xml:space="preserve">2019-07-15</t>
  </si>
  <si>
    <t xml:space="preserve">2019-07-16</t>
  </si>
  <si>
    <t xml:space="preserve">2019-07-17</t>
  </si>
  <si>
    <t xml:space="preserve">2019-07-18</t>
  </si>
  <si>
    <t xml:space="preserve">2019-07-19</t>
  </si>
  <si>
    <t xml:space="preserve">2019-07-20</t>
  </si>
  <si>
    <t xml:space="preserve">2019-07-21</t>
  </si>
  <si>
    <t xml:space="preserve">2019-07-22</t>
  </si>
  <si>
    <t xml:space="preserve">2019-07-23</t>
  </si>
  <si>
    <t xml:space="preserve">2019-07-24</t>
  </si>
  <si>
    <t xml:space="preserve">2019-07-25</t>
  </si>
  <si>
    <t xml:space="preserve">2019-07-26</t>
  </si>
  <si>
    <t xml:space="preserve">2019-07-27</t>
  </si>
  <si>
    <t xml:space="preserve">2019-07-28</t>
  </si>
  <si>
    <t xml:space="preserve">2019-07-29</t>
  </si>
  <si>
    <t xml:space="preserve">2019-07-30</t>
  </si>
  <si>
    <t xml:space="preserve">2019-07-31</t>
  </si>
  <si>
    <t xml:space="preserve">2019-08-01</t>
  </si>
  <si>
    <t xml:space="preserve">2019-08-02</t>
  </si>
  <si>
    <t xml:space="preserve">2019-08-03</t>
  </si>
  <si>
    <t xml:space="preserve">2019-08-04</t>
  </si>
  <si>
    <t xml:space="preserve">2019-08-05</t>
  </si>
  <si>
    <t xml:space="preserve">2019-08-06</t>
  </si>
  <si>
    <t xml:space="preserve">2019-08-07</t>
  </si>
  <si>
    <t xml:space="preserve">2019-08-08</t>
  </si>
  <si>
    <t xml:space="preserve">2019-08-09</t>
  </si>
  <si>
    <t xml:space="preserve">2019-08-10</t>
  </si>
  <si>
    <t xml:space="preserve">2019-08-11</t>
  </si>
  <si>
    <t xml:space="preserve">2019-08-12</t>
  </si>
  <si>
    <t xml:space="preserve">2019-08-13</t>
  </si>
  <si>
    <t xml:space="preserve">2019-08-14</t>
  </si>
  <si>
    <t xml:space="preserve">2019-08-15</t>
  </si>
  <si>
    <t xml:space="preserve">2019-08-16</t>
  </si>
  <si>
    <t xml:space="preserve">2019-08-17</t>
  </si>
  <si>
    <t xml:space="preserve">2019-08-18</t>
  </si>
  <si>
    <t xml:space="preserve">2019-08-19</t>
  </si>
  <si>
    <t xml:space="preserve">2019-08-20</t>
  </si>
  <si>
    <t xml:space="preserve">2019-08-21</t>
  </si>
  <si>
    <t xml:space="preserve">2019-08-22</t>
  </si>
  <si>
    <t xml:space="preserve">2019-08-23</t>
  </si>
  <si>
    <t xml:space="preserve">2019-08-24</t>
  </si>
  <si>
    <t xml:space="preserve">2019-08-25</t>
  </si>
  <si>
    <t xml:space="preserve">2019-08-26</t>
  </si>
  <si>
    <t xml:space="preserve">2019-08-27</t>
  </si>
  <si>
    <t xml:space="preserve">2019-08-28</t>
  </si>
  <si>
    <t xml:space="preserve">2019-08-29</t>
  </si>
  <si>
    <t xml:space="preserve">2019-08-30</t>
  </si>
  <si>
    <t xml:space="preserve">2019-08-31</t>
  </si>
  <si>
    <t xml:space="preserve">2019-09-01</t>
  </si>
  <si>
    <t xml:space="preserve">2019-09-02</t>
  </si>
  <si>
    <t xml:space="preserve">2019-09-03</t>
  </si>
  <si>
    <t xml:space="preserve">2019-09-04</t>
  </si>
  <si>
    <t xml:space="preserve">2019-09-05</t>
  </si>
  <si>
    <t xml:space="preserve">2019-09-06</t>
  </si>
  <si>
    <t xml:space="preserve">2019-09-07</t>
  </si>
  <si>
    <t xml:space="preserve">2019-09-08</t>
  </si>
  <si>
    <t xml:space="preserve">2019-09-09</t>
  </si>
  <si>
    <t xml:space="preserve">2019-09-10</t>
  </si>
  <si>
    <t xml:space="preserve">2019-09-11</t>
  </si>
  <si>
    <t xml:space="preserve">2019-09-12</t>
  </si>
  <si>
    <t xml:space="preserve">2019-09-13</t>
  </si>
  <si>
    <t xml:space="preserve">2019-09-14</t>
  </si>
  <si>
    <t xml:space="preserve">2019-09-15</t>
  </si>
  <si>
    <t xml:space="preserve">2019-09-16</t>
  </si>
  <si>
    <t xml:space="preserve">2019-09-17</t>
  </si>
  <si>
    <t xml:space="preserve">2019-09-18</t>
  </si>
  <si>
    <t xml:space="preserve">2019-09-19</t>
  </si>
  <si>
    <t xml:space="preserve">2019-09-20</t>
  </si>
  <si>
    <t xml:space="preserve">2019-09-21</t>
  </si>
  <si>
    <t xml:space="preserve">2019-09-22</t>
  </si>
  <si>
    <t xml:space="preserve">2019-09-23</t>
  </si>
  <si>
    <t xml:space="preserve">2019-09-24</t>
  </si>
  <si>
    <t xml:space="preserve">2019-09-25</t>
  </si>
  <si>
    <t xml:space="preserve">2019-09-26</t>
  </si>
  <si>
    <t xml:space="preserve">2019-09-27</t>
  </si>
  <si>
    <t xml:space="preserve">2019-09-28</t>
  </si>
  <si>
    <t xml:space="preserve">2019-09-29</t>
  </si>
  <si>
    <t xml:space="preserve">2019-09-30</t>
  </si>
  <si>
    <t xml:space="preserve">2019-10-01</t>
  </si>
  <si>
    <t xml:space="preserve">2019-10-02</t>
  </si>
  <si>
    <t xml:space="preserve">2019-10-03</t>
  </si>
  <si>
    <t xml:space="preserve">2019-10-04</t>
  </si>
  <si>
    <t xml:space="preserve">2019-10-05</t>
  </si>
  <si>
    <t xml:space="preserve">2019-10-06</t>
  </si>
  <si>
    <t xml:space="preserve">2019-10-07</t>
  </si>
  <si>
    <t xml:space="preserve">2019-10-08</t>
  </si>
  <si>
    <t xml:space="preserve">2019-10-09</t>
  </si>
  <si>
    <t xml:space="preserve">2019-10-10</t>
  </si>
  <si>
    <t xml:space="preserve">2019-10-11</t>
  </si>
  <si>
    <t xml:space="preserve">2019-10-12</t>
  </si>
  <si>
    <t xml:space="preserve">2019-10-13</t>
  </si>
  <si>
    <t xml:space="preserve">2019-10-14</t>
  </si>
  <si>
    <t xml:space="preserve">2019-10-15</t>
  </si>
  <si>
    <t xml:space="preserve">2019-10-16</t>
  </si>
  <si>
    <t xml:space="preserve">2019-10-17</t>
  </si>
  <si>
    <t xml:space="preserve">2019-10-18</t>
  </si>
  <si>
    <t xml:space="preserve">2019-10-19</t>
  </si>
  <si>
    <t xml:space="preserve">2019-10-20</t>
  </si>
  <si>
    <t xml:space="preserve">2019-10-21</t>
  </si>
  <si>
    <t xml:space="preserve">2019-10-22</t>
  </si>
  <si>
    <t xml:space="preserve">2019-10-23</t>
  </si>
  <si>
    <t xml:space="preserve">2019-10-24</t>
  </si>
  <si>
    <t xml:space="preserve">2019-10-25</t>
  </si>
  <si>
    <t xml:space="preserve">2019-10-26</t>
  </si>
  <si>
    <t xml:space="preserve">2019-10-27</t>
  </si>
  <si>
    <t xml:space="preserve">2019-10-28</t>
  </si>
  <si>
    <t xml:space="preserve">2019-10-29</t>
  </si>
  <si>
    <t xml:space="preserve">2019-10-30</t>
  </si>
  <si>
    <t xml:space="preserve">2019-10-31</t>
  </si>
  <si>
    <t xml:space="preserve">2019-11-01</t>
  </si>
  <si>
    <t xml:space="preserve">2019-11-02</t>
  </si>
  <si>
    <t xml:space="preserve">2019-11-03</t>
  </si>
  <si>
    <t xml:space="preserve">2019-11-04</t>
  </si>
  <si>
    <t xml:space="preserve">2019-11-05</t>
  </si>
  <si>
    <t xml:space="preserve">2019-11-06</t>
  </si>
  <si>
    <t xml:space="preserve">2019-11-07</t>
  </si>
  <si>
    <t xml:space="preserve">2019-11-08</t>
  </si>
  <si>
    <t xml:space="preserve">2019-11-09</t>
  </si>
  <si>
    <t xml:space="preserve">2019-11-10</t>
  </si>
  <si>
    <t xml:space="preserve">2019-11-11</t>
  </si>
  <si>
    <t xml:space="preserve">2019-11-12</t>
  </si>
  <si>
    <t xml:space="preserve">2019-11-13</t>
  </si>
  <si>
    <t xml:space="preserve">2019-11-14</t>
  </si>
  <si>
    <t xml:space="preserve">2019-11-15</t>
  </si>
  <si>
    <t xml:space="preserve">2019-11-16</t>
  </si>
  <si>
    <t xml:space="preserve">2019-11-17</t>
  </si>
  <si>
    <t xml:space="preserve">2019-11-18</t>
  </si>
  <si>
    <t xml:space="preserve">2019-11-19</t>
  </si>
  <si>
    <t xml:space="preserve">2019-11-20</t>
  </si>
  <si>
    <t xml:space="preserve">2019-11-21</t>
  </si>
  <si>
    <t xml:space="preserve">2019-11-22</t>
  </si>
  <si>
    <t xml:space="preserve">2019-11-23</t>
  </si>
  <si>
    <t xml:space="preserve">2019-11-24</t>
  </si>
  <si>
    <t xml:space="preserve">2019-11-25</t>
  </si>
  <si>
    <t xml:space="preserve">2019-11-26</t>
  </si>
  <si>
    <t xml:space="preserve">2019-11-27</t>
  </si>
  <si>
    <t xml:space="preserve">2019-11-28</t>
  </si>
  <si>
    <t xml:space="preserve">2019-11-29</t>
  </si>
  <si>
    <t xml:space="preserve">2019-11-30</t>
  </si>
  <si>
    <t xml:space="preserve">2019-12-01</t>
  </si>
  <si>
    <t xml:space="preserve">2019-12-02</t>
  </si>
  <si>
    <t xml:space="preserve">2019-12-03</t>
  </si>
  <si>
    <t xml:space="preserve">2019-12-04</t>
  </si>
  <si>
    <t xml:space="preserve">2019-12-05</t>
  </si>
  <si>
    <t xml:space="preserve">2019-12-06</t>
  </si>
  <si>
    <t xml:space="preserve">2019-12-07</t>
  </si>
  <si>
    <t xml:space="preserve">2019-12-08</t>
  </si>
  <si>
    <t xml:space="preserve">2019-12-09</t>
  </si>
  <si>
    <t xml:space="preserve">2019-12-10</t>
  </si>
  <si>
    <t xml:space="preserve">2019-12-11</t>
  </si>
  <si>
    <t xml:space="preserve">2019-12-12</t>
  </si>
  <si>
    <t xml:space="preserve">2019-12-13</t>
  </si>
  <si>
    <t xml:space="preserve">2019-12-14</t>
  </si>
  <si>
    <t xml:space="preserve">2019-12-15</t>
  </si>
  <si>
    <t xml:space="preserve">2019-12-16</t>
  </si>
  <si>
    <t xml:space="preserve">2019-12-17</t>
  </si>
  <si>
    <t xml:space="preserve">2019-12-18</t>
  </si>
  <si>
    <t xml:space="preserve">2019-12-19</t>
  </si>
  <si>
    <t xml:space="preserve">2019-12-20</t>
  </si>
  <si>
    <t xml:space="preserve">2019-12-21</t>
  </si>
  <si>
    <t xml:space="preserve">2019-12-22</t>
  </si>
  <si>
    <t xml:space="preserve">2019-12-23</t>
  </si>
  <si>
    <t xml:space="preserve">2019-12-24</t>
  </si>
  <si>
    <t xml:space="preserve">2019-12-25</t>
  </si>
  <si>
    <t xml:space="preserve">2019-12-26</t>
  </si>
  <si>
    <t xml:space="preserve">2019-12-27</t>
  </si>
  <si>
    <t xml:space="preserve">2019-12-28</t>
  </si>
  <si>
    <t xml:space="preserve">2019-12-29</t>
  </si>
  <si>
    <t xml:space="preserve">2019-12-30</t>
  </si>
  <si>
    <t xml:space="preserve">2019-12-31</t>
  </si>
  <si>
    <t xml:space="preserve">2020-01-01</t>
  </si>
  <si>
    <t xml:space="preserve">2020-01-02</t>
  </si>
  <si>
    <t xml:space="preserve">2020-01-03</t>
  </si>
  <si>
    <t xml:space="preserve">2020-01-04</t>
  </si>
  <si>
    <t xml:space="preserve">2020-01-05</t>
  </si>
  <si>
    <t xml:space="preserve">2020-01-06</t>
  </si>
  <si>
    <t xml:space="preserve">2020-01-07</t>
  </si>
  <si>
    <t xml:space="preserve">2020-01-08</t>
  </si>
  <si>
    <t xml:space="preserve">2020-01-09</t>
  </si>
  <si>
    <t xml:space="preserve">2020-01-10</t>
  </si>
  <si>
    <t xml:space="preserve">2020-01-11</t>
  </si>
  <si>
    <t xml:space="preserve">2020-01-12</t>
  </si>
  <si>
    <t xml:space="preserve">2020-01-13</t>
  </si>
  <si>
    <t xml:space="preserve">2020-01-14</t>
  </si>
  <si>
    <t xml:space="preserve">2020-01-15</t>
  </si>
  <si>
    <t xml:space="preserve">2020-01-16</t>
  </si>
  <si>
    <t xml:space="preserve">2020-01-17</t>
  </si>
  <si>
    <t xml:space="preserve">2020-01-18</t>
  </si>
  <si>
    <t xml:space="preserve">2020-01-19</t>
  </si>
  <si>
    <t xml:space="preserve">2020-01-20</t>
  </si>
  <si>
    <t xml:space="preserve">2020-01-21</t>
  </si>
  <si>
    <t xml:space="preserve">2020-01-22</t>
  </si>
  <si>
    <t xml:space="preserve">2020-01-23</t>
  </si>
  <si>
    <t xml:space="preserve">2020-01-24</t>
  </si>
  <si>
    <t xml:space="preserve">2020-01-25</t>
  </si>
  <si>
    <t xml:space="preserve">2020-01-26</t>
  </si>
  <si>
    <t xml:space="preserve">2020-01-27</t>
  </si>
  <si>
    <t xml:space="preserve">2020-01-28</t>
  </si>
  <si>
    <t xml:space="preserve">2020-01-29</t>
  </si>
  <si>
    <t xml:space="preserve">2020-01-30</t>
  </si>
  <si>
    <t xml:space="preserve">2020-01-31</t>
  </si>
  <si>
    <t xml:space="preserve">2020-02-01</t>
  </si>
  <si>
    <t xml:space="preserve">2020-02-02</t>
  </si>
  <si>
    <t xml:space="preserve">2020-02-03</t>
  </si>
  <si>
    <t xml:space="preserve">2020-02-04</t>
  </si>
  <si>
    <t xml:space="preserve">2020-02-05</t>
  </si>
  <si>
    <t xml:space="preserve">2020-02-06</t>
  </si>
  <si>
    <t xml:space="preserve">2020-02-07</t>
  </si>
  <si>
    <t xml:space="preserve">2020-02-08</t>
  </si>
  <si>
    <t xml:space="preserve">2020-02-09</t>
  </si>
  <si>
    <t xml:space="preserve">2020-02-10</t>
  </si>
  <si>
    <t xml:space="preserve">2020-02-11</t>
  </si>
  <si>
    <t xml:space="preserve">2020-02-12</t>
  </si>
  <si>
    <t xml:space="preserve">2020-02-13</t>
  </si>
  <si>
    <t xml:space="preserve">2020-02-14</t>
  </si>
  <si>
    <t xml:space="preserve">2020-02-15</t>
  </si>
  <si>
    <t xml:space="preserve">2020-02-16</t>
  </si>
  <si>
    <t xml:space="preserve">2020-02-17</t>
  </si>
  <si>
    <t xml:space="preserve">2020-02-18</t>
  </si>
  <si>
    <t xml:space="preserve">2020-02-19</t>
  </si>
  <si>
    <t xml:space="preserve">2020-02-20</t>
  </si>
  <si>
    <t xml:space="preserve">2020-02-21</t>
  </si>
  <si>
    <t xml:space="preserve">2020-02-22</t>
  </si>
  <si>
    <t xml:space="preserve">2020-02-23</t>
  </si>
  <si>
    <t xml:space="preserve">2020-02-24</t>
  </si>
  <si>
    <t xml:space="preserve">2020-02-25</t>
  </si>
  <si>
    <t xml:space="preserve">2020-02-26</t>
  </si>
  <si>
    <t xml:space="preserve">2020-02-27</t>
  </si>
  <si>
    <t xml:space="preserve">2020-02-28</t>
  </si>
  <si>
    <t xml:space="preserve">2020-02-29</t>
  </si>
  <si>
    <t xml:space="preserve">2020-03-01</t>
  </si>
  <si>
    <t xml:space="preserve">2020-03-02</t>
  </si>
  <si>
    <t xml:space="preserve">2020-03-03</t>
  </si>
  <si>
    <t xml:space="preserve">2020-03-04</t>
  </si>
  <si>
    <t xml:space="preserve">2020-03-05</t>
  </si>
  <si>
    <t xml:space="preserve">2020-03-06</t>
  </si>
  <si>
    <t xml:space="preserve">2020-03-07</t>
  </si>
  <si>
    <t xml:space="preserve">2020-03-08</t>
  </si>
  <si>
    <t xml:space="preserve">2020-03-09</t>
  </si>
  <si>
    <t xml:space="preserve">2020-03-10</t>
  </si>
  <si>
    <t xml:space="preserve">2020-03-11</t>
  </si>
  <si>
    <t xml:space="preserve">2020-03-12</t>
  </si>
  <si>
    <t xml:space="preserve">2020-03-13</t>
  </si>
  <si>
    <t xml:space="preserve">2020-03-14</t>
  </si>
  <si>
    <t xml:space="preserve">2020-03-15</t>
  </si>
  <si>
    <t xml:space="preserve">2020-03-16</t>
  </si>
  <si>
    <t xml:space="preserve">2020-03-17</t>
  </si>
  <si>
    <t xml:space="preserve">2020-03-18</t>
  </si>
  <si>
    <t xml:space="preserve">2020-03-19</t>
  </si>
  <si>
    <t xml:space="preserve">2020-03-20</t>
  </si>
  <si>
    <t xml:space="preserve">2020-03-21</t>
  </si>
  <si>
    <t xml:space="preserve">2020-03-22</t>
  </si>
  <si>
    <t xml:space="preserve">2020-03-23</t>
  </si>
  <si>
    <t xml:space="preserve">2020-03-24</t>
  </si>
  <si>
    <t xml:space="preserve">2020-03-25</t>
  </si>
  <si>
    <t xml:space="preserve">2020-03-26</t>
  </si>
  <si>
    <t xml:space="preserve">2020-03-27</t>
  </si>
  <si>
    <t xml:space="preserve">2020-03-28</t>
  </si>
  <si>
    <t xml:space="preserve">2020-03-29</t>
  </si>
  <si>
    <t xml:space="preserve">2020-03-30</t>
  </si>
  <si>
    <t xml:space="preserve">2020-03-31</t>
  </si>
  <si>
    <t xml:space="preserve">2020-04-01</t>
  </si>
  <si>
    <t xml:space="preserve">2020-04-02</t>
  </si>
  <si>
    <t xml:space="preserve">2020-04-03</t>
  </si>
  <si>
    <t xml:space="preserve">2020-04-04</t>
  </si>
  <si>
    <t xml:space="preserve">2020-04-05</t>
  </si>
  <si>
    <t xml:space="preserve">2020-04-06</t>
  </si>
  <si>
    <t xml:space="preserve">2020-04-07</t>
  </si>
  <si>
    <t xml:space="preserve">2020-04-08</t>
  </si>
  <si>
    <t xml:space="preserve">2020-04-09</t>
  </si>
  <si>
    <t xml:space="preserve">2020-04-10</t>
  </si>
  <si>
    <t xml:space="preserve">2020-04-11</t>
  </si>
  <si>
    <t xml:space="preserve">2020-04-12</t>
  </si>
  <si>
    <t xml:space="preserve">2020-04-13</t>
  </si>
  <si>
    <t xml:space="preserve">2020-04-14</t>
  </si>
  <si>
    <t xml:space="preserve">2020-04-15</t>
  </si>
  <si>
    <t xml:space="preserve">2020-04-16</t>
  </si>
  <si>
    <t xml:space="preserve">2020-04-17</t>
  </si>
  <si>
    <t xml:space="preserve">2020-04-18</t>
  </si>
  <si>
    <t xml:space="preserve">2020-04-19</t>
  </si>
  <si>
    <t xml:space="preserve">2020-04-20</t>
  </si>
  <si>
    <t xml:space="preserve">2020-04-21</t>
  </si>
  <si>
    <t xml:space="preserve">2020-04-22</t>
  </si>
  <si>
    <t xml:space="preserve">2020-04-23</t>
  </si>
  <si>
    <t xml:space="preserve">2020-04-24</t>
  </si>
  <si>
    <t xml:space="preserve">2020-04-25</t>
  </si>
  <si>
    <t xml:space="preserve">2020-04-26</t>
  </si>
  <si>
    <t xml:space="preserve">2020-04-27</t>
  </si>
  <si>
    <t xml:space="preserve">2020-04-28</t>
  </si>
  <si>
    <t xml:space="preserve">2020-04-29</t>
  </si>
  <si>
    <t xml:space="preserve">2020-04-30</t>
  </si>
  <si>
    <t xml:space="preserve">2020-05-01</t>
  </si>
  <si>
    <t xml:space="preserve">2020-05-02</t>
  </si>
  <si>
    <t xml:space="preserve">2020-05-03</t>
  </si>
  <si>
    <t xml:space="preserve">2020-05-04</t>
  </si>
  <si>
    <t xml:space="preserve">2020-05-05</t>
  </si>
  <si>
    <t xml:space="preserve">2020-05-06</t>
  </si>
  <si>
    <t xml:space="preserve">2020-05-07</t>
  </si>
  <si>
    <t xml:space="preserve">2020-05-08</t>
  </si>
  <si>
    <t xml:space="preserve">2020-05-09</t>
  </si>
  <si>
    <t xml:space="preserve">2020-05-10</t>
  </si>
  <si>
    <t xml:space="preserve">2020-05-11</t>
  </si>
  <si>
    <t xml:space="preserve">2020-05-12</t>
  </si>
  <si>
    <t xml:space="preserve">2020-05-13</t>
  </si>
  <si>
    <t xml:space="preserve">2020-05-14</t>
  </si>
  <si>
    <t xml:space="preserve">2020-05-15</t>
  </si>
  <si>
    <t xml:space="preserve">2020-05-16</t>
  </si>
  <si>
    <t xml:space="preserve">2020-05-17</t>
  </si>
  <si>
    <t xml:space="preserve">2020-05-18</t>
  </si>
  <si>
    <t xml:space="preserve">2020-05-19</t>
  </si>
  <si>
    <t xml:space="preserve">2020-05-20</t>
  </si>
  <si>
    <t xml:space="preserve">2020-05-21</t>
  </si>
  <si>
    <t xml:space="preserve">2020-05-22</t>
  </si>
  <si>
    <t xml:space="preserve">2020-05-23</t>
  </si>
  <si>
    <t xml:space="preserve">2020-05-24</t>
  </si>
  <si>
    <t xml:space="preserve">2020-05-25</t>
  </si>
  <si>
    <t xml:space="preserve">2020-05-26</t>
  </si>
  <si>
    <t xml:space="preserve">2020-05-27</t>
  </si>
  <si>
    <t xml:space="preserve">2020-05-28</t>
  </si>
  <si>
    <t xml:space="preserve">2020-05-29</t>
  </si>
  <si>
    <t xml:space="preserve">2020-05-30</t>
  </si>
  <si>
    <t xml:space="preserve">2020-05-31</t>
  </si>
  <si>
    <t xml:space="preserve">2020-06-01</t>
  </si>
  <si>
    <t xml:space="preserve">2020-06-02</t>
  </si>
  <si>
    <t xml:space="preserve">2020-06-03</t>
  </si>
  <si>
    <t xml:space="preserve">2020-06-04</t>
  </si>
  <si>
    <t xml:space="preserve">2020-06-05</t>
  </si>
  <si>
    <t xml:space="preserve">2020-06-06</t>
  </si>
  <si>
    <t xml:space="preserve">2020-06-07</t>
  </si>
  <si>
    <t xml:space="preserve">2020-06-08</t>
  </si>
  <si>
    <t xml:space="preserve">2020-06-09</t>
  </si>
  <si>
    <t xml:space="preserve">2020-06-10</t>
  </si>
  <si>
    <t xml:space="preserve">2020-06-11</t>
  </si>
  <si>
    <t xml:space="preserve">2020-06-12</t>
  </si>
  <si>
    <t xml:space="preserve">2020-06-13</t>
  </si>
  <si>
    <t xml:space="preserve">2020-06-14</t>
  </si>
  <si>
    <t xml:space="preserve">2020-06-15</t>
  </si>
  <si>
    <t xml:space="preserve">2020-06-16</t>
  </si>
  <si>
    <t xml:space="preserve">2020-06-17</t>
  </si>
  <si>
    <t xml:space="preserve">2020-06-18</t>
  </si>
  <si>
    <t xml:space="preserve">2020-06-19</t>
  </si>
  <si>
    <t xml:space="preserve">2020-06-20</t>
  </si>
  <si>
    <t xml:space="preserve">2020-06-21</t>
  </si>
  <si>
    <t xml:space="preserve">2020-06-22</t>
  </si>
  <si>
    <t xml:space="preserve">2020-06-23</t>
  </si>
  <si>
    <t xml:space="preserve">2020-06-24</t>
  </si>
  <si>
    <t xml:space="preserve">2020-06-25</t>
  </si>
  <si>
    <t xml:space="preserve">2020-06-26</t>
  </si>
  <si>
    <t xml:space="preserve">2020-06-27</t>
  </si>
  <si>
    <t xml:space="preserve">2020-06-28</t>
  </si>
  <si>
    <t xml:space="preserve">2020-06-29</t>
  </si>
  <si>
    <t xml:space="preserve">2020-06-30</t>
  </si>
  <si>
    <t xml:space="preserve">2020-07-01</t>
  </si>
  <si>
    <t xml:space="preserve">2020-07-02</t>
  </si>
  <si>
    <t xml:space="preserve">2020-07-03</t>
  </si>
  <si>
    <t xml:space="preserve">2020-07-04</t>
  </si>
  <si>
    <t xml:space="preserve">2020-07-05</t>
  </si>
  <si>
    <t xml:space="preserve">2020-07-06</t>
  </si>
  <si>
    <t xml:space="preserve">2020-07-07</t>
  </si>
  <si>
    <t xml:space="preserve">2020-07-08</t>
  </si>
  <si>
    <t xml:space="preserve">2020-07-09</t>
  </si>
  <si>
    <t xml:space="preserve">2020-07-10</t>
  </si>
  <si>
    <t xml:space="preserve">2020-07-11</t>
  </si>
  <si>
    <t xml:space="preserve">2020-07-12</t>
  </si>
  <si>
    <t xml:space="preserve">2020-07-13</t>
  </si>
  <si>
    <t xml:space="preserve">2020-07-14</t>
  </si>
  <si>
    <t xml:space="preserve">2020-07-15</t>
  </si>
  <si>
    <t xml:space="preserve">2020-07-16</t>
  </si>
  <si>
    <t xml:space="preserve">2020-07-17</t>
  </si>
  <si>
    <t xml:space="preserve">2020-07-18</t>
  </si>
  <si>
    <t xml:space="preserve">2020-07-19</t>
  </si>
  <si>
    <t xml:space="preserve">2020-07-20</t>
  </si>
  <si>
    <t xml:space="preserve">2020-07-21</t>
  </si>
  <si>
    <t xml:space="preserve">2020-07-22</t>
  </si>
  <si>
    <t xml:space="preserve">2020-07-23</t>
  </si>
  <si>
    <t xml:space="preserve">2020-07-24</t>
  </si>
  <si>
    <t xml:space="preserve">2020-07-25</t>
  </si>
  <si>
    <t xml:space="preserve">2020-07-26</t>
  </si>
  <si>
    <t xml:space="preserve">2020-07-27</t>
  </si>
  <si>
    <t xml:space="preserve">2020-07-28</t>
  </si>
  <si>
    <t xml:space="preserve">2020-07-29</t>
  </si>
  <si>
    <t xml:space="preserve">2020-07-30</t>
  </si>
  <si>
    <t xml:space="preserve">2020-07-31</t>
  </si>
  <si>
    <t xml:space="preserve">2020-08-01</t>
  </si>
  <si>
    <t xml:space="preserve">2020-08-02</t>
  </si>
  <si>
    <t xml:space="preserve">2020-08-03</t>
  </si>
  <si>
    <t xml:space="preserve">2020-08-04</t>
  </si>
  <si>
    <t xml:space="preserve">2020-08-05</t>
  </si>
  <si>
    <t xml:space="preserve">2020-08-06</t>
  </si>
  <si>
    <t xml:space="preserve">2020-08-07</t>
  </si>
  <si>
    <t xml:space="preserve">2020-08-08</t>
  </si>
  <si>
    <t xml:space="preserve">2020-08-09</t>
  </si>
  <si>
    <t xml:space="preserve">2020-08-10</t>
  </si>
  <si>
    <t xml:space="preserve">2020-08-11</t>
  </si>
  <si>
    <t xml:space="preserve">2020-08-12</t>
  </si>
  <si>
    <t xml:space="preserve">2020-08-13</t>
  </si>
  <si>
    <t xml:space="preserve">2020-08-14</t>
  </si>
  <si>
    <t xml:space="preserve">2020-08-15</t>
  </si>
  <si>
    <t xml:space="preserve">2020-08-16</t>
  </si>
  <si>
    <t xml:space="preserve">2020-08-17</t>
  </si>
  <si>
    <t xml:space="preserve">2020-08-18</t>
  </si>
  <si>
    <t xml:space="preserve">2020-08-19</t>
  </si>
  <si>
    <t xml:space="preserve">2020-08-20</t>
  </si>
  <si>
    <t xml:space="preserve">2020-08-21</t>
  </si>
  <si>
    <t xml:space="preserve">2020-08-22</t>
  </si>
  <si>
    <t xml:space="preserve">2020-08-23</t>
  </si>
  <si>
    <t xml:space="preserve">2020-08-24</t>
  </si>
  <si>
    <t xml:space="preserve">2020-08-25</t>
  </si>
  <si>
    <t xml:space="preserve">2020-08-26</t>
  </si>
  <si>
    <t xml:space="preserve">2020-08-27</t>
  </si>
  <si>
    <t xml:space="preserve">2020-08-28</t>
  </si>
  <si>
    <t xml:space="preserve">2020-08-29</t>
  </si>
  <si>
    <t xml:space="preserve">2020-08-30</t>
  </si>
  <si>
    <t xml:space="preserve">2020-08-31</t>
  </si>
  <si>
    <t xml:space="preserve">2020-09-01</t>
  </si>
  <si>
    <t xml:space="preserve">2020-09-02</t>
  </si>
  <si>
    <t xml:space="preserve">2020-09-03</t>
  </si>
  <si>
    <t xml:space="preserve">2020-09-04</t>
  </si>
  <si>
    <t xml:space="preserve">2020-09-05</t>
  </si>
  <si>
    <t xml:space="preserve">2020-09-06</t>
  </si>
  <si>
    <t xml:space="preserve">2020-09-07</t>
  </si>
  <si>
    <t xml:space="preserve">2020-09-08</t>
  </si>
  <si>
    <t xml:space="preserve">2020-09-09</t>
  </si>
  <si>
    <t xml:space="preserve">2020-09-10</t>
  </si>
  <si>
    <t xml:space="preserve">2020-09-11</t>
  </si>
  <si>
    <t xml:space="preserve">2020-09-12</t>
  </si>
  <si>
    <t xml:space="preserve">2020-09-13</t>
  </si>
  <si>
    <t xml:space="preserve">2020-09-14</t>
  </si>
  <si>
    <t xml:space="preserve">2020-09-15</t>
  </si>
  <si>
    <t xml:space="preserve">2020-09-16</t>
  </si>
  <si>
    <t xml:space="preserve">2020-09-17</t>
  </si>
  <si>
    <t xml:space="preserve">2020-09-18</t>
  </si>
  <si>
    <t xml:space="preserve">2020-09-19</t>
  </si>
  <si>
    <t xml:space="preserve">2020-09-20</t>
  </si>
  <si>
    <t xml:space="preserve">2020-09-21</t>
  </si>
  <si>
    <t xml:space="preserve">2020-09-22</t>
  </si>
  <si>
    <t xml:space="preserve">2020-09-23</t>
  </si>
  <si>
    <t xml:space="preserve">2020-09-24</t>
  </si>
  <si>
    <t xml:space="preserve">2020-09-25</t>
  </si>
  <si>
    <t xml:space="preserve">2020-09-26</t>
  </si>
  <si>
    <t xml:space="preserve">2020-09-27</t>
  </si>
  <si>
    <t xml:space="preserve">2020-09-28</t>
  </si>
  <si>
    <t xml:space="preserve">2020-09-29</t>
  </si>
  <si>
    <t xml:space="preserve">2020-09-30</t>
  </si>
  <si>
    <t xml:space="preserve">2020-10-01</t>
  </si>
  <si>
    <t xml:space="preserve">2020-10-02</t>
  </si>
  <si>
    <t xml:space="preserve">2020-10-03</t>
  </si>
  <si>
    <t xml:space="preserve">2020-10-04</t>
  </si>
  <si>
    <t xml:space="preserve">2020-10-05</t>
  </si>
  <si>
    <t xml:space="preserve">2020-10-06</t>
  </si>
  <si>
    <t xml:space="preserve">2020-10-07</t>
  </si>
  <si>
    <t xml:space="preserve">2020-10-08</t>
  </si>
  <si>
    <t xml:space="preserve">2020-10-09</t>
  </si>
  <si>
    <t xml:space="preserve">2020-10-10</t>
  </si>
  <si>
    <t xml:space="preserve">2020-10-11</t>
  </si>
  <si>
    <t xml:space="preserve">2020-10-12</t>
  </si>
  <si>
    <t xml:space="preserve">2020-10-13</t>
  </si>
  <si>
    <t xml:space="preserve">2020-10-14</t>
  </si>
  <si>
    <t xml:space="preserve">2020-10-15</t>
  </si>
  <si>
    <t xml:space="preserve">2020-10-16</t>
  </si>
  <si>
    <t xml:space="preserve">2020-10-17</t>
  </si>
  <si>
    <t xml:space="preserve">2020-10-18</t>
  </si>
  <si>
    <t xml:space="preserve">2020-10-19</t>
  </si>
  <si>
    <t xml:space="preserve">2020-10-20</t>
  </si>
  <si>
    <t xml:space="preserve">2020-10-21</t>
  </si>
  <si>
    <t xml:space="preserve">2020-10-22</t>
  </si>
  <si>
    <t xml:space="preserve">2020-10-23</t>
  </si>
  <si>
    <t xml:space="preserve">2020-10-24</t>
  </si>
  <si>
    <t xml:space="preserve">2020-10-25</t>
  </si>
  <si>
    <t xml:space="preserve">2020-10-26</t>
  </si>
  <si>
    <t xml:space="preserve">2020-10-27</t>
  </si>
  <si>
    <t xml:space="preserve">2020-10-28</t>
  </si>
  <si>
    <t xml:space="preserve">2020-10-29</t>
  </si>
  <si>
    <t xml:space="preserve">2020-10-30</t>
  </si>
  <si>
    <t xml:space="preserve">2020-10-31</t>
  </si>
  <si>
    <t xml:space="preserve">2020-11-01</t>
  </si>
  <si>
    <t xml:space="preserve">2020-11-02</t>
  </si>
  <si>
    <t xml:space="preserve">2020-11-03</t>
  </si>
  <si>
    <t xml:space="preserve">2020-11-04</t>
  </si>
  <si>
    <t xml:space="preserve">2020-11-05</t>
  </si>
  <si>
    <t xml:space="preserve">2020-11-06</t>
  </si>
  <si>
    <t xml:space="preserve">2020-11-07</t>
  </si>
  <si>
    <t xml:space="preserve">2020-11-08</t>
  </si>
  <si>
    <t xml:space="preserve">2020-11-09</t>
  </si>
  <si>
    <t xml:space="preserve">2020-11-10</t>
  </si>
  <si>
    <t xml:space="preserve">2020-11-11</t>
  </si>
  <si>
    <t xml:space="preserve">2020-11-12</t>
  </si>
  <si>
    <t xml:space="preserve">2020-11-13</t>
  </si>
  <si>
    <t xml:space="preserve">2020-11-14</t>
  </si>
  <si>
    <t xml:space="preserve">2020-11-15</t>
  </si>
  <si>
    <t xml:space="preserve">2020-11-16</t>
  </si>
  <si>
    <t xml:space="preserve">2020-11-17</t>
  </si>
  <si>
    <t xml:space="preserve">2020-11-18</t>
  </si>
  <si>
    <t xml:space="preserve">2020-11-19</t>
  </si>
  <si>
    <t xml:space="preserve">2020-11-20</t>
  </si>
  <si>
    <t xml:space="preserve">2020-11-21</t>
  </si>
  <si>
    <t xml:space="preserve">2020-11-22</t>
  </si>
  <si>
    <t xml:space="preserve">2020-11-23</t>
  </si>
  <si>
    <t xml:space="preserve">2020-11-24</t>
  </si>
  <si>
    <t xml:space="preserve">2020-11-25</t>
  </si>
  <si>
    <t xml:space="preserve">2020-11-26</t>
  </si>
  <si>
    <t xml:space="preserve">2020-11-27</t>
  </si>
  <si>
    <t xml:space="preserve">2020-11-28</t>
  </si>
  <si>
    <t xml:space="preserve">2020-11-29</t>
  </si>
  <si>
    <t xml:space="preserve">2020-11-30</t>
  </si>
  <si>
    <t xml:space="preserve">2020-12-01</t>
  </si>
  <si>
    <t xml:space="preserve">2020-12-02</t>
  </si>
  <si>
    <t xml:space="preserve">2020-12-03</t>
  </si>
  <si>
    <t xml:space="preserve">2020-12-04</t>
  </si>
  <si>
    <t xml:space="preserve">2020-12-05</t>
  </si>
  <si>
    <t xml:space="preserve">2020-12-06</t>
  </si>
  <si>
    <t xml:space="preserve">2020-12-07</t>
  </si>
  <si>
    <t xml:space="preserve">2020-12-08</t>
  </si>
  <si>
    <t xml:space="preserve">2020-12-09</t>
  </si>
  <si>
    <t xml:space="preserve">2020-12-10</t>
  </si>
  <si>
    <t xml:space="preserve">2020-12-11</t>
  </si>
  <si>
    <t xml:space="preserve">2020-12-12</t>
  </si>
  <si>
    <t xml:space="preserve">2020-12-13</t>
  </si>
  <si>
    <t xml:space="preserve">2020-12-14</t>
  </si>
  <si>
    <t xml:space="preserve">2020-12-15</t>
  </si>
  <si>
    <t xml:space="preserve">2020-12-16</t>
  </si>
  <si>
    <t xml:space="preserve">2020-12-17</t>
  </si>
  <si>
    <t xml:space="preserve">2020-12-18</t>
  </si>
  <si>
    <t xml:space="preserve">2020-12-19</t>
  </si>
  <si>
    <t xml:space="preserve">2020-12-20</t>
  </si>
  <si>
    <t xml:space="preserve">2020-12-21</t>
  </si>
  <si>
    <t xml:space="preserve">2020-12-22</t>
  </si>
  <si>
    <t xml:space="preserve">2020-12-23</t>
  </si>
  <si>
    <t xml:space="preserve">2020-12-24</t>
  </si>
  <si>
    <t xml:space="preserve">2020-12-25</t>
  </si>
  <si>
    <t xml:space="preserve">2020-12-26</t>
  </si>
  <si>
    <t xml:space="preserve">2020-12-27</t>
  </si>
  <si>
    <t xml:space="preserve">2020-12-28</t>
  </si>
  <si>
    <t xml:space="preserve">2020-12-29</t>
  </si>
  <si>
    <t xml:space="preserve">2020-12-30</t>
  </si>
  <si>
    <t xml:space="preserve">2020-12-31</t>
  </si>
  <si>
    <t xml:space="preserve">2021-01-01</t>
  </si>
  <si>
    <t xml:space="preserve">2021-01-02</t>
  </si>
  <si>
    <t xml:space="preserve">2021-01-03</t>
  </si>
  <si>
    <t xml:space="preserve">2021-01-04</t>
  </si>
  <si>
    <t xml:space="preserve">2021-01-05</t>
  </si>
  <si>
    <t xml:space="preserve">2021-01-06</t>
  </si>
  <si>
    <t xml:space="preserve">2021-01-07</t>
  </si>
  <si>
    <t xml:space="preserve">2021-01-08</t>
  </si>
  <si>
    <t xml:space="preserve">2021-01-09</t>
  </si>
  <si>
    <t xml:space="preserve">2021-01-10</t>
  </si>
  <si>
    <t xml:space="preserve">2021-01-11</t>
  </si>
  <si>
    <t xml:space="preserve">2021-01-12</t>
  </si>
  <si>
    <t xml:space="preserve">2021-01-13</t>
  </si>
  <si>
    <t xml:space="preserve">2021-01-14</t>
  </si>
  <si>
    <t xml:space="preserve">2021-01-15</t>
  </si>
  <si>
    <t xml:space="preserve">2021-01-16</t>
  </si>
  <si>
    <t xml:space="preserve">2021-01-17</t>
  </si>
  <si>
    <t xml:space="preserve">2021-01-18</t>
  </si>
  <si>
    <t xml:space="preserve">2021-01-19</t>
  </si>
  <si>
    <t xml:space="preserve">2021-01-20</t>
  </si>
  <si>
    <t xml:space="preserve">2021-01-21</t>
  </si>
  <si>
    <t xml:space="preserve">2021-01-22</t>
  </si>
  <si>
    <t xml:space="preserve">2021-01-23</t>
  </si>
  <si>
    <t xml:space="preserve">2021-01-24</t>
  </si>
  <si>
    <t xml:space="preserve">2021-01-25</t>
  </si>
  <si>
    <t xml:space="preserve">2021-01-26</t>
  </si>
  <si>
    <t xml:space="preserve">2021-01-27</t>
  </si>
  <si>
    <t xml:space="preserve">2021-01-28</t>
  </si>
  <si>
    <t xml:space="preserve">2021-01-29</t>
  </si>
  <si>
    <t xml:space="preserve">2021-01-30</t>
  </si>
  <si>
    <t xml:space="preserve">2021-01-31</t>
  </si>
  <si>
    <t xml:space="preserve">2021-02-01</t>
  </si>
  <si>
    <t xml:space="preserve">2021-02-02</t>
  </si>
  <si>
    <t xml:space="preserve">2021-02-03</t>
  </si>
  <si>
    <t xml:space="preserve">2021-02-04</t>
  </si>
  <si>
    <t xml:space="preserve">2021-02-05</t>
  </si>
  <si>
    <t xml:space="preserve">2021-02-06</t>
  </si>
  <si>
    <t xml:space="preserve">2021-02-07</t>
  </si>
  <si>
    <t xml:space="preserve">2021-02-08</t>
  </si>
  <si>
    <t xml:space="preserve">2021-02-09</t>
  </si>
  <si>
    <t xml:space="preserve">2021-02-10</t>
  </si>
  <si>
    <t xml:space="preserve">2021-02-11</t>
  </si>
  <si>
    <t xml:space="preserve">2021-02-12</t>
  </si>
  <si>
    <t xml:space="preserve">2021-02-13</t>
  </si>
  <si>
    <t xml:space="preserve">2021-02-14</t>
  </si>
  <si>
    <t xml:space="preserve">2021-02-15</t>
  </si>
  <si>
    <t xml:space="preserve">2021-02-16</t>
  </si>
  <si>
    <t xml:space="preserve">2021-02-17</t>
  </si>
  <si>
    <t xml:space="preserve">2021-02-18</t>
  </si>
  <si>
    <t xml:space="preserve">2021-02-19</t>
  </si>
  <si>
    <t xml:space="preserve">2021-02-20</t>
  </si>
  <si>
    <t xml:space="preserve">2021-02-21</t>
  </si>
  <si>
    <t xml:space="preserve">2021-02-22</t>
  </si>
  <si>
    <t xml:space="preserve">2021-02-23</t>
  </si>
  <si>
    <t xml:space="preserve">2021-02-24</t>
  </si>
  <si>
    <t xml:space="preserve">2021-02-25</t>
  </si>
  <si>
    <t xml:space="preserve">2021-02-26</t>
  </si>
  <si>
    <t xml:space="preserve">2021-02-27</t>
  </si>
  <si>
    <t xml:space="preserve">2021-02-28</t>
  </si>
  <si>
    <t xml:space="preserve">2021-03-01</t>
  </si>
  <si>
    <t xml:space="preserve">2021-03-02</t>
  </si>
  <si>
    <t xml:space="preserve">2021-03-03</t>
  </si>
  <si>
    <t xml:space="preserve">2021-03-04</t>
  </si>
  <si>
    <t xml:space="preserve">2021-03-05</t>
  </si>
  <si>
    <t xml:space="preserve">2021-03-06</t>
  </si>
  <si>
    <t xml:space="preserve">2021-03-07</t>
  </si>
  <si>
    <t xml:space="preserve">2021-03-08</t>
  </si>
  <si>
    <t xml:space="preserve">2021-03-09</t>
  </si>
  <si>
    <t xml:space="preserve">2021-03-10</t>
  </si>
  <si>
    <t xml:space="preserve">2021-03-11</t>
  </si>
  <si>
    <t xml:space="preserve">2021-03-12</t>
  </si>
  <si>
    <t xml:space="preserve">2021-03-13</t>
  </si>
  <si>
    <t xml:space="preserve">2021-03-14</t>
  </si>
  <si>
    <t xml:space="preserve">2021-03-15</t>
  </si>
  <si>
    <t xml:space="preserve">2021-03-16</t>
  </si>
  <si>
    <t xml:space="preserve">2021-03-17</t>
  </si>
  <si>
    <t xml:space="preserve">2021-03-18</t>
  </si>
  <si>
    <t xml:space="preserve">2021-03-19</t>
  </si>
  <si>
    <t xml:space="preserve">2021-03-20</t>
  </si>
  <si>
    <t xml:space="preserve">2021-03-21</t>
  </si>
  <si>
    <t xml:space="preserve">2021-03-22</t>
  </si>
  <si>
    <t xml:space="preserve">2021-03-23</t>
  </si>
  <si>
    <t xml:space="preserve">2021-03-24</t>
  </si>
  <si>
    <t xml:space="preserve">2021-03-25</t>
  </si>
  <si>
    <t xml:space="preserve">2021-03-26</t>
  </si>
  <si>
    <t xml:space="preserve">2021-03-27</t>
  </si>
  <si>
    <t xml:space="preserve">2021-03-28</t>
  </si>
  <si>
    <t xml:space="preserve">2021-03-29</t>
  </si>
  <si>
    <t xml:space="preserve">2021-03-30</t>
  </si>
  <si>
    <t xml:space="preserve">2021-03-31</t>
  </si>
  <si>
    <t xml:space="preserve">2021-04-01</t>
  </si>
  <si>
    <t xml:space="preserve">2021-04-02</t>
  </si>
  <si>
    <t xml:space="preserve">2021-04-03</t>
  </si>
  <si>
    <t xml:space="preserve">2021-04-04</t>
  </si>
  <si>
    <t xml:space="preserve">2021-04-05</t>
  </si>
  <si>
    <t xml:space="preserve">2021-04-06</t>
  </si>
  <si>
    <t xml:space="preserve">2021-04-07</t>
  </si>
  <si>
    <t xml:space="preserve">2021-04-08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</si>
  <si>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</si>
  <si>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</si>
  <si>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</si>
  <si>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</si>
  <si>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</si>
  <si>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2021-04-14</t>
  </si>
  <si>
    <t xml:space="preserve">2021-04-15</t>
  </si>
  <si>
    <t xml:space="preserve">2021-04-16</t>
  </si>
  <si>
    <t xml:space="preserve">2021-04-17</t>
  </si>
  <si>
    <t xml:space="preserve">2021-04-18</t>
  </si>
  <si>
    <t xml:space="preserve">2021-04-19</t>
  </si>
  <si>
    <t xml:space="preserve">2021-04-20</t>
  </si>
  <si>
    <t xml:space="preserve">2021-04-21</t>
  </si>
  <si>
    <t xml:space="preserve">2021-04-22</t>
  </si>
  <si>
    <t xml:space="preserve">2021-04-23</t>
  </si>
  <si>
    <t xml:space="preserve">2021-04-24</t>
  </si>
  <si>
    <t xml:space="preserve">2021-04-25</t>
  </si>
  <si>
    <t xml:space="preserve">2021-04-26</t>
  </si>
  <si>
    <t xml:space="preserve">2021-04-27</t>
  </si>
  <si>
    <t xml:space="preserve">2021-04-28</t>
  </si>
  <si>
    <t xml:space="preserve">2021-04-29</t>
  </si>
  <si>
    <t xml:space="preserve">2021-04-30</t>
  </si>
  <si>
    <t xml:space="preserve">2021-05-01</t>
  </si>
  <si>
    <t xml:space="preserve">2021-05-02</t>
  </si>
  <si>
    <t xml:space="preserve">2021-05-03</t>
  </si>
  <si>
    <t xml:space="preserve">2021-05-04</t>
  </si>
  <si>
    <t xml:space="preserve">2021-05-05</t>
  </si>
  <si>
    <t xml:space="preserve">2021-05-06</t>
  </si>
  <si>
    <t xml:space="preserve">2021-05-07</t>
  </si>
  <si>
    <t xml:space="preserve">2021-05-08</t>
  </si>
  <si>
    <t xml:space="preserve">2021-05-09</t>
  </si>
  <si>
    <t xml:space="preserve">2021-05-10</t>
  </si>
  <si>
    <t xml:space="preserve">2021-05-11</t>
  </si>
  <si>
    <t xml:space="preserve">2021-05-12</t>
  </si>
  <si>
    <t xml:space="preserve">2021-05-13</t>
  </si>
  <si>
    <t xml:space="preserve">2021-05-14</t>
  </si>
  <si>
    <t xml:space="preserve">2021-05-15</t>
  </si>
  <si>
    <t xml:space="preserve">2021-05-16</t>
  </si>
  <si>
    <t xml:space="preserve">2021-05-17</t>
  </si>
  <si>
    <t xml:space="preserve">2021-05-18</t>
  </si>
  <si>
    <t xml:space="preserve">2021-05-19</t>
  </si>
  <si>
    <t xml:space="preserve">2021-05-20</t>
  </si>
  <si>
    <t xml:space="preserve">2021-05-21</t>
  </si>
  <si>
    <t xml:space="preserve">2021-05-22</t>
  </si>
  <si>
    <t xml:space="preserve">2021-05-23</t>
  </si>
  <si>
    <t xml:space="preserve">2021-05-24</t>
  </si>
  <si>
    <t xml:space="preserve">2021-05-25</t>
  </si>
  <si>
    <t xml:space="preserve">2021-05-26</t>
  </si>
  <si>
    <t xml:space="preserve">2021-05-27</t>
  </si>
  <si>
    <t xml:space="preserve">2021-05-28</t>
  </si>
  <si>
    <t xml:space="preserve">2021-05-29</t>
  </si>
  <si>
    <t xml:space="preserve">2021-05-30</t>
  </si>
  <si>
    <t xml:space="preserve">2021-05-31</t>
  </si>
  <si>
    <t xml:space="preserve">2021-06-01</t>
  </si>
  <si>
    <t xml:space="preserve">2021-06-02</t>
  </si>
  <si>
    <t xml:space="preserve">2021-06-03</t>
  </si>
  <si>
    <t xml:space="preserve">2021-06-04</t>
  </si>
  <si>
    <t xml:space="preserve">2021-06-05</t>
  </si>
  <si>
    <t xml:space="preserve">2021-06-06</t>
  </si>
  <si>
    <t xml:space="preserve">2021-06-07</t>
  </si>
  <si>
    <t xml:space="preserve">2021-06-08</t>
  </si>
  <si>
    <t xml:space="preserve">2021-06-09</t>
  </si>
  <si>
    <t xml:space="preserve">2021-06-10</t>
  </si>
  <si>
    <t xml:space="preserve">2021-06-11</t>
  </si>
  <si>
    <t xml:space="preserve">2021-06-12</t>
  </si>
  <si>
    <t xml:space="preserve">2021-06-13</t>
  </si>
  <si>
    <t xml:space="preserve">2021-06-14</t>
  </si>
  <si>
    <t xml:space="preserve">2021-06-15</t>
  </si>
  <si>
    <t xml:space="preserve">2021-06-16</t>
  </si>
  <si>
    <t xml:space="preserve">2021-06-17</t>
  </si>
  <si>
    <t xml:space="preserve">2021-06-18</t>
  </si>
  <si>
    <t xml:space="preserve">2021-06-19</t>
  </si>
  <si>
    <t xml:space="preserve">2021-06-20</t>
  </si>
  <si>
    <t xml:space="preserve">2021-06-21</t>
  </si>
  <si>
    <t xml:space="preserve">2021-06-22</t>
  </si>
  <si>
    <t xml:space="preserve">2021-06-23</t>
  </si>
  <si>
    <t xml:space="preserve">2021-06-24</t>
  </si>
  <si>
    <t xml:space="preserve">2021-06-25</t>
  </si>
  <si>
    <t xml:space="preserve">2021-06-26</t>
  </si>
  <si>
    <t xml:space="preserve">2021-06-27</t>
  </si>
  <si>
    <t xml:space="preserve">2021-06-28</t>
  </si>
  <si>
    <t xml:space="preserve">2021-06-29</t>
  </si>
  <si>
    <t xml:space="preserve">2021-06-30</t>
  </si>
  <si>
    <t xml:space="preserve">2021-07-01</t>
  </si>
  <si>
    <t xml:space="preserve">2021-07-02</t>
  </si>
  <si>
    <t xml:space="preserve">2021-07-03</t>
  </si>
  <si>
    <t xml:space="preserve">2021-07-04</t>
  </si>
  <si>
    <t xml:space="preserve">2021-07-05</t>
  </si>
  <si>
    <t xml:space="preserve">2021-07-06</t>
  </si>
  <si>
    <t xml:space="preserve">2021-07-07</t>
  </si>
  <si>
    <t xml:space="preserve">2021-07-08</t>
  </si>
  <si>
    <t xml:space="preserve">2021-07-09</t>
  </si>
  <si>
    <t xml:space="preserve">2021-07-10</t>
  </si>
  <si>
    <t xml:space="preserve">2021-07-11</t>
  </si>
  <si>
    <t xml:space="preserve">2021-07-12</t>
  </si>
  <si>
    <t xml:space="preserve">2021-07-13</t>
  </si>
  <si>
    <t xml:space="preserve">2021-07-14</t>
  </si>
  <si>
    <t xml:space="preserve">2021-07-15</t>
  </si>
  <si>
    <t xml:space="preserve">2021-07-16</t>
  </si>
  <si>
    <t xml:space="preserve">2021-07-17</t>
  </si>
  <si>
    <t xml:space="preserve">2021-07-18</t>
  </si>
  <si>
    <t xml:space="preserve">2021-07-19</t>
  </si>
  <si>
    <t xml:space="preserve">2021-07-20</t>
  </si>
  <si>
    <t xml:space="preserve">2021-07-21</t>
  </si>
  <si>
    <t xml:space="preserve">2021-07-22</t>
  </si>
  <si>
    <t xml:space="preserve">2021-07-23</t>
  </si>
  <si>
    <t xml:space="preserve">2021-07-24</t>
  </si>
  <si>
    <t xml:space="preserve">2021-07-25</t>
  </si>
  <si>
    <t xml:space="preserve">2021-07-26</t>
  </si>
  <si>
    <t xml:space="preserve">2021-07-27</t>
  </si>
  <si>
    <t xml:space="preserve">2021-07-28</t>
  </si>
  <si>
    <t xml:space="preserve">2021-07-29</t>
  </si>
  <si>
    <t xml:space="preserve">2021-07-30</t>
  </si>
  <si>
    <t xml:space="preserve">2021-07-31</t>
  </si>
  <si>
    <t xml:space="preserve">2021-08-01</t>
  </si>
  <si>
    <t xml:space="preserve">2021-08-02</t>
  </si>
  <si>
    <t xml:space="preserve">2021-08-03</t>
  </si>
  <si>
    <t xml:space="preserve">2021-08-04</t>
  </si>
  <si>
    <t xml:space="preserve">2021-08-05</t>
  </si>
  <si>
    <t xml:space="preserve">2021-08-06</t>
  </si>
  <si>
    <t xml:space="preserve">2021-08-07</t>
  </si>
  <si>
    <t xml:space="preserve">2021-08-08</t>
  </si>
  <si>
    <t xml:space="preserve">2021-08-09</t>
  </si>
  <si>
    <t xml:space="preserve">2021-08-10</t>
  </si>
  <si>
    <t xml:space="preserve">2021-08-11</t>
  </si>
  <si>
    <t xml:space="preserve">2021-08-12</t>
  </si>
  <si>
    <t xml:space="preserve">2021-08-13</t>
  </si>
  <si>
    <t xml:space="preserve">2021-08-14</t>
  </si>
  <si>
    <t xml:space="preserve">2021-08-15</t>
  </si>
  <si>
    <t xml:space="preserve">2021-08-16</t>
  </si>
  <si>
    <t xml:space="preserve">2021-08-17</t>
  </si>
  <si>
    <t xml:space="preserve">2021-08-18</t>
  </si>
  <si>
    <t xml:space="preserve">2021-08-19</t>
  </si>
  <si>
    <t xml:space="preserve">2021-08-20</t>
  </si>
  <si>
    <t xml:space="preserve">2021-08-21</t>
  </si>
  <si>
    <t xml:space="preserve">2021-08-22</t>
  </si>
  <si>
    <t xml:space="preserve">2021-08-23</t>
  </si>
  <si>
    <t xml:space="preserve">2021-08-24</t>
  </si>
  <si>
    <t xml:space="preserve">2021-08-25</t>
  </si>
  <si>
    <t xml:space="preserve">2021-08-26</t>
  </si>
  <si>
    <t xml:space="preserve">2021-08-27</t>
  </si>
  <si>
    <t xml:space="preserve">2021-08-28</t>
  </si>
  <si>
    <t xml:space="preserve">2021-08-29</t>
  </si>
  <si>
    <t xml:space="preserve">2021-08-30</t>
  </si>
  <si>
    <t xml:space="preserve">2021-08-31</t>
  </si>
  <si>
    <t xml:space="preserve">2021-09-01</t>
  </si>
  <si>
    <t xml:space="preserve">2021-09-02</t>
  </si>
  <si>
    <t xml:space="preserve">2021-09-03</t>
  </si>
  <si>
    <t xml:space="preserve">2021-09-04</t>
  </si>
  <si>
    <t xml:space="preserve">2021-09-05</t>
  </si>
  <si>
    <t xml:space="preserve">2021-09-06</t>
  </si>
  <si>
    <t xml:space="preserve">2021-09-07</t>
  </si>
  <si>
    <t xml:space="preserve">2021-09-08</t>
  </si>
  <si>
    <t xml:space="preserve">2021-09-09</t>
  </si>
  <si>
    <t xml:space="preserve">2021-09-10</t>
  </si>
  <si>
    <t xml:space="preserve">2021-09-11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</si>
  <si>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</si>
  <si>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</si>
  <si>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</si>
  <si>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</si>
  <si>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2021-09-16</t>
  </si>
  <si>
    <t xml:space="preserve">2021-09-17</t>
  </si>
  <si>
    <t xml:space="preserve">2021-09-18</t>
  </si>
  <si>
    <t xml:space="preserve">2021-09-19</t>
  </si>
  <si>
    <t xml:space="preserve">2021-09-20</t>
  </si>
  <si>
    <t xml:space="preserve">2021-09-21</t>
  </si>
  <si>
    <t xml:space="preserve">2021-09-22</t>
  </si>
  <si>
    <t xml:space="preserve">2021-09-23</t>
  </si>
  <si>
    <t xml:space="preserve">2021-09-24</t>
  </si>
  <si>
    <t xml:space="preserve">2021-09-25</t>
  </si>
  <si>
    <t xml:space="preserve">2021-09-26</t>
  </si>
  <si>
    <t xml:space="preserve">2021-09-27</t>
  </si>
  <si>
    <t xml:space="preserve">2021-09-28</t>
  </si>
  <si>
    <t xml:space="preserve">2021-09-29</t>
  </si>
  <si>
    <t xml:space="preserve">2021-09-30</t>
  </si>
  <si>
    <t xml:space="preserve">2021-10-01</t>
  </si>
  <si>
    <t xml:space="preserve">2021-10-02</t>
  </si>
  <si>
    <t xml:space="preserve">2021-10-03</t>
  </si>
  <si>
    <t xml:space="preserve">2021-10-04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</si>
  <si>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</si>
  <si>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</si>
  <si>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</si>
  <si>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</si>
  <si>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</si>
  <si>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2021-10-10</t>
  </si>
  <si>
    <t xml:space="preserve">2021-10-11</t>
  </si>
  <si>
    <t xml:space="preserve">2021-10-12</t>
  </si>
  <si>
    <t xml:space="preserve">2021-10-13</t>
  </si>
  <si>
    <t xml:space="preserve">2021-10-14</t>
  </si>
  <si>
    <t xml:space="preserve">2021-10-15</t>
  </si>
  <si>
    <t xml:space="preserve">2021-10-16</t>
  </si>
  <si>
    <t xml:space="preserve">2021-10-17</t>
  </si>
  <si>
    <t xml:space="preserve">2021-10-18</t>
  </si>
  <si>
    <t xml:space="preserve">2021-10-19</t>
  </si>
  <si>
    <t xml:space="preserve">2021-10-20</t>
  </si>
  <si>
    <t xml:space="preserve">2021-10-21</t>
  </si>
  <si>
    <t xml:space="preserve">2021-10-22</t>
  </si>
  <si>
    <t xml:space="preserve">2021-10-23</t>
  </si>
  <si>
    <t xml:space="preserve">2021-10-24</t>
  </si>
  <si>
    <t xml:space="preserve">2021-10-25</t>
  </si>
  <si>
    <t xml:space="preserve">2021-10-26</t>
  </si>
  <si>
    <t xml:space="preserve">2021-10-27</t>
  </si>
  <si>
    <t xml:space="preserve">2021-10-28</t>
  </si>
  <si>
    <t xml:space="preserve">2021-10-29</t>
  </si>
  <si>
    <t xml:space="preserve">2021-10-30</t>
  </si>
  <si>
    <t xml:space="preserve">2021-10-31</t>
  </si>
  <si>
    <t xml:space="preserve">2021-11-01</t>
  </si>
  <si>
    <t xml:space="preserve">2021-11-02</t>
  </si>
  <si>
    <t xml:space="preserve">2021-11-03</t>
  </si>
  <si>
    <t xml:space="preserve">2021-11-04</t>
  </si>
  <si>
    <t xml:space="preserve">2021-11-05</t>
  </si>
  <si>
    <t xml:space="preserve">2021-11-06</t>
  </si>
  <si>
    <t xml:space="preserve">2021-11-07</t>
  </si>
  <si>
    <t xml:space="preserve">2021-11-08</t>
  </si>
  <si>
    <t xml:space="preserve">2021-11-09</t>
  </si>
  <si>
    <t xml:space="preserve">2021-11-10</t>
  </si>
  <si>
    <t xml:space="preserve">2021-11-11</t>
  </si>
  <si>
    <t xml:space="preserve">2021-11-12</t>
  </si>
  <si>
    <t xml:space="preserve">2021-11-13</t>
  </si>
  <si>
    <t xml:space="preserve">2021-11-14</t>
  </si>
  <si>
    <t xml:space="preserve">2021-11-15</t>
  </si>
  <si>
    <t xml:space="preserve">2021-11-16</t>
  </si>
  <si>
    <t xml:space="preserve">2021-11-17</t>
  </si>
  <si>
    <t xml:space="preserve">2021-11-18</t>
  </si>
  <si>
    <t xml:space="preserve">2021-11-19</t>
  </si>
  <si>
    <t xml:space="preserve">2021-11-20</t>
  </si>
  <si>
    <t xml:space="preserve">2021-11-21</t>
  </si>
  <si>
    <t xml:space="preserve">2021-11-22</t>
  </si>
  <si>
    <t xml:space="preserve">2021-11-23</t>
  </si>
  <si>
    <t xml:space="preserve">2021-11-24</t>
  </si>
  <si>
    <t xml:space="preserve">2021-11-25</t>
  </si>
  <si>
    <t xml:space="preserve">2021-11-26</t>
  </si>
  <si>
    <t xml:space="preserve">2021-11-27</t>
  </si>
  <si>
    <t xml:space="preserve">2021-11-28</t>
  </si>
  <si>
    <t xml:space="preserve">2021-11-29</t>
  </si>
  <si>
    <t xml:space="preserve">2021-11-30</t>
  </si>
  <si>
    <t xml:space="preserve">2021-12-01</t>
  </si>
  <si>
    <t xml:space="preserve">2021-12-02</t>
  </si>
  <si>
    <t xml:space="preserve">2021-12-03</t>
  </si>
  <si>
    <t xml:space="preserve">2021-12-04</t>
  </si>
  <si>
    <t xml:space="preserve">2021-12-05</t>
  </si>
  <si>
    <t xml:space="preserve">2021-12-06</t>
  </si>
  <si>
    <t xml:space="preserve">2021-12-07</t>
  </si>
  <si>
    <t xml:space="preserve">2021-12-08</t>
  </si>
  <si>
    <t xml:space="preserve">2021-12-09</t>
  </si>
  <si>
    <t xml:space="preserve">2021-12-10</t>
  </si>
  <si>
    <t xml:space="preserve">2021-12-11</t>
  </si>
  <si>
    <t xml:space="preserve">2021-12-12</t>
  </si>
  <si>
    <t xml:space="preserve">2021-12-13</t>
  </si>
  <si>
    <t xml:space="preserve">2021-12-14</t>
  </si>
  <si>
    <t xml:space="preserve">2021-12-15</t>
  </si>
  <si>
    <t xml:space="preserve">2021-12-16</t>
  </si>
  <si>
    <t xml:space="preserve">2021-12-17</t>
  </si>
  <si>
    <t xml:space="preserve">2021-12-18</t>
  </si>
  <si>
    <t xml:space="preserve">2021-12-19</t>
  </si>
  <si>
    <t xml:space="preserve">2021-12-20</t>
  </si>
  <si>
    <t xml:space="preserve">2021-12-21</t>
  </si>
  <si>
    <t xml:space="preserve">2021-12-22</t>
  </si>
  <si>
    <t xml:space="preserve">2021-12-23</t>
  </si>
  <si>
    <t xml:space="preserve">2021-12-24</t>
  </si>
  <si>
    <t xml:space="preserve">2021-12-25</t>
  </si>
  <si>
    <t xml:space="preserve">2021-12-26</t>
  </si>
  <si>
    <t xml:space="preserve">2021-12-27</t>
  </si>
  <si>
    <t xml:space="preserve">2021-12-28</t>
  </si>
  <si>
    <t xml:space="preserve">2021-12-29</t>
  </si>
  <si>
    <t xml:space="preserve">2021-12-30</t>
  </si>
  <si>
    <t xml:space="preserve">2021-12-31</t>
  </si>
  <si>
    <t xml:space="preserve">2022-01-01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</si>
  <si>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</si>
  <si>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</si>
  <si>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</si>
  <si>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</si>
  <si>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</si>
  <si>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2022-01-07</t>
  </si>
  <si>
    <t xml:space="preserve">2022-01-08</t>
  </si>
  <si>
    <t xml:space="preserve">2022-01-09</t>
  </si>
  <si>
    <t xml:space="preserve">2022-01-10</t>
  </si>
  <si>
    <t xml:space="preserve">2022-01-11</t>
  </si>
  <si>
    <t xml:space="preserve">2022-01-12</t>
  </si>
  <si>
    <t xml:space="preserve">2022-01-13</t>
  </si>
  <si>
    <t xml:space="preserve">2022-01-14</t>
  </si>
  <si>
    <t xml:space="preserve">2022-01-15</t>
  </si>
  <si>
    <t xml:space="preserve">2022-01-16</t>
  </si>
  <si>
    <t xml:space="preserve">2022-01-17</t>
  </si>
  <si>
    <t xml:space="preserve">2022-01-18</t>
  </si>
  <si>
    <t xml:space="preserve">2022-01-19</t>
  </si>
  <si>
    <t xml:space="preserve">2022-01-20</t>
  </si>
  <si>
    <t xml:space="preserve">2022-01-21</t>
  </si>
  <si>
    <t xml:space="preserve">2022-01-22</t>
  </si>
  <si>
    <t xml:space="preserve">2022-01-23</t>
  </si>
  <si>
    <t xml:space="preserve">2022-01-24</t>
  </si>
  <si>
    <t xml:space="preserve">2022-01-25</t>
  </si>
  <si>
    <t xml:space="preserve">2022-01-26</t>
  </si>
  <si>
    <t xml:space="preserve">2022-01-27</t>
  </si>
  <si>
    <t xml:space="preserve">2022-01-28</t>
  </si>
  <si>
    <t xml:space="preserve">2022-01-29</t>
  </si>
  <si>
    <t xml:space="preserve">2022-01-30</t>
  </si>
  <si>
    <t xml:space="preserve">2022-01-31</t>
  </si>
  <si>
    <t xml:space="preserve">2022-02-01</t>
  </si>
  <si>
    <t xml:space="preserve">2022-02-02</t>
  </si>
  <si>
    <t xml:space="preserve">2022-02-03</t>
  </si>
  <si>
    <t xml:space="preserve">2022-02-04</t>
  </si>
  <si>
    <t xml:space="preserve">2022-02-05</t>
  </si>
  <si>
    <t xml:space="preserve">2022-02-06</t>
  </si>
  <si>
    <t xml:space="preserve">2022-02-07</t>
  </si>
  <si>
    <t xml:space="preserve">2022-02-08</t>
  </si>
  <si>
    <t xml:space="preserve">2022-02-09</t>
  </si>
  <si>
    <t xml:space="preserve">2022-02-10</t>
  </si>
  <si>
    <t xml:space="preserve">2022-02-11</t>
  </si>
  <si>
    <t xml:space="preserve">2022-02-12</t>
  </si>
  <si>
    <t xml:space="preserve">2022-02-13</t>
  </si>
  <si>
    <t xml:space="preserve">2022-02-14</t>
  </si>
  <si>
    <t xml:space="preserve">2022-02-15</t>
  </si>
  <si>
    <t xml:space="preserve">2022-02-16</t>
  </si>
  <si>
    <t xml:space="preserve">2022-02-17</t>
  </si>
  <si>
    <t xml:space="preserve">2022-02-18</t>
  </si>
  <si>
    <t xml:space="preserve">2022-02-19</t>
  </si>
  <si>
    <t xml:space="preserve">2022-02-20</t>
  </si>
  <si>
    <t xml:space="preserve">2022-02-21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</si>
  <si>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</si>
  <si>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</si>
  <si>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</si>
  <si>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</si>
  <si>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2022-02-26</t>
  </si>
  <si>
    <t xml:space="preserve">2022-02-27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</si>
  <si>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</si>
  <si>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</si>
  <si>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</si>
  <si>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</si>
  <si>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2022-03-04</t>
  </si>
  <si>
    <t xml:space="preserve">2022-03-05</t>
  </si>
  <si>
    <t xml:space="preserve">2022-03-06</t>
  </si>
  <si>
    <t xml:space="preserve">2022-03-07</t>
  </si>
  <si>
    <t xml:space="preserve">2022-03-08</t>
  </si>
  <si>
    <t xml:space="preserve">2022-03-09</t>
  </si>
  <si>
    <t xml:space="preserve">2022-03-10</t>
  </si>
  <si>
    <t xml:space="preserve">2022-03-11</t>
  </si>
  <si>
    <t xml:space="preserve">2022-03-12</t>
  </si>
  <si>
    <t xml:space="preserve">2022-03-13</t>
  </si>
  <si>
    <t xml:space="preserve">2022-03-14</t>
  </si>
  <si>
    <t xml:space="preserve">2022-03-15</t>
  </si>
  <si>
    <t xml:space="preserve">2022-03-16</t>
  </si>
  <si>
    <t xml:space="preserve">2022-03-17</t>
  </si>
  <si>
    <t xml:space="preserve">2022-03-18</t>
  </si>
  <si>
    <t xml:space="preserve">2022-03-19</t>
  </si>
  <si>
    <t xml:space="preserve">2022-03-20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</si>
  <si>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</si>
  <si>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</si>
  <si>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</si>
  <si>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</si>
  <si>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</si>
  <si>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</si>
  <si>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</si>
  <si>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2022-03-28</t>
  </si>
  <si>
    <t xml:space="preserve">2022-03-29</t>
  </si>
  <si>
    <t xml:space="preserve">2022-03-30</t>
  </si>
  <si>
    <t xml:space="preserve">2022-03-31</t>
  </si>
  <si>
    <t xml:space="preserve">2022-04-01</t>
  </si>
  <si>
    <t xml:space="preserve">2022-04-02</t>
  </si>
  <si>
    <t xml:space="preserve">2022-04-03</t>
  </si>
  <si>
    <t xml:space="preserve">2022-04-04</t>
  </si>
  <si>
    <t xml:space="preserve">2022-04-05</t>
  </si>
  <si>
    <t xml:space="preserve">2022-04-06</t>
  </si>
  <si>
    <t xml:space="preserve">2022-04-07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</si>
  <si>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</si>
  <si>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</si>
  <si>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</si>
  <si>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</si>
  <si>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</si>
  <si>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</si>
  <si>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2022-04-14</t>
  </si>
  <si>
    <t xml:space="preserve">2022-04-15</t>
  </si>
  <si>
    <t xml:space="preserve">2022-04-16</t>
  </si>
  <si>
    <t xml:space="preserve">2022-04-17</t>
  </si>
  <si>
    <t xml:space="preserve">2022-04-18</t>
  </si>
  <si>
    <t xml:space="preserve">2022-04-19</t>
  </si>
  <si>
    <t xml:space="preserve">2022-04-20</t>
  </si>
  <si>
    <t xml:space="preserve">2022-04-21</t>
  </si>
  <si>
    <t xml:space="preserve">2022-04-22</t>
  </si>
  <si>
    <t xml:space="preserve">2022-04-23</t>
  </si>
  <si>
    <t xml:space="preserve">2022-04-24</t>
  </si>
  <si>
    <t xml:space="preserve">2022-04-25</t>
  </si>
  <si>
    <t xml:space="preserve">2022-04-26</t>
  </si>
  <si>
    <t xml:space="preserve">2022-04-27</t>
  </si>
  <si>
    <t xml:space="preserve">2022-04-28</t>
  </si>
  <si>
    <t xml:space="preserve">2022-04-29</t>
  </si>
  <si>
    <t xml:space="preserve">2022-04-30</t>
  </si>
  <si>
    <t xml:space="preserve">2022-05-01</t>
  </si>
  <si>
    <t xml:space="preserve">2022-05-02</t>
  </si>
  <si>
    <t xml:space="preserve">2022-05-03</t>
  </si>
  <si>
    <t xml:space="preserve">2022-05-04</t>
  </si>
  <si>
    <t xml:space="preserve">2022-05-05</t>
  </si>
  <si>
    <t xml:space="preserve">2022-05-06</t>
  </si>
  <si>
    <t xml:space="preserve">2022-05-07</t>
  </si>
  <si>
    <t xml:space="preserve">2022-05-08</t>
  </si>
  <si>
    <t xml:space="preserve">2022-05-09</t>
  </si>
  <si>
    <t xml:space="preserve">2022-05-10</t>
  </si>
  <si>
    <t xml:space="preserve">2022-05-11</t>
  </si>
  <si>
    <t xml:space="preserve">2022-05-12</t>
  </si>
  <si>
    <t xml:space="preserve">2022-05-13</t>
  </si>
  <si>
    <t xml:space="preserve">2022-05-14</t>
  </si>
  <si>
    <t xml:space="preserve">2022-05-15</t>
  </si>
  <si>
    <t xml:space="preserve">2022-05-16</t>
  </si>
  <si>
    <t xml:space="preserve">2022-05-17</t>
  </si>
  <si>
    <t xml:space="preserve">2022-05-18</t>
  </si>
  <si>
    <t xml:space="preserve">2022-05-19</t>
  </si>
  <si>
    <t xml:space="preserve">2022-05-20</t>
  </si>
  <si>
    <t xml:space="preserve">2022-05-21</t>
  </si>
  <si>
    <t xml:space="preserve">2022-05-22</t>
  </si>
  <si>
    <t xml:space="preserve">2022-05-23</t>
  </si>
  <si>
    <t xml:space="preserve">2022-05-24</t>
  </si>
  <si>
    <t xml:space="preserve">2022-05-25</t>
  </si>
  <si>
    <t xml:space="preserve">2022-05-26</t>
  </si>
  <si>
    <t xml:space="preserve">2022-05-27</t>
  </si>
  <si>
    <t xml:space="preserve">2022-05-28</t>
  </si>
  <si>
    <t xml:space="preserve">2022-05-29</t>
  </si>
  <si>
    <t xml:space="preserve">2022-05-30</t>
  </si>
  <si>
    <t xml:space="preserve">2022-05-31</t>
  </si>
  <si>
    <t xml:space="preserve">2022-06-01</t>
  </si>
  <si>
    <t xml:space="preserve">2022-06-02</t>
  </si>
  <si>
    <t xml:space="preserve">2022-06-03</t>
  </si>
  <si>
    <t xml:space="preserve">2022-06-04</t>
  </si>
  <si>
    <t xml:space="preserve">2022-06-05</t>
  </si>
  <si>
    <t xml:space="preserve">2022-06-06</t>
  </si>
  <si>
    <t xml:space="preserve">2022-06-07</t>
  </si>
  <si>
    <t xml:space="preserve">2022-06-08</t>
  </si>
  <si>
    <t xml:space="preserve">2022-06-09</t>
  </si>
  <si>
    <t xml:space="preserve">2022-06-10</t>
  </si>
  <si>
    <t xml:space="preserve">2022-06-11</t>
  </si>
  <si>
    <t xml:space="preserve">2022-06-12</t>
  </si>
  <si>
    <t xml:space="preserve">2022-06-13</t>
  </si>
  <si>
    <t xml:space="preserve">2022-06-14</t>
  </si>
  <si>
    <t xml:space="preserve">2022-06-15</t>
  </si>
  <si>
    <t xml:space="preserve">2022-06-16</t>
  </si>
  <si>
    <t xml:space="preserve">2022-06-17</t>
  </si>
  <si>
    <t xml:space="preserve">2022-06-18</t>
  </si>
  <si>
    <t xml:space="preserve">2022-06-19</t>
  </si>
  <si>
    <t xml:space="preserve">2022-06-20</t>
  </si>
  <si>
    <t xml:space="preserve">2022-06-21</t>
  </si>
  <si>
    <t xml:space="preserve">2022-06-22</t>
  </si>
  <si>
    <t xml:space="preserve">2022-06-23</t>
  </si>
  <si>
    <t xml:space="preserve">2022-06-24</t>
  </si>
  <si>
    <t xml:space="preserve">2022-06-25</t>
  </si>
  <si>
    <t xml:space="preserve">2022-06-26</t>
  </si>
  <si>
    <t xml:space="preserve">2022-06-27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</si>
  <si>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</si>
  <si>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</si>
  <si>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</si>
  <si>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</si>
  <si>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2022-07-02</t>
  </si>
  <si>
    <t xml:space="preserve">2022-07-03</t>
  </si>
  <si>
    <t xml:space="preserve">2022-07-04</t>
  </si>
  <si>
    <t xml:space="preserve">2022-07-05</t>
  </si>
  <si>
    <t xml:space="preserve">2022-07-06</t>
  </si>
  <si>
    <t xml:space="preserve">2022-07-07</t>
  </si>
  <si>
    <t xml:space="preserve">2022-07-08</t>
  </si>
  <si>
    <t xml:space="preserve">2022-07-09</t>
  </si>
  <si>
    <t xml:space="preserve">2022-07-10</t>
  </si>
  <si>
    <t xml:space="preserve">2022-07-11</t>
  </si>
  <si>
    <t xml:space="preserve">2022-07-12</t>
  </si>
  <si>
    <t xml:space="preserve">2022-07-13</t>
  </si>
  <si>
    <t xml:space="preserve">2022-07-14</t>
  </si>
  <si>
    <t xml:space="preserve">2022-07-15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</si>
  <si>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</si>
  <si>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</si>
  <si>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</si>
  <si>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</si>
  <si>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</si>
  <si>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</si>
  <si>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</si>
  <si>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</si>
  <si>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2022-07-24</t>
  </si>
  <si>
    <t xml:space="preserve">2022-07-25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</si>
  <si>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</si>
  <si>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</si>
  <si>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</si>
  <si>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</si>
  <si>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</si>
  <si>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</si>
  <si>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</si>
  <si>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</si>
  <si>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</si>
  <si>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</si>
  <si>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</si>
  <si>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2022-08-06</t>
  </si>
  <si>
    <t xml:space="preserve">2022-08-07</t>
  </si>
  <si>
    <t xml:space="preserve">2022-08-08</t>
  </si>
  <si>
    <t xml:space="preserve">2022-08-09</t>
  </si>
  <si>
    <t xml:space="preserve">2022-08-10</t>
  </si>
  <si>
    <t xml:space="preserve">2022-08-11</t>
  </si>
  <si>
    <t xml:space="preserve">2022-08-12</t>
  </si>
  <si>
    <t xml:space="preserve">2022-08-13</t>
  </si>
  <si>
    <t xml:space="preserve">2022-08-14</t>
  </si>
  <si>
    <t xml:space="preserve">2022-08-15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</si>
  <si>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</si>
  <si>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</si>
  <si>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</si>
  <si>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</si>
  <si>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2022-08-20</t>
  </si>
  <si>
    <t xml:space="preserve">2022-08-21</t>
  </si>
  <si>
    <t xml:space="preserve">2022-08-22</t>
  </si>
  <si>
    <t xml:space="preserve">2022-08-23</t>
  </si>
  <si>
    <t xml:space="preserve">2022-08-24</t>
  </si>
  <si>
    <t xml:space="preserve">2022-08-25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</si>
  <si>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</si>
  <si>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</si>
  <si>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</si>
  <si>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</si>
  <si>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</si>
  <si>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</si>
  <si>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</si>
  <si>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</si>
  <si>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</si>
  <si>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2022-09-04</t>
  </si>
  <si>
    <t xml:space="preserve">2022-09-05</t>
  </si>
  <si>
    <t xml:space="preserve">2022-09-06</t>
  </si>
  <si>
    <t xml:space="preserve">2022-09-07</t>
  </si>
  <si>
    <t xml:space="preserve">2022-09-08</t>
  </si>
  <si>
    <t xml:space="preserve">2022-09-09</t>
  </si>
  <si>
    <t xml:space="preserve">2022-09-10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</si>
  <si>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</si>
  <si>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</si>
  <si>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</si>
  <si>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</si>
  <si>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</si>
  <si>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</si>
  <si>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</si>
  <si>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2022-09-18</t>
  </si>
  <si>
    <t xml:space="preserve">2022-09-19</t>
  </si>
  <si>
    <t xml:space="preserve">2022-09-20</t>
  </si>
  <si>
    <t xml:space="preserve">2022-09-21</t>
  </si>
  <si>
    <t xml:space="preserve">2022-09-22</t>
  </si>
  <si>
    <t xml:space="preserve">2022-09-23</t>
  </si>
  <si>
    <t xml:space="preserve">2022-09-24</t>
  </si>
  <si>
    <t xml:space="preserve">2022-09-25</t>
  </si>
  <si>
    <t xml:space="preserve">2022-09-26</t>
  </si>
  <si>
    <t xml:space="preserve">2022-09-27</t>
  </si>
  <si>
    <t xml:space="preserve">2022-09-28</t>
  </si>
  <si>
    <t xml:space="preserve">2022-09-29</t>
  </si>
  <si>
    <t xml:space="preserve">2022-09-30</t>
  </si>
  <si>
    <t xml:space="preserve">2022-10-01</t>
  </si>
  <si>
    <t xml:space="preserve">2022-10-02</t>
  </si>
  <si>
    <t xml:space="preserve">2022-10-03</t>
  </si>
  <si>
    <t xml:space="preserve">2022-10-04</t>
  </si>
  <si>
    <t xml:space="preserve">2022-10-05</t>
  </si>
  <si>
    <t xml:space="preserve">2022-10-06</t>
  </si>
  <si>
    <t xml:space="preserve">2022-10-07</t>
  </si>
  <si>
    <t xml:space="preserve">2022-10-08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</si>
  <si>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</si>
  <si>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</si>
  <si>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</si>
  <si>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</si>
  <si>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2022-10-13</t>
  </si>
  <si>
    <t xml:space="preserve">2022-10-14</t>
  </si>
  <si>
    <t xml:space="preserve">2022-10-15</t>
  </si>
  <si>
    <t xml:space="preserve">2022-10-16</t>
  </si>
  <si>
    <t xml:space="preserve">2022-10-17</t>
  </si>
  <si>
    <t xml:space="preserve">2022-10-18</t>
  </si>
  <si>
    <t xml:space="preserve">2022-10-19</t>
  </si>
  <si>
    <t xml:space="preserve">2022-10-20</t>
  </si>
  <si>
    <t xml:space="preserve">2022-10-21</t>
  </si>
  <si>
    <t xml:space="preserve">2022-10-22</t>
  </si>
  <si>
    <t xml:space="preserve">2022-10-23</t>
  </si>
  <si>
    <t xml:space="preserve">2022-10-24</t>
  </si>
  <si>
    <t xml:space="preserve">2022-10-25</t>
  </si>
  <si>
    <t xml:space="preserve">2022-10-26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</si>
  <si>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</si>
  <si>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</si>
  <si>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</si>
  <si>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</si>
  <si>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</si>
  <si>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</si>
  <si>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</si>
  <si>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2022-11-03</t>
  </si>
  <si>
    <t xml:space="preserve">2022-11-04</t>
  </si>
  <si>
    <t xml:space="preserve">2022-11-05</t>
  </si>
  <si>
    <t xml:space="preserve">2022-11-06</t>
  </si>
  <si>
    <t xml:space="preserve">2022-11-07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</si>
  <si>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</si>
  <si>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</si>
  <si>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</si>
  <si>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</si>
  <si>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</si>
  <si>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</si>
  <si>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</si>
  <si>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</si>
  <si>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</si>
  <si>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</si>
  <si>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</si>
  <si>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</si>
  <si>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</si>
  <si>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2022-11-21</t>
  </si>
  <si>
    <t xml:space="preserve">2022-11-22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</si>
  <si>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</si>
  <si>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</si>
  <si>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</si>
  <si>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</si>
  <si>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</si>
  <si>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</si>
  <si>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</si>
  <si>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2022-11-30</t>
  </si>
  <si>
    <t xml:space="preserve">2022-12-01</t>
  </si>
  <si>
    <t xml:space="preserve">2022-12-02</t>
  </si>
  <si>
    <t xml:space="preserve">2022-12-03</t>
  </si>
  <si>
    <t xml:space="preserve">2022-12-04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</si>
  <si>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</si>
  <si>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</si>
  <si>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</si>
  <si>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</si>
  <si>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</si>
  <si>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</si>
  <si>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</si>
  <si>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2022-12-12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</si>
  <si>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</si>
  <si>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</si>
  <si>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</si>
  <si>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</si>
  <si>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2022-12-17</t>
  </si>
  <si>
    <t xml:space="preserve">2022-12-18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</si>
  <si>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</si>
  <si>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</si>
  <si>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</si>
  <si>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</si>
  <si>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2022-12-23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</si>
  <si>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</si>
  <si>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</si>
  <si>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</si>
  <si>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</si>
  <si>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2022-12-28</t>
  </si>
  <si>
    <t xml:space="preserve">2022-12-29</t>
  </si>
  <si>
    <t xml:space="preserve">2022-12-30</t>
  </si>
  <si>
    <t xml:space="preserve">2022-12-31</t>
  </si>
  <si>
    <t xml:space="preserve">2023-01-01</t>
  </si>
  <si>
    <t xml:space="preserve">2023-01-02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</si>
  <si>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</si>
  <si>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</si>
  <si>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</si>
  <si>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</si>
  <si>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</si>
  <si>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2023-01-08</t>
  </si>
  <si>
    <t xml:space="preserve">2023-01-09</t>
  </si>
  <si>
    <t xml:space="preserve">2023-01-10</t>
  </si>
  <si>
    <t xml:space="preserve">2023-01-11</t>
  </si>
  <si>
    <t xml:space="preserve">2023-01-12</t>
  </si>
  <si>
    <t xml:space="preserve">2023-01-13</t>
  </si>
  <si>
    <t xml:space="preserve">2023-01-14</t>
  </si>
  <si>
    <t xml:space="preserve">2023-01-15</t>
  </si>
  <si>
    <t xml:space="preserve">2023-01-16</t>
  </si>
  <si>
    <t xml:space="preserve">2023-01-17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</si>
  <si>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</si>
  <si>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</si>
  <si>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</si>
  <si>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</si>
  <si>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</si>
  <si>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</si>
  <si>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</si>
  <si>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</si>
  <si>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</si>
  <si>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2023-01-27</t>
  </si>
  <si>
    <t xml:space="preserve">2023-01-28</t>
  </si>
  <si>
    <t xml:space="preserve">2023-01-29</t>
  </si>
  <si>
    <t xml:space="preserve">2023-01-30</t>
  </si>
  <si>
    <t xml:space="preserve">2023-01-31</t>
  </si>
  <si>
    <t xml:space="preserve">2023-02-01</t>
  </si>
  <si>
    <t xml:space="preserve">2023-02-02</t>
  </si>
  <si>
    <t xml:space="preserve">2023-02-03</t>
  </si>
  <si>
    <t xml:space="preserve">2023-02-04</t>
  </si>
  <si>
    <t xml:space="preserve">2023-02-05</t>
  </si>
  <si>
    <t xml:space="preserve">2023-02-06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</si>
  <si>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</si>
  <si>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</si>
  <si>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</si>
  <si>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</si>
  <si>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</si>
  <si>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</si>
  <si>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2023-02-13</t>
  </si>
  <si>
    <t xml:space="preserve">2023-02-14</t>
  </si>
  <si>
    <t xml:space="preserve">2023-02-15</t>
  </si>
  <si>
    <t xml:space="preserve">2023-02-16</t>
  </si>
  <si>
    <t xml:space="preserve">2023-02-17</t>
  </si>
  <si>
    <t xml:space="preserve">2023-02-18</t>
  </si>
  <si>
    <t xml:space="preserve">2023-02-19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</si>
  <si>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</si>
  <si>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</si>
  <si>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</si>
  <si>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</si>
  <si>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</si>
  <si>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</si>
  <si>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2023-02-26</t>
  </si>
  <si>
    <t xml:space="preserve">2023-02-27</t>
  </si>
  <si>
    <t xml:space="preserve">2023-02-28</t>
  </si>
  <si>
    <t xml:space="preserve">2023-03-01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</si>
  <si>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</si>
  <si>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</si>
  <si>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</si>
  <si>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</si>
  <si>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</si>
  <si>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</si>
  <si>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2023-03-08</t>
  </si>
  <si>
    <t xml:space="preserve">2023-03-09</t>
  </si>
  <si>
    <t xml:space="preserve">2023-03-10</t>
  </si>
  <si>
    <t xml:space="preserve">2023-03-11</t>
  </si>
  <si>
    <t xml:space="preserve">2023-03-12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</si>
  <si>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</si>
  <si>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</si>
  <si>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</si>
  <si>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</si>
  <si>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</si>
  <si>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</si>
  <si>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2023-03-19</t>
  </si>
  <si>
    <t xml:space="preserve">2023-03-20</t>
  </si>
  <si>
    <t xml:space="preserve">2023-03-21</t>
  </si>
  <si>
    <t xml:space="preserve">2023-03-22</t>
  </si>
  <si>
    <t xml:space="preserve">2023-03-23</t>
  </si>
  <si>
    <t xml:space="preserve">2023-03-24</t>
  </si>
  <si>
    <t xml:space="preserve">2023-03-25</t>
  </si>
  <si>
    <t xml:space="preserve">2023-03-26</t>
  </si>
  <si>
    <t xml:space="preserve">2023-03-27</t>
  </si>
  <si>
    <t xml:space="preserve">2023-03-28</t>
  </si>
  <si>
    <t xml:space="preserve">2023-03-29</t>
  </si>
  <si>
    <t xml:space="preserve">2023-03-30</t>
  </si>
  <si>
    <t xml:space="preserve">2023-03-31</t>
  </si>
  <si>
    <t xml:space="preserve">2023-04-01</t>
  </si>
  <si>
    <t xml:space="preserve">2023-04-02</t>
  </si>
  <si>
    <t xml:space="preserve">2023-04-03</t>
  </si>
  <si>
    <t xml:space="preserve">2023-04-04</t>
  </si>
  <si>
    <t xml:space="preserve">2023-04-05</t>
  </si>
  <si>
    <t xml:space="preserve">2023-04-06</t>
  </si>
  <si>
    <t xml:space="preserve">2023-04-07</t>
  </si>
  <si>
    <t xml:space="preserve">2023-04-08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</si>
  <si>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</si>
  <si>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</si>
  <si>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</si>
  <si>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</si>
  <si>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</si>
  <si>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</si>
  <si>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</si>
  <si>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2023-04-16</t>
  </si>
  <si>
    <t xml:space="preserve">2023-04-17</t>
  </si>
  <si>
    <t xml:space="preserve">2023-04-18</t>
  </si>
  <si>
    <t xml:space="preserve">2023-04-19</t>
  </si>
  <si>
    <t xml:space="preserve">2023-04-20</t>
  </si>
  <si>
    <t xml:space="preserve">2023-04-21</t>
  </si>
  <si>
    <t xml:space="preserve">2023-04-22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</si>
  <si>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</si>
  <si>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</si>
  <si>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</si>
  <si>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</si>
  <si>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2023-04-27</t>
  </si>
  <si>
    <t xml:space="preserve">2023-04-28</t>
  </si>
  <si>
    <t xml:space="preserve">2023-04-29</t>
  </si>
  <si>
    <t xml:space="preserve">2023-04-30</t>
  </si>
  <si>
    <t xml:space="preserve">2023-05-01</t>
  </si>
  <si>
    <t xml:space="preserve">2023-05-02</t>
  </si>
  <si>
    <t xml:space="preserve">2023-05-03</t>
  </si>
  <si>
    <t xml:space="preserve">2023-05-04</t>
  </si>
  <si>
    <t xml:space="preserve">2023-05-05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</si>
  <si>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</si>
  <si>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</si>
  <si>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</si>
  <si>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</si>
  <si>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</si>
  <si>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</si>
  <si>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2023-05-12</t>
  </si>
  <si>
    <t xml:space="preserve">2023-05-13</t>
  </si>
  <si>
    <t xml:space="preserve">2023-05-14</t>
  </si>
  <si>
    <t xml:space="preserve">2023-05-15</t>
  </si>
  <si>
    <t xml:space="preserve">2023-05-16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</si>
  <si>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</si>
  <si>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</si>
  <si>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</si>
  <si>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</si>
  <si>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</si>
  <si>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</si>
  <si>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</si>
  <si>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</si>
  <si>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2023-05-25</t>
  </si>
  <si>
    <t xml:space="preserve">2023-05-26</t>
  </si>
  <si>
    <t xml:space="preserve">2023-05-27</t>
  </si>
  <si>
    <t xml:space="preserve">2023-05-28</t>
  </si>
  <si>
    <t xml:space="preserve">2023-05-29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</si>
  <si>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</si>
  <si>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</si>
  <si>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</si>
  <si>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</si>
  <si>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</si>
  <si>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</si>
  <si>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</si>
  <si>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</si>
  <si>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2023-06-07</t>
  </si>
  <si>
    <t xml:space="preserve">2023-06-08</t>
  </si>
  <si>
    <t xml:space="preserve">2023-06-09</t>
  </si>
  <si>
    <t xml:space="preserve">2023-06-10</t>
  </si>
  <si>
    <t xml:space="preserve">2023-06-11</t>
  </si>
  <si>
    <t xml:space="preserve">2023-06-12</t>
  </si>
  <si>
    <t xml:space="preserve">2023-06-13</t>
  </si>
  <si>
    <t xml:space="preserve">2023-06-14</t>
  </si>
  <si>
    <t xml:space="preserve">2023-06-15</t>
  </si>
  <si>
    <t xml:space="preserve">2023-06-16</t>
  </si>
  <si>
    <t xml:space="preserve">2023-06-17</t>
  </si>
  <si>
    <t xml:space="preserve">2023-06-18</t>
  </si>
  <si>
    <t xml:space="preserve">2023-06-19</t>
  </si>
  <si>
    <t xml:space="preserve">2023-06-20</t>
  </si>
  <si>
    <t xml:space="preserve">2023-06-21</t>
  </si>
  <si>
    <t xml:space="preserve">2023-06-22</t>
  </si>
  <si>
    <t xml:space="preserve">2023-06-23</t>
  </si>
  <si>
    <t xml:space="preserve">2023-06-24</t>
  </si>
  <si>
    <t xml:space="preserve">2023-06-25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</si>
  <si>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</si>
  <si>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</si>
  <si>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</si>
  <si>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</si>
  <si>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2023-06-30</t>
  </si>
  <si>
    <t xml:space="preserve">2023-07-01</t>
  </si>
  <si>
    <t xml:space="preserve">2023-07-02</t>
  </si>
  <si>
    <t xml:space="preserve">2023-07-03</t>
  </si>
  <si>
    <t xml:space="preserve">2023-07-04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</si>
  <si>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</si>
  <si>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</si>
  <si>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</si>
  <si>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</si>
  <si>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</si>
  <si>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2023-07-10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</si>
  <si>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</si>
  <si>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</si>
  <si>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</si>
  <si>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</si>
  <si>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</si>
  <si>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</si>
  <si>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</si>
  <si>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</si>
  <si>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2023-07-19</t>
  </si>
  <si>
    <t xml:space="preserve">2023-07-20</t>
  </si>
  <si>
    <t xml:space="preserve">2023-07-21</t>
  </si>
  <si>
    <t xml:space="preserve">2023-07-22</t>
  </si>
  <si>
    <t xml:space="preserve">2023-07-23</t>
  </si>
  <si>
    <t xml:space="preserve">2023-07-24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</si>
  <si>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</si>
  <si>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</si>
  <si>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</si>
  <si>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</si>
  <si>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</si>
  <si>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</si>
  <si>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</si>
  <si>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</si>
  <si>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</si>
  <si>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</si>
  <si>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</si>
  <si>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</si>
  <si>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</si>
  <si>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</si>
  <si>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2023-08-08</t>
  </si>
  <si>
    <t xml:space="preserve">2023-08-09</t>
  </si>
  <si>
    <t xml:space="preserve">2023-08-10</t>
  </si>
  <si>
    <t xml:space="preserve">2023-08-11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</si>
  <si>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</si>
  <si>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</si>
  <si>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</si>
  <si>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</si>
  <si>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</si>
  <si>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</si>
  <si>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2023-08-18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</si>
  <si>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</si>
  <si>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</si>
  <si>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</si>
  <si>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</si>
  <si>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</si>
  <si>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</si>
  <si>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</si>
  <si>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</si>
  <si>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</si>
  <si>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</si>
  <si>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2023-08-29</t>
  </si>
  <si>
    <t xml:space="preserve">2023-08-30</t>
  </si>
  <si>
    <t xml:space="preserve">2023-08-31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</si>
  <si>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</si>
  <si>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</si>
  <si>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</si>
  <si>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</si>
  <si>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</si>
  <si>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2023-09-06</t>
  </si>
  <si>
    <t xml:space="preserve">2023-09-07</t>
  </si>
  <si>
    <t xml:space="preserve">2023-09-08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</si>
  <si>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</si>
  <si>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</si>
  <si>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</si>
  <si>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</si>
  <si>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</si>
  <si>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</si>
  <si>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</si>
  <si>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</si>
  <si>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</si>
  <si>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</si>
  <si>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2023-09-19</t>
  </si>
  <si>
    <t xml:space="preserve">2023-09-20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</si>
  <si>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</si>
  <si>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</si>
  <si>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</si>
  <si>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</si>
  <si>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</si>
  <si>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</si>
  <si>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</si>
  <si>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</si>
  <si>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</si>
  <si>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2023-09-30</t>
  </si>
  <si>
    <t xml:space="preserve">2023-10-01</t>
  </si>
  <si>
    <t xml:space="preserve">2023-10-02</t>
  </si>
  <si>
    <t xml:space="preserve">2023-10-03</t>
  </si>
  <si>
    <t xml:space="preserve">2023-10-04</t>
  </si>
  <si>
    <t xml:space="preserve">2023-10-05</t>
  </si>
  <si>
    <t xml:space="preserve">2023-10-06</t>
  </si>
  <si>
    <t xml:space="preserve">2023-10-07</t>
  </si>
  <si>
    <t xml:space="preserve">2023-10-08</t>
  </si>
  <si>
    <t xml:space="preserve">2023-10-09</t>
  </si>
  <si>
    <t xml:space="preserve">2023-10-10</t>
  </si>
  <si>
    <t xml:space="preserve">2023-10-11</t>
  </si>
  <si>
    <t xml:space="preserve">2023-10-12</t>
  </si>
  <si>
    <t xml:space="preserve">2023-10-13</t>
  </si>
  <si>
    <t xml:space="preserve">2023-10-14</t>
  </si>
  <si>
    <t xml:space="preserve">2023-10-15</t>
  </si>
  <si>
    <t xml:space="preserve">2023-10-16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</si>
  <si>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</si>
  <si>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</si>
  <si>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</si>
  <si>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</si>
  <si>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</si>
  <si>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</si>
  <si>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</si>
  <si>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</si>
  <si>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2023-10-25</t>
  </si>
  <si>
    <t xml:space="preserve">2023-10-26</t>
  </si>
  <si>
    <t xml:space="preserve">2023-10-27</t>
  </si>
  <si>
    <t xml:space="preserve">2023-10-28</t>
  </si>
  <si>
    <t xml:space="preserve">2023-10-29</t>
  </si>
  <si>
    <t xml:space="preserve">2023-10-30</t>
  </si>
  <si>
    <t xml:space="preserve">2023-10-31</t>
  </si>
  <si>
    <t xml:space="preserve">2023-11-01</t>
  </si>
  <si>
    <t xml:space="preserve">2023-11-02</t>
  </si>
  <si>
    <t xml:space="preserve">2023-11-03</t>
  </si>
  <si>
    <t xml:space="preserve">2023-11-04</t>
  </si>
  <si>
    <t xml:space="preserve">2023-11-05</t>
  </si>
  <si>
    <t xml:space="preserve">2023-11-06</t>
  </si>
  <si>
    <t xml:space="preserve">2023-11-07</t>
  </si>
  <si>
    <t xml:space="preserve">2023-11-08</t>
  </si>
  <si>
    <t xml:space="preserve">2023-11-09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</si>
  <si>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</si>
  <si>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</si>
  <si>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</si>
  <si>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</si>
  <si>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</si>
  <si>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</si>
  <si>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</si>
  <si>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</si>
  <si>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</si>
  <si>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</si>
  <si>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</si>
  <si>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</si>
  <si>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</si>
  <si>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</si>
  <si>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</si>
  <si>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</si>
  <si>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</si>
  <si>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</si>
  <si>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</si>
  <si>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</si>
  <si>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2023-11-30</t>
  </si>
  <si>
    <t xml:space="preserve">2023-12-01</t>
  </si>
  <si>
    <t xml:space="preserve">2023-12-02</t>
  </si>
  <si>
    <t xml:space="preserve">2023-12-03</t>
  </si>
  <si>
    <t xml:space="preserve">2023-12-04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</si>
  <si>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</si>
  <si>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</si>
  <si>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</si>
  <si>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</si>
  <si>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</si>
  <si>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2023-12-10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</si>
  <si>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</si>
  <si>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</si>
  <si>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</si>
  <si>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</si>
  <si>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</si>
  <si>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2023-12-16</t>
  </si>
  <si>
    <t xml:space="preserve">2023-12-17</t>
  </si>
  <si>
    <t xml:space="preserve">2023-12-18</t>
  </si>
  <si>
    <t xml:space="preserve">2023-12-19</t>
  </si>
  <si>
    <t xml:space="preserve">2023-12-20</t>
  </si>
  <si>
    <t xml:space="preserve">2023-12-21</t>
  </si>
  <si>
    <t xml:space="preserve">2023-12-22</t>
  </si>
  <si>
    <t xml:space="preserve">2023-12-23</t>
  </si>
  <si>
    <t xml:space="preserve">2023-12-24</t>
  </si>
  <si>
    <t xml:space="preserve">2023-12-25</t>
  </si>
  <si>
    <t xml:space="preserve">2023-12-26</t>
  </si>
  <si>
    <t xml:space="preserve">2023-12-27</t>
  </si>
  <si>
    <t xml:space="preserve">2023-12-28</t>
  </si>
  <si>
    <t xml:space="preserve">2023-12-29</t>
  </si>
  <si>
    <t xml:space="preserve">2023-12-30</t>
  </si>
  <si>
    <t xml:space="preserve">2023-12-31</t>
  </si>
  <si>
    <t xml:space="preserve">2024-01-01</t>
  </si>
  <si>
    <t xml:space="preserve">2024-01-02</t>
  </si>
  <si>
    <t xml:space="preserve">2024-01-03</t>
  </si>
  <si>
    <t xml:space="preserve">2024-01-04</t>
  </si>
  <si>
    <t xml:space="preserve">2024-01-05</t>
  </si>
  <si>
    <t xml:space="preserve">2024-01-06</t>
  </si>
  <si>
    <t xml:space="preserve">2024-01-07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</si>
  <si>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</si>
  <si>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</si>
  <si>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</si>
  <si>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</si>
  <si>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</si>
  <si>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</si>
  <si>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</si>
  <si>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</si>
  <si>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2024-01-16</t>
  </si>
  <si>
    <t xml:space="preserve">2024-01-17</t>
  </si>
  <si>
    <t xml:space="preserve">2024-01-18</t>
  </si>
  <si>
    <t xml:space="preserve">2024-01-19</t>
  </si>
  <si>
    <t xml:space="preserve">2024-01-20</t>
  </si>
  <si>
    <t xml:space="preserve">2024-01-21</t>
  </si>
  <si>
    <t xml:space="preserve">2024-01-22</t>
  </si>
  <si>
    <t xml:space="preserve">2024-01-23</t>
  </si>
  <si>
    <t xml:space="preserve">2024-01-24</t>
  </si>
  <si>
    <t xml:space="preserve">2024-01-25</t>
  </si>
  <si>
    <t xml:space="preserve">2024-01-26</t>
  </si>
  <si>
    <t xml:space="preserve">2024-01-27</t>
  </si>
  <si>
    <t xml:space="preserve">2024-01-28</t>
  </si>
  <si>
    <t xml:space="preserve">2024-01-29</t>
  </si>
  <si>
    <t xml:space="preserve">2024-01-30</t>
  </si>
  <si>
    <t xml:space="preserve">2024-01-31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</si>
  <si>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</si>
  <si>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</si>
  <si>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</si>
  <si>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</si>
  <si>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</si>
  <si>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</si>
  <si>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</si>
  <si>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</si>
  <si>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2024-02-09</t>
  </si>
  <si>
    <t xml:space="preserve">2024-02-10</t>
  </si>
  <si>
    <t xml:space="preserve">2024-02-11</t>
  </si>
  <si>
    <t xml:space="preserve">2024-02-12</t>
  </si>
  <si>
    <t xml:space="preserve">2024-02-13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</si>
  <si>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</si>
  <si>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</si>
  <si>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</si>
  <si>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</si>
  <si>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2024-02-18</t>
  </si>
  <si>
    <t xml:space="preserve">2024-02-19</t>
  </si>
  <si>
    <t xml:space="preserve">2024-02-20</t>
  </si>
  <si>
    <t xml:space="preserve">2024-02-21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</si>
  <si>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</si>
  <si>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</si>
  <si>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</si>
  <si>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</si>
  <si>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</si>
  <si>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</si>
  <si>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</si>
  <si>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</si>
  <si>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2024-03-01</t>
  </si>
  <si>
    <t xml:space="preserve">2024-03-02</t>
  </si>
  <si>
    <t xml:space="preserve">2024-03-03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</si>
  <si>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</si>
  <si>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</si>
  <si>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</si>
  <si>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</si>
  <si>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</si>
  <si>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</si>
  <si>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2024-03-10</t>
  </si>
  <si>
    <t xml:space="preserve">2024-03-11</t>
  </si>
  <si>
    <t xml:space="preserve">2024-03-12</t>
  </si>
  <si>
    <t xml:space="preserve">2024-03-13</t>
  </si>
  <si>
    <t xml:space="preserve">2024-03-14</t>
  </si>
  <si>
    <t xml:space="preserve">2024-03-15</t>
  </si>
  <si>
    <t xml:space="preserve">2024-03-16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</si>
  <si>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</si>
  <si>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</si>
  <si>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</si>
  <si>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</si>
  <si>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</si>
  <si>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</si>
  <si>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</si>
  <si>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</si>
  <si>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</si>
  <si>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</si>
  <si>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</si>
  <si>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</si>
  <si>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</si>
  <si>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</si>
  <si>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</si>
  <si>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</si>
  <si>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</si>
  <si>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</si>
  <si>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</si>
  <si>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</si>
  <si>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2024-04-06</t>
  </si>
  <si>
    <t xml:space="preserve">2024-04-07</t>
  </si>
  <si>
    <t xml:space="preserve">2024-04-08</t>
  </si>
  <si>
    <t xml:space="preserve">2024-04-09</t>
  </si>
  <si>
    <t xml:space="preserve">2024-04-10</t>
  </si>
  <si>
    <t xml:space="preserve">2024-04-11</t>
  </si>
  <si>
    <t xml:space="preserve">2024-04-12</t>
  </si>
  <si>
    <t xml:space="preserve">2024-04-13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</si>
  <si>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</si>
  <si>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</si>
  <si>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</si>
  <si>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</si>
  <si>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</si>
  <si>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</si>
  <si>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</si>
  <si>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2024-04-21</t>
  </si>
  <si>
    <t xml:space="preserve">2024-04-22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</si>
  <si>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</si>
  <si>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</si>
  <si>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</si>
  <si>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</si>
  <si>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</si>
  <si>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</si>
  <si>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</si>
  <si>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2024-04-30</t>
  </si>
  <si>
    <t xml:space="preserve">2024-05-01</t>
  </si>
  <si>
    <t xml:space="preserve">2024-05-02</t>
  </si>
  <si>
    <t xml:space="preserve">2024-05-03</t>
  </si>
  <si>
    <t xml:space="preserve">2024-05-04</t>
  </si>
  <si>
    <t xml:space="preserve">2024-05-05</t>
  </si>
  <si>
    <t xml:space="preserve">2024-05-06</t>
  </si>
  <si>
    <t xml:space="preserve">2024-05-07</t>
  </si>
  <si>
    <t xml:space="preserve">2024-05-08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</si>
  <si>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</si>
  <si>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</si>
  <si>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</si>
  <si>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</si>
  <si>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</si>
  <si>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</si>
  <si>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</si>
  <si>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</si>
  <si>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</si>
  <si>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</si>
  <si>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2024-05-19</t>
  </si>
  <si>
    <t xml:space="preserve">2024-05-20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</si>
  <si>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</si>
  <si>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</si>
  <si>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</si>
  <si>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</si>
  <si>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</si>
  <si>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</si>
  <si>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</si>
  <si>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</si>
  <si>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2024-05-29</t>
  </si>
  <si>
    <t xml:space="preserve">2024-05-30</t>
  </si>
  <si>
    <t xml:space="preserve">2024-05-31</t>
  </si>
  <si>
    <t xml:space="preserve">2024-06-01</t>
  </si>
  <si>
    <t xml:space="preserve">2024-06-02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</si>
  <si>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</si>
  <si>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</si>
  <si>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</si>
  <si>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</si>
  <si>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</si>
  <si>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</si>
  <si>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</si>
  <si>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</si>
  <si>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2024-06-11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</si>
  <si>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</si>
  <si>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</si>
  <si>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</si>
  <si>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</si>
  <si>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</si>
  <si>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2024-06-17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</si>
  <si>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</si>
  <si>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</si>
  <si>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</si>
  <si>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</si>
  <si>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</si>
  <si>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</si>
  <si>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</si>
  <si>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</si>
  <si>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</si>
  <si>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</si>
  <si>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</si>
  <si>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</si>
  <si>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</si>
  <si>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2024-07-01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</si>
  <si>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</si>
  <si>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</si>
  <si>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</si>
  <si>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</si>
  <si>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</si>
  <si>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</si>
  <si>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</si>
  <si>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</si>
  <si>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2024-07-10</t>
  </si>
  <si>
    <t xml:space="preserve">2024-07-11</t>
  </si>
  <si>
    <t xml:space="preserve">2024-07-12</t>
  </si>
  <si>
    <t xml:space="preserve">2024-07-13</t>
  </si>
  <si>
    <t xml:space="preserve">2024-07-14</t>
  </si>
  <si>
    <t xml:space="preserve">2024-07-15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</si>
  <si>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</si>
  <si>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</si>
  <si>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</si>
  <si>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</si>
  <si>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2024-07-20</t>
  </si>
  <si>
    <t xml:space="preserve">2024-07-21</t>
  </si>
  <si>
    <t xml:space="preserve">2024-07-22</t>
  </si>
  <si>
    <t xml:space="preserve">2024-07-23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</si>
  <si>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</si>
  <si>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</si>
  <si>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</si>
  <si>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</si>
  <si>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</si>
  <si>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</si>
  <si>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</si>
  <si>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</si>
  <si>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</si>
  <si>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2024-08-02</t>
  </si>
  <si>
    <t xml:space="preserve">2024-08-03</t>
  </si>
  <si>
    <t xml:space="preserve">2024-08-04</t>
  </si>
  <si>
    <t xml:space="preserve">2024-08-05</t>
  </si>
  <si>
    <t xml:space="preserve">2024-08-06</t>
  </si>
  <si>
    <t xml:space="preserve">2024-08-07</t>
  </si>
  <si>
    <t xml:space="preserve">2024-08-08</t>
  </si>
  <si>
    <t xml:space="preserve">2024-08-09</t>
  </si>
  <si>
    <t xml:space="preserve">2024-08-10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</si>
  <si>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</si>
  <si>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</si>
  <si>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</si>
  <si>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</si>
  <si>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2024-08-15</t>
  </si>
  <si>
    <t xml:space="preserve">2024-08-16</t>
  </si>
  <si>
    <t xml:space="preserve">2024-08-17</t>
  </si>
  <si>
    <t xml:space="preserve">2024-08-18</t>
  </si>
  <si>
    <t xml:space="preserve">2024-08-19</t>
  </si>
  <si>
    <t xml:space="preserve">2024-08-20</t>
  </si>
  <si>
    <t xml:space="preserve">2024-08-21</t>
  </si>
  <si>
    <t xml:space="preserve">2024-08-22</t>
  </si>
  <si>
    <t xml:space="preserve">2024-08-23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</si>
  <si>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</si>
  <si>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</si>
  <si>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</si>
  <si>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</si>
  <si>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</si>
  <si>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</si>
  <si>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</si>
  <si>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</si>
  <si>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2024-09-01</t>
  </si>
  <si>
    <t xml:space="preserve">2024-09-02</t>
  </si>
  <si>
    <t xml:space="preserve">2024-09-03</t>
  </si>
  <si>
    <t xml:space="preserve">2024-09-04</t>
  </si>
  <si>
    <t xml:space="preserve">2024-09-05</t>
  </si>
  <si>
    <t xml:space="preserve">2024-09-06</t>
  </si>
  <si>
    <t xml:space="preserve">2024-09-07</t>
  </si>
  <si>
    <t xml:space="preserve">2024-09-08</t>
  </si>
  <si>
    <t xml:space="preserve">2024-09-09</t>
  </si>
  <si>
    <t xml:space="preserve">2024-09-10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</si>
  <si>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</si>
  <si>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</si>
  <si>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</si>
  <si>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</si>
  <si>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2024-09-15</t>
  </si>
  <si>
    <t xml:space="preserve">2024-09-16</t>
  </si>
  <si>
    <t xml:space="preserve">2024-09-17</t>
  </si>
  <si>
    <t xml:space="preserve">2024-09-18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</si>
  <si>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</si>
  <si>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</si>
  <si>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</si>
  <si>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</si>
  <si>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2024-09-23</t>
  </si>
  <si>
    <t xml:space="preserve">2024-09-24</t>
  </si>
  <si>
    <t xml:space="preserve">2024-09-25</t>
  </si>
  <si>
    <t xml:space="preserve">2024-09-26</t>
  </si>
  <si>
    <t xml:space="preserve">2024-09-27</t>
  </si>
  <si>
    <t xml:space="preserve">2024-09-28</t>
  </si>
  <si>
    <t xml:space="preserve">2024-09-29</t>
  </si>
  <si>
    <t xml:space="preserve">2024-09-30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</si>
  <si>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</si>
  <si>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</si>
  <si>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</si>
  <si>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</si>
  <si>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</si>
  <si>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2024-10-06</t>
  </si>
  <si>
    <t xml:space="preserve">2024-10-07</t>
  </si>
  <si>
    <t xml:space="preserve">2024-10-08</t>
  </si>
  <si>
    <t xml:space="preserve">2024-10-09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</si>
  <si>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</si>
  <si>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</si>
  <si>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</si>
  <si>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</si>
  <si>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</si>
  <si>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</si>
  <si>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</si>
  <si>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</si>
  <si>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</si>
  <si>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</si>
  <si>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2024-10-20</t>
  </si>
  <si>
    <t xml:space="preserve">2024-10-21</t>
  </si>
  <si>
    <t xml:space="preserve">2024-10-22</t>
  </si>
  <si>
    <t xml:space="preserve">2024-10-23</t>
  </si>
  <si>
    <t xml:space="preserve">2024-10-24</t>
  </si>
  <si>
    <t xml:space="preserve">2024-10-25</t>
  </si>
  <si>
    <t xml:space="preserve">2024-10-26</t>
  </si>
  <si>
    <t xml:space="preserve">2024-10-27</t>
  </si>
  <si>
    <t xml:space="preserve">2024-10-28</t>
  </si>
  <si>
    <t xml:space="preserve">2024-10-29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</si>
  <si>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</si>
  <si>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</si>
  <si>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</si>
  <si>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</si>
  <si>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</si>
  <si>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2024-11-04</t>
  </si>
  <si>
    <t xml:space="preserve">2024-11-05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</si>
  <si>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</si>
  <si>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</si>
  <si>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</si>
  <si>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</si>
  <si>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</si>
  <si>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</si>
  <si>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</si>
  <si>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</si>
  <si>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</si>
  <si>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</si>
  <si>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</si>
  <si>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</si>
  <si>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2024-11-18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</si>
  <si>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</si>
  <si>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</si>
  <si>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</si>
  <si>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</si>
  <si>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</si>
  <si>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</si>
  <si>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</si>
  <si>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2024-11-26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</si>
  <si>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</si>
  <si>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</si>
  <si>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</si>
  <si>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</si>
  <si>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2024-12-01</t>
  </si>
  <si>
    <t xml:space="preserve">2024-12-02</t>
  </si>
  <si>
    <t xml:space="preserve">2024-12-03</t>
  </si>
  <si>
    <t xml:space="preserve">2024-12-04</t>
  </si>
  <si>
    <t xml:space="preserve">2024-12-05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</si>
  <si>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</si>
  <si>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</si>
  <si>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</si>
  <si>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</si>
  <si>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2024-12-10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</si>
  <si>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</si>
  <si>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</si>
  <si>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</si>
  <si>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</si>
  <si>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2024-12-15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</si>
  <si>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</si>
  <si>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</si>
  <si>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</si>
  <si>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</si>
  <si>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</si>
  <si>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</si>
  <si>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</si>
  <si>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2024-12-23</t>
  </si>
  <si>
    <t xml:space="preserve">2024-12-24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</si>
  <si>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</si>
  <si>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</si>
  <si>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</si>
  <si>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</si>
  <si>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</si>
  <si>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</si>
  <si>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</si>
  <si>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</si>
  <si>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</si>
  <si>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2025-01-03</t>
  </si>
  <si>
    <t xml:space="preserve">2025-01-04</t>
  </si>
  <si>
    <t xml:space="preserve">2025-01-05</t>
  </si>
  <si>
    <t xml:space="preserve">2025-01-06</t>
  </si>
  <si>
    <t xml:space="preserve">2025-01-07</t>
  </si>
  <si>
    <t xml:space="preserve">2025-01-08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</si>
  <si>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</si>
  <si>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</si>
  <si>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</si>
  <si>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</si>
  <si>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</si>
  <si>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</si>
  <si>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</si>
  <si>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</si>
  <si>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</si>
  <si>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</si>
  <si>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2025-01-19</t>
  </si>
  <si>
    <t xml:space="preserve">2025-01-20</t>
  </si>
  <si>
    <t xml:space="preserve">2025-01-21</t>
  </si>
  <si>
    <t xml:space="preserve">2025-01-22</t>
  </si>
  <si>
    <t xml:space="preserve">2025-01-23</t>
  </si>
  <si>
    <t xml:space="preserve">2025-01-24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</si>
  <si>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</si>
  <si>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</si>
  <si>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</si>
  <si>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</si>
  <si>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2025-01-29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</si>
  <si>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</si>
  <si>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</si>
  <si>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</si>
  <si>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</si>
  <si>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</si>
  <si>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</si>
  <si>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</si>
  <si>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</si>
  <si>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</si>
  <si>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</si>
  <si>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</si>
  <si>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2025-02-10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</si>
  <si>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</si>
  <si>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</si>
  <si>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</si>
  <si>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</si>
  <si>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</si>
  <si>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</si>
  <si>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</si>
  <si>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</si>
  <si>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</si>
  <si>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</si>
  <si>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2025-02-21</t>
  </si>
  <si>
    <t xml:space="preserve">2025-02-22</t>
  </si>
  <si>
    <t xml:space="preserve">2025-02-23</t>
  </si>
  <si>
    <t xml:space="preserve">2025-02-24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</si>
  <si>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</si>
  <si>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</si>
  <si>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</si>
  <si>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</si>
  <si>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</si>
  <si>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</si>
  <si>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2025-03-03</t>
  </si>
  <si>
    <t xml:space="preserve">2025-03-04</t>
  </si>
  <si>
    <t xml:space="preserve">2025-03-05</t>
  </si>
  <si>
    <t xml:space="preserve">2025-03-06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</si>
  <si>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</si>
  <si>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</si>
  <si>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</si>
  <si>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</si>
  <si>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</si>
  <si>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</si>
  <si>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</si>
  <si>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</si>
  <si>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</si>
  <si>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2025-03-16</t>
  </si>
  <si>
    <t xml:space="preserve">2025-03-17</t>
  </si>
  <si>
    <t xml:space="preserve">2025-03-18</t>
  </si>
  <si>
    <t xml:space="preserve">2025-03-19</t>
  </si>
  <si>
    <t xml:space="preserve">2025-03-20</t>
  </si>
  <si>
    <t xml:space="preserve">2025-03-21</t>
  </si>
  <si>
    <t xml:space="preserve">2025-03-22</t>
  </si>
  <si>
    <t xml:space="preserve">2025-03-23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</si>
  <si>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</si>
  <si>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</si>
  <si>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</si>
  <si>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</si>
  <si>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2025-03-28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</si>
  <si>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</si>
  <si>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</si>
  <si>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</si>
  <si>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</si>
  <si>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</si>
  <si>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</si>
  <si>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2025-04-04</t>
  </si>
  <si>
    <t xml:space="preserve">2025-04-05</t>
  </si>
  <si>
    <t xml:space="preserve">2025-04-06</t>
  </si>
  <si>
    <t xml:space="preserve">2025-04-07</t>
  </si>
  <si>
    <t xml:space="preserve">2025-04-08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</si>
  <si>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</si>
  <si>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</si>
  <si>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</si>
  <si>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</si>
  <si>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</si>
  <si>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</si>
  <si>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2025-04-15</t>
  </si>
  <si>
    <t xml:space="preserve">2025-04-16</t>
  </si>
  <si>
    <t xml:space="preserve">2025-04-17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</si>
  <si>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</si>
  <si>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</si>
  <si>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</si>
  <si>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</si>
  <si>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2025-04-22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</si>
  <si>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</si>
  <si>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</si>
  <si>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</si>
  <si>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</si>
  <si>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2025-04-27</t>
  </si>
  <si>
    <t xml:space="preserve">2025-04-28</t>
  </si>
  <si>
    <t xml:space="preserve">2025-04-29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</si>
  <si>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</si>
  <si>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</si>
  <si>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</si>
  <si>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</si>
  <si>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2025-05-04</t>
  </si>
  <si>
    <t xml:space="preserve">2025-05-05</t>
  </si>
  <si>
    <t xml:space="preserve">2025-05-06</t>
  </si>
  <si>
    <t xml:space="preserve">2025-05-07</t>
  </si>
  <si>
    <t xml:space="preserve">2025-05-08</t>
  </si>
  <si>
    <t xml:space="preserve">2025-05-09</t>
  </si>
  <si>
    <t xml:space="preserve">2025-05-10</t>
  </si>
  <si>
    <t xml:space="preserve">2025-05-11</t>
  </si>
  <si>
    <t xml:space="preserve">2025-05-12</t>
  </si>
  <si>
    <t xml:space="preserve">2025-05-13</t>
  </si>
  <si>
    <t xml:space="preserve">2025-05-14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</si>
  <si>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</si>
  <si>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</si>
  <si>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</si>
  <si>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</si>
  <si>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</si>
  <si>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</si>
  <si>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2025-05-21</t>
  </si>
  <si>
    <t xml:space="preserve">2025-05-22</t>
  </si>
  <si>
    <t xml:space="preserve">2025-05-23</t>
  </si>
  <si>
    <t xml:space="preserve">2025-05-24</t>
  </si>
  <si>
    <t xml:space="preserve">2025-05-25</t>
  </si>
  <si>
    <t xml:space="preserve">2025-05-26</t>
  </si>
  <si>
    <t xml:space="preserve">2025-05-27</t>
  </si>
  <si>
    <t xml:space="preserve">2025-05-28</t>
  </si>
  <si>
    <t xml:space="preserve">2025-05-29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</si>
  <si>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</si>
  <si>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</si>
  <si>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</si>
  <si>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</si>
  <si>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</si>
  <si>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</si>
  <si>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2025-06-05</t>
  </si>
  <si>
    <t xml:space="preserve">2025-06-06</t>
  </si>
  <si>
    <t xml:space="preserve">2025-06-07</t>
  </si>
  <si>
    <t xml:space="preserve">2025-06-08</t>
  </si>
  <si>
    <t xml:space="preserve">2025-06-09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</si>
  <si>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</si>
  <si>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</si>
  <si>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</si>
  <si>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</si>
  <si>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</si>
  <si>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2025-06-15</t>
  </si>
  <si>
    <t xml:space="preserve">2025-06-16</t>
  </si>
  <si>
    <t xml:space="preserve">2025-06-17</t>
  </si>
  <si>
    <t xml:space="preserve">2025-06-18</t>
  </si>
  <si>
    <t xml:space="preserve">2025-06-19</t>
  </si>
  <si>
    <t xml:space="preserve">2025-06-20</t>
  </si>
  <si>
    <t xml:space="preserve">2025-06-21</t>
  </si>
  <si>
    <t xml:space="preserve">2025-06-22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</si>
  <si>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</si>
  <si>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</si>
  <si>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</si>
  <si>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</si>
  <si>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</si>
  <si>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</si>
  <si>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2025-06-29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</si>
  <si>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</si>
  <si>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</si>
  <si>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</si>
  <si>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</si>
  <si>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2025-07-04</t>
  </si>
  <si>
    <t xml:space="preserve">2025-07-05</t>
  </si>
  <si>
    <t xml:space="preserve">2025-07-06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</si>
  <si>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</si>
  <si>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</si>
  <si>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</si>
  <si>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</si>
  <si>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</si>
  <si>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</si>
  <si>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2025-07-13</t>
  </si>
  <si>
    <t xml:space="preserve">2025-07-14</t>
  </si>
  <si>
    <t xml:space="preserve">2025-07-15</t>
  </si>
  <si>
    <t xml:space="preserve">2025-07-16</t>
  </si>
  <si>
    <t xml:space="preserve">2025-07-17</t>
  </si>
  <si>
    <t xml:space="preserve">2025-07-18</t>
  </si>
  <si>
    <t xml:space="preserve">2025-07-19</t>
  </si>
  <si>
    <t xml:space="preserve">2025-07-20</t>
  </si>
  <si>
    <t xml:space="preserve">2025-07-21</t>
  </si>
  <si>
    <t xml:space="preserve">2025-07-22</t>
  </si>
  <si>
    <t xml:space="preserve">2025-07-23</t>
  </si>
  <si>
    <t xml:space="preserve">2025-07-24</t>
  </si>
  <si>
    <t xml:space="preserve">2025-07-25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</si>
  <si>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</si>
  <si>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</si>
  <si>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</si>
  <si>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</si>
  <si>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</si>
  <si>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</si>
  <si>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</si>
  <si>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</si>
  <si>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</si>
  <si>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2025-08-04</t>
  </si>
  <si>
    <t xml:space="preserve">2025-08-05</t>
  </si>
  <si>
    <t xml:space="preserve">2025-08-06</t>
  </si>
  <si>
    <t xml:space="preserve">2025-08-07</t>
  </si>
  <si>
    <t xml:space="preserve">2025-08-08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</si>
  <si>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</si>
  <si>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</si>
  <si>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</si>
  <si>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</si>
  <si>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</si>
  <si>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</si>
  <si>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</si>
  <si>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</si>
  <si>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</si>
  <si>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</si>
  <si>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</si>
  <si>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</si>
  <si>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</si>
  <si>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</si>
  <si>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</si>
  <si>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</si>
  <si>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</si>
  <si>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</si>
  <si>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</si>
  <si>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</si>
  <si>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</si>
  <si>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</si>
  <si>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</si>
  <si>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</si>
  <si>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</si>
  <si>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2025-09-03</t>
  </si>
  <si>
    <t xml:space="preserve">2025-09-04</t>
  </si>
  <si>
    <t xml:space="preserve">2025-09-05</t>
  </si>
  <si>
    <t xml:space="preserve">2025-09-06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</si>
  <si>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</si>
  <si>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</si>
  <si>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</si>
  <si>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</si>
  <si>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</si>
  <si>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2025-09-12</t>
  </si>
  <si>
    <t xml:space="preserve">2025-09-13</t>
  </si>
  <si>
    <t xml:space="preserve">2025-09-14</t>
  </si>
  <si>
    <t xml:space="preserve">2025-09-15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</si>
  <si>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</si>
  <si>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</si>
  <si>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</si>
  <si>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</si>
  <si>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</si>
  <si>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</si>
  <si>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</si>
  <si>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</si>
  <si>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2025-09-24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</si>
  <si>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</si>
  <si>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</si>
  <si>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</si>
  <si>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</si>
  <si>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</si>
  <si>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2025-09-30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</si>
  <si>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</si>
  <si>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</si>
  <si>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</si>
  <si>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</si>
  <si>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2025-10-05</t>
  </si>
  <si>
    <t xml:space="preserve">2025-10-06</t>
  </si>
  <si>
    <t xml:space="preserve">2025-10-07</t>
  </si>
  <si>
    <t xml:space="preserve">2025-10-08</t>
  </si>
  <si>
    <t xml:space="preserve">2025-10-09</t>
  </si>
  <si>
    <t xml:space="preserve">2025-10-10</t>
  </si>
  <si>
    <t xml:space="preserve">2025-10-11</t>
  </si>
  <si>
    <t xml:space="preserve">2025-10-12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</si>
  <si>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</si>
  <si>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</si>
  <si>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</si>
  <si>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</si>
  <si>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2025-10-17</t>
  </si>
  <si>
    <t xml:space="preserve">2025-10-18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</si>
  <si>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</si>
  <si>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</si>
  <si>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</si>
  <si>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</si>
  <si>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</si>
  <si>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</si>
  <si>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</si>
  <si>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</si>
  <si>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</si>
  <si>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</si>
  <si>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</si>
  <si>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</si>
  <si>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</si>
  <si>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</si>
  <si>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</si>
  <si>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</si>
  <si>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</si>
  <si>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</si>
  <si>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</si>
  <si>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</si>
  <si>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</si>
  <si>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</si>
  <si>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</si>
  <si>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</si>
  <si>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2025-11-12</t>
  </si>
  <si>
    <t xml:space="preserve">2025-11-13</t>
  </si>
  <si>
    <t xml:space="preserve">2025-11-14</t>
  </si>
  <si>
    <t xml:space="preserve">2025-11-15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</si>
  <si>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</si>
  <si>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</si>
  <si>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</si>
  <si>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</si>
  <si>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</si>
  <si>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</si>
  <si>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</si>
  <si>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</si>
  <si>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2025-11-24</t>
  </si>
  <si>
    <t xml:space="preserve">2025-11-25</t>
  </si>
  <si>
    <t xml:space="preserve">2025-11-26</t>
  </si>
  <si>
    <t xml:space="preserve">2025-11-27</t>
  </si>
  <si>
    <t xml:space="preserve">2025-11-28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</si>
  <si>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</si>
  <si>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</si>
  <si>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</si>
  <si>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</si>
  <si>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</si>
  <si>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</si>
  <si>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</si>
  <si>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</si>
  <si>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2025-12-07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</si>
  <si>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</si>
  <si>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</si>
  <si>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</si>
  <si>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</si>
  <si>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</si>
  <si>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</si>
  <si>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</si>
  <si>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</si>
  <si>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</si>
  <si>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</si>
  <si>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2025-12-18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</si>
  <si>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</si>
  <si>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</si>
  <si>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</si>
  <si>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</si>
  <si>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</si>
  <si>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</si>
  <si>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</si>
  <si>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2025-12-26</t>
  </si>
  <si>
    <t xml:space="preserve">2025-12-27</t>
  </si>
  <si>
    <t xml:space="preserve">2025-12-28</t>
  </si>
  <si>
    <t xml:space="preserve">2025-12-29</t>
  </si>
  <si>
    <t xml:space="preserve">2025-12-30</t>
  </si>
  <si>
    <t xml:space="preserve">2025-12-31</t>
  </si>
  <si>
    <t xml:space="preserve">STATISTIK CURAH HUJAN TAHUNAN (formula dari Data_Harian)</t>
  </si>
  <si>
    <t xml:space="preserve">Jumlah Hari</t>
  </si>
  <si>
    <t xml:space="preserve">Data Valid</t>
  </si>
  <si>
    <t xml:space="preserve">Data Hilang</t>
  </si>
  <si>
    <t xml:space="preserve">Total Curah Hujan (mm)</t>
  </si>
  <si>
    <t xml:space="preserve">X Maks Harian (mm)</t>
  </si>
  <si>
    <t xml:space="preserve">Hari Hujan (mm&gt;0)</t>
  </si>
  <si>
    <t xml:space="preserve">TOTAL</t>
  </si>
  <si>
    <t xml:space="preserve">STATISTIK DISTRIBUSI X MAKS TAHUNAN</t>
  </si>
  <si>
    <t xml:space="preserve">Nilai</t>
  </si>
  <si>
    <t xml:space="preserve">Satuan/Keterangan</t>
  </si>
  <si>
    <t xml:space="preserve">n (jumlah tahun)</t>
  </si>
  <si>
    <t xml:space="preserve">tahun</t>
  </si>
  <si>
    <t xml:space="preserve">X barat (rata-rata X maks)</t>
  </si>
  <si>
    <t xml:space="preserve">mm</t>
  </si>
  <si>
    <t xml:space="preserve">S (simpangan baku, pembagi n-1)</t>
  </si>
  <si>
    <t xml:space="preserve">Cv = S / X barat</t>
  </si>
  <si>
    <t xml:space="preserve">Cs (rumus tesis [7])</t>
  </si>
  <si>
    <t xml:space="preserve">Ck (rumus tesis [8])</t>
  </si>
  <si>
    <t xml:space="preserve">Rata-rata log10 X</t>
  </si>
  <si>
    <t xml:space="preserve">S log10</t>
  </si>
  <si>
    <t xml:space="preserve">Cs log10 (rumus [15])</t>
  </si>
  <si>
    <t xml:space="preserve">UJI HOMOGENITAS DATA (Uji-t dua sampel)</t>
  </si>
  <si>
    <t xml:space="preserve">Keterangan</t>
  </si>
  <si>
    <t xml:space="preserve">n1 (7 tahun pertama)</t>
  </si>
  <si>
    <t xml:space="preserve">2012-2018</t>
  </si>
  <si>
    <t xml:space="preserve">n2 (7 tahun terakhir)</t>
  </si>
  <si>
    <t xml:space="preserve">2019-2025</t>
  </si>
  <si>
    <t xml:space="preserve">X barat 1</t>
  </si>
  <si>
    <t xml:space="preserve">X barat 2</t>
  </si>
  <si>
    <t xml:space="preserve">S1 (pembagi n1)</t>
  </si>
  <si>
    <t xml:space="preserve">S2 (pembagi n2)</t>
  </si>
  <si>
    <t xml:space="preserve">sigma pooled</t>
  </si>
  <si>
    <t xml:space="preserve">t hitung</t>
  </si>
  <si>
    <t xml:space="preserve">dk = n1+n2-2</t>
  </si>
  <si>
    <t xml:space="preserve">t kritis (dua arah, alpha=5%)</t>
  </si>
  <si>
    <t xml:space="preserve">Tabel 2.2</t>
  </si>
  <si>
    <t xml:space="preserve">t kritis (satu arah, alpha=5%)</t>
  </si>
  <si>
    <t xml:space="preserve">Kesimpulan (dua arah)</t>
  </si>
  <si>
    <t xml:space="preserve">Kesimpulan (satu arah)</t>
  </si>
  <si>
    <t xml:space="preserve">UJI KONSISTENSI DATA (Cumulative Deviation)</t>
  </si>
  <si>
    <t xml:space="preserve">n</t>
  </si>
  <si>
    <t xml:space="preserve">X barat</t>
  </si>
  <si>
    <t xml:space="preserve">Dy = SQRT(SUM(dev^2)/n)</t>
  </si>
  <si>
    <t xml:space="preserve">Q = maks |S**k|</t>
  </si>
  <si>
    <t xml:space="preserve">Q / SQRT(n)</t>
  </si>
  <si>
    <t xml:space="preserve">Kritik 95% (interpolasi Tabel 2.3)</t>
  </si>
  <si>
    <t xml:space="preserve">Kritik 99% (interpolasi Tabel 2.3)</t>
  </si>
  <si>
    <t xml:space="preserve">Kesimpulan (95%)</t>
  </si>
  <si>
    <t xml:space="preserve">Kesimpulan (99%)</t>
  </si>
  <si>
    <t xml:space="preserve">X (mm)</t>
  </si>
  <si>
    <t xml:space="preserve">Deviasi (X-Xbar)</t>
  </si>
  <si>
    <t xml:space="preserve">S**k (kumulatif)</t>
  </si>
  <si>
    <t xml:space="preserve">S**k / Dy</t>
  </si>
  <si>
    <t xml:space="preserve">ANALISIS FREKUENSI CURAH HUJAN MAKSIMUM HARIAN TAHUNAN</t>
  </si>
  <si>
    <t xml:space="preserve">a Gumbel = S / 1,283</t>
  </si>
  <si>
    <t xml:space="preserve">Xo Gumbel = X barat - 0,577.a</t>
  </si>
  <si>
    <t xml:space="preserve">Cs log10 (dari sheet Statistik)</t>
  </si>
  <si>
    <t xml:space="preserve">T (tahun)</t>
  </si>
  <si>
    <t xml:space="preserve">K Normal</t>
  </si>
  <si>
    <t xml:space="preserve">XT Normal (mm)</t>
  </si>
  <si>
    <t xml:space="preserve">Yp Gumbel</t>
  </si>
  <si>
    <t xml:space="preserve">XT Gumbel (mm)</t>
  </si>
  <si>
    <t xml:space="preserve">K LP3</t>
  </si>
  <si>
    <t xml:space="preserve">XT LP3 (mm)</t>
  </si>
  <si>
    <t xml:space="preserve">Catatan: K Normal (Tabel 2.4), Yp Gumbel (Tabel 2.5), K LP3 (Tabel 2.6) di sheet Koefisien. XT Normal = Xbar + K.S ; XT Gumbel = Xo + Yp.a ; XT LP3 = 10^(rata2 log + K.S log).</t>
  </si>
  <si>
    <t xml:space="preserve">UJI CHI-KUADRAT PEMILIHAN DISTRIBUSI</t>
  </si>
  <si>
    <t xml:space="preserve">Kelas dibatasi R2, R5, R10, R25 (Tabel probabilitas di sheet Koefisien baris 102-106)</t>
  </si>
  <si>
    <t xml:space="preserve">Distribusi Normal</t>
  </si>
  <si>
    <t xml:space="preserve">Kelas</t>
  </si>
  <si>
    <t xml:space="preserve">Batas (mm)</t>
  </si>
  <si>
    <t xml:space="preserve">O</t>
  </si>
  <si>
    <t xml:space="preserve">E = n.p</t>
  </si>
  <si>
    <t xml:space="preserve">(O-E)^2/E</t>
  </si>
  <si>
    <t xml:space="preserve">x &lt;= R2</t>
  </si>
  <si>
    <t xml:space="preserve">R2 &lt; x &lt;= R5</t>
  </si>
  <si>
    <t xml:space="preserve">R5 &lt; x &lt;= R10</t>
  </si>
  <si>
    <t xml:space="preserve">R10 &lt; x &lt;= R25</t>
  </si>
  <si>
    <t xml:space="preserve">x &gt; R25</t>
  </si>
  <si>
    <t xml:space="preserve">-</t>
  </si>
  <si>
    <t xml:space="preserve">chi-kuadrat hitung</t>
  </si>
  <si>
    <t xml:space="preserve">dk = 5-1-P</t>
  </si>
  <si>
    <t xml:space="preserve">chi-kuadrat kritis</t>
  </si>
  <si>
    <t xml:space="preserve">Kesimpulan</t>
  </si>
  <si>
    <t xml:space="preserve">chi2 kandidat (999 bila gagal)</t>
  </si>
  <si>
    <t xml:space="preserve">Distribusi Gumbel</t>
  </si>
  <si>
    <t xml:space="preserve">Distribusi LP3</t>
  </si>
  <si>
    <t xml:space="preserve">Prioritas pemilihan saat kandidat seri: LP3 (SNI 2415:2016) &gt; Gumbel &gt; Normal</t>
  </si>
  <si>
    <t xml:space="preserve">chi2 kandidat terkecil</t>
  </si>
  <si>
    <t xml:space="preserve">Distribusi terpilih</t>
  </si>
  <si>
    <t xml:space="preserve">chi2 terpilih</t>
  </si>
  <si>
    <t xml:space="preserve">PERHITUNGAN DEBIT BANJIR RENCANA (Rasional + Mononobe)</t>
  </si>
  <si>
    <t xml:space="preserve">Sel biru = input asumsi site (ganti dengan data lapangan); sel hitam = formula otomatis.</t>
  </si>
  <si>
    <t xml:space="preserve">Parameter</t>
  </si>
  <si>
    <t xml:space="preserve">Satuan</t>
  </si>
  <si>
    <t xml:space="preserve">Keterangan/Sumber</t>
  </si>
  <si>
    <t xml:space="preserve">Lo (panjang overland)</t>
  </si>
  <si>
    <t xml:space="preserve">m</t>
  </si>
  <si>
    <t xml:space="preserve">Asumsi site</t>
  </si>
  <si>
    <t xml:space="preserve">Ss (kemiringan)</t>
  </si>
  <si>
    <t xml:space="preserve">m/m</t>
  </si>
  <si>
    <t xml:space="preserve">Ld (panjang saluran)</t>
  </si>
  <si>
    <t xml:space="preserve">n Manning</t>
  </si>
  <si>
    <t xml:space="preserve">Tabel 2.8 (saluran beton)</t>
  </si>
  <si>
    <t xml:space="preserve">B (lebar saluran)</t>
  </si>
  <si>
    <t xml:space="preserve">y (tinggi saluran)</t>
  </si>
  <si>
    <t xml:space="preserve">C (koefisien limpasan)</t>
  </si>
  <si>
    <t xml:space="preserve">link sheet Kawasan (Tabel 2.7)</t>
  </si>
  <si>
    <t xml:space="preserve">A (luas atap)</t>
  </si>
  <si>
    <t xml:space="preserve">m2</t>
  </si>
  <si>
    <t xml:space="preserve">link sheet Kawasan (1,04 ha)</t>
  </si>
  <si>
    <t xml:space="preserve">th (waktu konsentrasi tandon)</t>
  </si>
  <si>
    <t xml:space="preserve">jam</t>
  </si>
  <si>
    <t xml:space="preserve">Asumsi desain</t>
  </si>
  <si>
    <t xml:space="preserve">HASIL PERHITUNGAN</t>
  </si>
  <si>
    <t xml:space="preserve">Besaran</t>
  </si>
  <si>
    <t xml:space="preserve">Rumus</t>
  </si>
  <si>
    <t xml:space="preserve">R24 curah hujan (T=10 th, dist. terpilih)</t>
  </si>
  <si>
    <t xml:space="preserve">XT distribusi terpilih (sheet Frekuensi, T=10)</t>
  </si>
  <si>
    <t xml:space="preserve">to (waktu konsentrasi overland)</t>
  </si>
  <si>
    <t xml:space="preserve">menit</t>
  </si>
  <si>
    <t xml:space="preserve">Kirpich</t>
  </si>
  <si>
    <t xml:space="preserve">V (kecepatan saluran)</t>
  </si>
  <si>
    <t xml:space="preserve">m/s</t>
  </si>
  <si>
    <t xml:space="preserve">Manning</t>
  </si>
  <si>
    <t xml:space="preserve">td (waktu alir saluran)</t>
  </si>
  <si>
    <t xml:space="preserve">td = Ld / (60.V)</t>
  </si>
  <si>
    <t xml:space="preserve">tc (waktu konsentrasi)</t>
  </si>
  <si>
    <t xml:space="preserve">tc = (to + td)/60</t>
  </si>
  <si>
    <t xml:space="preserve">I (intensitas hujan Mononobe)</t>
  </si>
  <si>
    <t xml:space="preserve">mm/jam</t>
  </si>
  <si>
    <t xml:space="preserve">rumus tesis [19]</t>
  </si>
  <si>
    <t xml:space="preserve">Q (debit rasional)</t>
  </si>
  <si>
    <t xml:space="preserve">m3/dtk</t>
  </si>
  <si>
    <t xml:space="preserve">Rasional: Q = 0,278.C.I.A</t>
  </si>
  <si>
    <t xml:space="preserve">Va (volume tandon, th=1 jam)</t>
  </si>
  <si>
    <t xml:space="preserve">m3</t>
  </si>
  <si>
    <t xml:space="preserve">Va = Q.th</t>
  </si>
  <si>
    <t xml:space="preserve">Catatan: R24 diambil dari XT T=10 tahun distribusi terpilih (hasil uji chi-kuadrat). Parameter site bersifat asumsi dan harus diganti dengan data lapangan.</t>
  </si>
  <si>
    <t xml:space="preserve">PARAMETER KAWASAN &amp; KEBUTUHAN AIR (sumber: tabel kawasan di data/processed/hidrologi.db)</t>
  </si>
  <si>
    <t xml:space="preserve">Kunci</t>
  </si>
  <si>
    <t xml:space="preserve">Sumber</t>
  </si>
  <si>
    <t xml:space="preserve">nama_kawasan</t>
  </si>
  <si>
    <t xml:space="preserve">Rajawali Residence</t>
  </si>
  <si>
    <t xml:space="preserve">Tesis 1.1/3.2</t>
  </si>
  <si>
    <t xml:space="preserve">lokasi</t>
  </si>
  <si>
    <t xml:space="preserve">Jl. Wonodadi 2, Kec. Sungai Raya, Kab. Kubu Raya</t>
  </si>
  <si>
    <t xml:space="preserve">Tesis 3.2</t>
  </si>
  <si>
    <t xml:space="preserve">luas_kawasan</t>
  </si>
  <si>
    <t xml:space="preserve">Tesis 1.1 (2,88 ha); siteplan 330,40 x 85,78 m</t>
  </si>
  <si>
    <t xml:space="preserve">jumlah_unit</t>
  </si>
  <si>
    <t xml:space="preserve">unit</t>
  </si>
  <si>
    <t xml:space="preserve">Tesis 1.1/3.2 (Tipe 36)</t>
  </si>
  <si>
    <t xml:space="preserve">jiwa_per_unit</t>
  </si>
  <si>
    <t xml:space="preserve">jiwa</t>
  </si>
  <si>
    <t xml:space="preserve">Tesis 1.1</t>
  </si>
  <si>
    <t xml:space="preserve">luas_atap_per_unit</t>
  </si>
  <si>
    <t xml:space="preserve">luas_atap_total</t>
  </si>
  <si>
    <t xml:space="preserve">Tesis 1.1 (36,1% luas kawasan)</t>
  </si>
  <si>
    <t xml:space="preserve">q_kebutuhan_air</t>
  </si>
  <si>
    <t xml:space="preserve">liter/jiwa/hari</t>
  </si>
  <si>
    <t xml:space="preserve">SNI 03-7065-2005 (Tabel 2.1)</t>
  </si>
  <si>
    <t xml:space="preserve">C_atap</t>
  </si>
  <si>
    <t xml:space="preserve">Tabel 2.7 (atap logam/seng, rentang 0,70-0,90)</t>
  </si>
  <si>
    <t xml:space="preserve">fraksi_desain</t>
  </si>
  <si>
    <t xml:space="preserve">Tesis 3.4.1 (titik tengah 60-70% kebutuhan non-potabel)</t>
  </si>
  <si>
    <t xml:space="preserve">fraksi_diuji</t>
  </si>
  <si>
    <t xml:space="preserve">1.00; 0.70; 0.65; 0.60; 0.50</t>
  </si>
  <si>
    <t xml:space="preserve">Tesis 3.4.1</t>
  </si>
  <si>
    <t xml:space="preserve">freeboard</t>
  </si>
  <si>
    <t xml:space="preserve">Tesis 2.7 (Putra dkk., 2023)</t>
  </si>
  <si>
    <t xml:space="preserve">th_durasi_efektif</t>
  </si>
  <si>
    <t xml:space="preserve">Tesis 3.4.3 (sensitivitas 0,5-3 jam)</t>
  </si>
  <si>
    <t xml:space="preserve">PERHITUNGAN TURUNAN (formula hidup)</t>
  </si>
  <si>
    <t xml:space="preserve">Q kebutuhan total [36]</t>
  </si>
  <si>
    <t xml:space="preserve">liter/hari</t>
  </si>
  <si>
    <t xml:space="preserve">jumlah_unit x jiwa x q</t>
  </si>
  <si>
    <t xml:space="preserve">Q harian</t>
  </si>
  <si>
    <t xml:space="preserve">m3/hari</t>
  </si>
  <si>
    <t xml:space="preserve">Q kebutuhan / 1000</t>
  </si>
  <si>
    <t xml:space="preserve">Luas atap total</t>
  </si>
  <si>
    <t xml:space="preserve">km2</t>
  </si>
  <si>
    <t xml:space="preserve">Rasio luas atap / luas kawasan</t>
  </si>
  <si>
    <t xml:space="preserve">KEBUTUHAN AIR PER FRAKSI (Tesis 3.4.1)</t>
  </si>
  <si>
    <t xml:space="preserve">Fraksi f</t>
  </si>
  <si>
    <t xml:space="preserve">Q x f (m3/hari)</t>
  </si>
  <si>
    <t xml:space="preserve">Kebutuhan (liter/hari)</t>
  </si>
  <si>
    <t xml:space="preserve">&lt;- fraksi desain</t>
  </si>
  <si>
    <t xml:space="preserve">EVAPORASI (ET0) BULANAN - ASUMSI, ganti dengan data BMKG/ERA5 (Tesis 3.3.2)</t>
  </si>
  <si>
    <t xml:space="preserve">ET0 (mm/bulan)</t>
  </si>
  <si>
    <t xml:space="preserve">ASUMSI rata-rata ET0 (mm/bulan) - ganti dengan data BMKG/ERA5 (Tesis 3.3.2)</t>
  </si>
  <si>
    <t xml:space="preserve">TOTAL SETAHUN</t>
  </si>
  <si>
    <t xml:space="preserve">RATA-RATA</t>
  </si>
  <si>
    <t xml:space="preserve">dipakai sheet Neraca_Air (INDEX/MATCH kolom bulan)</t>
  </si>
  <si>
    <t xml:space="preserve">HIDROLIKA PIPA INDUK &amp; PER UNIT - ITERASI ENVELOPE (MANNING ALIRAN PENUH)</t>
  </si>
  <si>
    <t xml:space="preserve">Aturan envelope: iterasi v&lt;-&gt;td&lt;-&gt;tc&lt;-&gt;I&lt;-&gt;Q&lt;-&gt;D (12x, seed v=1 m/dtk) ber-osilasi karena umpan balik positif + pembulatan diameter diskrit; Q desain = maksimum iterasi (konservatif), D teoritis dihitung dari Q tsb lalu dibulatkan ke atas ke pipa komersial. Pipa diperlakukan sebagai saluran bulat PENUH terisi (Manning aliran penuh [29][30][38][39]), bukan aliran terbuka.</t>
  </si>
  <si>
    <t xml:space="preserve">Sumber/Keterangan</t>
  </si>
  <si>
    <t xml:space="preserve">Lo (panjang aliran atap)</t>
  </si>
  <si>
    <t xml:space="preserve">Panjang aliran permukaan ATAP titik terjauh (Tipe 36, atap 65 m2). Asumsi tipologi - WAJIB diverifikasi survei (Tesis 3.3.1)</t>
  </si>
  <si>
    <t xml:space="preserve">S_atap (kemiringan atap)</t>
  </si>
  <si>
    <t xml:space="preserve">Kemiringan atap (asumsi 30%) - masuk Kirpich utk to</t>
  </si>
  <si>
    <t xml:space="preserve">Ld (panjang pipa penyalur)</t>
  </si>
  <si>
    <t xml:space="preserve">Panjang pipa penyalur: unit terjauh ujung timur ke kolam rencana ujung barat laut (siteplan 1:1500, bentang 330,40 m)</t>
  </si>
  <si>
    <t xml:space="preserve">S_pipa (kemiringan pipa)</t>
  </si>
  <si>
    <t xml:space="preserve">Kemiringan pipa 0,30% (asumsi topografi datar - WAJIB diverifikasi waterpass)</t>
  </si>
  <si>
    <t xml:space="preserve">n Manning pipa</t>
  </si>
  <si>
    <t xml:space="preserve">Manning pipa (Tabel 2.8)</t>
  </si>
  <si>
    <t xml:space="preserve">to (Kirpich pada atap) [21]</t>
  </si>
  <si>
    <t xml:space="preserve">to = 0,0195.(Lo/SQRT(S))^0,77</t>
  </si>
  <si>
    <t xml:space="preserve">A atap total</t>
  </si>
  <si>
    <t xml:space="preserve">link sheet Kawasan</t>
  </si>
  <si>
    <t xml:space="preserve">R24 curah hujan rencana (T=10 th)</t>
  </si>
  <si>
    <t xml:space="preserve">XT distribusi terpilih (sheet Frekuensi/Chi_Kuadrat)</t>
  </si>
  <si>
    <t xml:space="preserve">ITERASI v&lt;-&gt;td&lt;-&gt;tc&lt;-&gt;I&lt;-&gt;Q&lt;-&gt;D - pipa induk (envelope)</t>
  </si>
  <si>
    <t xml:space="preserve">i</t>
  </si>
  <si>
    <t xml:space="preserve">v masuk (m/dtk)</t>
  </si>
  <si>
    <t xml:space="preserve">td (menit)</t>
  </si>
  <si>
    <t xml:space="preserve">tc (jam)</t>
  </si>
  <si>
    <t xml:space="preserve">I (mm/jam)</t>
  </si>
  <si>
    <t xml:space="preserve">Q (m3/dtk)</t>
  </si>
  <si>
    <t xml:space="preserve">D teor (m)</t>
  </si>
  <si>
    <t xml:space="preserve">D kom (mm)</t>
  </si>
  <si>
    <t xml:space="preserve">A pipa (m2)</t>
  </si>
  <si>
    <t xml:space="preserve">v keluar (m/dtk)</t>
  </si>
  <si>
    <t xml:space="preserve">TABEL PIPA STANDAR (tabel pipa_standar di hidrologi.db)</t>
  </si>
  <si>
    <t xml:space="preserve">Label</t>
  </si>
  <si>
    <t xml:space="preserve">D (mm)</t>
  </si>
  <si>
    <t xml:space="preserve">A (m2)</t>
  </si>
  <si>
    <t xml:space="preserve">4" (DN110)</t>
  </si>
  <si>
    <t xml:space="preserve">6" (DN160)</t>
  </si>
  <si>
    <t xml:space="preserve">8" (DN200)</t>
  </si>
  <si>
    <t xml:space="preserve">10" (DN250)</t>
  </si>
  <si>
    <t xml:space="preserve">12" (DN315)</t>
  </si>
  <si>
    <t xml:space="preserve">14" (DN355)</t>
  </si>
  <si>
    <t xml:space="preserve">16" (DN400)</t>
  </si>
  <si>
    <t xml:space="preserve">18" (DN450)</t>
  </si>
  <si>
    <t xml:space="preserve">20" (DN500)</t>
  </si>
  <si>
    <t xml:space="preserve">24" (DN600)</t>
  </si>
  <si>
    <t xml:space="preserve">30" (DN750)</t>
  </si>
  <si>
    <t xml:space="preserve">32" (DN800)</t>
  </si>
  <si>
    <t xml:space="preserve">36" (DN900)</t>
  </si>
  <si>
    <t xml:space="preserve">40" (DN1000)</t>
  </si>
  <si>
    <t xml:space="preserve">48" (DN1200)</t>
  </si>
  <si>
    <t xml:space="preserve">HASIL ENVELOPE - PIPA INDUK (desain konservatif)</t>
  </si>
  <si>
    <t xml:space="preserve">Rumus/Keterangan</t>
  </si>
  <si>
    <t xml:space="preserve">Q desain (maks iterasi) [23]</t>
  </si>
  <si>
    <t xml:space="preserve">envelope: Q = maksimum dari 12 iterasi</t>
  </si>
  <si>
    <t xml:space="preserve">I desain (Mononobe) [19]</t>
  </si>
  <si>
    <t xml:space="preserve">I pada baris Q maks</t>
  </si>
  <si>
    <t xml:space="preserve">td [22]</t>
  </si>
  <si>
    <t xml:space="preserve">td = Ld / (60.v)</t>
  </si>
  <si>
    <t xml:space="preserve">tc [20]</t>
  </si>
  <si>
    <t xml:space="preserve">tc = (to + td) / 60</t>
  </si>
  <si>
    <t xml:space="preserve">D teoritis [38]</t>
  </si>
  <si>
    <t xml:space="preserve">dari Q desain</t>
  </si>
  <si>
    <t xml:space="preserve">D komersial</t>
  </si>
  <si>
    <t xml:space="preserve">dibulatkan ke atas ke ukuran pipa standar</t>
  </si>
  <si>
    <t xml:space="preserve">A pipa</t>
  </si>
  <si>
    <t xml:space="preserve">pada tabel pipa standar</t>
  </si>
  <si>
    <t xml:space="preserve">v pipa [39]</t>
  </si>
  <si>
    <t xml:space="preserve">m/dtk</t>
  </si>
  <si>
    <t xml:space="preserve">v = Q / A</t>
  </si>
  <si>
    <t xml:space="preserve">Kapasitas pipa (Manning penuh)</t>
  </si>
  <si>
    <t xml:space="preserve">Q = (1/n).A.(D/4)^(2/3).S^(1/2)</t>
  </si>
  <si>
    <t xml:space="preserve">Cek kapasitas</t>
  </si>
  <si>
    <t xml:space="preserve">kapasitas &gt;= Q desain</t>
  </si>
  <si>
    <t xml:space="preserve">D pipa pelimpah (overflow)</t>
  </si>
  <si>
    <t xml:space="preserve">untuk Q desain (sama dgn induk)</t>
  </si>
  <si>
    <t xml:space="preserve">PIPA PENYALUR PER UNIT, TALANG &amp; BAK PENAMPUNG</t>
  </si>
  <si>
    <t xml:space="preserve">Luas atap per unit</t>
  </si>
  <si>
    <t xml:space="preserve">Q per unit</t>
  </si>
  <si>
    <t xml:space="preserve">Rasional pada atap 1 unit</t>
  </si>
  <si>
    <t xml:space="preserve">D teoritis unit [38]</t>
  </si>
  <si>
    <t xml:space="preserve">Manning penuh</t>
  </si>
  <si>
    <t xml:space="preserve">D komersial unit</t>
  </si>
  <si>
    <t xml:space="preserve">pipa penyalur per unit (downspout)</t>
  </si>
  <si>
    <t xml:space="preserve">A pipa unit</t>
  </si>
  <si>
    <t xml:space="preserve">tabel pipa standar</t>
  </si>
  <si>
    <t xml:space="preserve">v unit [39]</t>
  </si>
  <si>
    <t xml:space="preserve">b talang</t>
  </si>
  <si>
    <t xml:space="preserve">Asumsi desain (cerminan analisis_desain.py)</t>
  </si>
  <si>
    <t xml:space="preserve">h talang</t>
  </si>
  <si>
    <t xml:space="preserve">S talang</t>
  </si>
  <si>
    <t xml:space="preserve">n talang</t>
  </si>
  <si>
    <t xml:space="preserve">Tabel 2.8 - asumsi talang (aliran terbuka)</t>
  </si>
  <si>
    <t xml:space="preserve">A talang</t>
  </si>
  <si>
    <t xml:space="preserve">A = b . h</t>
  </si>
  <si>
    <t xml:space="preserve">P basah talang</t>
  </si>
  <si>
    <t xml:space="preserve">P = b + 2h</t>
  </si>
  <si>
    <t xml:space="preserve">R hidraulik talang</t>
  </si>
  <si>
    <t xml:space="preserve">R = A / P</t>
  </si>
  <si>
    <t xml:space="preserve">Q kapasitas talang [29][30]</t>
  </si>
  <si>
    <t xml:space="preserve">Manning ALIRAN TERBUKA (talang terbuka)</t>
  </si>
  <si>
    <t xml:space="preserve">v talang</t>
  </si>
  <si>
    <t xml:space="preserve">V bak penampung unit</t>
  </si>
  <si>
    <t xml:space="preserve">1,5x kebutuhan harian unit (asumsi terdokumentasi)</t>
  </si>
  <si>
    <t xml:space="preserve">NERACA AIR BULANAN - 5 FRAKSI KEBUTUHAN (Rippl [27], 2012-2025)</t>
  </si>
  <si>
    <t xml:space="preserve">E = ET0 x luas kolam kriteria atenuasi Va (aturan pass-1 terdokumentasi, lihat Desain_Kolam); kolom M-N = simulasi tampungan terbatas V_desain [26][28]; blok fraksi desain punya kolom O-X utk pass-2/pass-3 (umpan balik evaporasi).</t>
  </si>
  <si>
    <t xml:space="preserve">Fraksi f = 1.00</t>
  </si>
  <si>
    <t xml:space="preserve">R (mm)</t>
  </si>
  <si>
    <t xml:space="preserve">n hari</t>
  </si>
  <si>
    <t xml:space="preserve">ET0 (mm)</t>
  </si>
  <si>
    <t xml:space="preserve">Supply (m3) [24]</t>
  </si>
  <si>
    <t xml:space="preserve">Demand (m3) [25]</t>
  </si>
  <si>
    <t xml:space="preserve">Evaporasi E (m3)</t>
  </si>
  <si>
    <t xml:space="preserve">Net (m3)</t>
  </si>
  <si>
    <t xml:space="preserve">K kumulatif (m3)</t>
  </si>
  <si>
    <t xml:space="preserve">Sp (m3)</t>
  </si>
  <si>
    <t xml:space="preserve">Defisit (m3)</t>
  </si>
  <si>
    <t xml:space="preserve">S (m3) [26]</t>
  </si>
  <si>
    <t xml:space="preserve">Terpenuhi</t>
  </si>
  <si>
    <t xml:space="preserve">Vs fraksi 1.00 (m3) [27]</t>
  </si>
  <si>
    <t xml:space="preserve">Reliability (%) [28]</t>
  </si>
  <si>
    <t xml:space="preserve">Bulan terpenuhi (dari 168)</t>
  </si>
  <si>
    <t xml:space="preserve">Total net kumulatif (m3)</t>
  </si>
  <si>
    <t xml:space="preserve">Fraksi f = 0.70</t>
  </si>
  <si>
    <t xml:space="preserve">Vs fraksi 0.70 (m3) [27]</t>
  </si>
  <si>
    <t xml:space="preserve">Fraksi f = 0.65   (FRAKSI DESAIN)</t>
  </si>
  <si>
    <t xml:space="preserve">E pass-2</t>
  </si>
  <si>
    <t xml:space="preserve">Net pass-2</t>
  </si>
  <si>
    <t xml:space="preserve">K pass-2</t>
  </si>
  <si>
    <t xml:space="preserve">Sp pass-2</t>
  </si>
  <si>
    <t xml:space="preserve">Defisit pass-2</t>
  </si>
  <si>
    <t xml:space="preserve">E pass-3</t>
  </si>
  <si>
    <t xml:space="preserve">Net pass-3</t>
  </si>
  <si>
    <t xml:space="preserve">K pass-3</t>
  </si>
  <si>
    <t xml:space="preserve">Sp pass-3</t>
  </si>
  <si>
    <t xml:space="preserve">Defisit pass-3</t>
  </si>
  <si>
    <t xml:space="preserve">Vs fraksi 0.65 (m3) [27]</t>
  </si>
  <si>
    <t xml:space="preserve">Vs pass-2 (m3)</t>
  </si>
  <si>
    <t xml:space="preserve">Vs pass-3 (m3)</t>
  </si>
  <si>
    <t xml:space="preserve">Fraksi f = 0.60</t>
  </si>
  <si>
    <t xml:space="preserve">Vs fraksi 0.60 (m3) [27]</t>
  </si>
  <si>
    <t xml:space="preserve">Fraksi f = 0.50</t>
  </si>
  <si>
    <t xml:space="preserve">Vs fraksi 0.50 (m3) [27]</t>
  </si>
  <si>
    <t xml:space="preserve">DESAIN KOLAM RETENSI - DIMENSI, FREEBOARD &amp; SENSITIVITAS</t>
  </si>
  <si>
    <t xml:space="preserve">Urutan: Va [32] -&gt; neraca pass-1 (E pada Ap Va) -&gt; Vs [27] -&gt; V desain [33] -&gt; dimensi [34] -&gt; pass-2/pass-3 (umpan balik evaporasi). Dimensi dibulatkan ke atas kelipatan 0,5 m.</t>
  </si>
  <si>
    <t xml:space="preserve">he (kedalaman efektif kolam)</t>
  </si>
  <si>
    <t xml:space="preserve">Kedalaman efektif kolam (asumsi desain)</t>
  </si>
  <si>
    <t xml:space="preserve">hf (freeboard)</t>
  </si>
  <si>
    <t xml:space="preserve">link sheet Kawasan (Tesis 2.7)</t>
  </si>
  <si>
    <t xml:space="preserve">th (durasi hujan efektif)</t>
  </si>
  <si>
    <t xml:space="preserve">link sheet Kawasan (Tesis 3.4.3)</t>
  </si>
  <si>
    <t xml:space="preserve">Q desain</t>
  </si>
  <si>
    <t xml:space="preserve">link Hidrolika_Pipa (envelope)</t>
  </si>
  <si>
    <t xml:space="preserve">Ap_kolam (parameter DB)</t>
  </si>
  <si>
    <t xml:space="preserve">parameter_desain - dipakai utk cek konsistensi</t>
  </si>
  <si>
    <t xml:space="preserve">KRITERIA ATENUASI Va [32]</t>
  </si>
  <si>
    <t xml:space="preserve">Va (volume atenuasi)</t>
  </si>
  <si>
    <t xml:space="preserve">Va = Q . th . 3600 [32]</t>
  </si>
  <si>
    <t xml:space="preserve">l (lebar kolam Va)</t>
  </si>
  <si>
    <t xml:space="preserve">dibulatkan ke atas 0,5 m</t>
  </si>
  <si>
    <t xml:space="preserve">p (panjang kolam Va)</t>
  </si>
  <si>
    <t xml:space="preserve">Ap kriteria atenuasi</t>
  </si>
  <si>
    <t xml:space="preserve">basis E neraca pass-1 (Neraca_Air kolom H)</t>
  </si>
  <si>
    <t xml:space="preserve">NERACA PASS-1 &amp; DIMENSI KOLAM (fraksi desain)</t>
  </si>
  <si>
    <t xml:space="preserve">Vs pass-1 [27]</t>
  </si>
  <si>
    <t xml:space="preserve">MAX defisit, sheet Neraca_Air</t>
  </si>
  <si>
    <t xml:space="preserve">V desain [33]</t>
  </si>
  <si>
    <t xml:space="preserve">maks(Vs, Va)</t>
  </si>
  <si>
    <t xml:space="preserve">l (lebar kolam)</t>
  </si>
  <si>
    <t xml:space="preserve">p (panjang kolam)</t>
  </si>
  <si>
    <t xml:space="preserve">Ap hasil desain</t>
  </si>
  <si>
    <t xml:space="preserve">basis E pass-2 (Neraca_Air kolom O)</t>
  </si>
  <si>
    <t xml:space="preserve">V kolam [34]</t>
  </si>
  <si>
    <t xml:space="preserve">V = p . l . he</t>
  </si>
  <si>
    <t xml:space="preserve">h total [35]</t>
  </si>
  <si>
    <t xml:space="preserve">he + hf</t>
  </si>
  <si>
    <t xml:space="preserve">UMPAN BALIK EVAPORASI (pass-2 &amp; pass-3)</t>
  </si>
  <si>
    <t xml:space="preserve">Vs pass-2</t>
  </si>
  <si>
    <t xml:space="preserve">E pada Ap hasil desain (Neraca_Air O-S)</t>
  </si>
  <si>
    <t xml:space="preserve">V2 = maks(Vs pass-2, Va)</t>
  </si>
  <si>
    <t xml:space="preserve">l2</t>
  </si>
  <si>
    <t xml:space="preserve">p2</t>
  </si>
  <si>
    <t xml:space="preserve">Ap2</t>
  </si>
  <si>
    <t xml:space="preserve">basis E pass-3 (Neraca_Air kolom T)</t>
  </si>
  <si>
    <t xml:space="preserve">Vs pass-3</t>
  </si>
  <si>
    <t xml:space="preserve">E pada Ap2 - divergen bila luas kolam besar (catatan Tesis)</t>
  </si>
  <si>
    <t xml:space="preserve">CEK KONSISTENSI parameter_desain.Ap_kolam</t>
  </si>
  <si>
    <t xml:space="preserve">Cek</t>
  </si>
  <si>
    <t xml:space="preserve">Ap kriteria (basis E neraca)</t>
  </si>
  <si>
    <t xml:space="preserve">Selisih hasil desain - Ap DB</t>
  </si>
  <si>
    <t xml:space="preserve">Status konsistensi</t>
  </si>
  <si>
    <t xml:space="preserve">SENSITIVITAS Va terhadap th (Tesis 3.4.3)</t>
  </si>
  <si>
    <t xml:space="preserve">th (jam)</t>
  </si>
  <si>
    <t xml:space="preserve">Va (m3)</t>
  </si>
  <si>
    <t xml:space="preserve">RINGKASAN NERACA PER FRAKSI [27][28]</t>
  </si>
  <si>
    <t xml:space="preserve">Fraksi</t>
  </si>
  <si>
    <t xml:space="preserve">Vs (m3)</t>
  </si>
  <si>
    <t xml:space="preserve">Reliability (%)</t>
  </si>
  <si>
    <t xml:space="preserve">Terpenuhi (bln)</t>
  </si>
  <si>
    <t xml:space="preserve">Total net (m3)</t>
  </si>
  <si>
    <t xml:space="preserve">Catatan: fraksi desain 0,65 (highlight kuning). Pass-2/pass-3 memperlihatkan umpan balik evaporasi: neraca tahunan berubah negatif bila luas kolam melebihi ~4.800 m2 -&gt; Vs terus tumbuh (defisit kritis 32 bulan Sep-2017 s/d Apr-2020).</t>
  </si>
  <si>
    <t xml:space="preserve">TABEL KOEFISIEN DAN NILAI KRITIS (referensi)</t>
  </si>
  <si>
    <t xml:space="preserve">Tabel 2.2 Nilai kritis distribusi t (uji-t) - Sumber: Proposal Tesis Tabel 2.2</t>
  </si>
  <si>
    <t xml:space="preserve">dk</t>
  </si>
  <si>
    <t xml:space="preserve">t (satu arah, 5%)</t>
  </si>
  <si>
    <t xml:space="preserve">t (dua arah, 5%)</t>
  </si>
  <si>
    <t xml:space="preserve">Tabel 2.3 Nilai kritik Q/SQRT(n) - Sumber: Proposal Tesis Tabel 2.3</t>
  </si>
  <si>
    <t xml:space="preserve">95%</t>
  </si>
  <si>
    <t xml:space="preserve">99%</t>
  </si>
  <si>
    <t xml:space="preserve">Untuk n di antaranya dipakai interpolasi linear.</t>
  </si>
  <si>
    <t xml:space="preserve">Tabel 2.4 Variabel reduksi Normal (Kp) - Sumber: Proposal Tesis Tabel 2.4</t>
  </si>
  <si>
    <t xml:space="preserve">Kp</t>
  </si>
  <si>
    <t xml:space="preserve">Tabel 2.5 Variabel reduksi Gumbel Tipe I (Yp) - Sumber: Proposal Tesis Tabel 2.5</t>
  </si>
  <si>
    <t xml:space="preserve">Yp</t>
  </si>
  <si>
    <t xml:space="preserve">Tabel 2.6 Koefisien K Log Pearson III - Sumber: Proposal Tesis Tabel 2.6 (Cs menaik untuk interpolasi)</t>
  </si>
  <si>
    <t xml:space="preserve">Cs</t>
  </si>
  <si>
    <t xml:space="preserve">T=2</t>
  </si>
  <si>
    <t xml:space="preserve">T=5</t>
  </si>
  <si>
    <t xml:space="preserve">T=10</t>
  </si>
  <si>
    <t xml:space="preserve">T=25</t>
  </si>
  <si>
    <t xml:space="preserve">T=50</t>
  </si>
  <si>
    <t xml:space="preserve">T=100</t>
  </si>
  <si>
    <t xml:space="preserve">Probabilitas kelas uji chi-kuadrat (5 kelas dibatasi R2, R5, R10, R25)</t>
  </si>
  <si>
    <t xml:space="preserve">p</t>
  </si>
  <si>
    <t xml:space="preserve">Nilai kritik chi-kuadrat</t>
  </si>
  <si>
    <t xml:space="preserve">df</t>
  </si>
  <si>
    <t xml:space="preserve">Kritik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</si>
</sst>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"/>
    <numFmt numFmtId="167" formatCode="0.0000"/>
    <numFmt numFmtId="168" formatCode="0.000"/>
    <numFmt numFmtId="169" formatCode="0.00"/>
    <numFmt numFmtId="170" formatCode="0.####"/>
    <numFmt numFmtId="171" formatCode="0.000000"/>
    <numFmt numFmtId="172" formatCode="0.0%"/>
    <numFmt numFmtId="173" formatCode="0.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 t="s">
        <v>5</v>
      </c>
    </row>
    <row r="2" customFormat="false" ht="15" hidden="false" customHeight="false" outlineLevel="0" collapsed="false">
      <c r="A2" s="3" t="n">
        <v>2012</v>
      </c>
      <c r="B2" s="3" t="n">
        <v>1</v>
      </c>
      <c r="C2" s="3" t="n">
        <v>1</v>
      </c>
      <c r="D2" s="3" t="s">
        <v>6</v>
      </c>
      <c r="E2" s="4" t="n">
        <v>0</v>
      </c>
    </row>
    <row r="3" customFormat="false" ht="15" hidden="false" customHeight="false" outlineLevel="0" collapsed="false">
      <c r="A3" s="3" t="n">
        <v>2012</v>
      </c>
      <c r="B3" s="3" t="n">
        <v>1</v>
      </c>
      <c r="C3" s="3" t="n">
        <v>2</v>
      </c>
      <c r="D3" s="3" t="s">
        <v>7</v>
      </c>
      <c r="E3" s="4" t="n">
        <v>0</v>
      </c>
    </row>
    <row r="4" customFormat="false" ht="15" hidden="false" customHeight="false" outlineLevel="0" collapsed="false">
      <c r="A4" s="3" t="n">
        <v>2012</v>
      </c>
      <c r="B4" s="3" t="n">
        <v>1</v>
      </c>
      <c r="C4" s="3" t="n">
        <v>3</v>
      </c>
      <c r="D4" s="3" t="s">
        <v>8</v>
      </c>
      <c r="E4" s="4" t="n">
        <v>0</v>
      </c>
    </row>
    <row r="5" customFormat="false" ht="15" hidden="false" customHeight="false" outlineLevel="0" collapsed="false">
      <c r="A5" s="3" t="n">
        <v>2012</v>
      </c>
      <c r="B5" s="3" t="n">
        <v>1</v>
      </c>
      <c r="C5" s="3" t="n">
        <v>4</v>
      </c>
      <c r="D5" s="3" t="s">
        <v>9</v>
      </c>
      <c r="E5" s="4" t="n">
        <v>80</v>
      </c>
    </row>
    <row r="6" customFormat="false" ht="15" hidden="false" customHeight="false" outlineLevel="0" collapsed="false">
      <c r="A6" s="3" t="n">
        <v>2012</v>
      </c>
      <c r="B6" s="3" t="n">
        <v>1</v>
      </c>
      <c r="C6" s="3" t="n">
        <v>5</v>
      </c>
      <c r="D6" s="3" t="s">
        <v>10</v>
      </c>
      <c r="E6" s="4" t="n">
        <v>0</v>
      </c>
    </row>
    <row r="7" customFormat="false" ht="15" hidden="false" customHeight="false" outlineLevel="0" collapsed="false">
      <c r="A7" s="3" t="n">
        <v>2012</v>
      </c>
      <c r="B7" s="3" t="n">
        <v>1</v>
      </c>
      <c r="C7" s="3" t="n">
        <v>6</v>
      </c>
      <c r="D7" s="3" t="s">
        <v>11</v>
      </c>
      <c r="E7" s="4" t="n">
        <v>0</v>
      </c>
    </row>
    <row r="8" customFormat="false" ht="15" hidden="false" customHeight="false" outlineLevel="0" collapsed="false">
      <c r="A8" s="3" t="n">
        <v>2012</v>
      </c>
      <c r="B8" s="3" t="n">
        <v>1</v>
      </c>
      <c r="C8" s="3" t="n">
        <v>7</v>
      </c>
      <c r="D8" s="3" t="s">
        <v>12</v>
      </c>
      <c r="E8" s="4" t="n">
        <v>43</v>
      </c>
    </row>
    <row r="9" customFormat="false" ht="15" hidden="false" customHeight="false" outlineLevel="0" collapsed="false">
      <c r="A9" s="3" t="n">
        <v>2012</v>
      </c>
      <c r="B9" s="3" t="n">
        <v>1</v>
      </c>
      <c r="C9" s="3" t="n">
        <v>8</v>
      </c>
      <c r="D9" s="3" t="s">
        <v>13</v>
      </c>
      <c r="E9" s="4" t="n">
        <v>33</v>
      </c>
    </row>
    <row r="10" customFormat="false" ht="15" hidden="false" customHeight="false" outlineLevel="0" collapsed="false">
      <c r="A10" s="3" t="n">
        <v>2012</v>
      </c>
      <c r="B10" s="3" t="n">
        <v>1</v>
      </c>
      <c r="C10" s="3" t="n">
        <v>9</v>
      </c>
      <c r="D10" s="3" t="s">
        <v>14</v>
      </c>
      <c r="E10" s="4" t="n">
        <v>1</v>
      </c>
    </row>
    <row r="11" customFormat="false" ht="15" hidden="false" customHeight="false" outlineLevel="0" collapsed="false">
      <c r="A11" s="3" t="n">
        <v>2012</v>
      </c>
      <c r="B11" s="3" t="n">
        <v>1</v>
      </c>
      <c r="C11" s="3" t="n">
        <v>10</v>
      </c>
      <c r="D11" s="3" t="s">
        <v>15</v>
      </c>
      <c r="E11" s="4" t="n">
        <v>56</v>
      </c>
    </row>
    <row r="12" customFormat="false" ht="15" hidden="false" customHeight="false" outlineLevel="0" collapsed="false">
      <c r="A12" s="3" t="n">
        <v>2012</v>
      </c>
      <c r="B12" s="3" t="n">
        <v>1</v>
      </c>
      <c r="C12" s="3" t="n">
        <v>11</v>
      </c>
      <c r="D12" s="3" t="s">
        <v>16</v>
      </c>
      <c r="E12" s="4" t="n">
        <v>0</v>
      </c>
    </row>
    <row r="13" customFormat="false" ht="15" hidden="false" customHeight="false" outlineLevel="0" collapsed="false">
      <c r="A13" s="3" t="n">
        <v>2012</v>
      </c>
      <c r="B13" s="3" t="n">
        <v>1</v>
      </c>
      <c r="C13" s="3" t="n">
        <v>12</v>
      </c>
      <c r="D13" s="3" t="s">
        <v>17</v>
      </c>
      <c r="E13" s="4" t="n">
        <v>12</v>
      </c>
    </row>
    <row r="14" customFormat="false" ht="15" hidden="false" customHeight="false" outlineLevel="0" collapsed="false">
      <c r="A14" s="3" t="n">
        <v>2012</v>
      </c>
      <c r="B14" s="3" t="n">
        <v>1</v>
      </c>
      <c r="C14" s="3" t="n">
        <v>13</v>
      </c>
      <c r="D14" s="3" t="s">
        <v>18</v>
      </c>
      <c r="E14" s="4" t="n">
        <v>33</v>
      </c>
    </row>
    <row r="15" customFormat="false" ht="15" hidden="false" customHeight="false" outlineLevel="0" collapsed="false">
      <c r="A15" s="3" t="n">
        <v>2012</v>
      </c>
      <c r="B15" s="3" t="n">
        <v>1</v>
      </c>
      <c r="C15" s="3" t="n">
        <v>14</v>
      </c>
      <c r="D15" s="3" t="s">
        <v>19</v>
      </c>
      <c r="E15" s="4" t="n">
        <v>0</v>
      </c>
    </row>
    <row r="16" customFormat="false" ht="15" hidden="false" customHeight="false" outlineLevel="0" collapsed="false">
      <c r="A16" s="3" t="n">
        <v>2012</v>
      </c>
      <c r="B16" s="3" t="n">
        <v>1</v>
      </c>
      <c r="C16" s="3" t="n">
        <v>15</v>
      </c>
      <c r="D16" s="3" t="s">
        <v>20</v>
      </c>
      <c r="E16" s="4" t="n">
        <v>0</v>
      </c>
    </row>
    <row r="17" customFormat="false" ht="15" hidden="false" customHeight="false" outlineLevel="0" collapsed="false">
      <c r="A17" s="3" t="n">
        <v>2012</v>
      </c>
      <c r="B17" s="3" t="n">
        <v>1</v>
      </c>
      <c r="C17" s="3" t="n">
        <v>16</v>
      </c>
      <c r="D17" s="3" t="s">
        <v>21</v>
      </c>
      <c r="E17" s="4" t="n">
        <v>0</v>
      </c>
    </row>
    <row r="18" customFormat="false" ht="15" hidden="false" customHeight="false" outlineLevel="0" collapsed="false">
      <c r="A18" s="3" t="n">
        <v>2012</v>
      </c>
      <c r="B18" s="3" t="n">
        <v>1</v>
      </c>
      <c r="C18" s="3" t="n">
        <v>17</v>
      </c>
      <c r="D18" s="3" t="s">
        <v>22</v>
      </c>
      <c r="E18" s="4" t="n">
        <v>0</v>
      </c>
    </row>
    <row r="19" customFormat="false" ht="15" hidden="false" customHeight="false" outlineLevel="0" collapsed="false">
      <c r="A19" s="3" t="n">
        <v>2012</v>
      </c>
      <c r="B19" s="3" t="n">
        <v>1</v>
      </c>
      <c r="C19" s="3" t="n">
        <v>18</v>
      </c>
      <c r="D19" s="3" t="s">
        <v>23</v>
      </c>
      <c r="E19" s="4" t="n">
        <v>0</v>
      </c>
    </row>
    <row r="20" customFormat="false" ht="15" hidden="false" customHeight="false" outlineLevel="0" collapsed="false">
      <c r="A20" s="3" t="n">
        <v>2012</v>
      </c>
      <c r="B20" s="3" t="n">
        <v>1</v>
      </c>
      <c r="C20" s="3" t="n">
        <v>19</v>
      </c>
      <c r="D20" s="3" t="s">
        <v>24</v>
      </c>
      <c r="E20" s="4" t="n">
        <v>0</v>
      </c>
    </row>
    <row r="21" customFormat="false" ht="15" hidden="false" customHeight="false" outlineLevel="0" collapsed="false">
      <c r="A21" s="3" t="n">
        <v>2012</v>
      </c>
      <c r="B21" s="3" t="n">
        <v>1</v>
      </c>
      <c r="C21" s="3" t="n">
        <v>20</v>
      </c>
      <c r="D21" s="3" t="s">
        <v>25</v>
      </c>
      <c r="E21" s="4" t="n">
        <v>10</v>
      </c>
    </row>
    <row r="22" customFormat="false" ht="15" hidden="false" customHeight="false" outlineLevel="0" collapsed="false">
      <c r="A22" s="3" t="n">
        <v>2012</v>
      </c>
      <c r="B22" s="3" t="n">
        <v>1</v>
      </c>
      <c r="C22" s="3" t="n">
        <v>21</v>
      </c>
      <c r="D22" s="3" t="s">
        <v>26</v>
      </c>
      <c r="E22" s="4" t="n">
        <v>0</v>
      </c>
    </row>
    <row r="23" customFormat="false" ht="15" hidden="false" customHeight="false" outlineLevel="0" collapsed="false">
      <c r="A23" s="3" t="n">
        <v>2012</v>
      </c>
      <c r="B23" s="3" t="n">
        <v>1</v>
      </c>
      <c r="C23" s="3" t="n">
        <v>22</v>
      </c>
      <c r="D23" s="3" t="s">
        <v>27</v>
      </c>
      <c r="E23" s="4" t="n">
        <v>0</v>
      </c>
    </row>
    <row r="24" customFormat="false" ht="15" hidden="false" customHeight="false" outlineLevel="0" collapsed="false">
      <c r="A24" s="3" t="n">
        <v>2012</v>
      </c>
      <c r="B24" s="3" t="n">
        <v>1</v>
      </c>
      <c r="C24" s="3" t="n">
        <v>23</v>
      </c>
      <c r="D24" s="3" t="s">
        <v>28</v>
      </c>
      <c r="E24" s="4" t="n">
        <v>8</v>
      </c>
    </row>
    <row r="25" customFormat="false" ht="15" hidden="false" customHeight="false" outlineLevel="0" collapsed="false">
      <c r="A25" s="3" t="n">
        <v>2012</v>
      </c>
      <c r="B25" s="3" t="n">
        <v>1</v>
      </c>
      <c r="C25" s="3" t="n">
        <v>24</v>
      </c>
      <c r="D25" s="3" t="s">
        <v>29</v>
      </c>
      <c r="E25" s="4" t="n">
        <v>30</v>
      </c>
    </row>
    <row r="26" customFormat="false" ht="15" hidden="false" customHeight="false" outlineLevel="0" collapsed="false">
      <c r="A26" s="3" t="n">
        <v>2012</v>
      </c>
      <c r="B26" s="3" t="n">
        <v>1</v>
      </c>
      <c r="C26" s="3" t="n">
        <v>25</v>
      </c>
      <c r="D26" s="3" t="s">
        <v>30</v>
      </c>
      <c r="E26" s="4" t="n">
        <v>0</v>
      </c>
    </row>
    <row r="27" customFormat="false" ht="15" hidden="false" customHeight="false" outlineLevel="0" collapsed="false">
      <c r="A27" s="3" t="n">
        <v>2012</v>
      </c>
      <c r="B27" s="3" t="n">
        <v>1</v>
      </c>
      <c r="C27" s="3" t="n">
        <v>26</v>
      </c>
      <c r="D27" s="3" t="s">
        <v>31</v>
      </c>
      <c r="E27" s="4" t="n">
        <v>6</v>
      </c>
    </row>
    <row r="28" customFormat="false" ht="15" hidden="false" customHeight="false" outlineLevel="0" collapsed="false">
      <c r="A28" s="3" t="n">
        <v>2012</v>
      </c>
      <c r="B28" s="3" t="n">
        <v>1</v>
      </c>
      <c r="C28" s="3" t="n">
        <v>27</v>
      </c>
      <c r="D28" s="3" t="s">
        <v>32</v>
      </c>
      <c r="E28" s="4" t="n">
        <v>7</v>
      </c>
    </row>
    <row r="29" customFormat="false" ht="15" hidden="false" customHeight="false" outlineLevel="0" collapsed="false">
      <c r="A29" s="3" t="n">
        <v>2012</v>
      </c>
      <c r="B29" s="3" t="n">
        <v>1</v>
      </c>
      <c r="C29" s="3" t="n">
        <v>28</v>
      </c>
      <c r="D29" s="3" t="s">
        <v>33</v>
      </c>
      <c r="E29" s="4" t="n">
        <v>30</v>
      </c>
    </row>
    <row r="30" customFormat="false" ht="15" hidden="false" customHeight="false" outlineLevel="0" collapsed="false">
      <c r="A30" s="3" t="n">
        <v>2012</v>
      </c>
      <c r="B30" s="3" t="n">
        <v>1</v>
      </c>
      <c r="C30" s="3" t="n">
        <v>29</v>
      </c>
      <c r="D30" s="3" t="s">
        <v>34</v>
      </c>
      <c r="E30" s="4" t="n">
        <v>0</v>
      </c>
    </row>
    <row r="31" customFormat="false" ht="15" hidden="false" customHeight="false" outlineLevel="0" collapsed="false">
      <c r="A31" s="3" t="n">
        <v>2012</v>
      </c>
      <c r="B31" s="3" t="n">
        <v>1</v>
      </c>
      <c r="C31" s="3" t="n">
        <v>30</v>
      </c>
      <c r="D31" s="3" t="s">
        <v>35</v>
      </c>
      <c r="E31" s="4" t="n">
        <v>0</v>
      </c>
    </row>
    <row r="32" customFormat="false" ht="15" hidden="false" customHeight="false" outlineLevel="0" collapsed="false">
      <c r="A32" s="3" t="n">
        <v>2012</v>
      </c>
      <c r="B32" s="3" t="n">
        <v>1</v>
      </c>
      <c r="C32" s="3" t="n">
        <v>31</v>
      </c>
      <c r="D32" s="3" t="s">
        <v>36</v>
      </c>
      <c r="E32" s="4" t="n">
        <v>0</v>
      </c>
    </row>
    <row r="33" customFormat="false" ht="15" hidden="false" customHeight="false" outlineLevel="0" collapsed="false">
      <c r="A33" s="3" t="n">
        <v>2012</v>
      </c>
      <c r="B33" s="3" t="n">
        <v>2</v>
      </c>
      <c r="C33" s="3" t="n">
        <v>1</v>
      </c>
      <c r="D33" s="3" t="s">
        <v>37</v>
      </c>
      <c r="E33" s="4" t="n">
        <v>3</v>
      </c>
    </row>
    <row r="34" customFormat="false" ht="15" hidden="false" customHeight="false" outlineLevel="0" collapsed="false">
      <c r="A34" s="3" t="n">
        <v>2012</v>
      </c>
      <c r="B34" s="3" t="n">
        <v>2</v>
      </c>
      <c r="C34" s="3" t="n">
        <v>2</v>
      </c>
      <c r="D34" s="3" t="s">
        <v>38</v>
      </c>
      <c r="E34" s="4" t="n">
        <v>0</v>
      </c>
    </row>
    <row r="35" customFormat="false" ht="15" hidden="false" customHeight="false" outlineLevel="0" collapsed="false">
      <c r="A35" s="3" t="n">
        <v>2012</v>
      </c>
      <c r="B35" s="3" t="n">
        <v>2</v>
      </c>
      <c r="C35" s="3" t="n">
        <v>3</v>
      </c>
      <c r="D35" s="3" t="s">
        <v>39</v>
      </c>
      <c r="E35" s="4" t="n">
        <v>30</v>
      </c>
    </row>
    <row r="36" customFormat="false" ht="15" hidden="false" customHeight="false" outlineLevel="0" collapsed="false">
      <c r="A36" s="3" t="n">
        <v>2012</v>
      </c>
      <c r="B36" s="3" t="n">
        <v>2</v>
      </c>
      <c r="C36" s="3" t="n">
        <v>4</v>
      </c>
      <c r="D36" s="3" t="s">
        <v>40</v>
      </c>
      <c r="E36" s="4" t="n">
        <v>32</v>
      </c>
    </row>
    <row r="37" customFormat="false" ht="15" hidden="false" customHeight="false" outlineLevel="0" collapsed="false">
      <c r="A37" s="3" t="n">
        <v>2012</v>
      </c>
      <c r="B37" s="3" t="n">
        <v>2</v>
      </c>
      <c r="C37" s="3" t="n">
        <v>5</v>
      </c>
      <c r="D37" s="3" t="s">
        <v>41</v>
      </c>
      <c r="E37" s="4" t="n">
        <v>35</v>
      </c>
    </row>
    <row r="38" customFormat="false" ht="15" hidden="false" customHeight="false" outlineLevel="0" collapsed="false">
      <c r="A38" s="3" t="n">
        <v>2012</v>
      </c>
      <c r="B38" s="3" t="n">
        <v>2</v>
      </c>
      <c r="C38" s="3" t="n">
        <v>6</v>
      </c>
      <c r="D38" s="3" t="s">
        <v>42</v>
      </c>
      <c r="E38" s="4" t="n">
        <v>0</v>
      </c>
    </row>
    <row r="39" customFormat="false" ht="15" hidden="false" customHeight="false" outlineLevel="0" collapsed="false">
      <c r="A39" s="3" t="n">
        <v>2012</v>
      </c>
      <c r="B39" s="3" t="n">
        <v>2</v>
      </c>
      <c r="C39" s="3" t="n">
        <v>7</v>
      </c>
      <c r="D39" s="3" t="s">
        <v>43</v>
      </c>
      <c r="E39" s="4" t="n">
        <v>28</v>
      </c>
    </row>
    <row r="40" customFormat="false" ht="15" hidden="false" customHeight="false" outlineLevel="0" collapsed="false">
      <c r="A40" s="3" t="n">
        <v>2012</v>
      </c>
      <c r="B40" s="3" t="n">
        <v>2</v>
      </c>
      <c r="C40" s="3" t="n">
        <v>8</v>
      </c>
      <c r="D40" s="3" t="s">
        <v>44</v>
      </c>
      <c r="E40" s="4" t="n">
        <v>16</v>
      </c>
    </row>
    <row r="41" customFormat="false" ht="15" hidden="false" customHeight="false" outlineLevel="0" collapsed="false">
      <c r="A41" s="3" t="n">
        <v>2012</v>
      </c>
      <c r="B41" s="3" t="n">
        <v>2</v>
      </c>
      <c r="C41" s="3" t="n">
        <v>9</v>
      </c>
      <c r="D41" s="3" t="s">
        <v>45</v>
      </c>
      <c r="E41" s="4" t="n">
        <v>0</v>
      </c>
    </row>
    <row r="42" customFormat="false" ht="15" hidden="false" customHeight="false" outlineLevel="0" collapsed="false">
      <c r="A42" s="3" t="n">
        <v>2012</v>
      </c>
      <c r="B42" s="3" t="n">
        <v>2</v>
      </c>
      <c r="C42" s="3" t="n">
        <v>10</v>
      </c>
      <c r="D42" s="3" t="s">
        <v>46</v>
      </c>
      <c r="E42" s="4" t="n">
        <v>0</v>
      </c>
    </row>
    <row r="43" customFormat="false" ht="15" hidden="false" customHeight="false" outlineLevel="0" collapsed="false">
      <c r="A43" s="3" t="n">
        <v>2012</v>
      </c>
      <c r="B43" s="3" t="n">
        <v>2</v>
      </c>
      <c r="C43" s="3" t="n">
        <v>11</v>
      </c>
      <c r="D43" s="3" t="s">
        <v>47</v>
      </c>
      <c r="E43" s="4" t="n">
        <v>0</v>
      </c>
    </row>
    <row r="44" customFormat="false" ht="15" hidden="false" customHeight="false" outlineLevel="0" collapsed="false">
      <c r="A44" s="3" t="n">
        <v>2012</v>
      </c>
      <c r="B44" s="3" t="n">
        <v>2</v>
      </c>
      <c r="C44" s="3" t="n">
        <v>12</v>
      </c>
      <c r="D44" s="3" t="s">
        <v>48</v>
      </c>
      <c r="E44" s="4" t="n">
        <v>10</v>
      </c>
    </row>
    <row r="45" customFormat="false" ht="15" hidden="false" customHeight="false" outlineLevel="0" collapsed="false">
      <c r="A45" s="3" t="n">
        <v>2012</v>
      </c>
      <c r="B45" s="3" t="n">
        <v>2</v>
      </c>
      <c r="C45" s="3" t="n">
        <v>13</v>
      </c>
      <c r="D45" s="3" t="s">
        <v>49</v>
      </c>
      <c r="E45" s="4" t="n">
        <v>10</v>
      </c>
    </row>
    <row r="46" customFormat="false" ht="15" hidden="false" customHeight="false" outlineLevel="0" collapsed="false">
      <c r="A46" s="3" t="n">
        <v>2012</v>
      </c>
      <c r="B46" s="3" t="n">
        <v>2</v>
      </c>
      <c r="C46" s="3" t="n">
        <v>14</v>
      </c>
      <c r="D46" s="3" t="s">
        <v>50</v>
      </c>
      <c r="E46" s="4" t="n">
        <v>30</v>
      </c>
    </row>
    <row r="47" customFormat="false" ht="15" hidden="false" customHeight="false" outlineLevel="0" collapsed="false">
      <c r="A47" s="3" t="n">
        <v>2012</v>
      </c>
      <c r="B47" s="3" t="n">
        <v>2</v>
      </c>
      <c r="C47" s="3" t="n">
        <v>15</v>
      </c>
      <c r="D47" s="3" t="s">
        <v>51</v>
      </c>
      <c r="E47" s="4" t="n">
        <v>0</v>
      </c>
    </row>
    <row r="48" customFormat="false" ht="15" hidden="false" customHeight="false" outlineLevel="0" collapsed="false">
      <c r="A48" s="3" t="n">
        <v>2012</v>
      </c>
      <c r="B48" s="3" t="n">
        <v>2</v>
      </c>
      <c r="C48" s="3" t="n">
        <v>16</v>
      </c>
      <c r="D48" s="3" t="s">
        <v>52</v>
      </c>
      <c r="E48" s="4" t="n">
        <v>0</v>
      </c>
    </row>
    <row r="49" customFormat="false" ht="15" hidden="false" customHeight="false" outlineLevel="0" collapsed="false">
      <c r="A49" s="3" t="n">
        <v>2012</v>
      </c>
      <c r="B49" s="3" t="n">
        <v>2</v>
      </c>
      <c r="C49" s="3" t="n">
        <v>17</v>
      </c>
      <c r="D49" s="3" t="s">
        <v>53</v>
      </c>
      <c r="E49" s="4" t="n">
        <v>0</v>
      </c>
    </row>
    <row r="50" customFormat="false" ht="15" hidden="false" customHeight="false" outlineLevel="0" collapsed="false">
      <c r="A50" s="3" t="n">
        <v>2012</v>
      </c>
      <c r="B50" s="3" t="n">
        <v>2</v>
      </c>
      <c r="C50" s="3" t="n">
        <v>18</v>
      </c>
      <c r="D50" s="3" t="s">
        <v>54</v>
      </c>
      <c r="E50" s="4" t="n">
        <v>2</v>
      </c>
    </row>
    <row r="51" customFormat="false" ht="15" hidden="false" customHeight="false" outlineLevel="0" collapsed="false">
      <c r="A51" s="3" t="n">
        <v>2012</v>
      </c>
      <c r="B51" s="3" t="n">
        <v>2</v>
      </c>
      <c r="C51" s="3" t="n">
        <v>19</v>
      </c>
      <c r="D51" s="3" t="s">
        <v>55</v>
      </c>
      <c r="E51" s="4" t="n">
        <v>3</v>
      </c>
    </row>
    <row r="52" customFormat="false" ht="15" hidden="false" customHeight="false" outlineLevel="0" collapsed="false">
      <c r="A52" s="3" t="n">
        <v>2012</v>
      </c>
      <c r="B52" s="3" t="n">
        <v>2</v>
      </c>
      <c r="C52" s="3" t="n">
        <v>20</v>
      </c>
      <c r="D52" s="3" t="s">
        <v>56</v>
      </c>
      <c r="E52" s="4" t="n">
        <v>5</v>
      </c>
    </row>
    <row r="53" customFormat="false" ht="15" hidden="false" customHeight="false" outlineLevel="0" collapsed="false">
      <c r="A53" s="3" t="n">
        <v>2012</v>
      </c>
      <c r="B53" s="3" t="n">
        <v>2</v>
      </c>
      <c r="C53" s="3" t="n">
        <v>21</v>
      </c>
      <c r="D53" s="3" t="s">
        <v>57</v>
      </c>
      <c r="E53" s="4" t="n">
        <v>0</v>
      </c>
    </row>
    <row r="54" customFormat="false" ht="15" hidden="false" customHeight="false" outlineLevel="0" collapsed="false">
      <c r="A54" s="3" t="n">
        <v>2012</v>
      </c>
      <c r="B54" s="3" t="n">
        <v>2</v>
      </c>
      <c r="C54" s="3" t="n">
        <v>22</v>
      </c>
      <c r="D54" s="3" t="s">
        <v>58</v>
      </c>
      <c r="E54" s="4" t="n">
        <v>0</v>
      </c>
    </row>
    <row r="55" customFormat="false" ht="15" hidden="false" customHeight="false" outlineLevel="0" collapsed="false">
      <c r="A55" s="3" t="n">
        <v>2012</v>
      </c>
      <c r="B55" s="3" t="n">
        <v>2</v>
      </c>
      <c r="C55" s="3" t="n">
        <v>23</v>
      </c>
      <c r="D55" s="3" t="s">
        <v>59</v>
      </c>
      <c r="E55" s="4" t="n">
        <v>10</v>
      </c>
    </row>
    <row r="56" customFormat="false" ht="15" hidden="false" customHeight="false" outlineLevel="0" collapsed="false">
      <c r="A56" s="3" t="n">
        <v>2012</v>
      </c>
      <c r="B56" s="3" t="n">
        <v>2</v>
      </c>
      <c r="C56" s="3" t="n">
        <v>24</v>
      </c>
      <c r="D56" s="3" t="s">
        <v>60</v>
      </c>
      <c r="E56" s="4" t="n">
        <v>0</v>
      </c>
    </row>
    <row r="57" customFormat="false" ht="15" hidden="false" customHeight="false" outlineLevel="0" collapsed="false">
      <c r="A57" s="3" t="n">
        <v>2012</v>
      </c>
      <c r="B57" s="3" t="n">
        <v>2</v>
      </c>
      <c r="C57" s="3" t="n">
        <v>25</v>
      </c>
      <c r="D57" s="3" t="s">
        <v>61</v>
      </c>
      <c r="E57" s="4" t="n">
        <v>30</v>
      </c>
    </row>
    <row r="58" customFormat="false" ht="15" hidden="false" customHeight="false" outlineLevel="0" collapsed="false">
      <c r="A58" s="3" t="n">
        <v>2012</v>
      </c>
      <c r="B58" s="3" t="n">
        <v>2</v>
      </c>
      <c r="C58" s="3" t="n">
        <v>26</v>
      </c>
      <c r="D58" s="3" t="s">
        <v>62</v>
      </c>
      <c r="E58" s="4" t="n">
        <v>35</v>
      </c>
    </row>
    <row r="59" customFormat="false" ht="15" hidden="false" customHeight="false" outlineLevel="0" collapsed="false">
      <c r="A59" s="3" t="n">
        <v>2012</v>
      </c>
      <c r="B59" s="3" t="n">
        <v>2</v>
      </c>
      <c r="C59" s="3" t="n">
        <v>27</v>
      </c>
      <c r="D59" s="3" t="s">
        <v>63</v>
      </c>
      <c r="E59" s="4" t="n">
        <v>42</v>
      </c>
    </row>
    <row r="60" customFormat="false" ht="15" hidden="false" customHeight="false" outlineLevel="0" collapsed="false">
      <c r="A60" s="3" t="n">
        <v>2012</v>
      </c>
      <c r="B60" s="3" t="n">
        <v>2</v>
      </c>
      <c r="C60" s="3" t="n">
        <v>28</v>
      </c>
      <c r="D60" s="3" t="s">
        <v>64</v>
      </c>
      <c r="E60" s="4" t="n">
        <v>19</v>
      </c>
    </row>
    <row r="61" customFormat="false" ht="15" hidden="false" customHeight="false" outlineLevel="0" collapsed="false">
      <c r="A61" s="3" t="n">
        <v>2012</v>
      </c>
      <c r="B61" s="3" t="n">
        <v>2</v>
      </c>
      <c r="C61" s="3" t="n">
        <v>29</v>
      </c>
      <c r="D61" s="3" t="s">
        <v>65</v>
      </c>
      <c r="E61" s="4" t="n">
        <v>0</v>
      </c>
    </row>
    <row r="62" customFormat="false" ht="15" hidden="false" customHeight="false" outlineLevel="0" collapsed="false">
      <c r="A62" s="3" t="n">
        <v>2012</v>
      </c>
      <c r="B62" s="3" t="n">
        <v>3</v>
      </c>
      <c r="C62" s="3" t="n">
        <v>1</v>
      </c>
      <c r="D62" s="3" t="s">
        <v>66</v>
      </c>
      <c r="E62" s="4" t="n">
        <v>0</v>
      </c>
    </row>
    <row r="63" customFormat="false" ht="15" hidden="false" customHeight="false" outlineLevel="0" collapsed="false">
      <c r="A63" s="3" t="n">
        <v>2012</v>
      </c>
      <c r="B63" s="3" t="n">
        <v>3</v>
      </c>
      <c r="C63" s="3" t="n">
        <v>2</v>
      </c>
      <c r="D63" s="3" t="s">
        <v>67</v>
      </c>
      <c r="E63" s="4" t="n">
        <v>20</v>
      </c>
    </row>
    <row r="64" customFormat="false" ht="15" hidden="false" customHeight="false" outlineLevel="0" collapsed="false">
      <c r="A64" s="3" t="n">
        <v>2012</v>
      </c>
      <c r="B64" s="3" t="n">
        <v>3</v>
      </c>
      <c r="C64" s="3" t="n">
        <v>3</v>
      </c>
      <c r="D64" s="3" t="s">
        <v>68</v>
      </c>
      <c r="E64" s="4" t="n">
        <v>0</v>
      </c>
    </row>
    <row r="65" customFormat="false" ht="15" hidden="false" customHeight="false" outlineLevel="0" collapsed="false">
      <c r="A65" s="3" t="n">
        <v>2012</v>
      </c>
      <c r="B65" s="3" t="n">
        <v>3</v>
      </c>
      <c r="C65" s="3" t="n">
        <v>4</v>
      </c>
      <c r="D65" s="3" t="s">
        <v>69</v>
      </c>
      <c r="E65" s="4" t="n">
        <v>0</v>
      </c>
    </row>
    <row r="66" customFormat="false" ht="15" hidden="false" customHeight="false" outlineLevel="0" collapsed="false">
      <c r="A66" s="3" t="n">
        <v>2012</v>
      </c>
      <c r="B66" s="3" t="n">
        <v>3</v>
      </c>
      <c r="C66" s="3" t="n">
        <v>5</v>
      </c>
      <c r="D66" s="3" t="s">
        <v>70</v>
      </c>
      <c r="E66" s="4" t="n">
        <v>0</v>
      </c>
    </row>
    <row r="67" customFormat="false" ht="15" hidden="false" customHeight="false" outlineLevel="0" collapsed="false">
      <c r="A67" s="3" t="n">
        <v>2012</v>
      </c>
      <c r="B67" s="3" t="n">
        <v>3</v>
      </c>
      <c r="C67" s="3" t="n">
        <v>6</v>
      </c>
      <c r="D67" s="3" t="s">
        <v>71</v>
      </c>
      <c r="E67" s="4" t="n">
        <v>0</v>
      </c>
    </row>
    <row r="68" customFormat="false" ht="15" hidden="false" customHeight="false" outlineLevel="0" collapsed="false">
      <c r="A68" s="3" t="n">
        <v>2012</v>
      </c>
      <c r="B68" s="3" t="n">
        <v>3</v>
      </c>
      <c r="C68" s="3" t="n">
        <v>7</v>
      </c>
      <c r="D68" s="3" t="s">
        <v>72</v>
      </c>
      <c r="E68" s="4" t="n">
        <v>0</v>
      </c>
    </row>
    <row r="69" customFormat="false" ht="15" hidden="false" customHeight="false" outlineLevel="0" collapsed="false">
      <c r="A69" s="3" t="n">
        <v>2012</v>
      </c>
      <c r="B69" s="3" t="n">
        <v>3</v>
      </c>
      <c r="C69" s="3" t="n">
        <v>8</v>
      </c>
      <c r="D69" s="3" t="s">
        <v>73</v>
      </c>
      <c r="E69" s="4" t="n">
        <v>80</v>
      </c>
    </row>
    <row r="70" customFormat="false" ht="15" hidden="false" customHeight="false" outlineLevel="0" collapsed="false">
      <c r="A70" s="3" t="n">
        <v>2012</v>
      </c>
      <c r="B70" s="3" t="n">
        <v>3</v>
      </c>
      <c r="C70" s="3" t="n">
        <v>9</v>
      </c>
      <c r="D70" s="3" t="s">
        <v>74</v>
      </c>
      <c r="E70" s="4" t="n">
        <v>0</v>
      </c>
    </row>
    <row r="71" customFormat="false" ht="15" hidden="false" customHeight="false" outlineLevel="0" collapsed="false">
      <c r="A71" s="3" t="n">
        <v>2012</v>
      </c>
      <c r="B71" s="3" t="n">
        <v>3</v>
      </c>
      <c r="C71" s="3" t="n">
        <v>10</v>
      </c>
      <c r="D71" s="3" t="s">
        <v>75</v>
      </c>
      <c r="E71" s="4" t="n">
        <v>0</v>
      </c>
    </row>
    <row r="72" customFormat="false" ht="15" hidden="false" customHeight="false" outlineLevel="0" collapsed="false">
      <c r="A72" s="3" t="n">
        <v>2012</v>
      </c>
      <c r="B72" s="3" t="n">
        <v>3</v>
      </c>
      <c r="C72" s="3" t="n">
        <v>11</v>
      </c>
      <c r="D72" s="3" t="s">
        <v>76</v>
      </c>
      <c r="E72" s="4" t="n">
        <v>0</v>
      </c>
    </row>
    <row r="73" customFormat="false" ht="15" hidden="false" customHeight="false" outlineLevel="0" collapsed="false">
      <c r="A73" s="3" t="n">
        <v>2012</v>
      </c>
      <c r="B73" s="3" t="n">
        <v>3</v>
      </c>
      <c r="C73" s="3" t="n">
        <v>12</v>
      </c>
      <c r="D73" s="3" t="s">
        <v>77</v>
      </c>
      <c r="E73" s="4" t="n">
        <v>0</v>
      </c>
    </row>
    <row r="74" customFormat="false" ht="15" hidden="false" customHeight="false" outlineLevel="0" collapsed="false">
      <c r="A74" s="3" t="n">
        <v>2012</v>
      </c>
      <c r="B74" s="3" t="n">
        <v>3</v>
      </c>
      <c r="C74" s="3" t="n">
        <v>13</v>
      </c>
      <c r="D74" s="3" t="s">
        <v>78</v>
      </c>
      <c r="E74" s="4" t="n">
        <v>30</v>
      </c>
    </row>
    <row r="75" customFormat="false" ht="15" hidden="false" customHeight="false" outlineLevel="0" collapsed="false">
      <c r="A75" s="3" t="n">
        <v>2012</v>
      </c>
      <c r="B75" s="3" t="n">
        <v>3</v>
      </c>
      <c r="C75" s="3" t="n">
        <v>14</v>
      </c>
      <c r="D75" s="3" t="s">
        <v>79</v>
      </c>
      <c r="E75" s="4" t="n">
        <v>50</v>
      </c>
    </row>
    <row r="76" customFormat="false" ht="15" hidden="false" customHeight="false" outlineLevel="0" collapsed="false">
      <c r="A76" s="3" t="n">
        <v>2012</v>
      </c>
      <c r="B76" s="3" t="n">
        <v>3</v>
      </c>
      <c r="C76" s="3" t="n">
        <v>15</v>
      </c>
      <c r="D76" s="3" t="s">
        <v>80</v>
      </c>
      <c r="E76" s="4" t="n">
        <v>11</v>
      </c>
    </row>
    <row r="77" customFormat="false" ht="15" hidden="false" customHeight="false" outlineLevel="0" collapsed="false">
      <c r="A77" s="3" t="n">
        <v>2012</v>
      </c>
      <c r="B77" s="3" t="n">
        <v>3</v>
      </c>
      <c r="C77" s="3" t="n">
        <v>16</v>
      </c>
      <c r="D77" s="3" t="s">
        <v>81</v>
      </c>
      <c r="E77" s="4" t="n">
        <v>0</v>
      </c>
    </row>
    <row r="78" customFormat="false" ht="15" hidden="false" customHeight="false" outlineLevel="0" collapsed="false">
      <c r="A78" s="3" t="n">
        <v>2012</v>
      </c>
      <c r="B78" s="3" t="n">
        <v>3</v>
      </c>
      <c r="C78" s="3" t="n">
        <v>17</v>
      </c>
      <c r="D78" s="3" t="s">
        <v>82</v>
      </c>
      <c r="E78" s="4" t="n">
        <v>0</v>
      </c>
    </row>
    <row r="79" customFormat="false" ht="15" hidden="false" customHeight="false" outlineLevel="0" collapsed="false">
      <c r="A79" s="3" t="n">
        <v>2012</v>
      </c>
      <c r="B79" s="3" t="n">
        <v>3</v>
      </c>
      <c r="C79" s="3" t="n">
        <v>18</v>
      </c>
      <c r="D79" s="3" t="s">
        <v>83</v>
      </c>
      <c r="E79" s="4" t="n">
        <v>0</v>
      </c>
    </row>
    <row r="80" customFormat="false" ht="15" hidden="false" customHeight="false" outlineLevel="0" collapsed="false">
      <c r="A80" s="3" t="n">
        <v>2012</v>
      </c>
      <c r="B80" s="3" t="n">
        <v>3</v>
      </c>
      <c r="C80" s="3" t="n">
        <v>19</v>
      </c>
      <c r="D80" s="3" t="s">
        <v>84</v>
      </c>
      <c r="E80" s="4" t="n">
        <v>0</v>
      </c>
    </row>
    <row r="81" customFormat="false" ht="15" hidden="false" customHeight="false" outlineLevel="0" collapsed="false">
      <c r="A81" s="3" t="n">
        <v>2012</v>
      </c>
      <c r="B81" s="3" t="n">
        <v>3</v>
      </c>
      <c r="C81" s="3" t="n">
        <v>20</v>
      </c>
      <c r="D81" s="3" t="s">
        <v>85</v>
      </c>
      <c r="E81" s="4" t="n">
        <v>0</v>
      </c>
    </row>
    <row r="82" customFormat="false" ht="15" hidden="false" customHeight="false" outlineLevel="0" collapsed="false">
      <c r="A82" s="3" t="n">
        <v>2012</v>
      </c>
      <c r="B82" s="3" t="n">
        <v>3</v>
      </c>
      <c r="C82" s="3" t="n">
        <v>21</v>
      </c>
      <c r="D82" s="3" t="s">
        <v>86</v>
      </c>
      <c r="E82" s="4" t="n">
        <v>0</v>
      </c>
    </row>
    <row r="83" customFormat="false" ht="15" hidden="false" customHeight="false" outlineLevel="0" collapsed="false">
      <c r="A83" s="3" t="n">
        <v>2012</v>
      </c>
      <c r="B83" s="3" t="n">
        <v>3</v>
      </c>
      <c r="C83" s="3" t="n">
        <v>22</v>
      </c>
      <c r="D83" s="3" t="s">
        <v>87</v>
      </c>
      <c r="E83" s="4" t="n">
        <v>0</v>
      </c>
    </row>
    <row r="84" customFormat="false" ht="15" hidden="false" customHeight="false" outlineLevel="0" collapsed="false">
      <c r="A84" s="3" t="n">
        <v>2012</v>
      </c>
      <c r="B84" s="3" t="n">
        <v>3</v>
      </c>
      <c r="C84" s="3" t="n">
        <v>23</v>
      </c>
      <c r="D84" s="3" t="s">
        <v>88</v>
      </c>
      <c r="E84" s="4" t="n">
        <v>0</v>
      </c>
    </row>
    <row r="85" customFormat="false" ht="15" hidden="false" customHeight="false" outlineLevel="0" collapsed="false">
      <c r="A85" s="3" t="n">
        <v>2012</v>
      </c>
      <c r="B85" s="3" t="n">
        <v>3</v>
      </c>
      <c r="C85" s="3" t="n">
        <v>24</v>
      </c>
      <c r="D85" s="3" t="s">
        <v>89</v>
      </c>
      <c r="E85" s="4" t="n">
        <v>0</v>
      </c>
    </row>
    <row r="86" customFormat="false" ht="15" hidden="false" customHeight="false" outlineLevel="0" collapsed="false">
      <c r="A86" s="3" t="n">
        <v>2012</v>
      </c>
      <c r="B86" s="3" t="n">
        <v>3</v>
      </c>
      <c r="C86" s="3" t="n">
        <v>25</v>
      </c>
      <c r="D86" s="3" t="s">
        <v>90</v>
      </c>
      <c r="E86" s="4" t="n">
        <v>0</v>
      </c>
    </row>
    <row r="87" customFormat="false" ht="15" hidden="false" customHeight="false" outlineLevel="0" collapsed="false">
      <c r="A87" s="3" t="n">
        <v>2012</v>
      </c>
      <c r="B87" s="3" t="n">
        <v>3</v>
      </c>
      <c r="C87" s="3" t="n">
        <v>26</v>
      </c>
      <c r="D87" s="3" t="s">
        <v>91</v>
      </c>
      <c r="E87" s="4" t="n">
        <v>0</v>
      </c>
    </row>
    <row r="88" customFormat="false" ht="15" hidden="false" customHeight="false" outlineLevel="0" collapsed="false">
      <c r="A88" s="3" t="n">
        <v>2012</v>
      </c>
      <c r="B88" s="3" t="n">
        <v>3</v>
      </c>
      <c r="C88" s="3" t="n">
        <v>27</v>
      </c>
      <c r="D88" s="3" t="s">
        <v>92</v>
      </c>
      <c r="E88" s="4" t="n">
        <v>0</v>
      </c>
    </row>
    <row r="89" customFormat="false" ht="15" hidden="false" customHeight="false" outlineLevel="0" collapsed="false">
      <c r="A89" s="3" t="n">
        <v>2012</v>
      </c>
      <c r="B89" s="3" t="n">
        <v>3</v>
      </c>
      <c r="C89" s="3" t="n">
        <v>28</v>
      </c>
      <c r="D89" s="3" t="s">
        <v>93</v>
      </c>
      <c r="E89" s="4" t="n">
        <v>48</v>
      </c>
    </row>
    <row r="90" customFormat="false" ht="15" hidden="false" customHeight="false" outlineLevel="0" collapsed="false">
      <c r="A90" s="3" t="n">
        <v>2012</v>
      </c>
      <c r="B90" s="3" t="n">
        <v>3</v>
      </c>
      <c r="C90" s="3" t="n">
        <v>29</v>
      </c>
      <c r="D90" s="3" t="s">
        <v>94</v>
      </c>
      <c r="E90" s="4" t="n">
        <v>5</v>
      </c>
    </row>
    <row r="91" customFormat="false" ht="15" hidden="false" customHeight="false" outlineLevel="0" collapsed="false">
      <c r="A91" s="3" t="n">
        <v>2012</v>
      </c>
      <c r="B91" s="3" t="n">
        <v>3</v>
      </c>
      <c r="C91" s="3" t="n">
        <v>30</v>
      </c>
      <c r="D91" s="3" t="s">
        <v>95</v>
      </c>
      <c r="E91" s="4" t="n">
        <v>0</v>
      </c>
    </row>
    <row r="92" customFormat="false" ht="15" hidden="false" customHeight="false" outlineLevel="0" collapsed="false">
      <c r="A92" s="3" t="n">
        <v>2012</v>
      </c>
      <c r="B92" s="3" t="n">
        <v>3</v>
      </c>
      <c r="C92" s="3" t="n">
        <v>31</v>
      </c>
      <c r="D92" s="3" t="s">
        <v>96</v>
      </c>
      <c r="E92" s="4" t="n">
        <v>0</v>
      </c>
    </row>
    <row r="93" customFormat="false" ht="15" hidden="false" customHeight="false" outlineLevel="0" collapsed="false">
      <c r="A93" s="3" t="n">
        <v>2012</v>
      </c>
      <c r="B93" s="3" t="n">
        <v>4</v>
      </c>
      <c r="C93" s="3" t="n">
        <v>1</v>
      </c>
      <c r="D93" s="3" t="s">
        <v>97</v>
      </c>
      <c r="E93" s="4" t="n">
        <v>0</v>
      </c>
    </row>
    <row r="94" customFormat="false" ht="15" hidden="false" customHeight="false" outlineLevel="0" collapsed="false">
      <c r="A94" s="3" t="n">
        <v>2012</v>
      </c>
      <c r="B94" s="3" t="n">
        <v>4</v>
      </c>
      <c r="C94" s="3" t="n">
        <v>2</v>
      </c>
      <c r="D94" s="3" t="s">
        <v>98</v>
      </c>
      <c r="E94" s="4" t="n">
        <v>8</v>
      </c>
    </row>
    <row r="95" customFormat="false" ht="15" hidden="false" customHeight="false" outlineLevel="0" collapsed="false">
      <c r="A95" s="3" t="n">
        <v>2012</v>
      </c>
      <c r="B95" s="3" t="n">
        <v>4</v>
      </c>
      <c r="C95" s="3" t="n">
        <v>3</v>
      </c>
      <c r="D95" s="3" t="s">
        <v>99</v>
      </c>
      <c r="E95" s="4" t="n">
        <v>0</v>
      </c>
    </row>
    <row r="96" customFormat="false" ht="15" hidden="false" customHeight="false" outlineLevel="0" collapsed="false">
      <c r="A96" s="3" t="n">
        <v>2012</v>
      </c>
      <c r="B96" s="3" t="n">
        <v>4</v>
      </c>
      <c r="C96" s="3" t="n">
        <v>4</v>
      </c>
      <c r="D96" s="3" t="s">
        <v>100</v>
      </c>
      <c r="E96" s="4" t="n">
        <v>0</v>
      </c>
    </row>
    <row r="97" customFormat="false" ht="15" hidden="false" customHeight="false" outlineLevel="0" collapsed="false">
      <c r="A97" s="3" t="n">
        <v>2012</v>
      </c>
      <c r="B97" s="3" t="n">
        <v>4</v>
      </c>
      <c r="C97" s="3" t="n">
        <v>5</v>
      </c>
      <c r="D97" s="3" t="s">
        <v>101</v>
      </c>
      <c r="E97" s="4" t="n">
        <v>0</v>
      </c>
    </row>
    <row r="98" customFormat="false" ht="15" hidden="false" customHeight="false" outlineLevel="0" collapsed="false">
      <c r="A98" s="3" t="n">
        <v>2012</v>
      </c>
      <c r="B98" s="3" t="n">
        <v>4</v>
      </c>
      <c r="C98" s="3" t="n">
        <v>6</v>
      </c>
      <c r="D98" s="3" t="s">
        <v>102</v>
      </c>
      <c r="E98" s="4" t="n">
        <v>0</v>
      </c>
    </row>
    <row r="99" customFormat="false" ht="15" hidden="false" customHeight="false" outlineLevel="0" collapsed="false">
      <c r="A99" s="3" t="n">
        <v>2012</v>
      </c>
      <c r="B99" s="3" t="n">
        <v>4</v>
      </c>
      <c r="C99" s="3" t="n">
        <v>7</v>
      </c>
      <c r="D99" s="3" t="s">
        <v>103</v>
      </c>
      <c r="E99" s="4" t="n">
        <v>0</v>
      </c>
    </row>
    <row r="100" customFormat="false" ht="15" hidden="false" customHeight="false" outlineLevel="0" collapsed="false">
      <c r="A100" s="3" t="n">
        <v>2012</v>
      </c>
      <c r="B100" s="3" t="n">
        <v>4</v>
      </c>
      <c r="C100" s="3" t="n">
        <v>8</v>
      </c>
      <c r="D100" s="3" t="s">
        <v>104</v>
      </c>
      <c r="E100" s="4" t="n">
        <v>29</v>
      </c>
    </row>
    <row r="101" customFormat="false" ht="15" hidden="false" customHeight="false" outlineLevel="0" collapsed="false">
      <c r="A101" s="3" t="n">
        <v>2012</v>
      </c>
      <c r="B101" s="3" t="n">
        <v>4</v>
      </c>
      <c r="C101" s="3" t="n">
        <v>9</v>
      </c>
      <c r="D101" s="3" t="s">
        <v>105</v>
      </c>
      <c r="E101" s="4" t="n">
        <v>0</v>
      </c>
    </row>
    <row r="102" customFormat="false" ht="15" hidden="false" customHeight="false" outlineLevel="0" collapsed="false">
      <c r="A102" s="3" t="n">
        <v>2012</v>
      </c>
      <c r="B102" s="3" t="n">
        <v>4</v>
      </c>
      <c r="C102" s="3" t="n">
        <v>10</v>
      </c>
      <c r="D102" s="3" t="s">
        <v>106</v>
      </c>
      <c r="E102" s="4" t="n">
        <v>0</v>
      </c>
    </row>
    <row r="103" customFormat="false" ht="15" hidden="false" customHeight="false" outlineLevel="0" collapsed="false">
      <c r="A103" s="3" t="n">
        <v>2012</v>
      </c>
      <c r="B103" s="3" t="n">
        <v>4</v>
      </c>
      <c r="C103" s="3" t="n">
        <v>11</v>
      </c>
      <c r="D103" s="3" t="s">
        <v>107</v>
      </c>
      <c r="E103" s="4" t="n">
        <v>59</v>
      </c>
    </row>
    <row r="104" customFormat="false" ht="15" hidden="false" customHeight="false" outlineLevel="0" collapsed="false">
      <c r="A104" s="3" t="n">
        <v>2012</v>
      </c>
      <c r="B104" s="3" t="n">
        <v>4</v>
      </c>
      <c r="C104" s="3" t="n">
        <v>12</v>
      </c>
      <c r="D104" s="3" t="s">
        <v>108</v>
      </c>
      <c r="E104" s="4" t="n">
        <v>0</v>
      </c>
    </row>
    <row r="105" customFormat="false" ht="15" hidden="false" customHeight="false" outlineLevel="0" collapsed="false">
      <c r="A105" s="3" t="n">
        <v>2012</v>
      </c>
      <c r="B105" s="3" t="n">
        <v>4</v>
      </c>
      <c r="C105" s="3" t="n">
        <v>13</v>
      </c>
      <c r="D105" s="3" t="s">
        <v>109</v>
      </c>
      <c r="E105" s="4" t="n">
        <v>0</v>
      </c>
    </row>
    <row r="106" customFormat="false" ht="15" hidden="false" customHeight="false" outlineLevel="0" collapsed="false">
      <c r="A106" s="3" t="n">
        <v>2012</v>
      </c>
      <c r="B106" s="3" t="n">
        <v>4</v>
      </c>
      <c r="C106" s="3" t="n">
        <v>14</v>
      </c>
      <c r="D106" s="3" t="s">
        <v>110</v>
      </c>
      <c r="E106" s="4" t="n">
        <v>65</v>
      </c>
    </row>
    <row r="107" customFormat="false" ht="15" hidden="false" customHeight="false" outlineLevel="0" collapsed="false">
      <c r="A107" s="3" t="n">
        <v>2012</v>
      </c>
      <c r="B107" s="3" t="n">
        <v>4</v>
      </c>
      <c r="C107" s="3" t="n">
        <v>15</v>
      </c>
      <c r="D107" s="3" t="s">
        <v>111</v>
      </c>
      <c r="E107" s="4" t="n">
        <v>0</v>
      </c>
    </row>
    <row r="108" customFormat="false" ht="15" hidden="false" customHeight="false" outlineLevel="0" collapsed="false">
      <c r="A108" s="3" t="n">
        <v>2012</v>
      </c>
      <c r="B108" s="3" t="n">
        <v>4</v>
      </c>
      <c r="C108" s="3" t="n">
        <v>16</v>
      </c>
      <c r="D108" s="3" t="s">
        <v>112</v>
      </c>
      <c r="E108" s="4" t="n">
        <v>0</v>
      </c>
    </row>
    <row r="109" customFormat="false" ht="15" hidden="false" customHeight="false" outlineLevel="0" collapsed="false">
      <c r="A109" s="3" t="n">
        <v>2012</v>
      </c>
      <c r="B109" s="3" t="n">
        <v>4</v>
      </c>
      <c r="C109" s="3" t="n">
        <v>17</v>
      </c>
      <c r="D109" s="3" t="s">
        <v>113</v>
      </c>
      <c r="E109" s="4" t="n">
        <v>37</v>
      </c>
    </row>
    <row r="110" customFormat="false" ht="15" hidden="false" customHeight="false" outlineLevel="0" collapsed="false">
      <c r="A110" s="3" t="n">
        <v>2012</v>
      </c>
      <c r="B110" s="3" t="n">
        <v>4</v>
      </c>
      <c r="C110" s="3" t="n">
        <v>18</v>
      </c>
      <c r="D110" s="3" t="s">
        <v>114</v>
      </c>
      <c r="E110" s="4" t="n">
        <v>0</v>
      </c>
    </row>
    <row r="111" customFormat="false" ht="15" hidden="false" customHeight="false" outlineLevel="0" collapsed="false">
      <c r="A111" s="3" t="n">
        <v>2012</v>
      </c>
      <c r="B111" s="3" t="n">
        <v>4</v>
      </c>
      <c r="C111" s="3" t="n">
        <v>19</v>
      </c>
      <c r="D111" s="3" t="s">
        <v>115</v>
      </c>
      <c r="E111" s="4" t="n">
        <v>15</v>
      </c>
    </row>
    <row r="112" customFormat="false" ht="15" hidden="false" customHeight="false" outlineLevel="0" collapsed="false">
      <c r="A112" s="3" t="n">
        <v>2012</v>
      </c>
      <c r="B112" s="3" t="n">
        <v>4</v>
      </c>
      <c r="C112" s="3" t="n">
        <v>20</v>
      </c>
      <c r="D112" s="3" t="s">
        <v>116</v>
      </c>
      <c r="E112" s="4" t="n">
        <v>0</v>
      </c>
    </row>
    <row r="113" customFormat="false" ht="15" hidden="false" customHeight="false" outlineLevel="0" collapsed="false">
      <c r="A113" s="3" t="n">
        <v>2012</v>
      </c>
      <c r="B113" s="3" t="n">
        <v>4</v>
      </c>
      <c r="C113" s="3" t="n">
        <v>21</v>
      </c>
      <c r="D113" s="3" t="s">
        <v>117</v>
      </c>
      <c r="E113" s="4" t="n">
        <v>0</v>
      </c>
    </row>
    <row r="114" customFormat="false" ht="15" hidden="false" customHeight="false" outlineLevel="0" collapsed="false">
      <c r="A114" s="3" t="n">
        <v>2012</v>
      </c>
      <c r="B114" s="3" t="n">
        <v>4</v>
      </c>
      <c r="C114" s="3" t="n">
        <v>22</v>
      </c>
      <c r="D114" s="3" t="s">
        <v>118</v>
      </c>
      <c r="E114" s="4" t="n">
        <v>25</v>
      </c>
    </row>
    <row r="115" customFormat="false" ht="15" hidden="false" customHeight="false" outlineLevel="0" collapsed="false">
      <c r="A115" s="3" t="n">
        <v>2012</v>
      </c>
      <c r="B115" s="3" t="n">
        <v>4</v>
      </c>
      <c r="C115" s="3" t="n">
        <v>23</v>
      </c>
      <c r="D115" s="3" t="s">
        <v>119</v>
      </c>
      <c r="E115" s="4" t="n">
        <v>0</v>
      </c>
    </row>
    <row r="116" customFormat="false" ht="15" hidden="false" customHeight="false" outlineLevel="0" collapsed="false">
      <c r="A116" s="3" t="n">
        <v>2012</v>
      </c>
      <c r="B116" s="3" t="n">
        <v>4</v>
      </c>
      <c r="C116" s="3" t="n">
        <v>24</v>
      </c>
      <c r="D116" s="3" t="s">
        <v>120</v>
      </c>
      <c r="E116" s="4" t="n">
        <v>8</v>
      </c>
    </row>
    <row r="117" customFormat="false" ht="15" hidden="false" customHeight="false" outlineLevel="0" collapsed="false">
      <c r="A117" s="3" t="n">
        <v>2012</v>
      </c>
      <c r="B117" s="3" t="n">
        <v>4</v>
      </c>
      <c r="C117" s="3" t="n">
        <v>25</v>
      </c>
      <c r="D117" s="3" t="s">
        <v>121</v>
      </c>
      <c r="E117" s="4" t="n">
        <v>0</v>
      </c>
    </row>
    <row r="118" customFormat="false" ht="15" hidden="false" customHeight="false" outlineLevel="0" collapsed="false">
      <c r="A118" s="3" t="n">
        <v>2012</v>
      </c>
      <c r="B118" s="3" t="n">
        <v>4</v>
      </c>
      <c r="C118" s="3" t="n">
        <v>26</v>
      </c>
      <c r="D118" s="3" t="s">
        <v>122</v>
      </c>
      <c r="E118" s="4" t="n">
        <v>0</v>
      </c>
    </row>
    <row r="119" customFormat="false" ht="15" hidden="false" customHeight="false" outlineLevel="0" collapsed="false">
      <c r="A119" s="3" t="n">
        <v>2012</v>
      </c>
      <c r="B119" s="3" t="n">
        <v>4</v>
      </c>
      <c r="C119" s="3" t="n">
        <v>27</v>
      </c>
      <c r="D119" s="3" t="s">
        <v>123</v>
      </c>
      <c r="E119" s="4" t="n">
        <v>0</v>
      </c>
    </row>
    <row r="120" customFormat="false" ht="15" hidden="false" customHeight="false" outlineLevel="0" collapsed="false">
      <c r="A120" s="3" t="n">
        <v>2012</v>
      </c>
      <c r="B120" s="3" t="n">
        <v>4</v>
      </c>
      <c r="C120" s="3" t="n">
        <v>28</v>
      </c>
      <c r="D120" s="3" t="s">
        <v>124</v>
      </c>
      <c r="E120" s="4" t="n">
        <v>0</v>
      </c>
    </row>
    <row r="121" customFormat="false" ht="15" hidden="false" customHeight="false" outlineLevel="0" collapsed="false">
      <c r="A121" s="3" t="n">
        <v>2012</v>
      </c>
      <c r="B121" s="3" t="n">
        <v>4</v>
      </c>
      <c r="C121" s="3" t="n">
        <v>29</v>
      </c>
      <c r="D121" s="3" t="s">
        <v>125</v>
      </c>
      <c r="E121" s="4" t="n">
        <v>20</v>
      </c>
    </row>
    <row r="122" customFormat="false" ht="15" hidden="false" customHeight="false" outlineLevel="0" collapsed="false">
      <c r="A122" s="3" t="n">
        <v>2012</v>
      </c>
      <c r="B122" s="3" t="n">
        <v>4</v>
      </c>
      <c r="C122" s="3" t="n">
        <v>30</v>
      </c>
      <c r="D122" s="3" t="s">
        <v>126</v>
      </c>
      <c r="E122" s="4" t="n">
        <v>16</v>
      </c>
    </row>
    <row r="123" customFormat="false" ht="15" hidden="false" customHeight="false" outlineLevel="0" collapsed="false">
      <c r="A123" s="3" t="n">
        <v>2012</v>
      </c>
      <c r="B123" s="3" t="n">
        <v>5</v>
      </c>
      <c r="C123" s="3" t="n">
        <v>1</v>
      </c>
      <c r="D123" s="3" t="s">
        <v>127</v>
      </c>
      <c r="E123" s="4" t="n">
        <v>10</v>
      </c>
    </row>
    <row r="124" customFormat="false" ht="15" hidden="false" customHeight="false" outlineLevel="0" collapsed="false">
      <c r="A124" s="3" t="n">
        <v>2012</v>
      </c>
      <c r="B124" s="3" t="n">
        <v>5</v>
      </c>
      <c r="C124" s="3" t="n">
        <v>2</v>
      </c>
      <c r="D124" s="3" t="s">
        <v>128</v>
      </c>
      <c r="E124" s="4" t="n">
        <v>0</v>
      </c>
    </row>
    <row r="125" customFormat="false" ht="15" hidden="false" customHeight="false" outlineLevel="0" collapsed="false">
      <c r="A125" s="3" t="n">
        <v>2012</v>
      </c>
      <c r="B125" s="3" t="n">
        <v>5</v>
      </c>
      <c r="C125" s="3" t="n">
        <v>3</v>
      </c>
      <c r="D125" s="3" t="s">
        <v>129</v>
      </c>
      <c r="E125" s="4" t="n">
        <v>0</v>
      </c>
    </row>
    <row r="126" customFormat="false" ht="15" hidden="false" customHeight="false" outlineLevel="0" collapsed="false">
      <c r="A126" s="3" t="n">
        <v>2012</v>
      </c>
      <c r="B126" s="3" t="n">
        <v>5</v>
      </c>
      <c r="C126" s="3" t="n">
        <v>4</v>
      </c>
      <c r="D126" s="3" t="s">
        <v>130</v>
      </c>
      <c r="E126" s="4" t="n">
        <v>5</v>
      </c>
    </row>
    <row r="127" customFormat="false" ht="15" hidden="false" customHeight="false" outlineLevel="0" collapsed="false">
      <c r="A127" s="3" t="n">
        <v>2012</v>
      </c>
      <c r="B127" s="3" t="n">
        <v>5</v>
      </c>
      <c r="C127" s="3" t="n">
        <v>5</v>
      </c>
      <c r="D127" s="3" t="s">
        <v>131</v>
      </c>
      <c r="E127" s="4" t="n">
        <v>0</v>
      </c>
    </row>
    <row r="128" customFormat="false" ht="15" hidden="false" customHeight="false" outlineLevel="0" collapsed="false">
      <c r="A128" s="3" t="n">
        <v>2012</v>
      </c>
      <c r="B128" s="3" t="n">
        <v>5</v>
      </c>
      <c r="C128" s="3" t="n">
        <v>6</v>
      </c>
      <c r="D128" s="3" t="s">
        <v>132</v>
      </c>
      <c r="E128" s="4" t="n">
        <v>0</v>
      </c>
    </row>
    <row r="129" customFormat="false" ht="15" hidden="false" customHeight="false" outlineLevel="0" collapsed="false">
      <c r="A129" s="3" t="n">
        <v>2012</v>
      </c>
      <c r="B129" s="3" t="n">
        <v>5</v>
      </c>
      <c r="C129" s="3" t="n">
        <v>7</v>
      </c>
      <c r="D129" s="3" t="s">
        <v>133</v>
      </c>
      <c r="E129" s="4" t="n">
        <v>0</v>
      </c>
    </row>
    <row r="130" customFormat="false" ht="15" hidden="false" customHeight="false" outlineLevel="0" collapsed="false">
      <c r="A130" s="3" t="n">
        <v>2012</v>
      </c>
      <c r="B130" s="3" t="n">
        <v>5</v>
      </c>
      <c r="C130" s="3" t="n">
        <v>8</v>
      </c>
      <c r="D130" s="3" t="s">
        <v>134</v>
      </c>
      <c r="E130" s="4" t="n">
        <v>3</v>
      </c>
    </row>
    <row r="131" customFormat="false" ht="15" hidden="false" customHeight="false" outlineLevel="0" collapsed="false">
      <c r="A131" s="3" t="n">
        <v>2012</v>
      </c>
      <c r="B131" s="3" t="n">
        <v>5</v>
      </c>
      <c r="C131" s="3" t="n">
        <v>9</v>
      </c>
      <c r="D131" s="3" t="s">
        <v>135</v>
      </c>
      <c r="E131" s="4" t="n">
        <v>0</v>
      </c>
    </row>
    <row r="132" customFormat="false" ht="15" hidden="false" customHeight="false" outlineLevel="0" collapsed="false">
      <c r="A132" s="3" t="n">
        <v>2012</v>
      </c>
      <c r="B132" s="3" t="n">
        <v>5</v>
      </c>
      <c r="C132" s="3" t="n">
        <v>10</v>
      </c>
      <c r="D132" s="3" t="s">
        <v>136</v>
      </c>
      <c r="E132" s="4" t="n">
        <v>0</v>
      </c>
    </row>
    <row r="133" customFormat="false" ht="15" hidden="false" customHeight="false" outlineLevel="0" collapsed="false">
      <c r="A133" s="3" t="n">
        <v>2012</v>
      </c>
      <c r="B133" s="3" t="n">
        <v>5</v>
      </c>
      <c r="C133" s="3" t="n">
        <v>11</v>
      </c>
      <c r="D133" s="3" t="s">
        <v>137</v>
      </c>
      <c r="E133" s="4" t="n">
        <v>0</v>
      </c>
    </row>
    <row r="134" customFormat="false" ht="15" hidden="false" customHeight="false" outlineLevel="0" collapsed="false">
      <c r="A134" s="3" t="n">
        <v>2012</v>
      </c>
      <c r="B134" s="3" t="n">
        <v>5</v>
      </c>
      <c r="C134" s="3" t="n">
        <v>12</v>
      </c>
      <c r="D134" s="3" t="s">
        <v>138</v>
      </c>
      <c r="E134" s="4" t="n">
        <v>0</v>
      </c>
    </row>
    <row r="135" customFormat="false" ht="15" hidden="false" customHeight="false" outlineLevel="0" collapsed="false">
      <c r="A135" s="3" t="n">
        <v>2012</v>
      </c>
      <c r="B135" s="3" t="n">
        <v>5</v>
      </c>
      <c r="C135" s="3" t="n">
        <v>13</v>
      </c>
      <c r="D135" s="3" t="s">
        <v>139</v>
      </c>
      <c r="E135" s="4" t="n">
        <v>20</v>
      </c>
    </row>
    <row r="136" customFormat="false" ht="15" hidden="false" customHeight="false" outlineLevel="0" collapsed="false">
      <c r="A136" s="3" t="n">
        <v>2012</v>
      </c>
      <c r="B136" s="3" t="n">
        <v>5</v>
      </c>
      <c r="C136" s="3" t="n">
        <v>14</v>
      </c>
      <c r="D136" s="3" t="s">
        <v>140</v>
      </c>
      <c r="E136" s="4" t="n">
        <v>81</v>
      </c>
    </row>
    <row r="137" customFormat="false" ht="15" hidden="false" customHeight="false" outlineLevel="0" collapsed="false">
      <c r="A137" s="3" t="n">
        <v>2012</v>
      </c>
      <c r="B137" s="3" t="n">
        <v>5</v>
      </c>
      <c r="C137" s="3" t="n">
        <v>15</v>
      </c>
      <c r="D137" s="3" t="s">
        <v>141</v>
      </c>
      <c r="E137" s="4" t="n">
        <v>0</v>
      </c>
    </row>
    <row r="138" customFormat="false" ht="15" hidden="false" customHeight="false" outlineLevel="0" collapsed="false">
      <c r="A138" s="3" t="n">
        <v>2012</v>
      </c>
      <c r="B138" s="3" t="n">
        <v>5</v>
      </c>
      <c r="C138" s="3" t="n">
        <v>16</v>
      </c>
      <c r="D138" s="3" t="s">
        <v>142</v>
      </c>
      <c r="E138" s="4" t="n">
        <v>0</v>
      </c>
    </row>
    <row r="139" customFormat="false" ht="15" hidden="false" customHeight="false" outlineLevel="0" collapsed="false">
      <c r="A139" s="3" t="n">
        <v>2012</v>
      </c>
      <c r="B139" s="3" t="n">
        <v>5</v>
      </c>
      <c r="C139" s="3" t="n">
        <v>17</v>
      </c>
      <c r="D139" s="3" t="s">
        <v>143</v>
      </c>
      <c r="E139" s="4" t="n">
        <v>0</v>
      </c>
    </row>
    <row r="140" customFormat="false" ht="15" hidden="false" customHeight="false" outlineLevel="0" collapsed="false">
      <c r="A140" s="3" t="n">
        <v>2012</v>
      </c>
      <c r="B140" s="3" t="n">
        <v>5</v>
      </c>
      <c r="C140" s="3" t="n">
        <v>18</v>
      </c>
      <c r="D140" s="3" t="s">
        <v>144</v>
      </c>
      <c r="E140" s="4" t="n">
        <v>0</v>
      </c>
    </row>
    <row r="141" customFormat="false" ht="15" hidden="false" customHeight="false" outlineLevel="0" collapsed="false">
      <c r="A141" s="3" t="n">
        <v>2012</v>
      </c>
      <c r="B141" s="3" t="n">
        <v>5</v>
      </c>
      <c r="C141" s="3" t="n">
        <v>19</v>
      </c>
      <c r="D141" s="3" t="s">
        <v>145</v>
      </c>
      <c r="E141" s="4" t="n">
        <v>21</v>
      </c>
    </row>
    <row r="142" customFormat="false" ht="15" hidden="false" customHeight="false" outlineLevel="0" collapsed="false">
      <c r="A142" s="3" t="n">
        <v>2012</v>
      </c>
      <c r="B142" s="3" t="n">
        <v>5</v>
      </c>
      <c r="C142" s="3" t="n">
        <v>20</v>
      </c>
      <c r="D142" s="3" t="s">
        <v>146</v>
      </c>
      <c r="E142" s="4" t="n">
        <v>41</v>
      </c>
    </row>
    <row r="143" customFormat="false" ht="15" hidden="false" customHeight="false" outlineLevel="0" collapsed="false">
      <c r="A143" s="3" t="n">
        <v>2012</v>
      </c>
      <c r="B143" s="3" t="n">
        <v>5</v>
      </c>
      <c r="C143" s="3" t="n">
        <v>21</v>
      </c>
      <c r="D143" s="3" t="s">
        <v>147</v>
      </c>
      <c r="E143" s="4" t="n">
        <v>0</v>
      </c>
    </row>
    <row r="144" customFormat="false" ht="15" hidden="false" customHeight="false" outlineLevel="0" collapsed="false">
      <c r="A144" s="3" t="n">
        <v>2012</v>
      </c>
      <c r="B144" s="3" t="n">
        <v>5</v>
      </c>
      <c r="C144" s="3" t="n">
        <v>22</v>
      </c>
      <c r="D144" s="3" t="s">
        <v>148</v>
      </c>
      <c r="E144" s="4" t="n">
        <v>0</v>
      </c>
    </row>
    <row r="145" customFormat="false" ht="15" hidden="false" customHeight="false" outlineLevel="0" collapsed="false">
      <c r="A145" s="3" t="n">
        <v>2012</v>
      </c>
      <c r="B145" s="3" t="n">
        <v>5</v>
      </c>
      <c r="C145" s="3" t="n">
        <v>23</v>
      </c>
      <c r="D145" s="3" t="s">
        <v>149</v>
      </c>
      <c r="E145" s="4" t="n">
        <v>15</v>
      </c>
    </row>
    <row r="146" customFormat="false" ht="15" hidden="false" customHeight="false" outlineLevel="0" collapsed="false">
      <c r="A146" s="3" t="n">
        <v>2012</v>
      </c>
      <c r="B146" s="3" t="n">
        <v>5</v>
      </c>
      <c r="C146" s="3" t="n">
        <v>24</v>
      </c>
      <c r="D146" s="3" t="s">
        <v>150</v>
      </c>
      <c r="E146" s="4" t="n">
        <v>0</v>
      </c>
    </row>
    <row r="147" customFormat="false" ht="15" hidden="false" customHeight="false" outlineLevel="0" collapsed="false">
      <c r="A147" s="3" t="n">
        <v>2012</v>
      </c>
      <c r="B147" s="3" t="n">
        <v>5</v>
      </c>
      <c r="C147" s="3" t="n">
        <v>25</v>
      </c>
      <c r="D147" s="3" t="s">
        <v>151</v>
      </c>
      <c r="E147" s="4" t="n">
        <v>0</v>
      </c>
    </row>
    <row r="148" customFormat="false" ht="15" hidden="false" customHeight="false" outlineLevel="0" collapsed="false">
      <c r="A148" s="3" t="n">
        <v>2012</v>
      </c>
      <c r="B148" s="3" t="n">
        <v>5</v>
      </c>
      <c r="C148" s="3" t="n">
        <v>26</v>
      </c>
      <c r="D148" s="3" t="s">
        <v>152</v>
      </c>
      <c r="E148" s="4" t="n">
        <v>0</v>
      </c>
    </row>
    <row r="149" customFormat="false" ht="15" hidden="false" customHeight="false" outlineLevel="0" collapsed="false">
      <c r="A149" s="3" t="n">
        <v>2012</v>
      </c>
      <c r="B149" s="3" t="n">
        <v>5</v>
      </c>
      <c r="C149" s="3" t="n">
        <v>27</v>
      </c>
      <c r="D149" s="3" t="s">
        <v>153</v>
      </c>
      <c r="E149" s="4" t="n">
        <v>30</v>
      </c>
    </row>
    <row r="150" customFormat="false" ht="15" hidden="false" customHeight="false" outlineLevel="0" collapsed="false">
      <c r="A150" s="3" t="n">
        <v>2012</v>
      </c>
      <c r="B150" s="3" t="n">
        <v>5</v>
      </c>
      <c r="C150" s="3" t="n">
        <v>28</v>
      </c>
      <c r="D150" s="3" t="s">
        <v>154</v>
      </c>
      <c r="E150" s="4" t="n">
        <v>40</v>
      </c>
    </row>
    <row r="151" customFormat="false" ht="15" hidden="false" customHeight="false" outlineLevel="0" collapsed="false">
      <c r="A151" s="3" t="n">
        <v>2012</v>
      </c>
      <c r="B151" s="3" t="n">
        <v>5</v>
      </c>
      <c r="C151" s="3" t="n">
        <v>29</v>
      </c>
      <c r="D151" s="3" t="s">
        <v>155</v>
      </c>
      <c r="E151" s="4" t="n">
        <v>13</v>
      </c>
    </row>
    <row r="152" customFormat="false" ht="15" hidden="false" customHeight="false" outlineLevel="0" collapsed="false">
      <c r="A152" s="3" t="n">
        <v>2012</v>
      </c>
      <c r="B152" s="3" t="n">
        <v>5</v>
      </c>
      <c r="C152" s="3" t="n">
        <v>30</v>
      </c>
      <c r="D152" s="3" t="s">
        <v>156</v>
      </c>
      <c r="E152" s="4" t="n">
        <v>30</v>
      </c>
    </row>
    <row r="153" customFormat="false" ht="15" hidden="false" customHeight="false" outlineLevel="0" collapsed="false">
      <c r="A153" s="3" t="n">
        <v>2012</v>
      </c>
      <c r="B153" s="3" t="n">
        <v>5</v>
      </c>
      <c r="C153" s="3" t="n">
        <v>31</v>
      </c>
      <c r="D153" s="3" t="s">
        <v>157</v>
      </c>
      <c r="E153" s="4" t="n">
        <v>10</v>
      </c>
    </row>
    <row r="154" customFormat="false" ht="15" hidden="false" customHeight="false" outlineLevel="0" collapsed="false">
      <c r="A154" s="3" t="n">
        <v>2012</v>
      </c>
      <c r="B154" s="3" t="n">
        <v>6</v>
      </c>
      <c r="C154" s="3" t="n">
        <v>1</v>
      </c>
      <c r="D154" s="3" t="s">
        <v>158</v>
      </c>
      <c r="E154" s="4" t="n">
        <v>15</v>
      </c>
    </row>
    <row r="155" customFormat="false" ht="15" hidden="false" customHeight="false" outlineLevel="0" collapsed="false">
      <c r="A155" s="3" t="n">
        <v>2012</v>
      </c>
      <c r="B155" s="3" t="n">
        <v>6</v>
      </c>
      <c r="C155" s="3" t="n">
        <v>2</v>
      </c>
      <c r="D155" s="3" t="s">
        <v>159</v>
      </c>
      <c r="E155" s="4" t="n">
        <v>0</v>
      </c>
    </row>
    <row r="156" customFormat="false" ht="15" hidden="false" customHeight="false" outlineLevel="0" collapsed="false">
      <c r="A156" s="3" t="n">
        <v>2012</v>
      </c>
      <c r="B156" s="3" t="n">
        <v>6</v>
      </c>
      <c r="C156" s="3" t="n">
        <v>3</v>
      </c>
      <c r="D156" s="3" t="s">
        <v>160</v>
      </c>
      <c r="E156" s="4" t="n">
        <v>0</v>
      </c>
    </row>
    <row r="157" customFormat="false" ht="15" hidden="false" customHeight="false" outlineLevel="0" collapsed="false">
      <c r="A157" s="3" t="n">
        <v>2012</v>
      </c>
      <c r="B157" s="3" t="n">
        <v>6</v>
      </c>
      <c r="C157" s="3" t="n">
        <v>4</v>
      </c>
      <c r="D157" s="3" t="s">
        <v>161</v>
      </c>
      <c r="E157" s="4" t="n">
        <v>0</v>
      </c>
    </row>
    <row r="158" customFormat="false" ht="15" hidden="false" customHeight="false" outlineLevel="0" collapsed="false">
      <c r="A158" s="3" t="n">
        <v>2012</v>
      </c>
      <c r="B158" s="3" t="n">
        <v>6</v>
      </c>
      <c r="C158" s="3" t="n">
        <v>5</v>
      </c>
      <c r="D158" s="3" t="s">
        <v>162</v>
      </c>
      <c r="E158" s="4" t="n">
        <v>20</v>
      </c>
    </row>
    <row r="159" customFormat="false" ht="15" hidden="false" customHeight="false" outlineLevel="0" collapsed="false">
      <c r="A159" s="3" t="n">
        <v>2012</v>
      </c>
      <c r="B159" s="3" t="n">
        <v>6</v>
      </c>
      <c r="C159" s="3" t="n">
        <v>6</v>
      </c>
      <c r="D159" s="3" t="s">
        <v>163</v>
      </c>
      <c r="E159" s="4" t="n">
        <v>0</v>
      </c>
    </row>
    <row r="160" customFormat="false" ht="15" hidden="false" customHeight="false" outlineLevel="0" collapsed="false">
      <c r="A160" s="3" t="n">
        <v>2012</v>
      </c>
      <c r="B160" s="3" t="n">
        <v>6</v>
      </c>
      <c r="C160" s="3" t="n">
        <v>7</v>
      </c>
      <c r="D160" s="3" t="s">
        <v>164</v>
      </c>
      <c r="E160" s="4" t="n">
        <v>0</v>
      </c>
    </row>
    <row r="161" customFormat="false" ht="15" hidden="false" customHeight="false" outlineLevel="0" collapsed="false">
      <c r="A161" s="3" t="n">
        <v>2012</v>
      </c>
      <c r="B161" s="3" t="n">
        <v>6</v>
      </c>
      <c r="C161" s="3" t="n">
        <v>8</v>
      </c>
      <c r="D161" s="3" t="s">
        <v>165</v>
      </c>
      <c r="E161" s="4" t="n">
        <v>20</v>
      </c>
    </row>
    <row r="162" customFormat="false" ht="15" hidden="false" customHeight="false" outlineLevel="0" collapsed="false">
      <c r="A162" s="3" t="n">
        <v>2012</v>
      </c>
      <c r="B162" s="3" t="n">
        <v>6</v>
      </c>
      <c r="C162" s="3" t="n">
        <v>9</v>
      </c>
      <c r="D162" s="3" t="s">
        <v>166</v>
      </c>
      <c r="E162" s="4" t="n">
        <v>41</v>
      </c>
    </row>
    <row r="163" customFormat="false" ht="15" hidden="false" customHeight="false" outlineLevel="0" collapsed="false">
      <c r="A163" s="3" t="n">
        <v>2012</v>
      </c>
      <c r="B163" s="3" t="n">
        <v>6</v>
      </c>
      <c r="C163" s="3" t="n">
        <v>10</v>
      </c>
      <c r="D163" s="3" t="s">
        <v>167</v>
      </c>
      <c r="E163" s="4" t="n">
        <v>0</v>
      </c>
    </row>
    <row r="164" customFormat="false" ht="15" hidden="false" customHeight="false" outlineLevel="0" collapsed="false">
      <c r="A164" s="3" t="n">
        <v>2012</v>
      </c>
      <c r="B164" s="3" t="n">
        <v>6</v>
      </c>
      <c r="C164" s="3" t="n">
        <v>11</v>
      </c>
      <c r="D164" s="3" t="s">
        <v>168</v>
      </c>
      <c r="E164" s="4" t="n">
        <v>0</v>
      </c>
    </row>
    <row r="165" customFormat="false" ht="15" hidden="false" customHeight="false" outlineLevel="0" collapsed="false">
      <c r="A165" s="3" t="n">
        <v>2012</v>
      </c>
      <c r="B165" s="3" t="n">
        <v>6</v>
      </c>
      <c r="C165" s="3" t="n">
        <v>12</v>
      </c>
      <c r="D165" s="3" t="s">
        <v>169</v>
      </c>
      <c r="E165" s="4" t="n">
        <v>0</v>
      </c>
    </row>
    <row r="166" customFormat="false" ht="15" hidden="false" customHeight="false" outlineLevel="0" collapsed="false">
      <c r="A166" s="3" t="n">
        <v>2012</v>
      </c>
      <c r="B166" s="3" t="n">
        <v>6</v>
      </c>
      <c r="C166" s="3" t="n">
        <v>13</v>
      </c>
      <c r="D166" s="3" t="s">
        <v>170</v>
      </c>
      <c r="E166" s="4" t="n">
        <v>0</v>
      </c>
    </row>
    <row r="167" customFormat="false" ht="15" hidden="false" customHeight="false" outlineLevel="0" collapsed="false">
      <c r="A167" s="3" t="n">
        <v>2012</v>
      </c>
      <c r="B167" s="3" t="n">
        <v>6</v>
      </c>
      <c r="C167" s="3" t="n">
        <v>14</v>
      </c>
      <c r="D167" s="3" t="s">
        <v>171</v>
      </c>
      <c r="E167" s="4" t="n">
        <v>0</v>
      </c>
    </row>
    <row r="168" customFormat="false" ht="15" hidden="false" customHeight="false" outlineLevel="0" collapsed="false">
      <c r="A168" s="3" t="n">
        <v>2012</v>
      </c>
      <c r="B168" s="3" t="n">
        <v>6</v>
      </c>
      <c r="C168" s="3" t="n">
        <v>15</v>
      </c>
      <c r="D168" s="3" t="s">
        <v>172</v>
      </c>
      <c r="E168" s="4" t="n">
        <v>0</v>
      </c>
    </row>
    <row r="169" customFormat="false" ht="15" hidden="false" customHeight="false" outlineLevel="0" collapsed="false">
      <c r="A169" s="3" t="n">
        <v>2012</v>
      </c>
      <c r="B169" s="3" t="n">
        <v>6</v>
      </c>
      <c r="C169" s="3" t="n">
        <v>16</v>
      </c>
      <c r="D169" s="3" t="s">
        <v>173</v>
      </c>
      <c r="E169" s="4" t="n">
        <v>0</v>
      </c>
    </row>
    <row r="170" customFormat="false" ht="15" hidden="false" customHeight="false" outlineLevel="0" collapsed="false">
      <c r="A170" s="3" t="n">
        <v>2012</v>
      </c>
      <c r="B170" s="3" t="n">
        <v>6</v>
      </c>
      <c r="C170" s="3" t="n">
        <v>17</v>
      </c>
      <c r="D170" s="3" t="s">
        <v>174</v>
      </c>
      <c r="E170" s="4" t="n">
        <v>0</v>
      </c>
    </row>
    <row r="171" customFormat="false" ht="15" hidden="false" customHeight="false" outlineLevel="0" collapsed="false">
      <c r="A171" s="3" t="n">
        <v>2012</v>
      </c>
      <c r="B171" s="3" t="n">
        <v>6</v>
      </c>
      <c r="C171" s="3" t="n">
        <v>18</v>
      </c>
      <c r="D171" s="3" t="s">
        <v>175</v>
      </c>
      <c r="E171" s="4" t="n">
        <v>0</v>
      </c>
    </row>
    <row r="172" customFormat="false" ht="15" hidden="false" customHeight="false" outlineLevel="0" collapsed="false">
      <c r="A172" s="3" t="n">
        <v>2012</v>
      </c>
      <c r="B172" s="3" t="n">
        <v>6</v>
      </c>
      <c r="C172" s="3" t="n">
        <v>19</v>
      </c>
      <c r="D172" s="3" t="s">
        <v>176</v>
      </c>
      <c r="E172" s="4" t="n">
        <v>0</v>
      </c>
    </row>
    <row r="173" customFormat="false" ht="15" hidden="false" customHeight="false" outlineLevel="0" collapsed="false">
      <c r="A173" s="3" t="n">
        <v>2012</v>
      </c>
      <c r="B173" s="3" t="n">
        <v>6</v>
      </c>
      <c r="C173" s="3" t="n">
        <v>20</v>
      </c>
      <c r="D173" s="3" t="s">
        <v>177</v>
      </c>
      <c r="E173" s="4" t="n">
        <v>0</v>
      </c>
    </row>
    <row r="174" customFormat="false" ht="15" hidden="false" customHeight="false" outlineLevel="0" collapsed="false">
      <c r="A174" s="3" t="n">
        <v>2012</v>
      </c>
      <c r="B174" s="3" t="n">
        <v>6</v>
      </c>
      <c r="C174" s="3" t="n">
        <v>21</v>
      </c>
      <c r="D174" s="3" t="s">
        <v>178</v>
      </c>
      <c r="E174" s="4" t="n">
        <v>0</v>
      </c>
    </row>
    <row r="175" customFormat="false" ht="15" hidden="false" customHeight="false" outlineLevel="0" collapsed="false">
      <c r="A175" s="3" t="n">
        <v>2012</v>
      </c>
      <c r="B175" s="3" t="n">
        <v>6</v>
      </c>
      <c r="C175" s="3" t="n">
        <v>22</v>
      </c>
      <c r="D175" s="3" t="s">
        <v>179</v>
      </c>
      <c r="E175" s="4" t="n">
        <v>0</v>
      </c>
    </row>
    <row r="176" customFormat="false" ht="15" hidden="false" customHeight="false" outlineLevel="0" collapsed="false">
      <c r="A176" s="3" t="n">
        <v>2012</v>
      </c>
      <c r="B176" s="3" t="n">
        <v>6</v>
      </c>
      <c r="C176" s="3" t="n">
        <v>23</v>
      </c>
      <c r="D176" s="3" t="s">
        <v>180</v>
      </c>
      <c r="E176" s="4" t="n">
        <v>0</v>
      </c>
    </row>
    <row r="177" customFormat="false" ht="15" hidden="false" customHeight="false" outlineLevel="0" collapsed="false">
      <c r="A177" s="3" t="n">
        <v>2012</v>
      </c>
      <c r="B177" s="3" t="n">
        <v>6</v>
      </c>
      <c r="C177" s="3" t="n">
        <v>24</v>
      </c>
      <c r="D177" s="3" t="s">
        <v>181</v>
      </c>
      <c r="E177" s="4" t="n">
        <v>0</v>
      </c>
    </row>
    <row r="178" customFormat="false" ht="15" hidden="false" customHeight="false" outlineLevel="0" collapsed="false">
      <c r="A178" s="3" t="n">
        <v>2012</v>
      </c>
      <c r="B178" s="3" t="n">
        <v>6</v>
      </c>
      <c r="C178" s="3" t="n">
        <v>25</v>
      </c>
      <c r="D178" s="3" t="s">
        <v>182</v>
      </c>
      <c r="E178" s="4" t="n">
        <v>0</v>
      </c>
    </row>
    <row r="179" customFormat="false" ht="15" hidden="false" customHeight="false" outlineLevel="0" collapsed="false">
      <c r="A179" s="3" t="n">
        <v>2012</v>
      </c>
      <c r="B179" s="3" t="n">
        <v>6</v>
      </c>
      <c r="C179" s="3" t="n">
        <v>26</v>
      </c>
      <c r="D179" s="3" t="s">
        <v>183</v>
      </c>
      <c r="E179" s="4" t="n">
        <v>0</v>
      </c>
    </row>
    <row r="180" customFormat="false" ht="15" hidden="false" customHeight="false" outlineLevel="0" collapsed="false">
      <c r="A180" s="3" t="n">
        <v>2012</v>
      </c>
      <c r="B180" s="3" t="n">
        <v>6</v>
      </c>
      <c r="C180" s="3" t="n">
        <v>27</v>
      </c>
      <c r="D180" s="3" t="s">
        <v>184</v>
      </c>
      <c r="E180" s="4" t="n">
        <v>0</v>
      </c>
    </row>
    <row r="181" customFormat="false" ht="15" hidden="false" customHeight="false" outlineLevel="0" collapsed="false">
      <c r="A181" s="3" t="n">
        <v>2012</v>
      </c>
      <c r="B181" s="3" t="n">
        <v>6</v>
      </c>
      <c r="C181" s="3" t="n">
        <v>28</v>
      </c>
      <c r="D181" s="3" t="s">
        <v>185</v>
      </c>
      <c r="E181" s="4" t="n">
        <v>0</v>
      </c>
    </row>
    <row r="182" customFormat="false" ht="15" hidden="false" customHeight="false" outlineLevel="0" collapsed="false">
      <c r="A182" s="3" t="n">
        <v>2012</v>
      </c>
      <c r="B182" s="3" t="n">
        <v>6</v>
      </c>
      <c r="C182" s="3" t="n">
        <v>29</v>
      </c>
      <c r="D182" s="3" t="s">
        <v>186</v>
      </c>
      <c r="E182" s="4" t="n">
        <v>11</v>
      </c>
    </row>
    <row r="183" customFormat="false" ht="15" hidden="false" customHeight="false" outlineLevel="0" collapsed="false">
      <c r="A183" s="3" t="n">
        <v>2012</v>
      </c>
      <c r="B183" s="3" t="n">
        <v>6</v>
      </c>
      <c r="C183" s="3" t="n">
        <v>30</v>
      </c>
      <c r="D183" s="3" t="s">
        <v>187</v>
      </c>
      <c r="E183" s="4" t="n">
        <v>0</v>
      </c>
    </row>
    <row r="184" customFormat="false" ht="15" hidden="false" customHeight="false" outlineLevel="0" collapsed="false">
      <c r="A184" s="3" t="n">
        <v>2012</v>
      </c>
      <c r="B184" s="3" t="n">
        <v>7</v>
      </c>
      <c r="C184" s="3" t="n">
        <v>1</v>
      </c>
      <c r="D184" s="3" t="s">
        <v>188</v>
      </c>
      <c r="E184" s="4" t="n">
        <v>0</v>
      </c>
    </row>
    <row r="185" customFormat="false" ht="15" hidden="false" customHeight="false" outlineLevel="0" collapsed="false">
      <c r="A185" s="3" t="n">
        <v>2012</v>
      </c>
      <c r="B185" s="3" t="n">
        <v>7</v>
      </c>
      <c r="C185" s="3" t="n">
        <v>2</v>
      </c>
      <c r="D185" s="3" t="s">
        <v>189</v>
      </c>
      <c r="E185" s="4" t="n">
        <v>10</v>
      </c>
    </row>
    <row r="186" customFormat="false" ht="15" hidden="false" customHeight="false" outlineLevel="0" collapsed="false">
      <c r="A186" s="3" t="n">
        <v>2012</v>
      </c>
      <c r="B186" s="3" t="n">
        <v>7</v>
      </c>
      <c r="C186" s="3" t="n">
        <v>3</v>
      </c>
      <c r="D186" s="3" t="s">
        <v>190</v>
      </c>
      <c r="E186" s="4" t="n">
        <v>0</v>
      </c>
    </row>
    <row r="187" customFormat="false" ht="15" hidden="false" customHeight="false" outlineLevel="0" collapsed="false">
      <c r="A187" s="3" t="n">
        <v>2012</v>
      </c>
      <c r="B187" s="3" t="n">
        <v>7</v>
      </c>
      <c r="C187" s="3" t="n">
        <v>4</v>
      </c>
      <c r="D187" s="3" t="s">
        <v>191</v>
      </c>
      <c r="E187" s="4" t="n">
        <v>0</v>
      </c>
    </row>
    <row r="188" customFormat="false" ht="15" hidden="false" customHeight="false" outlineLevel="0" collapsed="false">
      <c r="A188" s="3" t="n">
        <v>2012</v>
      </c>
      <c r="B188" s="3" t="n">
        <v>7</v>
      </c>
      <c r="C188" s="3" t="n">
        <v>5</v>
      </c>
      <c r="D188" s="3" t="s">
        <v>192</v>
      </c>
      <c r="E188" s="4" t="n">
        <v>0</v>
      </c>
    </row>
    <row r="189" customFormat="false" ht="15" hidden="false" customHeight="false" outlineLevel="0" collapsed="false">
      <c r="A189" s="3" t="n">
        <v>2012</v>
      </c>
      <c r="B189" s="3" t="n">
        <v>7</v>
      </c>
      <c r="C189" s="3" t="n">
        <v>6</v>
      </c>
      <c r="D189" s="3" t="s">
        <v>193</v>
      </c>
      <c r="E189" s="4" t="n">
        <v>6</v>
      </c>
    </row>
    <row r="190" customFormat="false" ht="15" hidden="false" customHeight="false" outlineLevel="0" collapsed="false">
      <c r="A190" s="3" t="n">
        <v>2012</v>
      </c>
      <c r="B190" s="3" t="n">
        <v>7</v>
      </c>
      <c r="C190" s="3" t="n">
        <v>7</v>
      </c>
      <c r="D190" s="3" t="s">
        <v>194</v>
      </c>
      <c r="E190" s="4" t="n">
        <v>0</v>
      </c>
    </row>
    <row r="191" customFormat="false" ht="15" hidden="false" customHeight="false" outlineLevel="0" collapsed="false">
      <c r="A191" s="3" t="n">
        <v>2012</v>
      </c>
      <c r="B191" s="3" t="n">
        <v>7</v>
      </c>
      <c r="C191" s="3" t="n">
        <v>8</v>
      </c>
      <c r="D191" s="3" t="s">
        <v>195</v>
      </c>
      <c r="E191" s="4" t="n">
        <v>0</v>
      </c>
    </row>
    <row r="192" customFormat="false" ht="15" hidden="false" customHeight="false" outlineLevel="0" collapsed="false">
      <c r="A192" s="3" t="n">
        <v>2012</v>
      </c>
      <c r="B192" s="3" t="n">
        <v>7</v>
      </c>
      <c r="C192" s="3" t="n">
        <v>9</v>
      </c>
      <c r="D192" s="3" t="s">
        <v>196</v>
      </c>
      <c r="E192" s="4" t="n">
        <v>0</v>
      </c>
    </row>
    <row r="193" customFormat="false" ht="15" hidden="false" customHeight="false" outlineLevel="0" collapsed="false">
      <c r="A193" s="3" t="n">
        <v>2012</v>
      </c>
      <c r="B193" s="3" t="n">
        <v>7</v>
      </c>
      <c r="C193" s="3" t="n">
        <v>10</v>
      </c>
      <c r="D193" s="3" t="s">
        <v>197</v>
      </c>
      <c r="E193" s="4" t="n">
        <v>6</v>
      </c>
    </row>
    <row r="194" customFormat="false" ht="15" hidden="false" customHeight="false" outlineLevel="0" collapsed="false">
      <c r="A194" s="3" t="n">
        <v>2012</v>
      </c>
      <c r="B194" s="3" t="n">
        <v>7</v>
      </c>
      <c r="C194" s="3" t="n">
        <v>11</v>
      </c>
      <c r="D194" s="3" t="s">
        <v>198</v>
      </c>
      <c r="E194" s="4" t="n">
        <v>0</v>
      </c>
    </row>
    <row r="195" customFormat="false" ht="15" hidden="false" customHeight="false" outlineLevel="0" collapsed="false">
      <c r="A195" s="3" t="n">
        <v>2012</v>
      </c>
      <c r="B195" s="3" t="n">
        <v>7</v>
      </c>
      <c r="C195" s="3" t="n">
        <v>12</v>
      </c>
      <c r="D195" s="3" t="s">
        <v>199</v>
      </c>
      <c r="E195" s="4" t="n">
        <v>10</v>
      </c>
    </row>
    <row r="196" customFormat="false" ht="15" hidden="false" customHeight="false" outlineLevel="0" collapsed="false">
      <c r="A196" s="3" t="n">
        <v>2012</v>
      </c>
      <c r="B196" s="3" t="n">
        <v>7</v>
      </c>
      <c r="C196" s="3" t="n">
        <v>13</v>
      </c>
      <c r="D196" s="3" t="s">
        <v>200</v>
      </c>
      <c r="E196" s="4" t="n">
        <v>30</v>
      </c>
    </row>
    <row r="197" customFormat="false" ht="15" hidden="false" customHeight="false" outlineLevel="0" collapsed="false">
      <c r="A197" s="3" t="n">
        <v>2012</v>
      </c>
      <c r="B197" s="3" t="n">
        <v>7</v>
      </c>
      <c r="C197" s="3" t="n">
        <v>14</v>
      </c>
      <c r="D197" s="3" t="s">
        <v>201</v>
      </c>
      <c r="E197" s="4" t="n">
        <v>50</v>
      </c>
    </row>
    <row r="198" customFormat="false" ht="15" hidden="false" customHeight="false" outlineLevel="0" collapsed="false">
      <c r="A198" s="3" t="n">
        <v>2012</v>
      </c>
      <c r="B198" s="3" t="n">
        <v>7</v>
      </c>
      <c r="C198" s="3" t="n">
        <v>15</v>
      </c>
      <c r="D198" s="3" t="s">
        <v>202</v>
      </c>
      <c r="E198" s="4" t="n">
        <v>0</v>
      </c>
    </row>
    <row r="199" customFormat="false" ht="15" hidden="false" customHeight="false" outlineLevel="0" collapsed="false">
      <c r="A199" s="3" t="n">
        <v>2012</v>
      </c>
      <c r="B199" s="3" t="n">
        <v>7</v>
      </c>
      <c r="C199" s="3" t="n">
        <v>16</v>
      </c>
      <c r="D199" s="3" t="s">
        <v>203</v>
      </c>
      <c r="E199" s="4" t="n">
        <v>10</v>
      </c>
    </row>
    <row r="200" customFormat="false" ht="15" hidden="false" customHeight="false" outlineLevel="0" collapsed="false">
      <c r="A200" s="3" t="n">
        <v>2012</v>
      </c>
      <c r="B200" s="3" t="n">
        <v>7</v>
      </c>
      <c r="C200" s="3" t="n">
        <v>17</v>
      </c>
      <c r="D200" s="3" t="s">
        <v>204</v>
      </c>
      <c r="E200" s="4" t="n">
        <v>11</v>
      </c>
    </row>
    <row r="201" customFormat="false" ht="15" hidden="false" customHeight="false" outlineLevel="0" collapsed="false">
      <c r="A201" s="3" t="n">
        <v>2012</v>
      </c>
      <c r="B201" s="3" t="n">
        <v>7</v>
      </c>
      <c r="C201" s="3" t="n">
        <v>18</v>
      </c>
      <c r="D201" s="3" t="s">
        <v>205</v>
      </c>
      <c r="E201" s="4" t="n">
        <v>0</v>
      </c>
    </row>
    <row r="202" customFormat="false" ht="15" hidden="false" customHeight="false" outlineLevel="0" collapsed="false">
      <c r="A202" s="3" t="n">
        <v>2012</v>
      </c>
      <c r="B202" s="3" t="n">
        <v>7</v>
      </c>
      <c r="C202" s="3" t="n">
        <v>19</v>
      </c>
      <c r="D202" s="3" t="s">
        <v>206</v>
      </c>
      <c r="E202" s="4" t="n">
        <v>0</v>
      </c>
    </row>
    <row r="203" customFormat="false" ht="15" hidden="false" customHeight="false" outlineLevel="0" collapsed="false">
      <c r="A203" s="3" t="n">
        <v>2012</v>
      </c>
      <c r="B203" s="3" t="n">
        <v>7</v>
      </c>
      <c r="C203" s="3" t="n">
        <v>20</v>
      </c>
      <c r="D203" s="3" t="s">
        <v>207</v>
      </c>
      <c r="E203" s="4" t="n">
        <v>0</v>
      </c>
    </row>
    <row r="204" customFormat="false" ht="15" hidden="false" customHeight="false" outlineLevel="0" collapsed="false">
      <c r="A204" s="3" t="n">
        <v>2012</v>
      </c>
      <c r="B204" s="3" t="n">
        <v>7</v>
      </c>
      <c r="C204" s="3" t="n">
        <v>21</v>
      </c>
      <c r="D204" s="3" t="s">
        <v>208</v>
      </c>
      <c r="E204" s="4" t="n">
        <v>0</v>
      </c>
    </row>
    <row r="205" customFormat="false" ht="15" hidden="false" customHeight="false" outlineLevel="0" collapsed="false">
      <c r="A205" s="3" t="n">
        <v>2012</v>
      </c>
      <c r="B205" s="3" t="n">
        <v>7</v>
      </c>
      <c r="C205" s="3" t="n">
        <v>22</v>
      </c>
      <c r="D205" s="3" t="s">
        <v>209</v>
      </c>
      <c r="E205" s="4" t="n">
        <v>0</v>
      </c>
    </row>
    <row r="206" customFormat="false" ht="15" hidden="false" customHeight="false" outlineLevel="0" collapsed="false">
      <c r="A206" s="3" t="n">
        <v>2012</v>
      </c>
      <c r="B206" s="3" t="n">
        <v>7</v>
      </c>
      <c r="C206" s="3" t="n">
        <v>23</v>
      </c>
      <c r="D206" s="3" t="s">
        <v>210</v>
      </c>
      <c r="E206" s="4" t="n">
        <v>0</v>
      </c>
    </row>
    <row r="207" customFormat="false" ht="15" hidden="false" customHeight="false" outlineLevel="0" collapsed="false">
      <c r="A207" s="3" t="n">
        <v>2012</v>
      </c>
      <c r="B207" s="3" t="n">
        <v>7</v>
      </c>
      <c r="C207" s="3" t="n">
        <v>24</v>
      </c>
      <c r="D207" s="3" t="s">
        <v>211</v>
      </c>
      <c r="E207" s="4" t="n">
        <v>0</v>
      </c>
    </row>
    <row r="208" customFormat="false" ht="15" hidden="false" customHeight="false" outlineLevel="0" collapsed="false">
      <c r="A208" s="3" t="n">
        <v>2012</v>
      </c>
      <c r="B208" s="3" t="n">
        <v>7</v>
      </c>
      <c r="C208" s="3" t="n">
        <v>25</v>
      </c>
      <c r="D208" s="3" t="s">
        <v>212</v>
      </c>
      <c r="E208" s="4" t="n">
        <v>0</v>
      </c>
    </row>
    <row r="209" customFormat="false" ht="15" hidden="false" customHeight="false" outlineLevel="0" collapsed="false">
      <c r="A209" s="3" t="n">
        <v>2012</v>
      </c>
      <c r="B209" s="3" t="n">
        <v>7</v>
      </c>
      <c r="C209" s="3" t="n">
        <v>26</v>
      </c>
      <c r="D209" s="3" t="s">
        <v>213</v>
      </c>
      <c r="E209" s="4" t="n">
        <v>0</v>
      </c>
    </row>
    <row r="210" customFormat="false" ht="15" hidden="false" customHeight="false" outlineLevel="0" collapsed="false">
      <c r="A210" s="3" t="n">
        <v>2012</v>
      </c>
      <c r="B210" s="3" t="n">
        <v>7</v>
      </c>
      <c r="C210" s="3" t="n">
        <v>27</v>
      </c>
      <c r="D210" s="3" t="s">
        <v>214</v>
      </c>
      <c r="E210" s="4" t="n">
        <v>0</v>
      </c>
    </row>
    <row r="211" customFormat="false" ht="15" hidden="false" customHeight="false" outlineLevel="0" collapsed="false">
      <c r="A211" s="3" t="n">
        <v>2012</v>
      </c>
      <c r="B211" s="3" t="n">
        <v>7</v>
      </c>
      <c r="C211" s="3" t="n">
        <v>28</v>
      </c>
      <c r="D211" s="3" t="s">
        <v>215</v>
      </c>
      <c r="E211" s="4" t="n">
        <v>0</v>
      </c>
    </row>
    <row r="212" customFormat="false" ht="15" hidden="false" customHeight="false" outlineLevel="0" collapsed="false">
      <c r="A212" s="3" t="n">
        <v>2012</v>
      </c>
      <c r="B212" s="3" t="n">
        <v>7</v>
      </c>
      <c r="C212" s="3" t="n">
        <v>29</v>
      </c>
      <c r="D212" s="3" t="s">
        <v>216</v>
      </c>
      <c r="E212" s="4" t="n">
        <v>0</v>
      </c>
    </row>
    <row r="213" customFormat="false" ht="15" hidden="false" customHeight="false" outlineLevel="0" collapsed="false">
      <c r="A213" s="3" t="n">
        <v>2012</v>
      </c>
      <c r="B213" s="3" t="n">
        <v>7</v>
      </c>
      <c r="C213" s="3" t="n">
        <v>30</v>
      </c>
      <c r="D213" s="3" t="s">
        <v>217</v>
      </c>
      <c r="E213" s="4" t="n">
        <v>0</v>
      </c>
    </row>
    <row r="214" customFormat="false" ht="15" hidden="false" customHeight="false" outlineLevel="0" collapsed="false">
      <c r="A214" s="3" t="n">
        <v>2012</v>
      </c>
      <c r="B214" s="3" t="n">
        <v>7</v>
      </c>
      <c r="C214" s="3" t="n">
        <v>31</v>
      </c>
      <c r="D214" s="3" t="s">
        <v>218</v>
      </c>
      <c r="E214" s="4" t="n">
        <v>0</v>
      </c>
    </row>
    <row r="215" customFormat="false" ht="15" hidden="false" customHeight="false" outlineLevel="0" collapsed="false">
      <c r="A215" s="3" t="n">
        <v>2012</v>
      </c>
      <c r="B215" s="3" t="n">
        <v>8</v>
      </c>
      <c r="C215" s="3" t="n">
        <v>1</v>
      </c>
      <c r="D215" s="3" t="s">
        <v>219</v>
      </c>
      <c r="E215" s="4" t="n">
        <v>0</v>
      </c>
    </row>
    <row r="216" customFormat="false" ht="15" hidden="false" customHeight="false" outlineLevel="0" collapsed="false">
      <c r="A216" s="3" t="n">
        <v>2012</v>
      </c>
      <c r="B216" s="3" t="n">
        <v>8</v>
      </c>
      <c r="C216" s="3" t="n">
        <v>2</v>
      </c>
      <c r="D216" s="3" t="s">
        <v>220</v>
      </c>
      <c r="E216" s="4" t="n">
        <v>0</v>
      </c>
    </row>
    <row r="217" customFormat="false" ht="15" hidden="false" customHeight="false" outlineLevel="0" collapsed="false">
      <c r="A217" s="3" t="n">
        <v>2012</v>
      </c>
      <c r="B217" s="3" t="n">
        <v>8</v>
      </c>
      <c r="C217" s="3" t="n">
        <v>3</v>
      </c>
      <c r="D217" s="3" t="s">
        <v>221</v>
      </c>
      <c r="E217" s="4" t="n">
        <v>0</v>
      </c>
    </row>
    <row r="218" customFormat="false" ht="15" hidden="false" customHeight="false" outlineLevel="0" collapsed="false">
      <c r="A218" s="3" t="n">
        <v>2012</v>
      </c>
      <c r="B218" s="3" t="n">
        <v>8</v>
      </c>
      <c r="C218" s="3" t="n">
        <v>4</v>
      </c>
      <c r="D218" s="3" t="s">
        <v>222</v>
      </c>
      <c r="E218" s="4" t="n">
        <v>0</v>
      </c>
    </row>
    <row r="219" customFormat="false" ht="15" hidden="false" customHeight="false" outlineLevel="0" collapsed="false">
      <c r="A219" s="3" t="n">
        <v>2012</v>
      </c>
      <c r="B219" s="3" t="n">
        <v>8</v>
      </c>
      <c r="C219" s="3" t="n">
        <v>5</v>
      </c>
      <c r="D219" s="3" t="s">
        <v>223</v>
      </c>
      <c r="E219" s="4" t="n">
        <v>0</v>
      </c>
    </row>
    <row r="220" customFormat="false" ht="15" hidden="false" customHeight="false" outlineLevel="0" collapsed="false">
      <c r="A220" s="3" t="n">
        <v>2012</v>
      </c>
      <c r="B220" s="3" t="n">
        <v>8</v>
      </c>
      <c r="C220" s="3" t="n">
        <v>6</v>
      </c>
      <c r="D220" s="3" t="s">
        <v>224</v>
      </c>
      <c r="E220" s="4" t="n">
        <v>0</v>
      </c>
    </row>
    <row r="221" customFormat="false" ht="15" hidden="false" customHeight="false" outlineLevel="0" collapsed="false">
      <c r="A221" s="3" t="n">
        <v>2012</v>
      </c>
      <c r="B221" s="3" t="n">
        <v>8</v>
      </c>
      <c r="C221" s="3" t="n">
        <v>7</v>
      </c>
      <c r="D221" s="3" t="s">
        <v>225</v>
      </c>
      <c r="E221" s="4" t="n">
        <v>0</v>
      </c>
    </row>
    <row r="222" customFormat="false" ht="15" hidden="false" customHeight="false" outlineLevel="0" collapsed="false">
      <c r="A222" s="3" t="n">
        <v>2012</v>
      </c>
      <c r="B222" s="3" t="n">
        <v>8</v>
      </c>
      <c r="C222" s="3" t="n">
        <v>8</v>
      </c>
      <c r="D222" s="3" t="s">
        <v>226</v>
      </c>
      <c r="E222" s="4" t="n">
        <v>0</v>
      </c>
    </row>
    <row r="223" customFormat="false" ht="15" hidden="false" customHeight="false" outlineLevel="0" collapsed="false">
      <c r="A223" s="3" t="n">
        <v>2012</v>
      </c>
      <c r="B223" s="3" t="n">
        <v>8</v>
      </c>
      <c r="C223" s="3" t="n">
        <v>9</v>
      </c>
      <c r="D223" s="3" t="s">
        <v>227</v>
      </c>
      <c r="E223" s="4" t="n">
        <v>0</v>
      </c>
    </row>
    <row r="224" customFormat="false" ht="15" hidden="false" customHeight="false" outlineLevel="0" collapsed="false">
      <c r="A224" s="3" t="n">
        <v>2012</v>
      </c>
      <c r="B224" s="3" t="n">
        <v>8</v>
      </c>
      <c r="C224" s="3" t="n">
        <v>10</v>
      </c>
      <c r="D224" s="3" t="s">
        <v>228</v>
      </c>
      <c r="E224" s="4" t="n">
        <v>20</v>
      </c>
    </row>
    <row r="225" customFormat="false" ht="15" hidden="false" customHeight="false" outlineLevel="0" collapsed="false">
      <c r="A225" s="3" t="n">
        <v>2012</v>
      </c>
      <c r="B225" s="3" t="n">
        <v>8</v>
      </c>
      <c r="C225" s="3" t="n">
        <v>11</v>
      </c>
      <c r="D225" s="3" t="s">
        <v>229</v>
      </c>
      <c r="E225" s="4" t="n">
        <v>0</v>
      </c>
    </row>
    <row r="226" customFormat="false" ht="15" hidden="false" customHeight="false" outlineLevel="0" collapsed="false">
      <c r="A226" s="3" t="n">
        <v>2012</v>
      </c>
      <c r="B226" s="3" t="n">
        <v>8</v>
      </c>
      <c r="C226" s="3" t="n">
        <v>12</v>
      </c>
      <c r="D226" s="3" t="s">
        <v>230</v>
      </c>
      <c r="E226" s="4" t="n">
        <v>0</v>
      </c>
    </row>
    <row r="227" customFormat="false" ht="15" hidden="false" customHeight="false" outlineLevel="0" collapsed="false">
      <c r="A227" s="3" t="n">
        <v>2012</v>
      </c>
      <c r="B227" s="3" t="n">
        <v>8</v>
      </c>
      <c r="C227" s="3" t="n">
        <v>13</v>
      </c>
      <c r="D227" s="3" t="s">
        <v>231</v>
      </c>
      <c r="E227" s="4" t="n">
        <v>0</v>
      </c>
    </row>
    <row r="228" customFormat="false" ht="15" hidden="false" customHeight="false" outlineLevel="0" collapsed="false">
      <c r="A228" s="3" t="n">
        <v>2012</v>
      </c>
      <c r="B228" s="3" t="n">
        <v>8</v>
      </c>
      <c r="C228" s="3" t="n">
        <v>14</v>
      </c>
      <c r="D228" s="3" t="s">
        <v>232</v>
      </c>
      <c r="E228" s="4" t="n">
        <v>0</v>
      </c>
    </row>
    <row r="229" customFormat="false" ht="15" hidden="false" customHeight="false" outlineLevel="0" collapsed="false">
      <c r="A229" s="3" t="n">
        <v>2012</v>
      </c>
      <c r="B229" s="3" t="n">
        <v>8</v>
      </c>
      <c r="C229" s="3" t="n">
        <v>15</v>
      </c>
      <c r="D229" s="3" t="s">
        <v>233</v>
      </c>
      <c r="E229" s="4" t="n">
        <v>0</v>
      </c>
    </row>
    <row r="230" customFormat="false" ht="15" hidden="false" customHeight="false" outlineLevel="0" collapsed="false">
      <c r="A230" s="3" t="n">
        <v>2012</v>
      </c>
      <c r="B230" s="3" t="n">
        <v>8</v>
      </c>
      <c r="C230" s="3" t="n">
        <v>16</v>
      </c>
      <c r="D230" s="3" t="s">
        <v>234</v>
      </c>
      <c r="E230" s="4" t="n">
        <v>0</v>
      </c>
    </row>
    <row r="231" customFormat="false" ht="15" hidden="false" customHeight="false" outlineLevel="0" collapsed="false">
      <c r="A231" s="3" t="n">
        <v>2012</v>
      </c>
      <c r="B231" s="3" t="n">
        <v>8</v>
      </c>
      <c r="C231" s="3" t="n">
        <v>17</v>
      </c>
      <c r="D231" s="3" t="s">
        <v>235</v>
      </c>
      <c r="E231" s="4" t="n">
        <v>0</v>
      </c>
    </row>
    <row r="232" customFormat="false" ht="15" hidden="false" customHeight="false" outlineLevel="0" collapsed="false">
      <c r="A232" s="3" t="n">
        <v>2012</v>
      </c>
      <c r="B232" s="3" t="n">
        <v>8</v>
      </c>
      <c r="C232" s="3" t="n">
        <v>18</v>
      </c>
      <c r="D232" s="3" t="s">
        <v>236</v>
      </c>
      <c r="E232" s="4" t="n">
        <v>0</v>
      </c>
    </row>
    <row r="233" customFormat="false" ht="15" hidden="false" customHeight="false" outlineLevel="0" collapsed="false">
      <c r="A233" s="3" t="n">
        <v>2012</v>
      </c>
      <c r="B233" s="3" t="n">
        <v>8</v>
      </c>
      <c r="C233" s="3" t="n">
        <v>19</v>
      </c>
      <c r="D233" s="3" t="s">
        <v>237</v>
      </c>
      <c r="E233" s="4" t="n">
        <v>0</v>
      </c>
    </row>
    <row r="234" customFormat="false" ht="15" hidden="false" customHeight="false" outlineLevel="0" collapsed="false">
      <c r="A234" s="3" t="n">
        <v>2012</v>
      </c>
      <c r="B234" s="3" t="n">
        <v>8</v>
      </c>
      <c r="C234" s="3" t="n">
        <v>20</v>
      </c>
      <c r="D234" s="3" t="s">
        <v>238</v>
      </c>
      <c r="E234" s="4" t="n">
        <v>0</v>
      </c>
    </row>
    <row r="235" customFormat="false" ht="15" hidden="false" customHeight="false" outlineLevel="0" collapsed="false">
      <c r="A235" s="3" t="n">
        <v>2012</v>
      </c>
      <c r="B235" s="3" t="n">
        <v>8</v>
      </c>
      <c r="C235" s="3" t="n">
        <v>21</v>
      </c>
      <c r="D235" s="3" t="s">
        <v>239</v>
      </c>
      <c r="E235" s="4" t="n">
        <v>20</v>
      </c>
    </row>
    <row r="236" customFormat="false" ht="15" hidden="false" customHeight="false" outlineLevel="0" collapsed="false">
      <c r="A236" s="3" t="n">
        <v>2012</v>
      </c>
      <c r="B236" s="3" t="n">
        <v>8</v>
      </c>
      <c r="C236" s="3" t="n">
        <v>22</v>
      </c>
      <c r="D236" s="3" t="s">
        <v>240</v>
      </c>
      <c r="E236" s="4" t="n">
        <v>0</v>
      </c>
    </row>
    <row r="237" customFormat="false" ht="15" hidden="false" customHeight="false" outlineLevel="0" collapsed="false">
      <c r="A237" s="3" t="n">
        <v>2012</v>
      </c>
      <c r="B237" s="3" t="n">
        <v>8</v>
      </c>
      <c r="C237" s="3" t="n">
        <v>23</v>
      </c>
      <c r="D237" s="3" t="s">
        <v>241</v>
      </c>
      <c r="E237" s="4" t="n">
        <v>0</v>
      </c>
    </row>
    <row r="238" customFormat="false" ht="15" hidden="false" customHeight="false" outlineLevel="0" collapsed="false">
      <c r="A238" s="3" t="n">
        <v>2012</v>
      </c>
      <c r="B238" s="3" t="n">
        <v>8</v>
      </c>
      <c r="C238" s="3" t="n">
        <v>24</v>
      </c>
      <c r="D238" s="3" t="s">
        <v>242</v>
      </c>
      <c r="E238" s="4" t="n">
        <v>0</v>
      </c>
    </row>
    <row r="239" customFormat="false" ht="15" hidden="false" customHeight="false" outlineLevel="0" collapsed="false">
      <c r="A239" s="3" t="n">
        <v>2012</v>
      </c>
      <c r="B239" s="3" t="n">
        <v>8</v>
      </c>
      <c r="C239" s="3" t="n">
        <v>25</v>
      </c>
      <c r="D239" s="3" t="s">
        <v>243</v>
      </c>
      <c r="E239" s="4" t="n">
        <v>15</v>
      </c>
    </row>
    <row r="240" customFormat="false" ht="15" hidden="false" customHeight="false" outlineLevel="0" collapsed="false">
      <c r="A240" s="3" t="n">
        <v>2012</v>
      </c>
      <c r="B240" s="3" t="n">
        <v>8</v>
      </c>
      <c r="C240" s="3" t="n">
        <v>26</v>
      </c>
      <c r="D240" s="3" t="s">
        <v>244</v>
      </c>
      <c r="E240" s="4" t="n">
        <v>10</v>
      </c>
    </row>
    <row r="241" customFormat="false" ht="15" hidden="false" customHeight="false" outlineLevel="0" collapsed="false">
      <c r="A241" s="3" t="n">
        <v>2012</v>
      </c>
      <c r="B241" s="3" t="n">
        <v>8</v>
      </c>
      <c r="C241" s="3" t="n">
        <v>27</v>
      </c>
      <c r="D241" s="3" t="s">
        <v>245</v>
      </c>
      <c r="E241" s="4" t="n">
        <v>30</v>
      </c>
    </row>
    <row r="242" customFormat="false" ht="15" hidden="false" customHeight="false" outlineLevel="0" collapsed="false">
      <c r="A242" s="3" t="n">
        <v>2012</v>
      </c>
      <c r="B242" s="3" t="n">
        <v>8</v>
      </c>
      <c r="C242" s="3" t="n">
        <v>28</v>
      </c>
      <c r="D242" s="3" t="s">
        <v>246</v>
      </c>
      <c r="E242" s="4" t="n">
        <v>0</v>
      </c>
    </row>
    <row r="243" customFormat="false" ht="15" hidden="false" customHeight="false" outlineLevel="0" collapsed="false">
      <c r="A243" s="3" t="n">
        <v>2012</v>
      </c>
      <c r="B243" s="3" t="n">
        <v>8</v>
      </c>
      <c r="C243" s="3" t="n">
        <v>29</v>
      </c>
      <c r="D243" s="3" t="s">
        <v>247</v>
      </c>
      <c r="E243" s="4" t="n">
        <v>0</v>
      </c>
    </row>
    <row r="244" customFormat="false" ht="15" hidden="false" customHeight="false" outlineLevel="0" collapsed="false">
      <c r="A244" s="3" t="n">
        <v>2012</v>
      </c>
      <c r="B244" s="3" t="n">
        <v>8</v>
      </c>
      <c r="C244" s="3" t="n">
        <v>30</v>
      </c>
      <c r="D244" s="3" t="s">
        <v>248</v>
      </c>
      <c r="E244" s="4" t="n">
        <v>10</v>
      </c>
    </row>
    <row r="245" customFormat="false" ht="15" hidden="false" customHeight="false" outlineLevel="0" collapsed="false">
      <c r="A245" s="3" t="n">
        <v>2012</v>
      </c>
      <c r="B245" s="3" t="n">
        <v>8</v>
      </c>
      <c r="C245" s="3" t="n">
        <v>31</v>
      </c>
      <c r="D245" s="3" t="s">
        <v>249</v>
      </c>
      <c r="E245" s="4" t="n">
        <v>0</v>
      </c>
    </row>
    <row r="246" customFormat="false" ht="15" hidden="false" customHeight="false" outlineLevel="0" collapsed="false">
      <c r="A246" s="3" t="n">
        <v>2012</v>
      </c>
      <c r="B246" s="3" t="n">
        <v>9</v>
      </c>
      <c r="C246" s="3" t="n">
        <v>1</v>
      </c>
      <c r="D246" s="3" t="s">
        <v>250</v>
      </c>
      <c r="E246" s="4" t="n">
        <v>0</v>
      </c>
    </row>
    <row r="247" customFormat="false" ht="15" hidden="false" customHeight="false" outlineLevel="0" collapsed="false">
      <c r="A247" s="3" t="n">
        <v>2012</v>
      </c>
      <c r="B247" s="3" t="n">
        <v>9</v>
      </c>
      <c r="C247" s="3" t="n">
        <v>2</v>
      </c>
      <c r="D247" s="3" t="s">
        <v>251</v>
      </c>
      <c r="E247" s="4" t="n">
        <v>0</v>
      </c>
    </row>
    <row r="248" customFormat="false" ht="15" hidden="false" customHeight="false" outlineLevel="0" collapsed="false">
      <c r="A248" s="3" t="n">
        <v>2012</v>
      </c>
      <c r="B248" s="3" t="n">
        <v>9</v>
      </c>
      <c r="C248" s="3" t="n">
        <v>3</v>
      </c>
      <c r="D248" s="3" t="s">
        <v>252</v>
      </c>
      <c r="E248" s="4" t="n">
        <v>0</v>
      </c>
    </row>
    <row r="249" customFormat="false" ht="15" hidden="false" customHeight="false" outlineLevel="0" collapsed="false">
      <c r="A249" s="3" t="n">
        <v>2012</v>
      </c>
      <c r="B249" s="3" t="n">
        <v>9</v>
      </c>
      <c r="C249" s="3" t="n">
        <v>4</v>
      </c>
      <c r="D249" s="3" t="s">
        <v>253</v>
      </c>
      <c r="E249" s="4" t="n">
        <v>0</v>
      </c>
    </row>
    <row r="250" customFormat="false" ht="15" hidden="false" customHeight="false" outlineLevel="0" collapsed="false">
      <c r="A250" s="3" t="n">
        <v>2012</v>
      </c>
      <c r="B250" s="3" t="n">
        <v>9</v>
      </c>
      <c r="C250" s="3" t="n">
        <v>5</v>
      </c>
      <c r="D250" s="3" t="s">
        <v>254</v>
      </c>
      <c r="E250" s="4" t="n">
        <v>36</v>
      </c>
    </row>
    <row r="251" customFormat="false" ht="15" hidden="false" customHeight="false" outlineLevel="0" collapsed="false">
      <c r="A251" s="3" t="n">
        <v>2012</v>
      </c>
      <c r="B251" s="3" t="n">
        <v>9</v>
      </c>
      <c r="C251" s="3" t="n">
        <v>6</v>
      </c>
      <c r="D251" s="3" t="s">
        <v>255</v>
      </c>
      <c r="E251" s="4" t="n">
        <v>20</v>
      </c>
    </row>
    <row r="252" customFormat="false" ht="15" hidden="false" customHeight="false" outlineLevel="0" collapsed="false">
      <c r="A252" s="3" t="n">
        <v>2012</v>
      </c>
      <c r="B252" s="3" t="n">
        <v>9</v>
      </c>
      <c r="C252" s="3" t="n">
        <v>7</v>
      </c>
      <c r="D252" s="3" t="s">
        <v>256</v>
      </c>
      <c r="E252" s="4" t="n">
        <v>50</v>
      </c>
    </row>
    <row r="253" customFormat="false" ht="15" hidden="false" customHeight="false" outlineLevel="0" collapsed="false">
      <c r="A253" s="3" t="n">
        <v>2012</v>
      </c>
      <c r="B253" s="3" t="n">
        <v>9</v>
      </c>
      <c r="C253" s="3" t="n">
        <v>8</v>
      </c>
      <c r="D253" s="3" t="s">
        <v>257</v>
      </c>
      <c r="E253" s="4" t="n">
        <v>40</v>
      </c>
    </row>
    <row r="254" customFormat="false" ht="15" hidden="false" customHeight="false" outlineLevel="0" collapsed="false">
      <c r="A254" s="3" t="n">
        <v>2012</v>
      </c>
      <c r="B254" s="3" t="n">
        <v>9</v>
      </c>
      <c r="C254" s="3" t="n">
        <v>9</v>
      </c>
      <c r="D254" s="3" t="s">
        <v>258</v>
      </c>
      <c r="E254" s="4" t="n">
        <v>10</v>
      </c>
    </row>
    <row r="255" customFormat="false" ht="15" hidden="false" customHeight="false" outlineLevel="0" collapsed="false">
      <c r="A255" s="3" t="n">
        <v>2012</v>
      </c>
      <c r="B255" s="3" t="n">
        <v>9</v>
      </c>
      <c r="C255" s="3" t="n">
        <v>10</v>
      </c>
      <c r="D255" s="3" t="s">
        <v>259</v>
      </c>
      <c r="E255" s="4" t="n">
        <v>0</v>
      </c>
    </row>
    <row r="256" customFormat="false" ht="15" hidden="false" customHeight="false" outlineLevel="0" collapsed="false">
      <c r="A256" s="3" t="n">
        <v>2012</v>
      </c>
      <c r="B256" s="3" t="n">
        <v>9</v>
      </c>
      <c r="C256" s="3" t="n">
        <v>11</v>
      </c>
      <c r="D256" s="3" t="s">
        <v>260</v>
      </c>
      <c r="E256" s="4" t="n">
        <v>0</v>
      </c>
    </row>
    <row r="257" customFormat="false" ht="15" hidden="false" customHeight="false" outlineLevel="0" collapsed="false">
      <c r="A257" s="3" t="n">
        <v>2012</v>
      </c>
      <c r="B257" s="3" t="n">
        <v>9</v>
      </c>
      <c r="C257" s="3" t="n">
        <v>12</v>
      </c>
      <c r="D257" s="3" t="s">
        <v>261</v>
      </c>
      <c r="E257" s="4" t="n">
        <v>0</v>
      </c>
    </row>
    <row r="258" customFormat="false" ht="15" hidden="false" customHeight="false" outlineLevel="0" collapsed="false">
      <c r="A258" s="3" t="n">
        <v>2012</v>
      </c>
      <c r="B258" s="3" t="n">
        <v>9</v>
      </c>
      <c r="C258" s="3" t="n">
        <v>13</v>
      </c>
      <c r="D258" s="3" t="s">
        <v>262</v>
      </c>
      <c r="E258" s="4" t="n">
        <v>0</v>
      </c>
    </row>
    <row r="259" customFormat="false" ht="15" hidden="false" customHeight="false" outlineLevel="0" collapsed="false">
      <c r="A259" s="3" t="n">
        <v>2012</v>
      </c>
      <c r="B259" s="3" t="n">
        <v>9</v>
      </c>
      <c r="C259" s="3" t="n">
        <v>14</v>
      </c>
      <c r="D259" s="3" t="s">
        <v>263</v>
      </c>
      <c r="E259" s="4" t="n">
        <v>0</v>
      </c>
    </row>
    <row r="260" customFormat="false" ht="15" hidden="false" customHeight="false" outlineLevel="0" collapsed="false">
      <c r="A260" s="3" t="n">
        <v>2012</v>
      </c>
      <c r="B260" s="3" t="n">
        <v>9</v>
      </c>
      <c r="C260" s="3" t="n">
        <v>15</v>
      </c>
      <c r="D260" s="3" t="s">
        <v>264</v>
      </c>
      <c r="E260" s="4" t="n">
        <v>0</v>
      </c>
    </row>
    <row r="261" customFormat="false" ht="15" hidden="false" customHeight="false" outlineLevel="0" collapsed="false">
      <c r="A261" s="3" t="n">
        <v>2012</v>
      </c>
      <c r="B261" s="3" t="n">
        <v>9</v>
      </c>
      <c r="C261" s="3" t="n">
        <v>16</v>
      </c>
      <c r="D261" s="3" t="s">
        <v>265</v>
      </c>
      <c r="E261" s="4" t="n">
        <v>0</v>
      </c>
    </row>
    <row r="262" customFormat="false" ht="15" hidden="false" customHeight="false" outlineLevel="0" collapsed="false">
      <c r="A262" s="3" t="n">
        <v>2012</v>
      </c>
      <c r="B262" s="3" t="n">
        <v>9</v>
      </c>
      <c r="C262" s="3" t="n">
        <v>17</v>
      </c>
      <c r="D262" s="3" t="s">
        <v>266</v>
      </c>
      <c r="E262" s="4" t="n">
        <v>0</v>
      </c>
    </row>
    <row r="263" customFormat="false" ht="15" hidden="false" customHeight="false" outlineLevel="0" collapsed="false">
      <c r="A263" s="3" t="n">
        <v>2012</v>
      </c>
      <c r="B263" s="3" t="n">
        <v>9</v>
      </c>
      <c r="C263" s="3" t="n">
        <v>18</v>
      </c>
      <c r="D263" s="3" t="s">
        <v>267</v>
      </c>
      <c r="E263" s="4" t="n">
        <v>0</v>
      </c>
    </row>
    <row r="264" customFormat="false" ht="15" hidden="false" customHeight="false" outlineLevel="0" collapsed="false">
      <c r="A264" s="3" t="n">
        <v>2012</v>
      </c>
      <c r="B264" s="3" t="n">
        <v>9</v>
      </c>
      <c r="C264" s="3" t="n">
        <v>19</v>
      </c>
      <c r="D264" s="3" t="s">
        <v>268</v>
      </c>
      <c r="E264" s="4" t="n">
        <v>0</v>
      </c>
    </row>
    <row r="265" customFormat="false" ht="15" hidden="false" customHeight="false" outlineLevel="0" collapsed="false">
      <c r="A265" s="3" t="n">
        <v>2012</v>
      </c>
      <c r="B265" s="3" t="n">
        <v>9</v>
      </c>
      <c r="C265" s="3" t="n">
        <v>20</v>
      </c>
      <c r="D265" s="3" t="s">
        <v>269</v>
      </c>
      <c r="E265" s="4" t="n">
        <v>8</v>
      </c>
    </row>
    <row r="266" customFormat="false" ht="15" hidden="false" customHeight="false" outlineLevel="0" collapsed="false">
      <c r="A266" s="3" t="n">
        <v>2012</v>
      </c>
      <c r="B266" s="3" t="n">
        <v>9</v>
      </c>
      <c r="C266" s="3" t="n">
        <v>21</v>
      </c>
      <c r="D266" s="3" t="s">
        <v>270</v>
      </c>
      <c r="E266" s="4" t="n">
        <v>0</v>
      </c>
    </row>
    <row r="267" customFormat="false" ht="15" hidden="false" customHeight="false" outlineLevel="0" collapsed="false">
      <c r="A267" s="3" t="n">
        <v>2012</v>
      </c>
      <c r="B267" s="3" t="n">
        <v>9</v>
      </c>
      <c r="C267" s="3" t="n">
        <v>22</v>
      </c>
      <c r="D267" s="3" t="s">
        <v>271</v>
      </c>
      <c r="E267" s="4" t="n">
        <v>0</v>
      </c>
    </row>
    <row r="268" customFormat="false" ht="15" hidden="false" customHeight="false" outlineLevel="0" collapsed="false">
      <c r="A268" s="3" t="n">
        <v>2012</v>
      </c>
      <c r="B268" s="3" t="n">
        <v>9</v>
      </c>
      <c r="C268" s="3" t="n">
        <v>23</v>
      </c>
      <c r="D268" s="3" t="s">
        <v>272</v>
      </c>
      <c r="E268" s="4" t="n">
        <v>10</v>
      </c>
    </row>
    <row r="269" customFormat="false" ht="15" hidden="false" customHeight="false" outlineLevel="0" collapsed="false">
      <c r="A269" s="3" t="n">
        <v>2012</v>
      </c>
      <c r="B269" s="3" t="n">
        <v>9</v>
      </c>
      <c r="C269" s="3" t="n">
        <v>24</v>
      </c>
      <c r="D269" s="3" t="s">
        <v>273</v>
      </c>
      <c r="E269" s="4" t="n">
        <v>0</v>
      </c>
    </row>
    <row r="270" customFormat="false" ht="15" hidden="false" customHeight="false" outlineLevel="0" collapsed="false">
      <c r="A270" s="3" t="n">
        <v>2012</v>
      </c>
      <c r="B270" s="3" t="n">
        <v>9</v>
      </c>
      <c r="C270" s="3" t="n">
        <v>25</v>
      </c>
      <c r="D270" s="3" t="s">
        <v>274</v>
      </c>
      <c r="E270" s="4" t="n">
        <v>0</v>
      </c>
    </row>
    <row r="271" customFormat="false" ht="15" hidden="false" customHeight="false" outlineLevel="0" collapsed="false">
      <c r="A271" s="3" t="n">
        <v>2012</v>
      </c>
      <c r="B271" s="3" t="n">
        <v>9</v>
      </c>
      <c r="C271" s="3" t="n">
        <v>26</v>
      </c>
      <c r="D271" s="3" t="s">
        <v>275</v>
      </c>
      <c r="E271" s="4" t="n">
        <v>0</v>
      </c>
    </row>
    <row r="272" customFormat="false" ht="15" hidden="false" customHeight="false" outlineLevel="0" collapsed="false">
      <c r="A272" s="3" t="n">
        <v>2012</v>
      </c>
      <c r="B272" s="3" t="n">
        <v>9</v>
      </c>
      <c r="C272" s="3" t="n">
        <v>27</v>
      </c>
      <c r="D272" s="3" t="s">
        <v>276</v>
      </c>
      <c r="E272" s="4" t="n">
        <v>0</v>
      </c>
    </row>
    <row r="273" customFormat="false" ht="15" hidden="false" customHeight="false" outlineLevel="0" collapsed="false">
      <c r="A273" s="3" t="n">
        <v>2012</v>
      </c>
      <c r="B273" s="3" t="n">
        <v>9</v>
      </c>
      <c r="C273" s="3" t="n">
        <v>28</v>
      </c>
      <c r="D273" s="3" t="s">
        <v>277</v>
      </c>
      <c r="E273" s="4" t="n">
        <v>0</v>
      </c>
    </row>
    <row r="274" customFormat="false" ht="15" hidden="false" customHeight="false" outlineLevel="0" collapsed="false">
      <c r="A274" s="3" t="n">
        <v>2012</v>
      </c>
      <c r="B274" s="3" t="n">
        <v>9</v>
      </c>
      <c r="C274" s="3" t="n">
        <v>29</v>
      </c>
      <c r="D274" s="3" t="s">
        <v>278</v>
      </c>
      <c r="E274" s="4" t="n">
        <v>0</v>
      </c>
    </row>
    <row r="275" customFormat="false" ht="15" hidden="false" customHeight="false" outlineLevel="0" collapsed="false">
      <c r="A275" s="3" t="n">
        <v>2012</v>
      </c>
      <c r="B275" s="3" t="n">
        <v>9</v>
      </c>
      <c r="C275" s="3" t="n">
        <v>30</v>
      </c>
      <c r="D275" s="3" t="s">
        <v>279</v>
      </c>
      <c r="E275" s="4" t="n">
        <v>0</v>
      </c>
    </row>
    <row r="276" customFormat="false" ht="15" hidden="false" customHeight="false" outlineLevel="0" collapsed="false">
      <c r="A276" s="3" t="n">
        <v>2012</v>
      </c>
      <c r="B276" s="3" t="n">
        <v>10</v>
      </c>
      <c r="C276" s="3" t="n">
        <v>1</v>
      </c>
      <c r="D276" s="3" t="s">
        <v>280</v>
      </c>
      <c r="E276" s="4" t="n">
        <v>11</v>
      </c>
    </row>
    <row r="277" customFormat="false" ht="15" hidden="false" customHeight="false" outlineLevel="0" collapsed="false">
      <c r="A277" s="3" t="n">
        <v>2012</v>
      </c>
      <c r="B277" s="3" t="n">
        <v>10</v>
      </c>
      <c r="C277" s="3" t="n">
        <v>2</v>
      </c>
      <c r="D277" s="3" t="s">
        <v>281</v>
      </c>
      <c r="E277" s="4" t="n">
        <v>30</v>
      </c>
    </row>
    <row r="278" customFormat="false" ht="15" hidden="false" customHeight="false" outlineLevel="0" collapsed="false">
      <c r="A278" s="3" t="n">
        <v>2012</v>
      </c>
      <c r="B278" s="3" t="n">
        <v>10</v>
      </c>
      <c r="C278" s="3" t="n">
        <v>3</v>
      </c>
      <c r="D278" s="3" t="s">
        <v>282</v>
      </c>
      <c r="E278" s="4" t="n">
        <v>21</v>
      </c>
    </row>
    <row r="279" customFormat="false" ht="15" hidden="false" customHeight="false" outlineLevel="0" collapsed="false">
      <c r="A279" s="3" t="n">
        <v>2012</v>
      </c>
      <c r="B279" s="3" t="n">
        <v>10</v>
      </c>
      <c r="C279" s="3" t="n">
        <v>4</v>
      </c>
      <c r="D279" s="3" t="s">
        <v>283</v>
      </c>
      <c r="E279" s="4" t="n">
        <v>0</v>
      </c>
    </row>
    <row r="280" customFormat="false" ht="15" hidden="false" customHeight="false" outlineLevel="0" collapsed="false">
      <c r="A280" s="3" t="n">
        <v>2012</v>
      </c>
      <c r="B280" s="3" t="n">
        <v>10</v>
      </c>
      <c r="C280" s="3" t="n">
        <v>5</v>
      </c>
      <c r="D280" s="3" t="s">
        <v>284</v>
      </c>
      <c r="E280" s="4" t="n">
        <v>0</v>
      </c>
    </row>
    <row r="281" customFormat="false" ht="15" hidden="false" customHeight="false" outlineLevel="0" collapsed="false">
      <c r="A281" s="3" t="n">
        <v>2012</v>
      </c>
      <c r="B281" s="3" t="n">
        <v>10</v>
      </c>
      <c r="C281" s="3" t="n">
        <v>6</v>
      </c>
      <c r="D281" s="3" t="s">
        <v>285</v>
      </c>
      <c r="E281" s="4" t="n">
        <v>30</v>
      </c>
    </row>
    <row r="282" customFormat="false" ht="15" hidden="false" customHeight="false" outlineLevel="0" collapsed="false">
      <c r="A282" s="3" t="n">
        <v>2012</v>
      </c>
      <c r="B282" s="3" t="n">
        <v>10</v>
      </c>
      <c r="C282" s="3" t="n">
        <v>7</v>
      </c>
      <c r="D282" s="3" t="s">
        <v>286</v>
      </c>
      <c r="E282" s="4" t="n">
        <v>24</v>
      </c>
    </row>
    <row r="283" customFormat="false" ht="15" hidden="false" customHeight="false" outlineLevel="0" collapsed="false">
      <c r="A283" s="3" t="n">
        <v>2012</v>
      </c>
      <c r="B283" s="3" t="n">
        <v>10</v>
      </c>
      <c r="C283" s="3" t="n">
        <v>8</v>
      </c>
      <c r="D283" s="3" t="s">
        <v>287</v>
      </c>
      <c r="E283" s="4" t="n">
        <v>0</v>
      </c>
    </row>
    <row r="284" customFormat="false" ht="15" hidden="false" customHeight="false" outlineLevel="0" collapsed="false">
      <c r="A284" s="3" t="n">
        <v>2012</v>
      </c>
      <c r="B284" s="3" t="n">
        <v>10</v>
      </c>
      <c r="C284" s="3" t="n">
        <v>9</v>
      </c>
      <c r="D284" s="3" t="s">
        <v>288</v>
      </c>
      <c r="E284" s="4" t="n">
        <v>30</v>
      </c>
    </row>
    <row r="285" customFormat="false" ht="15" hidden="false" customHeight="false" outlineLevel="0" collapsed="false">
      <c r="A285" s="3" t="n">
        <v>2012</v>
      </c>
      <c r="B285" s="3" t="n">
        <v>10</v>
      </c>
      <c r="C285" s="3" t="n">
        <v>10</v>
      </c>
      <c r="D285" s="3" t="s">
        <v>289</v>
      </c>
      <c r="E285" s="4" t="n">
        <v>0</v>
      </c>
    </row>
    <row r="286" customFormat="false" ht="15" hidden="false" customHeight="false" outlineLevel="0" collapsed="false">
      <c r="A286" s="3" t="n">
        <v>2012</v>
      </c>
      <c r="B286" s="3" t="n">
        <v>10</v>
      </c>
      <c r="C286" s="3" t="n">
        <v>11</v>
      </c>
      <c r="D286" s="3" t="s">
        <v>290</v>
      </c>
      <c r="E286" s="4" t="n">
        <v>40</v>
      </c>
    </row>
    <row r="287" customFormat="false" ht="15" hidden="false" customHeight="false" outlineLevel="0" collapsed="false">
      <c r="A287" s="3" t="n">
        <v>2012</v>
      </c>
      <c r="B287" s="3" t="n">
        <v>10</v>
      </c>
      <c r="C287" s="3" t="n">
        <v>12</v>
      </c>
      <c r="D287" s="3" t="s">
        <v>291</v>
      </c>
      <c r="E287" s="4" t="n">
        <v>40</v>
      </c>
    </row>
    <row r="288" customFormat="false" ht="15" hidden="false" customHeight="false" outlineLevel="0" collapsed="false">
      <c r="A288" s="3" t="n">
        <v>2012</v>
      </c>
      <c r="B288" s="3" t="n">
        <v>10</v>
      </c>
      <c r="C288" s="3" t="n">
        <v>13</v>
      </c>
      <c r="D288" s="3" t="s">
        <v>292</v>
      </c>
      <c r="E288" s="4" t="n">
        <v>30</v>
      </c>
    </row>
    <row r="289" customFormat="false" ht="15" hidden="false" customHeight="false" outlineLevel="0" collapsed="false">
      <c r="A289" s="3" t="n">
        <v>2012</v>
      </c>
      <c r="B289" s="3" t="n">
        <v>10</v>
      </c>
      <c r="C289" s="3" t="n">
        <v>14</v>
      </c>
      <c r="D289" s="3" t="s">
        <v>293</v>
      </c>
      <c r="E289" s="4" t="n">
        <v>10</v>
      </c>
    </row>
    <row r="290" customFormat="false" ht="15" hidden="false" customHeight="false" outlineLevel="0" collapsed="false">
      <c r="A290" s="3" t="n">
        <v>2012</v>
      </c>
      <c r="B290" s="3" t="n">
        <v>10</v>
      </c>
      <c r="C290" s="3" t="n">
        <v>15</v>
      </c>
      <c r="D290" s="3" t="s">
        <v>294</v>
      </c>
      <c r="E290" s="4" t="n">
        <v>0</v>
      </c>
    </row>
    <row r="291" customFormat="false" ht="15" hidden="false" customHeight="false" outlineLevel="0" collapsed="false">
      <c r="A291" s="3" t="n">
        <v>2012</v>
      </c>
      <c r="B291" s="3" t="n">
        <v>10</v>
      </c>
      <c r="C291" s="3" t="n">
        <v>16</v>
      </c>
      <c r="D291" s="3" t="s">
        <v>295</v>
      </c>
      <c r="E291" s="4" t="n">
        <v>10</v>
      </c>
    </row>
    <row r="292" customFormat="false" ht="15" hidden="false" customHeight="false" outlineLevel="0" collapsed="false">
      <c r="A292" s="3" t="n">
        <v>2012</v>
      </c>
      <c r="B292" s="3" t="n">
        <v>10</v>
      </c>
      <c r="C292" s="3" t="n">
        <v>17</v>
      </c>
      <c r="D292" s="3" t="s">
        <v>296</v>
      </c>
      <c r="E292" s="4" t="n">
        <v>30</v>
      </c>
    </row>
    <row r="293" customFormat="false" ht="15" hidden="false" customHeight="false" outlineLevel="0" collapsed="false">
      <c r="A293" s="3" t="n">
        <v>2012</v>
      </c>
      <c r="B293" s="3" t="n">
        <v>10</v>
      </c>
      <c r="C293" s="3" t="n">
        <v>18</v>
      </c>
      <c r="D293" s="3" t="s">
        <v>297</v>
      </c>
      <c r="E293" s="4" t="n">
        <v>15</v>
      </c>
    </row>
    <row r="294" customFormat="false" ht="15" hidden="false" customHeight="false" outlineLevel="0" collapsed="false">
      <c r="A294" s="3" t="n">
        <v>2012</v>
      </c>
      <c r="B294" s="3" t="n">
        <v>10</v>
      </c>
      <c r="C294" s="3" t="n">
        <v>19</v>
      </c>
      <c r="D294" s="3" t="s">
        <v>298</v>
      </c>
      <c r="E294" s="4" t="n">
        <v>30</v>
      </c>
    </row>
    <row r="295" customFormat="false" ht="15" hidden="false" customHeight="false" outlineLevel="0" collapsed="false">
      <c r="A295" s="3" t="n">
        <v>2012</v>
      </c>
      <c r="B295" s="3" t="n">
        <v>10</v>
      </c>
      <c r="C295" s="3" t="n">
        <v>20</v>
      </c>
      <c r="D295" s="3" t="s">
        <v>299</v>
      </c>
      <c r="E295" s="4" t="n">
        <v>35</v>
      </c>
    </row>
    <row r="296" customFormat="false" ht="15" hidden="false" customHeight="false" outlineLevel="0" collapsed="false">
      <c r="A296" s="3" t="n">
        <v>2012</v>
      </c>
      <c r="B296" s="3" t="n">
        <v>10</v>
      </c>
      <c r="C296" s="3" t="n">
        <v>21</v>
      </c>
      <c r="D296" s="3" t="s">
        <v>300</v>
      </c>
      <c r="E296" s="4" t="n">
        <v>0</v>
      </c>
    </row>
    <row r="297" customFormat="false" ht="15" hidden="false" customHeight="false" outlineLevel="0" collapsed="false">
      <c r="A297" s="3" t="n">
        <v>2012</v>
      </c>
      <c r="B297" s="3" t="n">
        <v>10</v>
      </c>
      <c r="C297" s="3" t="n">
        <v>22</v>
      </c>
      <c r="D297" s="3" t="s">
        <v>301</v>
      </c>
      <c r="E297" s="4" t="n">
        <v>10</v>
      </c>
    </row>
    <row r="298" customFormat="false" ht="15" hidden="false" customHeight="false" outlineLevel="0" collapsed="false">
      <c r="A298" s="3" t="n">
        <v>2012</v>
      </c>
      <c r="B298" s="3" t="n">
        <v>10</v>
      </c>
      <c r="C298" s="3" t="n">
        <v>23</v>
      </c>
      <c r="D298" s="3" t="s">
        <v>302</v>
      </c>
      <c r="E298" s="4" t="n">
        <v>0</v>
      </c>
    </row>
    <row r="299" customFormat="false" ht="15" hidden="false" customHeight="false" outlineLevel="0" collapsed="false">
      <c r="A299" s="3" t="n">
        <v>2012</v>
      </c>
      <c r="B299" s="3" t="n">
        <v>10</v>
      </c>
      <c r="C299" s="3" t="n">
        <v>24</v>
      </c>
      <c r="D299" s="3" t="s">
        <v>303</v>
      </c>
      <c r="E299" s="4" t="n">
        <v>0</v>
      </c>
    </row>
    <row r="300" customFormat="false" ht="15" hidden="false" customHeight="false" outlineLevel="0" collapsed="false">
      <c r="A300" s="3" t="n">
        <v>2012</v>
      </c>
      <c r="B300" s="3" t="n">
        <v>10</v>
      </c>
      <c r="C300" s="3" t="n">
        <v>25</v>
      </c>
      <c r="D300" s="3" t="s">
        <v>304</v>
      </c>
      <c r="E300" s="4" t="n">
        <v>0</v>
      </c>
    </row>
    <row r="301" customFormat="false" ht="15" hidden="false" customHeight="false" outlineLevel="0" collapsed="false">
      <c r="A301" s="3" t="n">
        <v>2012</v>
      </c>
      <c r="B301" s="3" t="n">
        <v>10</v>
      </c>
      <c r="C301" s="3" t="n">
        <v>26</v>
      </c>
      <c r="D301" s="3" t="s">
        <v>305</v>
      </c>
      <c r="E301" s="4" t="n">
        <v>0</v>
      </c>
    </row>
    <row r="302" customFormat="false" ht="15" hidden="false" customHeight="false" outlineLevel="0" collapsed="false">
      <c r="A302" s="3" t="n">
        <v>2012</v>
      </c>
      <c r="B302" s="3" t="n">
        <v>10</v>
      </c>
      <c r="C302" s="3" t="n">
        <v>27</v>
      </c>
      <c r="D302" s="3" t="s">
        <v>306</v>
      </c>
      <c r="E302" s="4" t="n">
        <v>0</v>
      </c>
    </row>
    <row r="303" customFormat="false" ht="15" hidden="false" customHeight="false" outlineLevel="0" collapsed="false">
      <c r="A303" s="3" t="n">
        <v>2012</v>
      </c>
      <c r="B303" s="3" t="n">
        <v>10</v>
      </c>
      <c r="C303" s="3" t="n">
        <v>28</v>
      </c>
      <c r="D303" s="3" t="s">
        <v>307</v>
      </c>
      <c r="E303" s="4" t="n">
        <v>0</v>
      </c>
    </row>
    <row r="304" customFormat="false" ht="15" hidden="false" customHeight="false" outlineLevel="0" collapsed="false">
      <c r="A304" s="3" t="n">
        <v>2012</v>
      </c>
      <c r="B304" s="3" t="n">
        <v>10</v>
      </c>
      <c r="C304" s="3" t="n">
        <v>29</v>
      </c>
      <c r="D304" s="3" t="s">
        <v>308</v>
      </c>
      <c r="E304" s="4" t="n">
        <v>0</v>
      </c>
    </row>
    <row r="305" customFormat="false" ht="15" hidden="false" customHeight="false" outlineLevel="0" collapsed="false">
      <c r="A305" s="3" t="n">
        <v>2012</v>
      </c>
      <c r="B305" s="3" t="n">
        <v>10</v>
      </c>
      <c r="C305" s="3" t="n">
        <v>30</v>
      </c>
      <c r="D305" s="3" t="s">
        <v>309</v>
      </c>
      <c r="E305" s="4" t="n">
        <v>0</v>
      </c>
    </row>
    <row r="306" customFormat="false" ht="15" hidden="false" customHeight="false" outlineLevel="0" collapsed="false">
      <c r="A306" s="3" t="n">
        <v>2012</v>
      </c>
      <c r="B306" s="3" t="n">
        <v>10</v>
      </c>
      <c r="C306" s="3" t="n">
        <v>31</v>
      </c>
      <c r="D306" s="3" t="s">
        <v>310</v>
      </c>
      <c r="E306" s="4" t="n">
        <v>40</v>
      </c>
    </row>
    <row r="307" customFormat="false" ht="15" hidden="false" customHeight="false" outlineLevel="0" collapsed="false">
      <c r="A307" s="3" t="n">
        <v>2012</v>
      </c>
      <c r="B307" s="3" t="n">
        <v>11</v>
      </c>
      <c r="C307" s="3" t="n">
        <v>1</v>
      </c>
      <c r="D307" s="3" t="s">
        <v>311</v>
      </c>
      <c r="E307" s="4" t="n">
        <v>31</v>
      </c>
    </row>
    <row r="308" customFormat="false" ht="15" hidden="false" customHeight="false" outlineLevel="0" collapsed="false">
      <c r="A308" s="3" t="n">
        <v>2012</v>
      </c>
      <c r="B308" s="3" t="n">
        <v>11</v>
      </c>
      <c r="C308" s="3" t="n">
        <v>2</v>
      </c>
      <c r="D308" s="3" t="s">
        <v>312</v>
      </c>
      <c r="E308" s="4" t="n">
        <v>10</v>
      </c>
    </row>
    <row r="309" customFormat="false" ht="15" hidden="false" customHeight="false" outlineLevel="0" collapsed="false">
      <c r="A309" s="3" t="n">
        <v>2012</v>
      </c>
      <c r="B309" s="3" t="n">
        <v>11</v>
      </c>
      <c r="C309" s="3" t="n">
        <v>3</v>
      </c>
      <c r="D309" s="3" t="s">
        <v>313</v>
      </c>
      <c r="E309" s="4" t="n">
        <v>0</v>
      </c>
    </row>
    <row r="310" customFormat="false" ht="15" hidden="false" customHeight="false" outlineLevel="0" collapsed="false">
      <c r="A310" s="3" t="n">
        <v>2012</v>
      </c>
      <c r="B310" s="3" t="n">
        <v>11</v>
      </c>
      <c r="C310" s="3" t="n">
        <v>4</v>
      </c>
      <c r="D310" s="3" t="s">
        <v>314</v>
      </c>
      <c r="E310" s="4" t="n">
        <v>10</v>
      </c>
    </row>
    <row r="311" customFormat="false" ht="15" hidden="false" customHeight="false" outlineLevel="0" collapsed="false">
      <c r="A311" s="3" t="n">
        <v>2012</v>
      </c>
      <c r="B311" s="3" t="n">
        <v>11</v>
      </c>
      <c r="C311" s="3" t="n">
        <v>5</v>
      </c>
      <c r="D311" s="3" t="s">
        <v>315</v>
      </c>
      <c r="E311" s="4" t="n">
        <v>9</v>
      </c>
    </row>
    <row r="312" customFormat="false" ht="15" hidden="false" customHeight="false" outlineLevel="0" collapsed="false">
      <c r="A312" s="3" t="n">
        <v>2012</v>
      </c>
      <c r="B312" s="3" t="n">
        <v>11</v>
      </c>
      <c r="C312" s="3" t="n">
        <v>6</v>
      </c>
      <c r="D312" s="3" t="s">
        <v>316</v>
      </c>
      <c r="E312" s="4" t="n">
        <v>8</v>
      </c>
    </row>
    <row r="313" customFormat="false" ht="15" hidden="false" customHeight="false" outlineLevel="0" collapsed="false">
      <c r="A313" s="3" t="n">
        <v>2012</v>
      </c>
      <c r="B313" s="3" t="n">
        <v>11</v>
      </c>
      <c r="C313" s="3" t="n">
        <v>7</v>
      </c>
      <c r="D313" s="3" t="s">
        <v>317</v>
      </c>
      <c r="E313" s="4" t="n">
        <v>12</v>
      </c>
    </row>
    <row r="314" customFormat="false" ht="15" hidden="false" customHeight="false" outlineLevel="0" collapsed="false">
      <c r="A314" s="3" t="n">
        <v>2012</v>
      </c>
      <c r="B314" s="3" t="n">
        <v>11</v>
      </c>
      <c r="C314" s="3" t="n">
        <v>8</v>
      </c>
      <c r="D314" s="3" t="s">
        <v>318</v>
      </c>
      <c r="E314" s="4" t="n">
        <v>0</v>
      </c>
    </row>
    <row r="315" customFormat="false" ht="15" hidden="false" customHeight="false" outlineLevel="0" collapsed="false">
      <c r="A315" s="3" t="n">
        <v>2012</v>
      </c>
      <c r="B315" s="3" t="n">
        <v>11</v>
      </c>
      <c r="C315" s="3" t="n">
        <v>9</v>
      </c>
      <c r="D315" s="3" t="s">
        <v>319</v>
      </c>
      <c r="E315" s="4" t="n">
        <v>0</v>
      </c>
    </row>
    <row r="316" customFormat="false" ht="15" hidden="false" customHeight="false" outlineLevel="0" collapsed="false">
      <c r="A316" s="3" t="n">
        <v>2012</v>
      </c>
      <c r="B316" s="3" t="n">
        <v>11</v>
      </c>
      <c r="C316" s="3" t="n">
        <v>10</v>
      </c>
      <c r="D316" s="3" t="s">
        <v>320</v>
      </c>
      <c r="E316" s="4" t="n">
        <v>15</v>
      </c>
    </row>
    <row r="317" customFormat="false" ht="15" hidden="false" customHeight="false" outlineLevel="0" collapsed="false">
      <c r="A317" s="3" t="n">
        <v>2012</v>
      </c>
      <c r="B317" s="3" t="n">
        <v>11</v>
      </c>
      <c r="C317" s="3" t="n">
        <v>11</v>
      </c>
      <c r="D317" s="3" t="s">
        <v>321</v>
      </c>
      <c r="E317" s="4" t="n">
        <v>18</v>
      </c>
    </row>
    <row r="318" customFormat="false" ht="15" hidden="false" customHeight="false" outlineLevel="0" collapsed="false">
      <c r="A318" s="3" t="n">
        <v>2012</v>
      </c>
      <c r="B318" s="3" t="n">
        <v>11</v>
      </c>
      <c r="C318" s="3" t="n">
        <v>12</v>
      </c>
      <c r="D318" s="3" t="s">
        <v>322</v>
      </c>
      <c r="E318" s="4" t="n">
        <v>20</v>
      </c>
    </row>
    <row r="319" customFormat="false" ht="15" hidden="false" customHeight="false" outlineLevel="0" collapsed="false">
      <c r="A319" s="3" t="n">
        <v>2012</v>
      </c>
      <c r="B319" s="3" t="n">
        <v>11</v>
      </c>
      <c r="C319" s="3" t="n">
        <v>13</v>
      </c>
      <c r="D319" s="3" t="s">
        <v>323</v>
      </c>
      <c r="E319" s="4" t="n">
        <v>21</v>
      </c>
    </row>
    <row r="320" customFormat="false" ht="15" hidden="false" customHeight="false" outlineLevel="0" collapsed="false">
      <c r="A320" s="3" t="n">
        <v>2012</v>
      </c>
      <c r="B320" s="3" t="n">
        <v>11</v>
      </c>
      <c r="C320" s="3" t="n">
        <v>14</v>
      </c>
      <c r="D320" s="3" t="s">
        <v>324</v>
      </c>
      <c r="E320" s="4" t="n">
        <v>0</v>
      </c>
    </row>
    <row r="321" customFormat="false" ht="15" hidden="false" customHeight="false" outlineLevel="0" collapsed="false">
      <c r="A321" s="3" t="n">
        <v>2012</v>
      </c>
      <c r="B321" s="3" t="n">
        <v>11</v>
      </c>
      <c r="C321" s="3" t="n">
        <v>15</v>
      </c>
      <c r="D321" s="3" t="s">
        <v>325</v>
      </c>
      <c r="E321" s="4" t="n">
        <v>8</v>
      </c>
    </row>
    <row r="322" customFormat="false" ht="15" hidden="false" customHeight="false" outlineLevel="0" collapsed="false">
      <c r="A322" s="3" t="n">
        <v>2012</v>
      </c>
      <c r="B322" s="3" t="n">
        <v>11</v>
      </c>
      <c r="C322" s="3" t="n">
        <v>16</v>
      </c>
      <c r="D322" s="3" t="s">
        <v>326</v>
      </c>
      <c r="E322" s="4" t="n">
        <v>6</v>
      </c>
    </row>
    <row r="323" customFormat="false" ht="15" hidden="false" customHeight="false" outlineLevel="0" collapsed="false">
      <c r="A323" s="3" t="n">
        <v>2012</v>
      </c>
      <c r="B323" s="3" t="n">
        <v>11</v>
      </c>
      <c r="C323" s="3" t="n">
        <v>17</v>
      </c>
      <c r="D323" s="3" t="s">
        <v>327</v>
      </c>
      <c r="E323" s="4" t="n">
        <v>9</v>
      </c>
    </row>
    <row r="324" customFormat="false" ht="15" hidden="false" customHeight="false" outlineLevel="0" collapsed="false">
      <c r="A324" s="3" t="n">
        <v>2012</v>
      </c>
      <c r="B324" s="3" t="n">
        <v>11</v>
      </c>
      <c r="C324" s="3" t="n">
        <v>18</v>
      </c>
      <c r="D324" s="3" t="s">
        <v>328</v>
      </c>
      <c r="E324" s="4" t="n">
        <v>0</v>
      </c>
    </row>
    <row r="325" customFormat="false" ht="15" hidden="false" customHeight="false" outlineLevel="0" collapsed="false">
      <c r="A325" s="3" t="n">
        <v>2012</v>
      </c>
      <c r="B325" s="3" t="n">
        <v>11</v>
      </c>
      <c r="C325" s="3" t="n">
        <v>19</v>
      </c>
      <c r="D325" s="3" t="s">
        <v>329</v>
      </c>
      <c r="E325" s="4" t="n">
        <v>8</v>
      </c>
    </row>
    <row r="326" customFormat="false" ht="15" hidden="false" customHeight="false" outlineLevel="0" collapsed="false">
      <c r="A326" s="3" t="n">
        <v>2012</v>
      </c>
      <c r="B326" s="3" t="n">
        <v>11</v>
      </c>
      <c r="C326" s="3" t="n">
        <v>20</v>
      </c>
      <c r="D326" s="3" t="s">
        <v>330</v>
      </c>
      <c r="E326" s="4" t="n">
        <v>0</v>
      </c>
    </row>
    <row r="327" customFormat="false" ht="15" hidden="false" customHeight="false" outlineLevel="0" collapsed="false">
      <c r="A327" s="3" t="n">
        <v>2012</v>
      </c>
      <c r="B327" s="3" t="n">
        <v>11</v>
      </c>
      <c r="C327" s="3" t="n">
        <v>21</v>
      </c>
      <c r="D327" s="3" t="s">
        <v>331</v>
      </c>
      <c r="E327" s="4" t="n">
        <v>26</v>
      </c>
    </row>
    <row r="328" customFormat="false" ht="15" hidden="false" customHeight="false" outlineLevel="0" collapsed="false">
      <c r="A328" s="3" t="n">
        <v>2012</v>
      </c>
      <c r="B328" s="3" t="n">
        <v>11</v>
      </c>
      <c r="C328" s="3" t="n">
        <v>22</v>
      </c>
      <c r="D328" s="3" t="s">
        <v>332</v>
      </c>
      <c r="E328" s="4" t="n">
        <v>20</v>
      </c>
    </row>
    <row r="329" customFormat="false" ht="15" hidden="false" customHeight="false" outlineLevel="0" collapsed="false">
      <c r="A329" s="3" t="n">
        <v>2012</v>
      </c>
      <c r="B329" s="3" t="n">
        <v>11</v>
      </c>
      <c r="C329" s="3" t="n">
        <v>23</v>
      </c>
      <c r="D329" s="3" t="s">
        <v>333</v>
      </c>
      <c r="E329" s="4" t="n">
        <v>0</v>
      </c>
    </row>
    <row r="330" customFormat="false" ht="15" hidden="false" customHeight="false" outlineLevel="0" collapsed="false">
      <c r="A330" s="3" t="n">
        <v>2012</v>
      </c>
      <c r="B330" s="3" t="n">
        <v>11</v>
      </c>
      <c r="C330" s="3" t="n">
        <v>24</v>
      </c>
      <c r="D330" s="3" t="s">
        <v>334</v>
      </c>
      <c r="E330" s="4" t="n">
        <v>20</v>
      </c>
    </row>
    <row r="331" customFormat="false" ht="15" hidden="false" customHeight="false" outlineLevel="0" collapsed="false">
      <c r="A331" s="3" t="n">
        <v>2012</v>
      </c>
      <c r="B331" s="3" t="n">
        <v>11</v>
      </c>
      <c r="C331" s="3" t="n">
        <v>25</v>
      </c>
      <c r="D331" s="3" t="s">
        <v>335</v>
      </c>
      <c r="E331" s="4" t="n">
        <v>24</v>
      </c>
    </row>
    <row r="332" customFormat="false" ht="15" hidden="false" customHeight="false" outlineLevel="0" collapsed="false">
      <c r="A332" s="3" t="n">
        <v>2012</v>
      </c>
      <c r="B332" s="3" t="n">
        <v>11</v>
      </c>
      <c r="C332" s="3" t="n">
        <v>26</v>
      </c>
      <c r="D332" s="3" t="s">
        <v>336</v>
      </c>
      <c r="E332" s="4" t="n">
        <v>0</v>
      </c>
    </row>
    <row r="333" customFormat="false" ht="15" hidden="false" customHeight="false" outlineLevel="0" collapsed="false">
      <c r="A333" s="3" t="n">
        <v>2012</v>
      </c>
      <c r="B333" s="3" t="n">
        <v>11</v>
      </c>
      <c r="C333" s="3" t="n">
        <v>27</v>
      </c>
      <c r="D333" s="3" t="s">
        <v>337</v>
      </c>
      <c r="E333" s="4" t="n">
        <v>28</v>
      </c>
    </row>
    <row r="334" customFormat="false" ht="15" hidden="false" customHeight="false" outlineLevel="0" collapsed="false">
      <c r="A334" s="3" t="n">
        <v>2012</v>
      </c>
      <c r="B334" s="3" t="n">
        <v>11</v>
      </c>
      <c r="C334" s="3" t="n">
        <v>28</v>
      </c>
      <c r="D334" s="3" t="s">
        <v>338</v>
      </c>
      <c r="E334" s="4" t="n">
        <v>20</v>
      </c>
    </row>
    <row r="335" customFormat="false" ht="15" hidden="false" customHeight="false" outlineLevel="0" collapsed="false">
      <c r="A335" s="3" t="n">
        <v>2012</v>
      </c>
      <c r="B335" s="3" t="n">
        <v>11</v>
      </c>
      <c r="C335" s="3" t="n">
        <v>29</v>
      </c>
      <c r="D335" s="3" t="s">
        <v>339</v>
      </c>
      <c r="E335" s="4" t="n">
        <v>0</v>
      </c>
    </row>
    <row r="336" customFormat="false" ht="15" hidden="false" customHeight="false" outlineLevel="0" collapsed="false">
      <c r="A336" s="3" t="n">
        <v>2012</v>
      </c>
      <c r="B336" s="3" t="n">
        <v>11</v>
      </c>
      <c r="C336" s="3" t="n">
        <v>30</v>
      </c>
      <c r="D336" s="3" t="s">
        <v>340</v>
      </c>
      <c r="E336" s="4" t="n">
        <v>0</v>
      </c>
    </row>
    <row r="337" customFormat="false" ht="15" hidden="false" customHeight="false" outlineLevel="0" collapsed="false">
      <c r="A337" s="3" t="n">
        <v>2012</v>
      </c>
      <c r="B337" s="3" t="n">
        <v>12</v>
      </c>
      <c r="C337" s="3" t="n">
        <v>1</v>
      </c>
      <c r="D337" s="3" t="s">
        <v>341</v>
      </c>
      <c r="E337" s="4" t="n">
        <v>0</v>
      </c>
    </row>
    <row r="338" customFormat="false" ht="15" hidden="false" customHeight="false" outlineLevel="0" collapsed="false">
      <c r="A338" s="3" t="n">
        <v>2012</v>
      </c>
      <c r="B338" s="3" t="n">
        <v>12</v>
      </c>
      <c r="C338" s="3" t="n">
        <v>2</v>
      </c>
      <c r="D338" s="3" t="s">
        <v>342</v>
      </c>
      <c r="E338" s="4" t="n">
        <v>11</v>
      </c>
    </row>
    <row r="339" customFormat="false" ht="15" hidden="false" customHeight="false" outlineLevel="0" collapsed="false">
      <c r="A339" s="3" t="n">
        <v>2012</v>
      </c>
      <c r="B339" s="3" t="n">
        <v>12</v>
      </c>
      <c r="C339" s="3" t="n">
        <v>3</v>
      </c>
      <c r="D339" s="3" t="s">
        <v>343</v>
      </c>
      <c r="E339" s="4" t="n">
        <v>8</v>
      </c>
    </row>
    <row r="340" customFormat="false" ht="15" hidden="false" customHeight="false" outlineLevel="0" collapsed="false">
      <c r="A340" s="3" t="n">
        <v>2012</v>
      </c>
      <c r="B340" s="3" t="n">
        <v>12</v>
      </c>
      <c r="C340" s="3" t="n">
        <v>4</v>
      </c>
      <c r="D340" s="3" t="s">
        <v>344</v>
      </c>
      <c r="E340" s="4" t="n">
        <v>10</v>
      </c>
    </row>
    <row r="341" customFormat="false" ht="15" hidden="false" customHeight="false" outlineLevel="0" collapsed="false">
      <c r="A341" s="3" t="n">
        <v>2012</v>
      </c>
      <c r="B341" s="3" t="n">
        <v>12</v>
      </c>
      <c r="C341" s="3" t="n">
        <v>5</v>
      </c>
      <c r="D341" s="3" t="s">
        <v>345</v>
      </c>
      <c r="E341" s="4" t="n">
        <v>0</v>
      </c>
    </row>
    <row r="342" customFormat="false" ht="15" hidden="false" customHeight="false" outlineLevel="0" collapsed="false">
      <c r="A342" s="3" t="n">
        <v>2012</v>
      </c>
      <c r="B342" s="3" t="n">
        <v>12</v>
      </c>
      <c r="C342" s="3" t="n">
        <v>6</v>
      </c>
      <c r="D342" s="3" t="s">
        <v>346</v>
      </c>
      <c r="E342" s="4" t="n">
        <v>7</v>
      </c>
    </row>
    <row r="343" customFormat="false" ht="15" hidden="false" customHeight="false" outlineLevel="0" collapsed="false">
      <c r="A343" s="3" t="n">
        <v>2012</v>
      </c>
      <c r="B343" s="3" t="n">
        <v>12</v>
      </c>
      <c r="C343" s="3" t="n">
        <v>7</v>
      </c>
      <c r="D343" s="3" t="s">
        <v>347</v>
      </c>
      <c r="E343" s="4" t="n">
        <v>0</v>
      </c>
    </row>
    <row r="344" customFormat="false" ht="15" hidden="false" customHeight="false" outlineLevel="0" collapsed="false">
      <c r="A344" s="3" t="n">
        <v>2012</v>
      </c>
      <c r="B344" s="3" t="n">
        <v>12</v>
      </c>
      <c r="C344" s="3" t="n">
        <v>8</v>
      </c>
      <c r="D344" s="3" t="s">
        <v>348</v>
      </c>
      <c r="E344" s="4" t="n">
        <v>16</v>
      </c>
    </row>
    <row r="345" customFormat="false" ht="15" hidden="false" customHeight="false" outlineLevel="0" collapsed="false">
      <c r="A345" s="3" t="n">
        <v>2012</v>
      </c>
      <c r="B345" s="3" t="n">
        <v>12</v>
      </c>
      <c r="C345" s="3" t="n">
        <v>9</v>
      </c>
      <c r="D345" s="3" t="s">
        <v>349</v>
      </c>
      <c r="E345" s="4" t="n">
        <v>0</v>
      </c>
    </row>
    <row r="346" customFormat="false" ht="15" hidden="false" customHeight="false" outlineLevel="0" collapsed="false">
      <c r="A346" s="3" t="n">
        <v>2012</v>
      </c>
      <c r="B346" s="3" t="n">
        <v>12</v>
      </c>
      <c r="C346" s="3" t="n">
        <v>10</v>
      </c>
      <c r="D346" s="3" t="s">
        <v>350</v>
      </c>
      <c r="E346" s="4" t="n">
        <v>14</v>
      </c>
    </row>
    <row r="347" customFormat="false" ht="15" hidden="false" customHeight="false" outlineLevel="0" collapsed="false">
      <c r="A347" s="3" t="n">
        <v>2012</v>
      </c>
      <c r="B347" s="3" t="n">
        <v>12</v>
      </c>
      <c r="C347" s="3" t="n">
        <v>11</v>
      </c>
      <c r="D347" s="3" t="s">
        <v>351</v>
      </c>
      <c r="E347" s="4" t="n">
        <v>8</v>
      </c>
    </row>
    <row r="348" customFormat="false" ht="15" hidden="false" customHeight="false" outlineLevel="0" collapsed="false">
      <c r="A348" s="3" t="n">
        <v>2012</v>
      </c>
      <c r="B348" s="3" t="n">
        <v>12</v>
      </c>
      <c r="C348" s="3" t="n">
        <v>12</v>
      </c>
      <c r="D348" s="3" t="s">
        <v>352</v>
      </c>
      <c r="E348" s="4" t="n">
        <v>6</v>
      </c>
    </row>
    <row r="349" customFormat="false" ht="15" hidden="false" customHeight="false" outlineLevel="0" collapsed="false">
      <c r="A349" s="3" t="n">
        <v>2012</v>
      </c>
      <c r="B349" s="3" t="n">
        <v>12</v>
      </c>
      <c r="C349" s="3" t="n">
        <v>13</v>
      </c>
      <c r="D349" s="3" t="s">
        <v>353</v>
      </c>
      <c r="E349" s="4" t="n">
        <v>0</v>
      </c>
    </row>
    <row r="350" customFormat="false" ht="15" hidden="false" customHeight="false" outlineLevel="0" collapsed="false">
      <c r="A350" s="3" t="n">
        <v>2012</v>
      </c>
      <c r="B350" s="3" t="n">
        <v>12</v>
      </c>
      <c r="C350" s="3" t="n">
        <v>14</v>
      </c>
      <c r="D350" s="3" t="s">
        <v>354</v>
      </c>
      <c r="E350" s="4" t="n">
        <v>3</v>
      </c>
    </row>
    <row r="351" customFormat="false" ht="15" hidden="false" customHeight="false" outlineLevel="0" collapsed="false">
      <c r="A351" s="3" t="n">
        <v>2012</v>
      </c>
      <c r="B351" s="3" t="n">
        <v>12</v>
      </c>
      <c r="C351" s="3" t="n">
        <v>15</v>
      </c>
      <c r="D351" s="3" t="s">
        <v>355</v>
      </c>
      <c r="E351" s="4" t="n">
        <v>0</v>
      </c>
    </row>
    <row r="352" customFormat="false" ht="15" hidden="false" customHeight="false" outlineLevel="0" collapsed="false">
      <c r="A352" s="3" t="n">
        <v>2012</v>
      </c>
      <c r="B352" s="3" t="n">
        <v>12</v>
      </c>
      <c r="C352" s="3" t="n">
        <v>16</v>
      </c>
      <c r="D352" s="3" t="s">
        <v>356</v>
      </c>
      <c r="E352" s="4" t="n">
        <v>26</v>
      </c>
    </row>
    <row r="353" customFormat="false" ht="15" hidden="false" customHeight="false" outlineLevel="0" collapsed="false">
      <c r="A353" s="3" t="n">
        <v>2012</v>
      </c>
      <c r="B353" s="3" t="n">
        <v>12</v>
      </c>
      <c r="C353" s="3" t="n">
        <v>17</v>
      </c>
      <c r="D353" s="3" t="s">
        <v>357</v>
      </c>
      <c r="E353" s="4" t="n">
        <v>26</v>
      </c>
    </row>
    <row r="354" customFormat="false" ht="15" hidden="false" customHeight="false" outlineLevel="0" collapsed="false">
      <c r="A354" s="3" t="n">
        <v>2012</v>
      </c>
      <c r="B354" s="3" t="n">
        <v>12</v>
      </c>
      <c r="C354" s="3" t="n">
        <v>18</v>
      </c>
      <c r="D354" s="3" t="s">
        <v>358</v>
      </c>
      <c r="E354" s="4" t="n">
        <v>35</v>
      </c>
    </row>
    <row r="355" customFormat="false" ht="15" hidden="false" customHeight="false" outlineLevel="0" collapsed="false">
      <c r="A355" s="3" t="n">
        <v>2012</v>
      </c>
      <c r="B355" s="3" t="n">
        <v>12</v>
      </c>
      <c r="C355" s="3" t="n">
        <v>19</v>
      </c>
      <c r="D355" s="3" t="s">
        <v>359</v>
      </c>
      <c r="E355" s="4" t="n">
        <v>20</v>
      </c>
    </row>
    <row r="356" customFormat="false" ht="15" hidden="false" customHeight="false" outlineLevel="0" collapsed="false">
      <c r="A356" s="3" t="n">
        <v>2012</v>
      </c>
      <c r="B356" s="3" t="n">
        <v>12</v>
      </c>
      <c r="C356" s="3" t="n">
        <v>20</v>
      </c>
      <c r="D356" s="3" t="s">
        <v>360</v>
      </c>
      <c r="E356" s="4" t="n">
        <v>0</v>
      </c>
    </row>
    <row r="357" customFormat="false" ht="15" hidden="false" customHeight="false" outlineLevel="0" collapsed="false">
      <c r="A357" s="3" t="n">
        <v>2012</v>
      </c>
      <c r="B357" s="3" t="n">
        <v>12</v>
      </c>
      <c r="C357" s="3" t="n">
        <v>21</v>
      </c>
      <c r="D357" s="3" t="s">
        <v>361</v>
      </c>
      <c r="E357" s="4" t="n">
        <v>0</v>
      </c>
    </row>
    <row r="358" customFormat="false" ht="15" hidden="false" customHeight="false" outlineLevel="0" collapsed="false">
      <c r="A358" s="3" t="n">
        <v>2012</v>
      </c>
      <c r="B358" s="3" t="n">
        <v>12</v>
      </c>
      <c r="C358" s="3" t="n">
        <v>22</v>
      </c>
      <c r="D358" s="3" t="s">
        <v>362</v>
      </c>
      <c r="E358" s="4" t="n">
        <v>16</v>
      </c>
    </row>
    <row r="359" customFormat="false" ht="15" hidden="false" customHeight="false" outlineLevel="0" collapsed="false">
      <c r="A359" s="3" t="n">
        <v>2012</v>
      </c>
      <c r="B359" s="3" t="n">
        <v>12</v>
      </c>
      <c r="C359" s="3" t="n">
        <v>23</v>
      </c>
      <c r="D359" s="3" t="s">
        <v>363</v>
      </c>
      <c r="E359" s="4" t="n">
        <v>15</v>
      </c>
    </row>
    <row r="360" customFormat="false" ht="15" hidden="false" customHeight="false" outlineLevel="0" collapsed="false">
      <c r="A360" s="3" t="n">
        <v>2012</v>
      </c>
      <c r="B360" s="3" t="n">
        <v>12</v>
      </c>
      <c r="C360" s="3" t="n">
        <v>24</v>
      </c>
      <c r="D360" s="3" t="s">
        <v>364</v>
      </c>
      <c r="E360" s="4" t="n">
        <v>12</v>
      </c>
    </row>
    <row r="361" customFormat="false" ht="15" hidden="false" customHeight="false" outlineLevel="0" collapsed="false">
      <c r="A361" s="3" t="n">
        <v>2012</v>
      </c>
      <c r="B361" s="3" t="n">
        <v>12</v>
      </c>
      <c r="C361" s="3" t="n">
        <v>25</v>
      </c>
      <c r="D361" s="3" t="s">
        <v>365</v>
      </c>
      <c r="E361" s="4" t="n">
        <v>10</v>
      </c>
    </row>
    <row r="362" customFormat="false" ht="15" hidden="false" customHeight="false" outlineLevel="0" collapsed="false">
      <c r="A362" s="3" t="n">
        <v>2012</v>
      </c>
      <c r="B362" s="3" t="n">
        <v>12</v>
      </c>
      <c r="C362" s="3" t="n">
        <v>26</v>
      </c>
      <c r="D362" s="3" t="s">
        <v>366</v>
      </c>
      <c r="E362" s="4" t="n">
        <v>0</v>
      </c>
    </row>
    <row r="363" customFormat="false" ht="15" hidden="false" customHeight="false" outlineLevel="0" collapsed="false">
      <c r="A363" s="3" t="n">
        <v>2012</v>
      </c>
      <c r="B363" s="3" t="n">
        <v>12</v>
      </c>
      <c r="C363" s="3" t="n">
        <v>27</v>
      </c>
      <c r="D363" s="3" t="s">
        <v>367</v>
      </c>
      <c r="E363" s="4" t="n">
        <v>0</v>
      </c>
    </row>
    <row r="364" customFormat="false" ht="15" hidden="false" customHeight="false" outlineLevel="0" collapsed="false">
      <c r="A364" s="3" t="n">
        <v>2012</v>
      </c>
      <c r="B364" s="3" t="n">
        <v>12</v>
      </c>
      <c r="C364" s="3" t="n">
        <v>28</v>
      </c>
      <c r="D364" s="3" t="s">
        <v>368</v>
      </c>
      <c r="E364" s="4" t="n">
        <v>0</v>
      </c>
    </row>
    <row r="365" customFormat="false" ht="15" hidden="false" customHeight="false" outlineLevel="0" collapsed="false">
      <c r="A365" s="3" t="n">
        <v>2012</v>
      </c>
      <c r="B365" s="3" t="n">
        <v>12</v>
      </c>
      <c r="C365" s="3" t="n">
        <v>29</v>
      </c>
      <c r="D365" s="3" t="s">
        <v>369</v>
      </c>
      <c r="E365" s="4" t="n">
        <v>0</v>
      </c>
    </row>
    <row r="366" customFormat="false" ht="15" hidden="false" customHeight="false" outlineLevel="0" collapsed="false">
      <c r="A366" s="3" t="n">
        <v>2012</v>
      </c>
      <c r="B366" s="3" t="n">
        <v>12</v>
      </c>
      <c r="C366" s="3" t="n">
        <v>30</v>
      </c>
      <c r="D366" s="3" t="s">
        <v>370</v>
      </c>
      <c r="E366" s="4" t="n">
        <v>6</v>
      </c>
    </row>
    <row r="367" customFormat="false" ht="15" hidden="false" customHeight="false" outlineLevel="0" collapsed="false">
      <c r="A367" s="3" t="n">
        <v>2012</v>
      </c>
      <c r="B367" s="3" t="n">
        <v>12</v>
      </c>
      <c r="C367" s="3" t="n">
        <v>31</v>
      </c>
      <c r="D367" s="3" t="s">
        <v>371</v>
      </c>
      <c r="E367" s="4" t="n">
        <v>48</v>
      </c>
    </row>
    <row r="368" customFormat="false" ht="15" hidden="false" customHeight="false" outlineLevel="0" collapsed="false">
      <c r="A368" s="3" t="n">
        <v>2013</v>
      </c>
      <c r="B368" s="3" t="n">
        <v>1</v>
      </c>
      <c r="C368" s="3" t="n">
        <v>1</v>
      </c>
      <c r="D368" s="3" t="s">
        <v>372</v>
      </c>
      <c r="E368" s="4" t="n">
        <v>38</v>
      </c>
    </row>
    <row r="369" customFormat="false" ht="15" hidden="false" customHeight="false" outlineLevel="0" collapsed="false">
      <c r="A369" s="3" t="n">
        <v>2013</v>
      </c>
      <c r="B369" s="3" t="n">
        <v>1</v>
      </c>
      <c r="C369" s="3" t="n">
        <v>2</v>
      </c>
      <c r="D369" s="3" t="s">
        <v>373</v>
      </c>
      <c r="E369" s="4" t="n">
        <v>0</v>
      </c>
    </row>
    <row r="370" customFormat="false" ht="15" hidden="false" customHeight="false" outlineLevel="0" collapsed="false">
      <c r="A370" s="3" t="n">
        <v>2013</v>
      </c>
      <c r="B370" s="3" t="n">
        <v>1</v>
      </c>
      <c r="C370" s="3" t="n">
        <v>3</v>
      </c>
      <c r="D370" s="3" t="s">
        <v>374</v>
      </c>
      <c r="E370" s="4" t="n">
        <v>3</v>
      </c>
    </row>
    <row r="371" customFormat="false" ht="15" hidden="false" customHeight="false" outlineLevel="0" collapsed="false">
      <c r="A371" s="3" t="n">
        <v>2013</v>
      </c>
      <c r="B371" s="3" t="n">
        <v>1</v>
      </c>
      <c r="C371" s="3" t="n">
        <v>4</v>
      </c>
      <c r="D371" s="3" t="s">
        <v>375</v>
      </c>
      <c r="E371" s="4" t="n">
        <v>2</v>
      </c>
    </row>
    <row r="372" customFormat="false" ht="15" hidden="false" customHeight="false" outlineLevel="0" collapsed="false">
      <c r="A372" s="3" t="n">
        <v>2013</v>
      </c>
      <c r="B372" s="3" t="n">
        <v>1</v>
      </c>
      <c r="C372" s="3" t="n">
        <v>5</v>
      </c>
      <c r="D372" s="3" t="s">
        <v>376</v>
      </c>
      <c r="E372" s="4" t="n">
        <v>3</v>
      </c>
    </row>
    <row r="373" customFormat="false" ht="15" hidden="false" customHeight="false" outlineLevel="0" collapsed="false">
      <c r="A373" s="3" t="n">
        <v>2013</v>
      </c>
      <c r="B373" s="3" t="n">
        <v>1</v>
      </c>
      <c r="C373" s="3" t="n">
        <v>6</v>
      </c>
      <c r="D373" s="3" t="s">
        <v>377</v>
      </c>
      <c r="E373" s="4" t="n">
        <v>0</v>
      </c>
    </row>
    <row r="374" customFormat="false" ht="15" hidden="false" customHeight="false" outlineLevel="0" collapsed="false">
      <c r="A374" s="3" t="n">
        <v>2013</v>
      </c>
      <c r="B374" s="3" t="n">
        <v>1</v>
      </c>
      <c r="C374" s="3" t="n">
        <v>7</v>
      </c>
      <c r="D374" s="3" t="s">
        <v>378</v>
      </c>
      <c r="E374" s="4" t="n">
        <v>0</v>
      </c>
    </row>
    <row r="375" customFormat="false" ht="15" hidden="false" customHeight="false" outlineLevel="0" collapsed="false">
      <c r="A375" s="3" t="n">
        <v>2013</v>
      </c>
      <c r="B375" s="3" t="n">
        <v>1</v>
      </c>
      <c r="C375" s="3" t="n">
        <v>8</v>
      </c>
      <c r="D375" s="3" t="s">
        <v>379</v>
      </c>
      <c r="E375" s="4" t="n">
        <v>0</v>
      </c>
    </row>
    <row r="376" customFormat="false" ht="15" hidden="false" customHeight="false" outlineLevel="0" collapsed="false">
      <c r="A376" s="3" t="n">
        <v>2013</v>
      </c>
      <c r="B376" s="3" t="n">
        <v>1</v>
      </c>
      <c r="C376" s="3" t="n">
        <v>9</v>
      </c>
      <c r="D376" s="3" t="s">
        <v>380</v>
      </c>
      <c r="E376" s="4" t="n">
        <v>0</v>
      </c>
    </row>
    <row r="377" customFormat="false" ht="15" hidden="false" customHeight="false" outlineLevel="0" collapsed="false">
      <c r="A377" s="3" t="n">
        <v>2013</v>
      </c>
      <c r="B377" s="3" t="n">
        <v>1</v>
      </c>
      <c r="C377" s="3" t="n">
        <v>10</v>
      </c>
      <c r="D377" s="3" t="s">
        <v>381</v>
      </c>
      <c r="E377" s="4" t="n">
        <v>6</v>
      </c>
    </row>
    <row r="378" customFormat="false" ht="15" hidden="false" customHeight="false" outlineLevel="0" collapsed="false">
      <c r="A378" s="3" t="n">
        <v>2013</v>
      </c>
      <c r="B378" s="3" t="n">
        <v>1</v>
      </c>
      <c r="C378" s="3" t="n">
        <v>11</v>
      </c>
      <c r="D378" s="3" t="s">
        <v>382</v>
      </c>
      <c r="E378" s="4" t="n">
        <v>4</v>
      </c>
    </row>
    <row r="379" customFormat="false" ht="15" hidden="false" customHeight="false" outlineLevel="0" collapsed="false">
      <c r="A379" s="3" t="n">
        <v>2013</v>
      </c>
      <c r="B379" s="3" t="n">
        <v>1</v>
      </c>
      <c r="C379" s="3" t="n">
        <v>12</v>
      </c>
      <c r="D379" s="3" t="s">
        <v>383</v>
      </c>
      <c r="E379" s="4" t="n">
        <v>0</v>
      </c>
    </row>
    <row r="380" customFormat="false" ht="15" hidden="false" customHeight="false" outlineLevel="0" collapsed="false">
      <c r="A380" s="3" t="n">
        <v>2013</v>
      </c>
      <c r="B380" s="3" t="n">
        <v>1</v>
      </c>
      <c r="C380" s="3" t="n">
        <v>13</v>
      </c>
      <c r="D380" s="3" t="s">
        <v>384</v>
      </c>
      <c r="E380" s="4" t="n">
        <v>0</v>
      </c>
    </row>
    <row r="381" customFormat="false" ht="15" hidden="false" customHeight="false" outlineLevel="0" collapsed="false">
      <c r="A381" s="3" t="n">
        <v>2013</v>
      </c>
      <c r="B381" s="3" t="n">
        <v>1</v>
      </c>
      <c r="C381" s="3" t="n">
        <v>14</v>
      </c>
      <c r="D381" s="3" t="s">
        <v>385</v>
      </c>
      <c r="E381" s="4" t="n">
        <v>0</v>
      </c>
    </row>
    <row r="382" customFormat="false" ht="15" hidden="false" customHeight="false" outlineLevel="0" collapsed="false">
      <c r="A382" s="3" t="n">
        <v>2013</v>
      </c>
      <c r="B382" s="3" t="n">
        <v>1</v>
      </c>
      <c r="C382" s="3" t="n">
        <v>15</v>
      </c>
      <c r="D382" s="3" t="s">
        <v>386</v>
      </c>
      <c r="E382" s="4" t="n">
        <v>0</v>
      </c>
    </row>
    <row r="383" customFormat="false" ht="15" hidden="false" customHeight="false" outlineLevel="0" collapsed="false">
      <c r="A383" s="3" t="n">
        <v>2013</v>
      </c>
      <c r="B383" s="3" t="n">
        <v>1</v>
      </c>
      <c r="C383" s="3" t="n">
        <v>16</v>
      </c>
      <c r="D383" s="3" t="s">
        <v>387</v>
      </c>
      <c r="E383" s="4" t="n">
        <v>0</v>
      </c>
    </row>
    <row r="384" customFormat="false" ht="15" hidden="false" customHeight="false" outlineLevel="0" collapsed="false">
      <c r="A384" s="3" t="n">
        <v>2013</v>
      </c>
      <c r="B384" s="3" t="n">
        <v>1</v>
      </c>
      <c r="C384" s="3" t="n">
        <v>17</v>
      </c>
      <c r="D384" s="3" t="s">
        <v>388</v>
      </c>
      <c r="E384" s="4" t="n">
        <v>0</v>
      </c>
    </row>
    <row r="385" customFormat="false" ht="15" hidden="false" customHeight="false" outlineLevel="0" collapsed="false">
      <c r="A385" s="3" t="n">
        <v>2013</v>
      </c>
      <c r="B385" s="3" t="n">
        <v>1</v>
      </c>
      <c r="C385" s="3" t="n">
        <v>18</v>
      </c>
      <c r="D385" s="3" t="s">
        <v>389</v>
      </c>
      <c r="E385" s="4" t="n">
        <v>0</v>
      </c>
    </row>
    <row r="386" customFormat="false" ht="15" hidden="false" customHeight="false" outlineLevel="0" collapsed="false">
      <c r="A386" s="3" t="n">
        <v>2013</v>
      </c>
      <c r="B386" s="3" t="n">
        <v>1</v>
      </c>
      <c r="C386" s="3" t="n">
        <v>19</v>
      </c>
      <c r="D386" s="3" t="s">
        <v>390</v>
      </c>
      <c r="E386" s="4" t="n">
        <v>0</v>
      </c>
    </row>
    <row r="387" customFormat="false" ht="15" hidden="false" customHeight="false" outlineLevel="0" collapsed="false">
      <c r="A387" s="3" t="n">
        <v>2013</v>
      </c>
      <c r="B387" s="3" t="n">
        <v>1</v>
      </c>
      <c r="C387" s="3" t="n">
        <v>20</v>
      </c>
      <c r="D387" s="3" t="s">
        <v>391</v>
      </c>
      <c r="E387" s="4" t="n">
        <v>33</v>
      </c>
    </row>
    <row r="388" customFormat="false" ht="15" hidden="false" customHeight="false" outlineLevel="0" collapsed="false">
      <c r="A388" s="3" t="n">
        <v>2013</v>
      </c>
      <c r="B388" s="3" t="n">
        <v>1</v>
      </c>
      <c r="C388" s="3" t="n">
        <v>21</v>
      </c>
      <c r="D388" s="3" t="s">
        <v>392</v>
      </c>
      <c r="E388" s="4" t="n">
        <v>0</v>
      </c>
    </row>
    <row r="389" customFormat="false" ht="15" hidden="false" customHeight="false" outlineLevel="0" collapsed="false">
      <c r="A389" s="3" t="n">
        <v>2013</v>
      </c>
      <c r="B389" s="3" t="n">
        <v>1</v>
      </c>
      <c r="C389" s="3" t="n">
        <v>22</v>
      </c>
      <c r="D389" s="3" t="s">
        <v>393</v>
      </c>
      <c r="E389" s="4" t="n">
        <v>0</v>
      </c>
    </row>
    <row r="390" customFormat="false" ht="15" hidden="false" customHeight="false" outlineLevel="0" collapsed="false">
      <c r="A390" s="3" t="n">
        <v>2013</v>
      </c>
      <c r="B390" s="3" t="n">
        <v>1</v>
      </c>
      <c r="C390" s="3" t="n">
        <v>23</v>
      </c>
      <c r="D390" s="3" t="s">
        <v>394</v>
      </c>
      <c r="E390" s="4" t="n">
        <v>5</v>
      </c>
    </row>
    <row r="391" customFormat="false" ht="15" hidden="false" customHeight="false" outlineLevel="0" collapsed="false">
      <c r="A391" s="3" t="n">
        <v>2013</v>
      </c>
      <c r="B391" s="3" t="n">
        <v>1</v>
      </c>
      <c r="C391" s="3" t="n">
        <v>24</v>
      </c>
      <c r="D391" s="3" t="s">
        <v>395</v>
      </c>
      <c r="E391" s="4" t="n">
        <v>20</v>
      </c>
    </row>
    <row r="392" customFormat="false" ht="15" hidden="false" customHeight="false" outlineLevel="0" collapsed="false">
      <c r="A392" s="3" t="n">
        <v>2013</v>
      </c>
      <c r="B392" s="3" t="n">
        <v>1</v>
      </c>
      <c r="C392" s="3" t="n">
        <v>25</v>
      </c>
      <c r="D392" s="3" t="s">
        <v>396</v>
      </c>
      <c r="E392" s="4" t="n">
        <v>0</v>
      </c>
    </row>
    <row r="393" customFormat="false" ht="15" hidden="false" customHeight="false" outlineLevel="0" collapsed="false">
      <c r="A393" s="3" t="n">
        <v>2013</v>
      </c>
      <c r="B393" s="3" t="n">
        <v>1</v>
      </c>
      <c r="C393" s="3" t="n">
        <v>26</v>
      </c>
      <c r="D393" s="3" t="s">
        <v>397</v>
      </c>
      <c r="E393" s="4" t="n">
        <v>0</v>
      </c>
    </row>
    <row r="394" customFormat="false" ht="15" hidden="false" customHeight="false" outlineLevel="0" collapsed="false">
      <c r="A394" s="3" t="n">
        <v>2013</v>
      </c>
      <c r="B394" s="3" t="n">
        <v>1</v>
      </c>
      <c r="C394" s="3" t="n">
        <v>27</v>
      </c>
      <c r="D394" s="3" t="s">
        <v>398</v>
      </c>
      <c r="E394" s="4" t="n">
        <v>0</v>
      </c>
    </row>
    <row r="395" customFormat="false" ht="15" hidden="false" customHeight="false" outlineLevel="0" collapsed="false">
      <c r="A395" s="3" t="n">
        <v>2013</v>
      </c>
      <c r="B395" s="3" t="n">
        <v>1</v>
      </c>
      <c r="C395" s="3" t="n">
        <v>28</v>
      </c>
      <c r="D395" s="3" t="s">
        <v>399</v>
      </c>
      <c r="E395" s="4" t="n">
        <v>0</v>
      </c>
    </row>
    <row r="396" customFormat="false" ht="15" hidden="false" customHeight="false" outlineLevel="0" collapsed="false">
      <c r="A396" s="3" t="n">
        <v>2013</v>
      </c>
      <c r="B396" s="3" t="n">
        <v>1</v>
      </c>
      <c r="C396" s="3" t="n">
        <v>29</v>
      </c>
      <c r="D396" s="3" t="s">
        <v>400</v>
      </c>
      <c r="E396" s="4" t="n">
        <v>0</v>
      </c>
    </row>
    <row r="397" customFormat="false" ht="15" hidden="false" customHeight="false" outlineLevel="0" collapsed="false">
      <c r="A397" s="3" t="n">
        <v>2013</v>
      </c>
      <c r="B397" s="3" t="n">
        <v>1</v>
      </c>
      <c r="C397" s="3" t="n">
        <v>30</v>
      </c>
      <c r="D397" s="3" t="s">
        <v>401</v>
      </c>
      <c r="E397" s="4" t="n">
        <v>27</v>
      </c>
    </row>
    <row r="398" customFormat="false" ht="15" hidden="false" customHeight="false" outlineLevel="0" collapsed="false">
      <c r="A398" s="3" t="n">
        <v>2013</v>
      </c>
      <c r="B398" s="3" t="n">
        <v>1</v>
      </c>
      <c r="C398" s="3" t="n">
        <v>31</v>
      </c>
      <c r="D398" s="3" t="s">
        <v>402</v>
      </c>
      <c r="E398" s="4" t="n">
        <v>0</v>
      </c>
    </row>
    <row r="399" customFormat="false" ht="15" hidden="false" customHeight="false" outlineLevel="0" collapsed="false">
      <c r="A399" s="3" t="n">
        <v>2013</v>
      </c>
      <c r="B399" s="3" t="n">
        <v>2</v>
      </c>
      <c r="C399" s="3" t="n">
        <v>1</v>
      </c>
      <c r="D399" s="3" t="s">
        <v>403</v>
      </c>
      <c r="E399" s="4" t="n">
        <v>0</v>
      </c>
    </row>
    <row r="400" customFormat="false" ht="15" hidden="false" customHeight="false" outlineLevel="0" collapsed="false">
      <c r="A400" s="3" t="n">
        <v>2013</v>
      </c>
      <c r="B400" s="3" t="n">
        <v>2</v>
      </c>
      <c r="C400" s="3" t="n">
        <v>2</v>
      </c>
      <c r="D400" s="3" t="s">
        <v>404</v>
      </c>
      <c r="E400" s="4" t="n">
        <v>0</v>
      </c>
    </row>
    <row r="401" customFormat="false" ht="15" hidden="false" customHeight="false" outlineLevel="0" collapsed="false">
      <c r="A401" s="3" t="n">
        <v>2013</v>
      </c>
      <c r="B401" s="3" t="n">
        <v>2</v>
      </c>
      <c r="C401" s="3" t="n">
        <v>3</v>
      </c>
      <c r="D401" s="3" t="s">
        <v>405</v>
      </c>
      <c r="E401" s="4" t="n">
        <v>4</v>
      </c>
    </row>
    <row r="402" customFormat="false" ht="15" hidden="false" customHeight="false" outlineLevel="0" collapsed="false">
      <c r="A402" s="3" t="n">
        <v>2013</v>
      </c>
      <c r="B402" s="3" t="n">
        <v>2</v>
      </c>
      <c r="C402" s="3" t="n">
        <v>4</v>
      </c>
      <c r="D402" s="3" t="s">
        <v>406</v>
      </c>
      <c r="E402" s="4" t="n">
        <v>33</v>
      </c>
    </row>
    <row r="403" customFormat="false" ht="15" hidden="false" customHeight="false" outlineLevel="0" collapsed="false">
      <c r="A403" s="3" t="n">
        <v>2013</v>
      </c>
      <c r="B403" s="3" t="n">
        <v>2</v>
      </c>
      <c r="C403" s="3" t="n">
        <v>5</v>
      </c>
      <c r="D403" s="3" t="s">
        <v>407</v>
      </c>
      <c r="E403" s="4" t="n">
        <v>0</v>
      </c>
    </row>
    <row r="404" customFormat="false" ht="15" hidden="false" customHeight="false" outlineLevel="0" collapsed="false">
      <c r="A404" s="3" t="n">
        <v>2013</v>
      </c>
      <c r="B404" s="3" t="n">
        <v>2</v>
      </c>
      <c r="C404" s="3" t="n">
        <v>6</v>
      </c>
      <c r="D404" s="3" t="s">
        <v>408</v>
      </c>
      <c r="E404" s="4" t="n">
        <v>70</v>
      </c>
    </row>
    <row r="405" customFormat="false" ht="15" hidden="false" customHeight="false" outlineLevel="0" collapsed="false">
      <c r="A405" s="3" t="n">
        <v>2013</v>
      </c>
      <c r="B405" s="3" t="n">
        <v>2</v>
      </c>
      <c r="C405" s="3" t="n">
        <v>7</v>
      </c>
      <c r="D405" s="3" t="s">
        <v>409</v>
      </c>
      <c r="E405" s="4" t="n">
        <v>0</v>
      </c>
    </row>
    <row r="406" customFormat="false" ht="15" hidden="false" customHeight="false" outlineLevel="0" collapsed="false">
      <c r="A406" s="3" t="n">
        <v>2013</v>
      </c>
      <c r="B406" s="3" t="n">
        <v>2</v>
      </c>
      <c r="C406" s="3" t="n">
        <v>8</v>
      </c>
      <c r="D406" s="3" t="s">
        <v>410</v>
      </c>
      <c r="E406" s="4" t="n">
        <v>0</v>
      </c>
    </row>
    <row r="407" customFormat="false" ht="15" hidden="false" customHeight="false" outlineLevel="0" collapsed="false">
      <c r="A407" s="3" t="n">
        <v>2013</v>
      </c>
      <c r="B407" s="3" t="n">
        <v>2</v>
      </c>
      <c r="C407" s="3" t="n">
        <v>9</v>
      </c>
      <c r="D407" s="3" t="s">
        <v>411</v>
      </c>
      <c r="E407" s="4" t="n">
        <v>0</v>
      </c>
    </row>
    <row r="408" customFormat="false" ht="15" hidden="false" customHeight="false" outlineLevel="0" collapsed="false">
      <c r="A408" s="3" t="n">
        <v>2013</v>
      </c>
      <c r="B408" s="3" t="n">
        <v>2</v>
      </c>
      <c r="C408" s="3" t="n">
        <v>10</v>
      </c>
      <c r="D408" s="3" t="s">
        <v>412</v>
      </c>
      <c r="E408" s="4" t="n">
        <v>63</v>
      </c>
    </row>
    <row r="409" customFormat="false" ht="15" hidden="false" customHeight="false" outlineLevel="0" collapsed="false">
      <c r="A409" s="3" t="n">
        <v>2013</v>
      </c>
      <c r="B409" s="3" t="n">
        <v>2</v>
      </c>
      <c r="C409" s="3" t="n">
        <v>11</v>
      </c>
      <c r="D409" s="3" t="s">
        <v>413</v>
      </c>
      <c r="E409" s="4" t="n">
        <v>7</v>
      </c>
    </row>
    <row r="410" customFormat="false" ht="15" hidden="false" customHeight="false" outlineLevel="0" collapsed="false">
      <c r="A410" s="3" t="n">
        <v>2013</v>
      </c>
      <c r="B410" s="3" t="n">
        <v>2</v>
      </c>
      <c r="C410" s="3" t="n">
        <v>12</v>
      </c>
      <c r="D410" s="3" t="s">
        <v>414</v>
      </c>
      <c r="E410" s="4" t="n">
        <v>0</v>
      </c>
    </row>
    <row r="411" customFormat="false" ht="15" hidden="false" customHeight="false" outlineLevel="0" collapsed="false">
      <c r="A411" s="3" t="n">
        <v>2013</v>
      </c>
      <c r="B411" s="3" t="n">
        <v>2</v>
      </c>
      <c r="C411" s="3" t="n">
        <v>13</v>
      </c>
      <c r="D411" s="3" t="s">
        <v>415</v>
      </c>
      <c r="E411" s="4" t="n">
        <v>0</v>
      </c>
    </row>
    <row r="412" customFormat="false" ht="15" hidden="false" customHeight="false" outlineLevel="0" collapsed="false">
      <c r="A412" s="3" t="n">
        <v>2013</v>
      </c>
      <c r="B412" s="3" t="n">
        <v>2</v>
      </c>
      <c r="C412" s="3" t="n">
        <v>14</v>
      </c>
      <c r="D412" s="3" t="s">
        <v>416</v>
      </c>
      <c r="E412" s="4" t="n">
        <v>20</v>
      </c>
    </row>
    <row r="413" customFormat="false" ht="15" hidden="false" customHeight="false" outlineLevel="0" collapsed="false">
      <c r="A413" s="3" t="n">
        <v>2013</v>
      </c>
      <c r="B413" s="3" t="n">
        <v>2</v>
      </c>
      <c r="C413" s="3" t="n">
        <v>15</v>
      </c>
      <c r="D413" s="3" t="s">
        <v>417</v>
      </c>
      <c r="E413" s="4" t="n">
        <v>2</v>
      </c>
    </row>
    <row r="414" customFormat="false" ht="15" hidden="false" customHeight="false" outlineLevel="0" collapsed="false">
      <c r="A414" s="3" t="n">
        <v>2013</v>
      </c>
      <c r="B414" s="3" t="n">
        <v>2</v>
      </c>
      <c r="C414" s="3" t="n">
        <v>16</v>
      </c>
      <c r="D414" s="3" t="s">
        <v>418</v>
      </c>
      <c r="E414" s="4" t="n">
        <v>0</v>
      </c>
    </row>
    <row r="415" customFormat="false" ht="15" hidden="false" customHeight="false" outlineLevel="0" collapsed="false">
      <c r="A415" s="3" t="n">
        <v>2013</v>
      </c>
      <c r="B415" s="3" t="n">
        <v>2</v>
      </c>
      <c r="C415" s="3" t="n">
        <v>17</v>
      </c>
      <c r="D415" s="3" t="s">
        <v>419</v>
      </c>
      <c r="E415" s="4" t="n">
        <v>4</v>
      </c>
    </row>
    <row r="416" customFormat="false" ht="15" hidden="false" customHeight="false" outlineLevel="0" collapsed="false">
      <c r="A416" s="3" t="n">
        <v>2013</v>
      </c>
      <c r="B416" s="3" t="n">
        <v>2</v>
      </c>
      <c r="C416" s="3" t="n">
        <v>18</v>
      </c>
      <c r="D416" s="3" t="s">
        <v>420</v>
      </c>
      <c r="E416" s="4" t="n">
        <v>67</v>
      </c>
    </row>
    <row r="417" customFormat="false" ht="15" hidden="false" customHeight="false" outlineLevel="0" collapsed="false">
      <c r="A417" s="3" t="n">
        <v>2013</v>
      </c>
      <c r="B417" s="3" t="n">
        <v>2</v>
      </c>
      <c r="C417" s="3" t="n">
        <v>19</v>
      </c>
      <c r="D417" s="3" t="s">
        <v>421</v>
      </c>
      <c r="E417" s="4" t="n">
        <v>0</v>
      </c>
    </row>
    <row r="418" customFormat="false" ht="15" hidden="false" customHeight="false" outlineLevel="0" collapsed="false">
      <c r="A418" s="3" t="n">
        <v>2013</v>
      </c>
      <c r="B418" s="3" t="n">
        <v>2</v>
      </c>
      <c r="C418" s="3" t="n">
        <v>20</v>
      </c>
      <c r="D418" s="3" t="s">
        <v>422</v>
      </c>
      <c r="E418" s="4" t="n">
        <v>1</v>
      </c>
    </row>
    <row r="419" customFormat="false" ht="15" hidden="false" customHeight="false" outlineLevel="0" collapsed="false">
      <c r="A419" s="3" t="n">
        <v>2013</v>
      </c>
      <c r="B419" s="3" t="n">
        <v>2</v>
      </c>
      <c r="C419" s="3" t="n">
        <v>21</v>
      </c>
      <c r="D419" s="3" t="s">
        <v>423</v>
      </c>
      <c r="E419" s="4" t="n">
        <v>0</v>
      </c>
    </row>
    <row r="420" customFormat="false" ht="15" hidden="false" customHeight="false" outlineLevel="0" collapsed="false">
      <c r="A420" s="3" t="n">
        <v>2013</v>
      </c>
      <c r="B420" s="3" t="n">
        <v>2</v>
      </c>
      <c r="C420" s="3" t="n">
        <v>22</v>
      </c>
      <c r="D420" s="3" t="s">
        <v>424</v>
      </c>
      <c r="E420" s="4" t="n">
        <v>3</v>
      </c>
    </row>
    <row r="421" customFormat="false" ht="15" hidden="false" customHeight="false" outlineLevel="0" collapsed="false">
      <c r="A421" s="3" t="n">
        <v>2013</v>
      </c>
      <c r="B421" s="3" t="n">
        <v>2</v>
      </c>
      <c r="C421" s="3" t="n">
        <v>23</v>
      </c>
      <c r="D421" s="3" t="s">
        <v>425</v>
      </c>
      <c r="E421" s="4" t="n">
        <v>0</v>
      </c>
    </row>
    <row r="422" customFormat="false" ht="15" hidden="false" customHeight="false" outlineLevel="0" collapsed="false">
      <c r="A422" s="3" t="n">
        <v>2013</v>
      </c>
      <c r="B422" s="3" t="n">
        <v>2</v>
      </c>
      <c r="C422" s="3" t="n">
        <v>24</v>
      </c>
      <c r="D422" s="3" t="s">
        <v>426</v>
      </c>
      <c r="E422" s="4" t="n">
        <v>2</v>
      </c>
    </row>
    <row r="423" customFormat="false" ht="15" hidden="false" customHeight="false" outlineLevel="0" collapsed="false">
      <c r="A423" s="3" t="n">
        <v>2013</v>
      </c>
      <c r="B423" s="3" t="n">
        <v>2</v>
      </c>
      <c r="C423" s="3" t="n">
        <v>25</v>
      </c>
      <c r="D423" s="3" t="s">
        <v>427</v>
      </c>
      <c r="E423" s="4" t="n">
        <v>15</v>
      </c>
    </row>
    <row r="424" customFormat="false" ht="15" hidden="false" customHeight="false" outlineLevel="0" collapsed="false">
      <c r="A424" s="3" t="n">
        <v>2013</v>
      </c>
      <c r="B424" s="3" t="n">
        <v>2</v>
      </c>
      <c r="C424" s="3" t="n">
        <v>26</v>
      </c>
      <c r="D424" s="3" t="s">
        <v>428</v>
      </c>
      <c r="E424" s="4" t="n">
        <v>0</v>
      </c>
    </row>
    <row r="425" customFormat="false" ht="15" hidden="false" customHeight="false" outlineLevel="0" collapsed="false">
      <c r="A425" s="3" t="n">
        <v>2013</v>
      </c>
      <c r="B425" s="3" t="n">
        <v>2</v>
      </c>
      <c r="C425" s="3" t="n">
        <v>27</v>
      </c>
      <c r="D425" s="3" t="s">
        <v>429</v>
      </c>
      <c r="E425" s="4" t="n">
        <v>0</v>
      </c>
    </row>
    <row r="426" customFormat="false" ht="15" hidden="false" customHeight="false" outlineLevel="0" collapsed="false">
      <c r="A426" s="3" t="n">
        <v>2013</v>
      </c>
      <c r="B426" s="3" t="n">
        <v>2</v>
      </c>
      <c r="C426" s="3" t="n">
        <v>28</v>
      </c>
      <c r="D426" s="3" t="s">
        <v>430</v>
      </c>
      <c r="E426" s="4" t="n">
        <v>0</v>
      </c>
    </row>
    <row r="427" customFormat="false" ht="15" hidden="false" customHeight="false" outlineLevel="0" collapsed="false">
      <c r="A427" s="3" t="n">
        <v>2013</v>
      </c>
      <c r="B427" s="3" t="n">
        <v>3</v>
      </c>
      <c r="C427" s="3" t="n">
        <v>1</v>
      </c>
      <c r="D427" s="3" t="s">
        <v>431</v>
      </c>
      <c r="E427" s="4" t="n">
        <v>0</v>
      </c>
    </row>
    <row r="428" customFormat="false" ht="15" hidden="false" customHeight="false" outlineLevel="0" collapsed="false">
      <c r="A428" s="3" t="n">
        <v>2013</v>
      </c>
      <c r="B428" s="3" t="n">
        <v>3</v>
      </c>
      <c r="C428" s="3" t="n">
        <v>2</v>
      </c>
      <c r="D428" s="3" t="s">
        <v>432</v>
      </c>
      <c r="E428" s="4" t="n">
        <v>0</v>
      </c>
    </row>
    <row r="429" customFormat="false" ht="15" hidden="false" customHeight="false" outlineLevel="0" collapsed="false">
      <c r="A429" s="3" t="n">
        <v>2013</v>
      </c>
      <c r="B429" s="3" t="n">
        <v>3</v>
      </c>
      <c r="C429" s="3" t="n">
        <v>3</v>
      </c>
      <c r="D429" s="3" t="s">
        <v>433</v>
      </c>
      <c r="E429" s="4" t="n">
        <v>0</v>
      </c>
    </row>
    <row r="430" customFormat="false" ht="15" hidden="false" customHeight="false" outlineLevel="0" collapsed="false">
      <c r="A430" s="3" t="n">
        <v>2013</v>
      </c>
      <c r="B430" s="3" t="n">
        <v>3</v>
      </c>
      <c r="C430" s="3" t="n">
        <v>4</v>
      </c>
      <c r="D430" s="3" t="s">
        <v>434</v>
      </c>
      <c r="E430" s="4" t="n">
        <v>0</v>
      </c>
    </row>
    <row r="431" customFormat="false" ht="15" hidden="false" customHeight="false" outlineLevel="0" collapsed="false">
      <c r="A431" s="3" t="n">
        <v>2013</v>
      </c>
      <c r="B431" s="3" t="n">
        <v>3</v>
      </c>
      <c r="C431" s="3" t="n">
        <v>5</v>
      </c>
      <c r="D431" s="3" t="s">
        <v>435</v>
      </c>
      <c r="E431" s="4" t="n">
        <v>0</v>
      </c>
    </row>
    <row r="432" customFormat="false" ht="15" hidden="false" customHeight="false" outlineLevel="0" collapsed="false">
      <c r="A432" s="3" t="n">
        <v>2013</v>
      </c>
      <c r="B432" s="3" t="n">
        <v>3</v>
      </c>
      <c r="C432" s="3" t="n">
        <v>6</v>
      </c>
      <c r="D432" s="3" t="s">
        <v>436</v>
      </c>
      <c r="E432" s="4" t="n">
        <v>4</v>
      </c>
    </row>
    <row r="433" customFormat="false" ht="15" hidden="false" customHeight="false" outlineLevel="0" collapsed="false">
      <c r="A433" s="3" t="n">
        <v>2013</v>
      </c>
      <c r="B433" s="3" t="n">
        <v>3</v>
      </c>
      <c r="C433" s="3" t="n">
        <v>7</v>
      </c>
      <c r="D433" s="3" t="s">
        <v>437</v>
      </c>
      <c r="E433" s="4" t="n">
        <v>5</v>
      </c>
    </row>
    <row r="434" customFormat="false" ht="15" hidden="false" customHeight="false" outlineLevel="0" collapsed="false">
      <c r="A434" s="3" t="n">
        <v>2013</v>
      </c>
      <c r="B434" s="3" t="n">
        <v>3</v>
      </c>
      <c r="C434" s="3" t="n">
        <v>8</v>
      </c>
      <c r="D434" s="3" t="s">
        <v>438</v>
      </c>
      <c r="E434" s="4" t="n">
        <v>10</v>
      </c>
    </row>
    <row r="435" customFormat="false" ht="15" hidden="false" customHeight="false" outlineLevel="0" collapsed="false">
      <c r="A435" s="3" t="n">
        <v>2013</v>
      </c>
      <c r="B435" s="3" t="n">
        <v>3</v>
      </c>
      <c r="C435" s="3" t="n">
        <v>9</v>
      </c>
      <c r="D435" s="3" t="s">
        <v>439</v>
      </c>
      <c r="E435" s="4" t="n">
        <v>8</v>
      </c>
    </row>
    <row r="436" customFormat="false" ht="15" hidden="false" customHeight="false" outlineLevel="0" collapsed="false">
      <c r="A436" s="3" t="n">
        <v>2013</v>
      </c>
      <c r="B436" s="3" t="n">
        <v>3</v>
      </c>
      <c r="C436" s="3" t="n">
        <v>10</v>
      </c>
      <c r="D436" s="3" t="s">
        <v>440</v>
      </c>
      <c r="E436" s="4" t="n">
        <v>0</v>
      </c>
    </row>
    <row r="437" customFormat="false" ht="15" hidden="false" customHeight="false" outlineLevel="0" collapsed="false">
      <c r="A437" s="3" t="n">
        <v>2013</v>
      </c>
      <c r="B437" s="3" t="n">
        <v>3</v>
      </c>
      <c r="C437" s="3" t="n">
        <v>11</v>
      </c>
      <c r="D437" s="3" t="s">
        <v>441</v>
      </c>
      <c r="E437" s="4" t="n">
        <v>0</v>
      </c>
    </row>
    <row r="438" customFormat="false" ht="15" hidden="false" customHeight="false" outlineLevel="0" collapsed="false">
      <c r="A438" s="3" t="n">
        <v>2013</v>
      </c>
      <c r="B438" s="3" t="n">
        <v>3</v>
      </c>
      <c r="C438" s="3" t="n">
        <v>12</v>
      </c>
      <c r="D438" s="3" t="s">
        <v>442</v>
      </c>
      <c r="E438" s="4" t="n">
        <v>0</v>
      </c>
    </row>
    <row r="439" customFormat="false" ht="15" hidden="false" customHeight="false" outlineLevel="0" collapsed="false">
      <c r="A439" s="3" t="n">
        <v>2013</v>
      </c>
      <c r="B439" s="3" t="n">
        <v>3</v>
      </c>
      <c r="C439" s="3" t="n">
        <v>13</v>
      </c>
      <c r="D439" s="3" t="s">
        <v>443</v>
      </c>
      <c r="E439" s="4" t="n">
        <v>0</v>
      </c>
    </row>
    <row r="440" customFormat="false" ht="15" hidden="false" customHeight="false" outlineLevel="0" collapsed="false">
      <c r="A440" s="3" t="n">
        <v>2013</v>
      </c>
      <c r="B440" s="3" t="n">
        <v>3</v>
      </c>
      <c r="C440" s="3" t="n">
        <v>14</v>
      </c>
      <c r="D440" s="3" t="s">
        <v>444</v>
      </c>
      <c r="E440" s="4" t="n">
        <v>0</v>
      </c>
    </row>
    <row r="441" customFormat="false" ht="15" hidden="false" customHeight="false" outlineLevel="0" collapsed="false">
      <c r="A441" s="3" t="n">
        <v>2013</v>
      </c>
      <c r="B441" s="3" t="n">
        <v>3</v>
      </c>
      <c r="C441" s="3" t="n">
        <v>15</v>
      </c>
      <c r="D441" s="3" t="s">
        <v>445</v>
      </c>
      <c r="E441" s="4" t="n">
        <v>0</v>
      </c>
    </row>
    <row r="442" customFormat="false" ht="15" hidden="false" customHeight="false" outlineLevel="0" collapsed="false">
      <c r="A442" s="3" t="n">
        <v>2013</v>
      </c>
      <c r="B442" s="3" t="n">
        <v>3</v>
      </c>
      <c r="C442" s="3" t="n">
        <v>16</v>
      </c>
      <c r="D442" s="3" t="s">
        <v>446</v>
      </c>
      <c r="E442" s="4" t="n">
        <v>0</v>
      </c>
    </row>
    <row r="443" customFormat="false" ht="15" hidden="false" customHeight="false" outlineLevel="0" collapsed="false">
      <c r="A443" s="3" t="n">
        <v>2013</v>
      </c>
      <c r="B443" s="3" t="n">
        <v>3</v>
      </c>
      <c r="C443" s="3" t="n">
        <v>17</v>
      </c>
      <c r="D443" s="3" t="s">
        <v>447</v>
      </c>
      <c r="E443" s="4" t="n">
        <v>10</v>
      </c>
    </row>
    <row r="444" customFormat="false" ht="15" hidden="false" customHeight="false" outlineLevel="0" collapsed="false">
      <c r="A444" s="3" t="n">
        <v>2013</v>
      </c>
      <c r="B444" s="3" t="n">
        <v>3</v>
      </c>
      <c r="C444" s="3" t="n">
        <v>18</v>
      </c>
      <c r="D444" s="3" t="s">
        <v>448</v>
      </c>
      <c r="E444" s="4" t="n">
        <v>0</v>
      </c>
    </row>
    <row r="445" customFormat="false" ht="15" hidden="false" customHeight="false" outlineLevel="0" collapsed="false">
      <c r="A445" s="3" t="n">
        <v>2013</v>
      </c>
      <c r="B445" s="3" t="n">
        <v>3</v>
      </c>
      <c r="C445" s="3" t="n">
        <v>19</v>
      </c>
      <c r="D445" s="3" t="s">
        <v>449</v>
      </c>
      <c r="E445" s="4" t="n">
        <v>0</v>
      </c>
    </row>
    <row r="446" customFormat="false" ht="15" hidden="false" customHeight="false" outlineLevel="0" collapsed="false">
      <c r="A446" s="3" t="n">
        <v>2013</v>
      </c>
      <c r="B446" s="3" t="n">
        <v>3</v>
      </c>
      <c r="C446" s="3" t="n">
        <v>20</v>
      </c>
      <c r="D446" s="3" t="s">
        <v>450</v>
      </c>
      <c r="E446" s="4" t="n">
        <v>12</v>
      </c>
    </row>
    <row r="447" customFormat="false" ht="15" hidden="false" customHeight="false" outlineLevel="0" collapsed="false">
      <c r="A447" s="3" t="n">
        <v>2013</v>
      </c>
      <c r="B447" s="3" t="n">
        <v>3</v>
      </c>
      <c r="C447" s="3" t="n">
        <v>21</v>
      </c>
      <c r="D447" s="3" t="s">
        <v>451</v>
      </c>
      <c r="E447" s="4" t="n">
        <v>2</v>
      </c>
    </row>
    <row r="448" customFormat="false" ht="15" hidden="false" customHeight="false" outlineLevel="0" collapsed="false">
      <c r="A448" s="3" t="n">
        <v>2013</v>
      </c>
      <c r="B448" s="3" t="n">
        <v>3</v>
      </c>
      <c r="C448" s="3" t="n">
        <v>22</v>
      </c>
      <c r="D448" s="3" t="s">
        <v>452</v>
      </c>
      <c r="E448" s="4" t="n">
        <v>9</v>
      </c>
    </row>
    <row r="449" customFormat="false" ht="15" hidden="false" customHeight="false" outlineLevel="0" collapsed="false">
      <c r="A449" s="3" t="n">
        <v>2013</v>
      </c>
      <c r="B449" s="3" t="n">
        <v>3</v>
      </c>
      <c r="C449" s="3" t="n">
        <v>23</v>
      </c>
      <c r="D449" s="3" t="s">
        <v>453</v>
      </c>
      <c r="E449" s="4" t="n">
        <v>8</v>
      </c>
    </row>
    <row r="450" customFormat="false" ht="15" hidden="false" customHeight="false" outlineLevel="0" collapsed="false">
      <c r="A450" s="3" t="n">
        <v>2013</v>
      </c>
      <c r="B450" s="3" t="n">
        <v>3</v>
      </c>
      <c r="C450" s="3" t="n">
        <v>24</v>
      </c>
      <c r="D450" s="3" t="s">
        <v>454</v>
      </c>
      <c r="E450" s="4" t="n">
        <v>2</v>
      </c>
    </row>
    <row r="451" customFormat="false" ht="15" hidden="false" customHeight="false" outlineLevel="0" collapsed="false">
      <c r="A451" s="3" t="n">
        <v>2013</v>
      </c>
      <c r="B451" s="3" t="n">
        <v>3</v>
      </c>
      <c r="C451" s="3" t="n">
        <v>25</v>
      </c>
      <c r="D451" s="3" t="s">
        <v>455</v>
      </c>
      <c r="E451" s="4" t="n">
        <v>26</v>
      </c>
    </row>
    <row r="452" customFormat="false" ht="15" hidden="false" customHeight="false" outlineLevel="0" collapsed="false">
      <c r="A452" s="3" t="n">
        <v>2013</v>
      </c>
      <c r="B452" s="3" t="n">
        <v>3</v>
      </c>
      <c r="C452" s="3" t="n">
        <v>26</v>
      </c>
      <c r="D452" s="3" t="s">
        <v>456</v>
      </c>
      <c r="E452" s="4" t="n">
        <v>7</v>
      </c>
    </row>
    <row r="453" customFormat="false" ht="15" hidden="false" customHeight="false" outlineLevel="0" collapsed="false">
      <c r="A453" s="3" t="n">
        <v>2013</v>
      </c>
      <c r="B453" s="3" t="n">
        <v>3</v>
      </c>
      <c r="C453" s="3" t="n">
        <v>27</v>
      </c>
      <c r="D453" s="3" t="s">
        <v>457</v>
      </c>
      <c r="E453" s="4" t="n">
        <v>0</v>
      </c>
    </row>
    <row r="454" customFormat="false" ht="15" hidden="false" customHeight="false" outlineLevel="0" collapsed="false">
      <c r="A454" s="3" t="n">
        <v>2013</v>
      </c>
      <c r="B454" s="3" t="n">
        <v>3</v>
      </c>
      <c r="C454" s="3" t="n">
        <v>28</v>
      </c>
      <c r="D454" s="3" t="s">
        <v>458</v>
      </c>
      <c r="E454" s="4" t="n">
        <v>6</v>
      </c>
    </row>
    <row r="455" customFormat="false" ht="15" hidden="false" customHeight="false" outlineLevel="0" collapsed="false">
      <c r="A455" s="3" t="n">
        <v>2013</v>
      </c>
      <c r="B455" s="3" t="n">
        <v>3</v>
      </c>
      <c r="C455" s="3" t="n">
        <v>29</v>
      </c>
      <c r="D455" s="3" t="s">
        <v>459</v>
      </c>
      <c r="E455" s="4" t="n">
        <v>7</v>
      </c>
    </row>
    <row r="456" customFormat="false" ht="15" hidden="false" customHeight="false" outlineLevel="0" collapsed="false">
      <c r="A456" s="3" t="n">
        <v>2013</v>
      </c>
      <c r="B456" s="3" t="n">
        <v>3</v>
      </c>
      <c r="C456" s="3" t="n">
        <v>30</v>
      </c>
      <c r="D456" s="3" t="s">
        <v>460</v>
      </c>
      <c r="E456" s="4" t="n">
        <v>8</v>
      </c>
    </row>
    <row r="457" customFormat="false" ht="15" hidden="false" customHeight="false" outlineLevel="0" collapsed="false">
      <c r="A457" s="3" t="n">
        <v>2013</v>
      </c>
      <c r="B457" s="3" t="n">
        <v>3</v>
      </c>
      <c r="C457" s="3" t="n">
        <v>31</v>
      </c>
      <c r="D457" s="3" t="s">
        <v>461</v>
      </c>
      <c r="E457" s="4" t="n">
        <v>28</v>
      </c>
    </row>
    <row r="458" customFormat="false" ht="15" hidden="false" customHeight="false" outlineLevel="0" collapsed="false">
      <c r="A458" s="3" t="n">
        <v>2013</v>
      </c>
      <c r="B458" s="3" t="n">
        <v>4</v>
      </c>
      <c r="C458" s="3" t="n">
        <v>1</v>
      </c>
      <c r="D458" s="3" t="s">
        <v>462</v>
      </c>
      <c r="E458" s="4" t="n">
        <v>9</v>
      </c>
    </row>
    <row r="459" customFormat="false" ht="15" hidden="false" customHeight="false" outlineLevel="0" collapsed="false">
      <c r="A459" s="3" t="n">
        <v>2013</v>
      </c>
      <c r="B459" s="3" t="n">
        <v>4</v>
      </c>
      <c r="C459" s="3" t="n">
        <v>2</v>
      </c>
      <c r="D459" s="3" t="s">
        <v>463</v>
      </c>
      <c r="E459" s="4" t="n">
        <v>32</v>
      </c>
    </row>
    <row r="460" customFormat="false" ht="15" hidden="false" customHeight="false" outlineLevel="0" collapsed="false">
      <c r="A460" s="3" t="n">
        <v>2013</v>
      </c>
      <c r="B460" s="3" t="n">
        <v>4</v>
      </c>
      <c r="C460" s="3" t="n">
        <v>3</v>
      </c>
      <c r="D460" s="3" t="s">
        <v>464</v>
      </c>
      <c r="E460" s="4" t="n">
        <v>0</v>
      </c>
    </row>
    <row r="461" customFormat="false" ht="15" hidden="false" customHeight="false" outlineLevel="0" collapsed="false">
      <c r="A461" s="3" t="n">
        <v>2013</v>
      </c>
      <c r="B461" s="3" t="n">
        <v>4</v>
      </c>
      <c r="C461" s="3" t="n">
        <v>4</v>
      </c>
      <c r="D461" s="3" t="s">
        <v>465</v>
      </c>
      <c r="E461" s="4" t="n">
        <v>0</v>
      </c>
    </row>
    <row r="462" customFormat="false" ht="15" hidden="false" customHeight="false" outlineLevel="0" collapsed="false">
      <c r="A462" s="3" t="n">
        <v>2013</v>
      </c>
      <c r="B462" s="3" t="n">
        <v>4</v>
      </c>
      <c r="C462" s="3" t="n">
        <v>5</v>
      </c>
      <c r="D462" s="3" t="s">
        <v>466</v>
      </c>
      <c r="E462" s="4" t="n">
        <v>29</v>
      </c>
    </row>
    <row r="463" customFormat="false" ht="15" hidden="false" customHeight="false" outlineLevel="0" collapsed="false">
      <c r="A463" s="3" t="n">
        <v>2013</v>
      </c>
      <c r="B463" s="3" t="n">
        <v>4</v>
      </c>
      <c r="C463" s="3" t="n">
        <v>6</v>
      </c>
      <c r="D463" s="3" t="s">
        <v>467</v>
      </c>
      <c r="E463" s="4" t="n">
        <v>0</v>
      </c>
    </row>
    <row r="464" customFormat="false" ht="15" hidden="false" customHeight="false" outlineLevel="0" collapsed="false">
      <c r="A464" s="3" t="n">
        <v>2013</v>
      </c>
      <c r="B464" s="3" t="n">
        <v>4</v>
      </c>
      <c r="C464" s="3" t="n">
        <v>7</v>
      </c>
      <c r="D464" s="3" t="s">
        <v>468</v>
      </c>
      <c r="E464" s="4" t="n">
        <v>96</v>
      </c>
    </row>
    <row r="465" customFormat="false" ht="15" hidden="false" customHeight="false" outlineLevel="0" collapsed="false">
      <c r="A465" s="3" t="n">
        <v>2013</v>
      </c>
      <c r="B465" s="3" t="n">
        <v>4</v>
      </c>
      <c r="C465" s="3" t="n">
        <v>8</v>
      </c>
      <c r="D465" s="3" t="s">
        <v>469</v>
      </c>
      <c r="E465" s="4" t="n">
        <v>69</v>
      </c>
    </row>
    <row r="466" customFormat="false" ht="15" hidden="false" customHeight="false" outlineLevel="0" collapsed="false">
      <c r="A466" s="3" t="n">
        <v>2013</v>
      </c>
      <c r="B466" s="3" t="n">
        <v>4</v>
      </c>
      <c r="C466" s="3" t="n">
        <v>9</v>
      </c>
      <c r="D466" s="3" t="s">
        <v>470</v>
      </c>
      <c r="E466" s="4" t="n">
        <v>0</v>
      </c>
    </row>
    <row r="467" customFormat="false" ht="15" hidden="false" customHeight="false" outlineLevel="0" collapsed="false">
      <c r="A467" s="3" t="n">
        <v>2013</v>
      </c>
      <c r="B467" s="3" t="n">
        <v>4</v>
      </c>
      <c r="C467" s="3" t="n">
        <v>10</v>
      </c>
      <c r="D467" s="3" t="s">
        <v>471</v>
      </c>
      <c r="E467" s="4" t="n">
        <v>0</v>
      </c>
    </row>
    <row r="468" customFormat="false" ht="15" hidden="false" customHeight="false" outlineLevel="0" collapsed="false">
      <c r="A468" s="3" t="n">
        <v>2013</v>
      </c>
      <c r="B468" s="3" t="n">
        <v>4</v>
      </c>
      <c r="C468" s="3" t="n">
        <v>11</v>
      </c>
      <c r="D468" s="3" t="s">
        <v>472</v>
      </c>
      <c r="E468" s="4" t="n">
        <v>7</v>
      </c>
    </row>
    <row r="469" customFormat="false" ht="15" hidden="false" customHeight="false" outlineLevel="0" collapsed="false">
      <c r="A469" s="3" t="n">
        <v>2013</v>
      </c>
      <c r="B469" s="3" t="n">
        <v>4</v>
      </c>
      <c r="C469" s="3" t="n">
        <v>12</v>
      </c>
      <c r="D469" s="3" t="s">
        <v>473</v>
      </c>
      <c r="E469" s="4" t="n">
        <v>0</v>
      </c>
    </row>
    <row r="470" customFormat="false" ht="15" hidden="false" customHeight="false" outlineLevel="0" collapsed="false">
      <c r="A470" s="3" t="n">
        <v>2013</v>
      </c>
      <c r="B470" s="3" t="n">
        <v>4</v>
      </c>
      <c r="C470" s="3" t="n">
        <v>13</v>
      </c>
      <c r="D470" s="3" t="s">
        <v>474</v>
      </c>
      <c r="E470" s="4" t="n">
        <v>0</v>
      </c>
    </row>
    <row r="471" customFormat="false" ht="15" hidden="false" customHeight="false" outlineLevel="0" collapsed="false">
      <c r="A471" s="3" t="n">
        <v>2013</v>
      </c>
      <c r="B471" s="3" t="n">
        <v>4</v>
      </c>
      <c r="C471" s="3" t="n">
        <v>14</v>
      </c>
      <c r="D471" s="3" t="s">
        <v>475</v>
      </c>
      <c r="E471" s="4" t="n">
        <v>0</v>
      </c>
    </row>
    <row r="472" customFormat="false" ht="15" hidden="false" customHeight="false" outlineLevel="0" collapsed="false">
      <c r="A472" s="3" t="n">
        <v>2013</v>
      </c>
      <c r="B472" s="3" t="n">
        <v>4</v>
      </c>
      <c r="C472" s="3" t="n">
        <v>15</v>
      </c>
      <c r="D472" s="3" t="s">
        <v>476</v>
      </c>
      <c r="E472" s="4" t="n">
        <v>0</v>
      </c>
    </row>
    <row r="473" customFormat="false" ht="15" hidden="false" customHeight="false" outlineLevel="0" collapsed="false">
      <c r="A473" s="3" t="n">
        <v>2013</v>
      </c>
      <c r="B473" s="3" t="n">
        <v>4</v>
      </c>
      <c r="C473" s="3" t="n">
        <v>16</v>
      </c>
      <c r="D473" s="3" t="s">
        <v>477</v>
      </c>
      <c r="E473" s="4" t="n">
        <v>0</v>
      </c>
    </row>
    <row r="474" customFormat="false" ht="15" hidden="false" customHeight="false" outlineLevel="0" collapsed="false">
      <c r="A474" s="3" t="n">
        <v>2013</v>
      </c>
      <c r="B474" s="3" t="n">
        <v>4</v>
      </c>
      <c r="C474" s="3" t="n">
        <v>17</v>
      </c>
      <c r="D474" s="3" t="s">
        <v>478</v>
      </c>
      <c r="E474" s="4" t="n">
        <v>6</v>
      </c>
    </row>
    <row r="475" customFormat="false" ht="15" hidden="false" customHeight="false" outlineLevel="0" collapsed="false">
      <c r="A475" s="3" t="n">
        <v>2013</v>
      </c>
      <c r="B475" s="3" t="n">
        <v>4</v>
      </c>
      <c r="C475" s="3" t="n">
        <v>18</v>
      </c>
      <c r="D475" s="3" t="s">
        <v>479</v>
      </c>
      <c r="E475" s="4" t="n">
        <v>25</v>
      </c>
    </row>
    <row r="476" customFormat="false" ht="15" hidden="false" customHeight="false" outlineLevel="0" collapsed="false">
      <c r="A476" s="3" t="n">
        <v>2013</v>
      </c>
      <c r="B476" s="3" t="n">
        <v>4</v>
      </c>
      <c r="C476" s="3" t="n">
        <v>19</v>
      </c>
      <c r="D476" s="3" t="s">
        <v>480</v>
      </c>
      <c r="E476" s="4" t="n">
        <v>22</v>
      </c>
    </row>
    <row r="477" customFormat="false" ht="15" hidden="false" customHeight="false" outlineLevel="0" collapsed="false">
      <c r="A477" s="3" t="n">
        <v>2013</v>
      </c>
      <c r="B477" s="3" t="n">
        <v>4</v>
      </c>
      <c r="C477" s="3" t="n">
        <v>20</v>
      </c>
      <c r="D477" s="3" t="s">
        <v>481</v>
      </c>
      <c r="E477" s="4" t="n">
        <v>0</v>
      </c>
    </row>
    <row r="478" customFormat="false" ht="15" hidden="false" customHeight="false" outlineLevel="0" collapsed="false">
      <c r="A478" s="3" t="n">
        <v>2013</v>
      </c>
      <c r="B478" s="3" t="n">
        <v>4</v>
      </c>
      <c r="C478" s="3" t="n">
        <v>21</v>
      </c>
      <c r="D478" s="3" t="s">
        <v>482</v>
      </c>
      <c r="E478" s="4" t="n">
        <v>0</v>
      </c>
    </row>
    <row r="479" customFormat="false" ht="15" hidden="false" customHeight="false" outlineLevel="0" collapsed="false">
      <c r="A479" s="3" t="n">
        <v>2013</v>
      </c>
      <c r="B479" s="3" t="n">
        <v>4</v>
      </c>
      <c r="C479" s="3" t="n">
        <v>22</v>
      </c>
      <c r="D479" s="3" t="s">
        <v>483</v>
      </c>
      <c r="E479" s="4" t="n">
        <v>25</v>
      </c>
    </row>
    <row r="480" customFormat="false" ht="15" hidden="false" customHeight="false" outlineLevel="0" collapsed="false">
      <c r="A480" s="3" t="n">
        <v>2013</v>
      </c>
      <c r="B480" s="3" t="n">
        <v>4</v>
      </c>
      <c r="C480" s="3" t="n">
        <v>23</v>
      </c>
      <c r="D480" s="3" t="s">
        <v>484</v>
      </c>
      <c r="E480" s="4" t="n">
        <v>74</v>
      </c>
    </row>
    <row r="481" customFormat="false" ht="15" hidden="false" customHeight="false" outlineLevel="0" collapsed="false">
      <c r="A481" s="3" t="n">
        <v>2013</v>
      </c>
      <c r="B481" s="3" t="n">
        <v>4</v>
      </c>
      <c r="C481" s="3" t="n">
        <v>24</v>
      </c>
      <c r="D481" s="3" t="s">
        <v>485</v>
      </c>
      <c r="E481" s="4" t="n">
        <v>18</v>
      </c>
    </row>
    <row r="482" customFormat="false" ht="15" hidden="false" customHeight="false" outlineLevel="0" collapsed="false">
      <c r="A482" s="3" t="n">
        <v>2013</v>
      </c>
      <c r="B482" s="3" t="n">
        <v>4</v>
      </c>
      <c r="C482" s="3" t="n">
        <v>25</v>
      </c>
      <c r="D482" s="3" t="s">
        <v>486</v>
      </c>
      <c r="E482" s="4" t="n">
        <v>0</v>
      </c>
    </row>
    <row r="483" customFormat="false" ht="15" hidden="false" customHeight="false" outlineLevel="0" collapsed="false">
      <c r="A483" s="3" t="n">
        <v>2013</v>
      </c>
      <c r="B483" s="3" t="n">
        <v>4</v>
      </c>
      <c r="C483" s="3" t="n">
        <v>26</v>
      </c>
      <c r="D483" s="3" t="s">
        <v>487</v>
      </c>
      <c r="E483" s="4" t="n">
        <v>18</v>
      </c>
    </row>
    <row r="484" customFormat="false" ht="15" hidden="false" customHeight="false" outlineLevel="0" collapsed="false">
      <c r="A484" s="3" t="n">
        <v>2013</v>
      </c>
      <c r="B484" s="3" t="n">
        <v>4</v>
      </c>
      <c r="C484" s="3" t="n">
        <v>27</v>
      </c>
      <c r="D484" s="3" t="s">
        <v>488</v>
      </c>
      <c r="E484" s="4" t="n">
        <v>0</v>
      </c>
    </row>
    <row r="485" customFormat="false" ht="15" hidden="false" customHeight="false" outlineLevel="0" collapsed="false">
      <c r="A485" s="3" t="n">
        <v>2013</v>
      </c>
      <c r="B485" s="3" t="n">
        <v>4</v>
      </c>
      <c r="C485" s="3" t="n">
        <v>28</v>
      </c>
      <c r="D485" s="3" t="s">
        <v>489</v>
      </c>
      <c r="E485" s="4" t="n">
        <v>0</v>
      </c>
    </row>
    <row r="486" customFormat="false" ht="15" hidden="false" customHeight="false" outlineLevel="0" collapsed="false">
      <c r="A486" s="3" t="n">
        <v>2013</v>
      </c>
      <c r="B486" s="3" t="n">
        <v>4</v>
      </c>
      <c r="C486" s="3" t="n">
        <v>29</v>
      </c>
      <c r="D486" s="3" t="s">
        <v>490</v>
      </c>
      <c r="E486" s="4" t="n">
        <v>0</v>
      </c>
    </row>
    <row r="487" customFormat="false" ht="15" hidden="false" customHeight="false" outlineLevel="0" collapsed="false">
      <c r="A487" s="3" t="n">
        <v>2013</v>
      </c>
      <c r="B487" s="3" t="n">
        <v>4</v>
      </c>
      <c r="C487" s="3" t="n">
        <v>30</v>
      </c>
      <c r="D487" s="3" t="s">
        <v>491</v>
      </c>
      <c r="E487" s="4" t="n">
        <v>5</v>
      </c>
    </row>
    <row r="488" customFormat="false" ht="15" hidden="false" customHeight="false" outlineLevel="0" collapsed="false">
      <c r="A488" s="3" t="n">
        <v>2013</v>
      </c>
      <c r="B488" s="3" t="n">
        <v>5</v>
      </c>
      <c r="C488" s="3" t="n">
        <v>1</v>
      </c>
      <c r="D488" s="3" t="s">
        <v>492</v>
      </c>
      <c r="E488" s="4" t="n">
        <v>15</v>
      </c>
    </row>
    <row r="489" customFormat="false" ht="15" hidden="false" customHeight="false" outlineLevel="0" collapsed="false">
      <c r="A489" s="3" t="n">
        <v>2013</v>
      </c>
      <c r="B489" s="3" t="n">
        <v>5</v>
      </c>
      <c r="C489" s="3" t="n">
        <v>2</v>
      </c>
      <c r="D489" s="3" t="s">
        <v>493</v>
      </c>
      <c r="E489" s="4" t="n">
        <v>0</v>
      </c>
    </row>
    <row r="490" customFormat="false" ht="15" hidden="false" customHeight="false" outlineLevel="0" collapsed="false">
      <c r="A490" s="3" t="n">
        <v>2013</v>
      </c>
      <c r="B490" s="3" t="n">
        <v>5</v>
      </c>
      <c r="C490" s="3" t="n">
        <v>3</v>
      </c>
      <c r="D490" s="3" t="s">
        <v>494</v>
      </c>
      <c r="E490" s="4" t="n">
        <v>10</v>
      </c>
    </row>
    <row r="491" customFormat="false" ht="15" hidden="false" customHeight="false" outlineLevel="0" collapsed="false">
      <c r="A491" s="3" t="n">
        <v>2013</v>
      </c>
      <c r="B491" s="3" t="n">
        <v>5</v>
      </c>
      <c r="C491" s="3" t="n">
        <v>4</v>
      </c>
      <c r="D491" s="3" t="s">
        <v>495</v>
      </c>
      <c r="E491" s="4" t="n">
        <v>49</v>
      </c>
    </row>
    <row r="492" customFormat="false" ht="15" hidden="false" customHeight="false" outlineLevel="0" collapsed="false">
      <c r="A492" s="3" t="n">
        <v>2013</v>
      </c>
      <c r="B492" s="3" t="n">
        <v>5</v>
      </c>
      <c r="C492" s="3" t="n">
        <v>5</v>
      </c>
      <c r="D492" s="3" t="s">
        <v>496</v>
      </c>
      <c r="E492" s="4" t="n">
        <v>0</v>
      </c>
    </row>
    <row r="493" customFormat="false" ht="15" hidden="false" customHeight="false" outlineLevel="0" collapsed="false">
      <c r="A493" s="3" t="n">
        <v>2013</v>
      </c>
      <c r="B493" s="3" t="n">
        <v>5</v>
      </c>
      <c r="C493" s="3" t="n">
        <v>6</v>
      </c>
      <c r="D493" s="3" t="s">
        <v>497</v>
      </c>
      <c r="E493" s="4" t="n">
        <v>29</v>
      </c>
    </row>
    <row r="494" customFormat="false" ht="15" hidden="false" customHeight="false" outlineLevel="0" collapsed="false">
      <c r="A494" s="3" t="n">
        <v>2013</v>
      </c>
      <c r="B494" s="3" t="n">
        <v>5</v>
      </c>
      <c r="C494" s="3" t="n">
        <v>7</v>
      </c>
      <c r="D494" s="3" t="s">
        <v>498</v>
      </c>
      <c r="E494" s="4" t="n">
        <v>9</v>
      </c>
    </row>
    <row r="495" customFormat="false" ht="15" hidden="false" customHeight="false" outlineLevel="0" collapsed="false">
      <c r="A495" s="3" t="n">
        <v>2013</v>
      </c>
      <c r="B495" s="3" t="n">
        <v>5</v>
      </c>
      <c r="C495" s="3" t="n">
        <v>8</v>
      </c>
      <c r="D495" s="3" t="s">
        <v>499</v>
      </c>
      <c r="E495" s="4" t="n">
        <v>24</v>
      </c>
    </row>
    <row r="496" customFormat="false" ht="15" hidden="false" customHeight="false" outlineLevel="0" collapsed="false">
      <c r="A496" s="3" t="n">
        <v>2013</v>
      </c>
      <c r="B496" s="3" t="n">
        <v>5</v>
      </c>
      <c r="C496" s="3" t="n">
        <v>9</v>
      </c>
      <c r="D496" s="3" t="s">
        <v>500</v>
      </c>
      <c r="E496" s="4" t="n">
        <v>0</v>
      </c>
    </row>
    <row r="497" customFormat="false" ht="15" hidden="false" customHeight="false" outlineLevel="0" collapsed="false">
      <c r="A497" s="3" t="n">
        <v>2013</v>
      </c>
      <c r="B497" s="3" t="n">
        <v>5</v>
      </c>
      <c r="C497" s="3" t="n">
        <v>10</v>
      </c>
      <c r="D497" s="3" t="s">
        <v>501</v>
      </c>
      <c r="E497" s="4" t="n">
        <v>0</v>
      </c>
    </row>
    <row r="498" customFormat="false" ht="15" hidden="false" customHeight="false" outlineLevel="0" collapsed="false">
      <c r="A498" s="3" t="n">
        <v>2013</v>
      </c>
      <c r="B498" s="3" t="n">
        <v>5</v>
      </c>
      <c r="C498" s="3" t="n">
        <v>11</v>
      </c>
      <c r="D498" s="3" t="s">
        <v>502</v>
      </c>
      <c r="E498" s="4" t="n">
        <v>12</v>
      </c>
    </row>
    <row r="499" customFormat="false" ht="15" hidden="false" customHeight="false" outlineLevel="0" collapsed="false">
      <c r="A499" s="3" t="n">
        <v>2013</v>
      </c>
      <c r="B499" s="3" t="n">
        <v>5</v>
      </c>
      <c r="C499" s="3" t="n">
        <v>12</v>
      </c>
      <c r="D499" s="3" t="s">
        <v>503</v>
      </c>
      <c r="E499" s="4" t="n">
        <v>0</v>
      </c>
    </row>
    <row r="500" customFormat="false" ht="15" hidden="false" customHeight="false" outlineLevel="0" collapsed="false">
      <c r="A500" s="3" t="n">
        <v>2013</v>
      </c>
      <c r="B500" s="3" t="n">
        <v>5</v>
      </c>
      <c r="C500" s="3" t="n">
        <v>13</v>
      </c>
      <c r="D500" s="3" t="s">
        <v>504</v>
      </c>
      <c r="E500" s="4" t="n">
        <v>45</v>
      </c>
    </row>
    <row r="501" customFormat="false" ht="15" hidden="false" customHeight="false" outlineLevel="0" collapsed="false">
      <c r="A501" s="3" t="n">
        <v>2013</v>
      </c>
      <c r="B501" s="3" t="n">
        <v>5</v>
      </c>
      <c r="C501" s="3" t="n">
        <v>14</v>
      </c>
      <c r="D501" s="3" t="s">
        <v>505</v>
      </c>
      <c r="E501" s="4" t="n">
        <v>0</v>
      </c>
    </row>
    <row r="502" customFormat="false" ht="15" hidden="false" customHeight="false" outlineLevel="0" collapsed="false">
      <c r="A502" s="3" t="n">
        <v>2013</v>
      </c>
      <c r="B502" s="3" t="n">
        <v>5</v>
      </c>
      <c r="C502" s="3" t="n">
        <v>15</v>
      </c>
      <c r="D502" s="3" t="s">
        <v>506</v>
      </c>
      <c r="E502" s="4" t="n">
        <v>0</v>
      </c>
    </row>
    <row r="503" customFormat="false" ht="15" hidden="false" customHeight="false" outlineLevel="0" collapsed="false">
      <c r="A503" s="3" t="n">
        <v>2013</v>
      </c>
      <c r="B503" s="3" t="n">
        <v>5</v>
      </c>
      <c r="C503" s="3" t="n">
        <v>16</v>
      </c>
      <c r="D503" s="3" t="s">
        <v>507</v>
      </c>
      <c r="E503" s="4" t="n">
        <v>7</v>
      </c>
    </row>
    <row r="504" customFormat="false" ht="15" hidden="false" customHeight="false" outlineLevel="0" collapsed="false">
      <c r="A504" s="3" t="n">
        <v>2013</v>
      </c>
      <c r="B504" s="3" t="n">
        <v>5</v>
      </c>
      <c r="C504" s="3" t="n">
        <v>17</v>
      </c>
      <c r="D504" s="3" t="s">
        <v>508</v>
      </c>
      <c r="E504" s="4" t="n">
        <v>0</v>
      </c>
    </row>
    <row r="505" customFormat="false" ht="15" hidden="false" customHeight="false" outlineLevel="0" collapsed="false">
      <c r="A505" s="3" t="n">
        <v>2013</v>
      </c>
      <c r="B505" s="3" t="n">
        <v>5</v>
      </c>
      <c r="C505" s="3" t="n">
        <v>18</v>
      </c>
      <c r="D505" s="3" t="s">
        <v>509</v>
      </c>
      <c r="E505" s="4" t="n">
        <v>0</v>
      </c>
    </row>
    <row r="506" customFormat="false" ht="15" hidden="false" customHeight="false" outlineLevel="0" collapsed="false">
      <c r="A506" s="3" t="n">
        <v>2013</v>
      </c>
      <c r="B506" s="3" t="n">
        <v>5</v>
      </c>
      <c r="C506" s="3" t="n">
        <v>19</v>
      </c>
      <c r="D506" s="3" t="s">
        <v>510</v>
      </c>
      <c r="E506" s="4" t="n">
        <v>0</v>
      </c>
    </row>
    <row r="507" customFormat="false" ht="15" hidden="false" customHeight="false" outlineLevel="0" collapsed="false">
      <c r="A507" s="3" t="n">
        <v>2013</v>
      </c>
      <c r="B507" s="3" t="n">
        <v>5</v>
      </c>
      <c r="C507" s="3" t="n">
        <v>20</v>
      </c>
      <c r="D507" s="3" t="s">
        <v>511</v>
      </c>
      <c r="E507" s="4" t="n">
        <v>0</v>
      </c>
    </row>
    <row r="508" customFormat="false" ht="15" hidden="false" customHeight="false" outlineLevel="0" collapsed="false">
      <c r="A508" s="3" t="n">
        <v>2013</v>
      </c>
      <c r="B508" s="3" t="n">
        <v>5</v>
      </c>
      <c r="C508" s="3" t="n">
        <v>21</v>
      </c>
      <c r="D508" s="3" t="s">
        <v>512</v>
      </c>
      <c r="E508" s="4" t="n">
        <v>8</v>
      </c>
    </row>
    <row r="509" customFormat="false" ht="15" hidden="false" customHeight="false" outlineLevel="0" collapsed="false">
      <c r="A509" s="3" t="n">
        <v>2013</v>
      </c>
      <c r="B509" s="3" t="n">
        <v>5</v>
      </c>
      <c r="C509" s="3" t="n">
        <v>22</v>
      </c>
      <c r="D509" s="3" t="s">
        <v>513</v>
      </c>
      <c r="E509" s="4" t="n">
        <v>5</v>
      </c>
    </row>
    <row r="510" customFormat="false" ht="15" hidden="false" customHeight="false" outlineLevel="0" collapsed="false">
      <c r="A510" s="3" t="n">
        <v>2013</v>
      </c>
      <c r="B510" s="3" t="n">
        <v>5</v>
      </c>
      <c r="C510" s="3" t="n">
        <v>23</v>
      </c>
      <c r="D510" s="3" t="s">
        <v>514</v>
      </c>
      <c r="E510" s="4" t="n">
        <v>3</v>
      </c>
    </row>
    <row r="511" customFormat="false" ht="15" hidden="false" customHeight="false" outlineLevel="0" collapsed="false">
      <c r="A511" s="3" t="n">
        <v>2013</v>
      </c>
      <c r="B511" s="3" t="n">
        <v>5</v>
      </c>
      <c r="C511" s="3" t="n">
        <v>24</v>
      </c>
      <c r="D511" s="3" t="s">
        <v>515</v>
      </c>
      <c r="E511" s="4" t="n">
        <v>0</v>
      </c>
    </row>
    <row r="512" customFormat="false" ht="15" hidden="false" customHeight="false" outlineLevel="0" collapsed="false">
      <c r="A512" s="3" t="n">
        <v>2013</v>
      </c>
      <c r="B512" s="3" t="n">
        <v>5</v>
      </c>
      <c r="C512" s="3" t="n">
        <v>25</v>
      </c>
      <c r="D512" s="3" t="s">
        <v>516</v>
      </c>
      <c r="E512" s="4" t="n">
        <v>0</v>
      </c>
    </row>
    <row r="513" customFormat="false" ht="15" hidden="false" customHeight="false" outlineLevel="0" collapsed="false">
      <c r="A513" s="3" t="n">
        <v>2013</v>
      </c>
      <c r="B513" s="3" t="n">
        <v>5</v>
      </c>
      <c r="C513" s="3" t="n">
        <v>26</v>
      </c>
      <c r="D513" s="3" t="s">
        <v>517</v>
      </c>
      <c r="E513" s="4" t="n">
        <v>66</v>
      </c>
    </row>
    <row r="514" customFormat="false" ht="15" hidden="false" customHeight="false" outlineLevel="0" collapsed="false">
      <c r="A514" s="3" t="n">
        <v>2013</v>
      </c>
      <c r="B514" s="3" t="n">
        <v>5</v>
      </c>
      <c r="C514" s="3" t="n">
        <v>27</v>
      </c>
      <c r="D514" s="3" t="s">
        <v>518</v>
      </c>
      <c r="E514" s="4" t="n">
        <v>29</v>
      </c>
    </row>
    <row r="515" customFormat="false" ht="15" hidden="false" customHeight="false" outlineLevel="0" collapsed="false">
      <c r="A515" s="3" t="n">
        <v>2013</v>
      </c>
      <c r="B515" s="3" t="n">
        <v>5</v>
      </c>
      <c r="C515" s="3" t="n">
        <v>28</v>
      </c>
      <c r="D515" s="3" t="s">
        <v>519</v>
      </c>
      <c r="E515" s="4" t="n">
        <v>27</v>
      </c>
    </row>
    <row r="516" customFormat="false" ht="15" hidden="false" customHeight="false" outlineLevel="0" collapsed="false">
      <c r="A516" s="3" t="n">
        <v>2013</v>
      </c>
      <c r="B516" s="3" t="n">
        <v>5</v>
      </c>
      <c r="C516" s="3" t="n">
        <v>29</v>
      </c>
      <c r="D516" s="3" t="s">
        <v>520</v>
      </c>
      <c r="E516" s="4" t="n">
        <v>20</v>
      </c>
    </row>
    <row r="517" customFormat="false" ht="15" hidden="false" customHeight="false" outlineLevel="0" collapsed="false">
      <c r="A517" s="3" t="n">
        <v>2013</v>
      </c>
      <c r="B517" s="3" t="n">
        <v>5</v>
      </c>
      <c r="C517" s="3" t="n">
        <v>30</v>
      </c>
      <c r="D517" s="3" t="s">
        <v>521</v>
      </c>
      <c r="E517" s="4" t="n">
        <v>0</v>
      </c>
    </row>
    <row r="518" customFormat="false" ht="15" hidden="false" customHeight="false" outlineLevel="0" collapsed="false">
      <c r="A518" s="3" t="n">
        <v>2013</v>
      </c>
      <c r="B518" s="3" t="n">
        <v>5</v>
      </c>
      <c r="C518" s="3" t="n">
        <v>31</v>
      </c>
      <c r="D518" s="3" t="s">
        <v>522</v>
      </c>
      <c r="E518" s="4" t="n">
        <v>0</v>
      </c>
    </row>
    <row r="519" customFormat="false" ht="15" hidden="false" customHeight="false" outlineLevel="0" collapsed="false">
      <c r="A519" s="3" t="n">
        <v>2013</v>
      </c>
      <c r="B519" s="3" t="n">
        <v>6</v>
      </c>
      <c r="C519" s="3" t="n">
        <v>1</v>
      </c>
      <c r="D519" s="3" t="s">
        <v>523</v>
      </c>
      <c r="E519" s="4" t="n">
        <v>0</v>
      </c>
    </row>
    <row r="520" customFormat="false" ht="15" hidden="false" customHeight="false" outlineLevel="0" collapsed="false">
      <c r="A520" s="3" t="n">
        <v>2013</v>
      </c>
      <c r="B520" s="3" t="n">
        <v>6</v>
      </c>
      <c r="C520" s="3" t="n">
        <v>2</v>
      </c>
      <c r="D520" s="3" t="s">
        <v>524</v>
      </c>
      <c r="E520" s="4" t="n">
        <v>0</v>
      </c>
    </row>
    <row r="521" customFormat="false" ht="15" hidden="false" customHeight="false" outlineLevel="0" collapsed="false">
      <c r="A521" s="3" t="n">
        <v>2013</v>
      </c>
      <c r="B521" s="3" t="n">
        <v>6</v>
      </c>
      <c r="C521" s="3" t="n">
        <v>3</v>
      </c>
      <c r="D521" s="3" t="s">
        <v>525</v>
      </c>
      <c r="E521" s="4" t="n">
        <v>0</v>
      </c>
    </row>
    <row r="522" customFormat="false" ht="15" hidden="false" customHeight="false" outlineLevel="0" collapsed="false">
      <c r="A522" s="3" t="n">
        <v>2013</v>
      </c>
      <c r="B522" s="3" t="n">
        <v>6</v>
      </c>
      <c r="C522" s="3" t="n">
        <v>4</v>
      </c>
      <c r="D522" s="3" t="s">
        <v>526</v>
      </c>
      <c r="E522" s="4" t="n">
        <v>0</v>
      </c>
    </row>
    <row r="523" customFormat="false" ht="15" hidden="false" customHeight="false" outlineLevel="0" collapsed="false">
      <c r="A523" s="3" t="n">
        <v>2013</v>
      </c>
      <c r="B523" s="3" t="n">
        <v>6</v>
      </c>
      <c r="C523" s="3" t="n">
        <v>5</v>
      </c>
      <c r="D523" s="3" t="s">
        <v>527</v>
      </c>
      <c r="E523" s="4" t="n">
        <v>50</v>
      </c>
    </row>
    <row r="524" customFormat="false" ht="15" hidden="false" customHeight="false" outlineLevel="0" collapsed="false">
      <c r="A524" s="3" t="n">
        <v>2013</v>
      </c>
      <c r="B524" s="3" t="n">
        <v>6</v>
      </c>
      <c r="C524" s="3" t="n">
        <v>6</v>
      </c>
      <c r="D524" s="3" t="s">
        <v>528</v>
      </c>
      <c r="E524" s="4" t="n">
        <v>62</v>
      </c>
    </row>
    <row r="525" customFormat="false" ht="15" hidden="false" customHeight="false" outlineLevel="0" collapsed="false">
      <c r="A525" s="3" t="n">
        <v>2013</v>
      </c>
      <c r="B525" s="3" t="n">
        <v>6</v>
      </c>
      <c r="C525" s="3" t="n">
        <v>7</v>
      </c>
      <c r="D525" s="3" t="s">
        <v>529</v>
      </c>
      <c r="E525" s="4" t="n">
        <v>0</v>
      </c>
    </row>
    <row r="526" customFormat="false" ht="15" hidden="false" customHeight="false" outlineLevel="0" collapsed="false">
      <c r="A526" s="3" t="n">
        <v>2013</v>
      </c>
      <c r="B526" s="3" t="n">
        <v>6</v>
      </c>
      <c r="C526" s="3" t="n">
        <v>8</v>
      </c>
      <c r="D526" s="3" t="s">
        <v>530</v>
      </c>
      <c r="E526" s="4" t="n">
        <v>0</v>
      </c>
    </row>
    <row r="527" customFormat="false" ht="15" hidden="false" customHeight="false" outlineLevel="0" collapsed="false">
      <c r="A527" s="3" t="n">
        <v>2013</v>
      </c>
      <c r="B527" s="3" t="n">
        <v>6</v>
      </c>
      <c r="C527" s="3" t="n">
        <v>9</v>
      </c>
      <c r="D527" s="3" t="s">
        <v>531</v>
      </c>
      <c r="E527" s="4" t="n">
        <v>0</v>
      </c>
    </row>
    <row r="528" customFormat="false" ht="15" hidden="false" customHeight="false" outlineLevel="0" collapsed="false">
      <c r="A528" s="3" t="n">
        <v>2013</v>
      </c>
      <c r="B528" s="3" t="n">
        <v>6</v>
      </c>
      <c r="C528" s="3" t="n">
        <v>10</v>
      </c>
      <c r="D528" s="3" t="s">
        <v>532</v>
      </c>
      <c r="E528" s="4" t="n">
        <v>15</v>
      </c>
    </row>
    <row r="529" customFormat="false" ht="15" hidden="false" customHeight="false" outlineLevel="0" collapsed="false">
      <c r="A529" s="3" t="n">
        <v>2013</v>
      </c>
      <c r="B529" s="3" t="n">
        <v>6</v>
      </c>
      <c r="C529" s="3" t="n">
        <v>11</v>
      </c>
      <c r="D529" s="3" t="s">
        <v>533</v>
      </c>
      <c r="E529" s="4" t="n">
        <v>13</v>
      </c>
    </row>
    <row r="530" customFormat="false" ht="15" hidden="false" customHeight="false" outlineLevel="0" collapsed="false">
      <c r="A530" s="3" t="n">
        <v>2013</v>
      </c>
      <c r="B530" s="3" t="n">
        <v>6</v>
      </c>
      <c r="C530" s="3" t="n">
        <v>12</v>
      </c>
      <c r="D530" s="3" t="s">
        <v>534</v>
      </c>
      <c r="E530" s="4" t="n">
        <v>0</v>
      </c>
    </row>
    <row r="531" customFormat="false" ht="15" hidden="false" customHeight="false" outlineLevel="0" collapsed="false">
      <c r="A531" s="3" t="n">
        <v>2013</v>
      </c>
      <c r="B531" s="3" t="n">
        <v>6</v>
      </c>
      <c r="C531" s="3" t="n">
        <v>13</v>
      </c>
      <c r="D531" s="3" t="s">
        <v>535</v>
      </c>
      <c r="E531" s="4" t="n">
        <v>12</v>
      </c>
    </row>
    <row r="532" customFormat="false" ht="15" hidden="false" customHeight="false" outlineLevel="0" collapsed="false">
      <c r="A532" s="3" t="n">
        <v>2013</v>
      </c>
      <c r="B532" s="3" t="n">
        <v>6</v>
      </c>
      <c r="C532" s="3" t="n">
        <v>14</v>
      </c>
      <c r="D532" s="3" t="s">
        <v>536</v>
      </c>
      <c r="E532" s="4" t="n">
        <v>20</v>
      </c>
    </row>
    <row r="533" customFormat="false" ht="15" hidden="false" customHeight="false" outlineLevel="0" collapsed="false">
      <c r="A533" s="3" t="n">
        <v>2013</v>
      </c>
      <c r="B533" s="3" t="n">
        <v>6</v>
      </c>
      <c r="C533" s="3" t="n">
        <v>15</v>
      </c>
      <c r="D533" s="3" t="s">
        <v>537</v>
      </c>
      <c r="E533" s="4" t="n">
        <v>0</v>
      </c>
    </row>
    <row r="534" customFormat="false" ht="15" hidden="false" customHeight="false" outlineLevel="0" collapsed="false">
      <c r="A534" s="3" t="n">
        <v>2013</v>
      </c>
      <c r="B534" s="3" t="n">
        <v>6</v>
      </c>
      <c r="C534" s="3" t="n">
        <v>16</v>
      </c>
      <c r="D534" s="3" t="s">
        <v>538</v>
      </c>
      <c r="E534" s="4" t="n">
        <v>0</v>
      </c>
    </row>
    <row r="535" customFormat="false" ht="15" hidden="false" customHeight="false" outlineLevel="0" collapsed="false">
      <c r="A535" s="3" t="n">
        <v>2013</v>
      </c>
      <c r="B535" s="3" t="n">
        <v>6</v>
      </c>
      <c r="C535" s="3" t="n">
        <v>17</v>
      </c>
      <c r="D535" s="3" t="s">
        <v>539</v>
      </c>
      <c r="E535" s="4" t="n">
        <v>0</v>
      </c>
    </row>
    <row r="536" customFormat="false" ht="15" hidden="false" customHeight="false" outlineLevel="0" collapsed="false">
      <c r="A536" s="3" t="n">
        <v>2013</v>
      </c>
      <c r="B536" s="3" t="n">
        <v>6</v>
      </c>
      <c r="C536" s="3" t="n">
        <v>18</v>
      </c>
      <c r="D536" s="3" t="s">
        <v>540</v>
      </c>
      <c r="E536" s="4" t="n">
        <v>15</v>
      </c>
    </row>
    <row r="537" customFormat="false" ht="15" hidden="false" customHeight="false" outlineLevel="0" collapsed="false">
      <c r="A537" s="3" t="n">
        <v>2013</v>
      </c>
      <c r="B537" s="3" t="n">
        <v>6</v>
      </c>
      <c r="C537" s="3" t="n">
        <v>19</v>
      </c>
      <c r="D537" s="3" t="s">
        <v>541</v>
      </c>
      <c r="E537" s="4" t="n">
        <v>0</v>
      </c>
    </row>
    <row r="538" customFormat="false" ht="15" hidden="false" customHeight="false" outlineLevel="0" collapsed="false">
      <c r="A538" s="3" t="n">
        <v>2013</v>
      </c>
      <c r="B538" s="3" t="n">
        <v>6</v>
      </c>
      <c r="C538" s="3" t="n">
        <v>20</v>
      </c>
      <c r="D538" s="3" t="s">
        <v>542</v>
      </c>
      <c r="E538" s="4" t="n">
        <v>0</v>
      </c>
    </row>
    <row r="539" customFormat="false" ht="15" hidden="false" customHeight="false" outlineLevel="0" collapsed="false">
      <c r="A539" s="3" t="n">
        <v>2013</v>
      </c>
      <c r="B539" s="3" t="n">
        <v>6</v>
      </c>
      <c r="C539" s="3" t="n">
        <v>21</v>
      </c>
      <c r="D539" s="3" t="s">
        <v>543</v>
      </c>
      <c r="E539" s="4" t="n">
        <v>0</v>
      </c>
    </row>
    <row r="540" customFormat="false" ht="15" hidden="false" customHeight="false" outlineLevel="0" collapsed="false">
      <c r="A540" s="3" t="n">
        <v>2013</v>
      </c>
      <c r="B540" s="3" t="n">
        <v>6</v>
      </c>
      <c r="C540" s="3" t="n">
        <v>22</v>
      </c>
      <c r="D540" s="3" t="s">
        <v>544</v>
      </c>
      <c r="E540" s="4" t="n">
        <v>0</v>
      </c>
    </row>
    <row r="541" customFormat="false" ht="15" hidden="false" customHeight="false" outlineLevel="0" collapsed="false">
      <c r="A541" s="3" t="n">
        <v>2013</v>
      </c>
      <c r="B541" s="3" t="n">
        <v>6</v>
      </c>
      <c r="C541" s="3" t="n">
        <v>23</v>
      </c>
      <c r="D541" s="3" t="s">
        <v>545</v>
      </c>
      <c r="E541" s="4" t="n">
        <v>0</v>
      </c>
    </row>
    <row r="542" customFormat="false" ht="15" hidden="false" customHeight="false" outlineLevel="0" collapsed="false">
      <c r="A542" s="3" t="n">
        <v>2013</v>
      </c>
      <c r="B542" s="3" t="n">
        <v>6</v>
      </c>
      <c r="C542" s="3" t="n">
        <v>24</v>
      </c>
      <c r="D542" s="3" t="s">
        <v>546</v>
      </c>
      <c r="E542" s="4" t="n">
        <v>0</v>
      </c>
    </row>
    <row r="543" customFormat="false" ht="15" hidden="false" customHeight="false" outlineLevel="0" collapsed="false">
      <c r="A543" s="3" t="n">
        <v>2013</v>
      </c>
      <c r="B543" s="3" t="n">
        <v>6</v>
      </c>
      <c r="C543" s="3" t="n">
        <v>25</v>
      </c>
      <c r="D543" s="3" t="s">
        <v>547</v>
      </c>
      <c r="E543" s="4" t="n">
        <v>0</v>
      </c>
    </row>
    <row r="544" customFormat="false" ht="15" hidden="false" customHeight="false" outlineLevel="0" collapsed="false">
      <c r="A544" s="3" t="n">
        <v>2013</v>
      </c>
      <c r="B544" s="3" t="n">
        <v>6</v>
      </c>
      <c r="C544" s="3" t="n">
        <v>26</v>
      </c>
      <c r="D544" s="3" t="s">
        <v>548</v>
      </c>
      <c r="E544" s="4" t="n">
        <v>0</v>
      </c>
    </row>
    <row r="545" customFormat="false" ht="15" hidden="false" customHeight="false" outlineLevel="0" collapsed="false">
      <c r="A545" s="3" t="n">
        <v>2013</v>
      </c>
      <c r="B545" s="3" t="n">
        <v>6</v>
      </c>
      <c r="C545" s="3" t="n">
        <v>27</v>
      </c>
      <c r="D545" s="3" t="s">
        <v>549</v>
      </c>
      <c r="E545" s="4" t="n">
        <v>0</v>
      </c>
    </row>
    <row r="546" customFormat="false" ht="15" hidden="false" customHeight="false" outlineLevel="0" collapsed="false">
      <c r="A546" s="3" t="n">
        <v>2013</v>
      </c>
      <c r="B546" s="3" t="n">
        <v>6</v>
      </c>
      <c r="C546" s="3" t="n">
        <v>28</v>
      </c>
      <c r="D546" s="3" t="s">
        <v>550</v>
      </c>
      <c r="E546" s="4" t="n">
        <v>0</v>
      </c>
    </row>
    <row r="547" customFormat="false" ht="15" hidden="false" customHeight="false" outlineLevel="0" collapsed="false">
      <c r="A547" s="3" t="n">
        <v>2013</v>
      </c>
      <c r="B547" s="3" t="n">
        <v>6</v>
      </c>
      <c r="C547" s="3" t="n">
        <v>29</v>
      </c>
      <c r="D547" s="3" t="s">
        <v>551</v>
      </c>
      <c r="E547" s="4" t="n">
        <v>0</v>
      </c>
    </row>
    <row r="548" customFormat="false" ht="15" hidden="false" customHeight="false" outlineLevel="0" collapsed="false">
      <c r="A548" s="3" t="n">
        <v>2013</v>
      </c>
      <c r="B548" s="3" t="n">
        <v>6</v>
      </c>
      <c r="C548" s="3" t="n">
        <v>30</v>
      </c>
      <c r="D548" s="3" t="s">
        <v>552</v>
      </c>
      <c r="E548" s="4" t="n">
        <v>25</v>
      </c>
    </row>
    <row r="549" customFormat="false" ht="15" hidden="false" customHeight="false" outlineLevel="0" collapsed="false">
      <c r="A549" s="3" t="n">
        <v>2013</v>
      </c>
      <c r="B549" s="3" t="n">
        <v>7</v>
      </c>
      <c r="C549" s="3" t="n">
        <v>1</v>
      </c>
      <c r="D549" s="3" t="s">
        <v>553</v>
      </c>
      <c r="E549" s="4" t="n">
        <v>7</v>
      </c>
    </row>
    <row r="550" customFormat="false" ht="15" hidden="false" customHeight="false" outlineLevel="0" collapsed="false">
      <c r="A550" s="3" t="n">
        <v>2013</v>
      </c>
      <c r="B550" s="3" t="n">
        <v>7</v>
      </c>
      <c r="C550" s="3" t="n">
        <v>2</v>
      </c>
      <c r="D550" s="3" t="s">
        <v>554</v>
      </c>
      <c r="E550" s="4" t="n">
        <v>20</v>
      </c>
    </row>
    <row r="551" customFormat="false" ht="15" hidden="false" customHeight="false" outlineLevel="0" collapsed="false">
      <c r="A551" s="3" t="n">
        <v>2013</v>
      </c>
      <c r="B551" s="3" t="n">
        <v>7</v>
      </c>
      <c r="C551" s="3" t="n">
        <v>3</v>
      </c>
      <c r="D551" s="3" t="s">
        <v>555</v>
      </c>
      <c r="E551" s="4" t="n">
        <v>20</v>
      </c>
    </row>
    <row r="552" customFormat="false" ht="15" hidden="false" customHeight="false" outlineLevel="0" collapsed="false">
      <c r="A552" s="3" t="n">
        <v>2013</v>
      </c>
      <c r="B552" s="3" t="n">
        <v>7</v>
      </c>
      <c r="C552" s="3" t="n">
        <v>4</v>
      </c>
      <c r="D552" s="3" t="s">
        <v>556</v>
      </c>
      <c r="E552" s="4" t="n">
        <v>14</v>
      </c>
    </row>
    <row r="553" customFormat="false" ht="15" hidden="false" customHeight="false" outlineLevel="0" collapsed="false">
      <c r="A553" s="3" t="n">
        <v>2013</v>
      </c>
      <c r="B553" s="3" t="n">
        <v>7</v>
      </c>
      <c r="C553" s="3" t="n">
        <v>5</v>
      </c>
      <c r="D553" s="3" t="s">
        <v>557</v>
      </c>
      <c r="E553" s="4" t="n">
        <v>0</v>
      </c>
    </row>
    <row r="554" customFormat="false" ht="15" hidden="false" customHeight="false" outlineLevel="0" collapsed="false">
      <c r="A554" s="3" t="n">
        <v>2013</v>
      </c>
      <c r="B554" s="3" t="n">
        <v>7</v>
      </c>
      <c r="C554" s="3" t="n">
        <v>6</v>
      </c>
      <c r="D554" s="3" t="s">
        <v>558</v>
      </c>
      <c r="E554" s="4" t="n">
        <v>45</v>
      </c>
    </row>
    <row r="555" customFormat="false" ht="15" hidden="false" customHeight="false" outlineLevel="0" collapsed="false">
      <c r="A555" s="3" t="n">
        <v>2013</v>
      </c>
      <c r="B555" s="3" t="n">
        <v>7</v>
      </c>
      <c r="C555" s="3" t="n">
        <v>7</v>
      </c>
      <c r="D555" s="3" t="s">
        <v>559</v>
      </c>
      <c r="E555" s="4" t="n">
        <v>0</v>
      </c>
    </row>
    <row r="556" customFormat="false" ht="15" hidden="false" customHeight="false" outlineLevel="0" collapsed="false">
      <c r="A556" s="3" t="n">
        <v>2013</v>
      </c>
      <c r="B556" s="3" t="n">
        <v>7</v>
      </c>
      <c r="C556" s="3" t="n">
        <v>8</v>
      </c>
      <c r="D556" s="3" t="s">
        <v>560</v>
      </c>
      <c r="E556" s="4" t="n">
        <v>0</v>
      </c>
    </row>
    <row r="557" customFormat="false" ht="15" hidden="false" customHeight="false" outlineLevel="0" collapsed="false">
      <c r="A557" s="3" t="n">
        <v>2013</v>
      </c>
      <c r="B557" s="3" t="n">
        <v>7</v>
      </c>
      <c r="C557" s="3" t="n">
        <v>9</v>
      </c>
      <c r="D557" s="3" t="s">
        <v>561</v>
      </c>
      <c r="E557" s="4" t="n">
        <v>56</v>
      </c>
    </row>
    <row r="558" customFormat="false" ht="15" hidden="false" customHeight="false" outlineLevel="0" collapsed="false">
      <c r="A558" s="3" t="n">
        <v>2013</v>
      </c>
      <c r="B558" s="3" t="n">
        <v>7</v>
      </c>
      <c r="C558" s="3" t="n">
        <v>10</v>
      </c>
      <c r="D558" s="3" t="s">
        <v>562</v>
      </c>
      <c r="E558" s="4" t="n">
        <v>5</v>
      </c>
    </row>
    <row r="559" customFormat="false" ht="15" hidden="false" customHeight="false" outlineLevel="0" collapsed="false">
      <c r="A559" s="3" t="n">
        <v>2013</v>
      </c>
      <c r="B559" s="3" t="n">
        <v>7</v>
      </c>
      <c r="C559" s="3" t="n">
        <v>11</v>
      </c>
      <c r="D559" s="3" t="s">
        <v>563</v>
      </c>
      <c r="E559" s="4" t="n">
        <v>0</v>
      </c>
    </row>
    <row r="560" customFormat="false" ht="15" hidden="false" customHeight="false" outlineLevel="0" collapsed="false">
      <c r="A560" s="3" t="n">
        <v>2013</v>
      </c>
      <c r="B560" s="3" t="n">
        <v>7</v>
      </c>
      <c r="C560" s="3" t="n">
        <v>12</v>
      </c>
      <c r="D560" s="3" t="s">
        <v>564</v>
      </c>
      <c r="E560" s="4" t="n">
        <v>13</v>
      </c>
    </row>
    <row r="561" customFormat="false" ht="15" hidden="false" customHeight="false" outlineLevel="0" collapsed="false">
      <c r="A561" s="3" t="n">
        <v>2013</v>
      </c>
      <c r="B561" s="3" t="n">
        <v>7</v>
      </c>
      <c r="C561" s="3" t="n">
        <v>13</v>
      </c>
      <c r="D561" s="3" t="s">
        <v>565</v>
      </c>
      <c r="E561" s="4" t="n">
        <v>20</v>
      </c>
    </row>
    <row r="562" customFormat="false" ht="15" hidden="false" customHeight="false" outlineLevel="0" collapsed="false">
      <c r="A562" s="3" t="n">
        <v>2013</v>
      </c>
      <c r="B562" s="3" t="n">
        <v>7</v>
      </c>
      <c r="C562" s="3" t="n">
        <v>14</v>
      </c>
      <c r="D562" s="3" t="s">
        <v>566</v>
      </c>
      <c r="E562" s="4" t="n">
        <v>26</v>
      </c>
    </row>
    <row r="563" customFormat="false" ht="15" hidden="false" customHeight="false" outlineLevel="0" collapsed="false">
      <c r="A563" s="3" t="n">
        <v>2013</v>
      </c>
      <c r="B563" s="3" t="n">
        <v>7</v>
      </c>
      <c r="C563" s="3" t="n">
        <v>15</v>
      </c>
      <c r="D563" s="3" t="s">
        <v>567</v>
      </c>
      <c r="E563" s="4" t="n">
        <v>0</v>
      </c>
    </row>
    <row r="564" customFormat="false" ht="15" hidden="false" customHeight="false" outlineLevel="0" collapsed="false">
      <c r="A564" s="3" t="n">
        <v>2013</v>
      </c>
      <c r="B564" s="3" t="n">
        <v>7</v>
      </c>
      <c r="C564" s="3" t="n">
        <v>16</v>
      </c>
      <c r="D564" s="3" t="s">
        <v>568</v>
      </c>
      <c r="E564" s="4" t="n">
        <v>6</v>
      </c>
    </row>
    <row r="565" customFormat="false" ht="15" hidden="false" customHeight="false" outlineLevel="0" collapsed="false">
      <c r="A565" s="3" t="n">
        <v>2013</v>
      </c>
      <c r="B565" s="3" t="n">
        <v>7</v>
      </c>
      <c r="C565" s="3" t="n">
        <v>17</v>
      </c>
      <c r="D565" s="3" t="s">
        <v>569</v>
      </c>
      <c r="E565" s="4" t="n">
        <v>6</v>
      </c>
    </row>
    <row r="566" customFormat="false" ht="15" hidden="false" customHeight="false" outlineLevel="0" collapsed="false">
      <c r="A566" s="3" t="n">
        <v>2013</v>
      </c>
      <c r="B566" s="3" t="n">
        <v>7</v>
      </c>
      <c r="C566" s="3" t="n">
        <v>18</v>
      </c>
      <c r="D566" s="3" t="s">
        <v>570</v>
      </c>
      <c r="E566" s="4" t="n">
        <v>50</v>
      </c>
    </row>
    <row r="567" customFormat="false" ht="15" hidden="false" customHeight="false" outlineLevel="0" collapsed="false">
      <c r="A567" s="3" t="n">
        <v>2013</v>
      </c>
      <c r="B567" s="3" t="n">
        <v>7</v>
      </c>
      <c r="C567" s="3" t="n">
        <v>19</v>
      </c>
      <c r="D567" s="3" t="s">
        <v>571</v>
      </c>
      <c r="E567" s="4" t="n">
        <v>0</v>
      </c>
    </row>
    <row r="568" customFormat="false" ht="15" hidden="false" customHeight="false" outlineLevel="0" collapsed="false">
      <c r="A568" s="3" t="n">
        <v>2013</v>
      </c>
      <c r="B568" s="3" t="n">
        <v>7</v>
      </c>
      <c r="C568" s="3" t="n">
        <v>20</v>
      </c>
      <c r="D568" s="3" t="s">
        <v>572</v>
      </c>
      <c r="E568" s="4" t="n">
        <v>0</v>
      </c>
    </row>
    <row r="569" customFormat="false" ht="15" hidden="false" customHeight="false" outlineLevel="0" collapsed="false">
      <c r="A569" s="3" t="n">
        <v>2013</v>
      </c>
      <c r="B569" s="3" t="n">
        <v>7</v>
      </c>
      <c r="C569" s="3" t="n">
        <v>21</v>
      </c>
      <c r="D569" s="3" t="s">
        <v>573</v>
      </c>
      <c r="E569" s="4" t="n">
        <v>0</v>
      </c>
    </row>
    <row r="570" customFormat="false" ht="15" hidden="false" customHeight="false" outlineLevel="0" collapsed="false">
      <c r="A570" s="3" t="n">
        <v>2013</v>
      </c>
      <c r="B570" s="3" t="n">
        <v>7</v>
      </c>
      <c r="C570" s="3" t="n">
        <v>22</v>
      </c>
      <c r="D570" s="3" t="s">
        <v>574</v>
      </c>
      <c r="E570" s="4" t="n">
        <v>0</v>
      </c>
    </row>
    <row r="571" customFormat="false" ht="15" hidden="false" customHeight="false" outlineLevel="0" collapsed="false">
      <c r="A571" s="3" t="n">
        <v>2013</v>
      </c>
      <c r="B571" s="3" t="n">
        <v>7</v>
      </c>
      <c r="C571" s="3" t="n">
        <v>23</v>
      </c>
      <c r="D571" s="3" t="s">
        <v>575</v>
      </c>
      <c r="E571" s="4" t="n">
        <v>0</v>
      </c>
    </row>
    <row r="572" customFormat="false" ht="15" hidden="false" customHeight="false" outlineLevel="0" collapsed="false">
      <c r="A572" s="3" t="n">
        <v>2013</v>
      </c>
      <c r="B572" s="3" t="n">
        <v>7</v>
      </c>
      <c r="C572" s="3" t="n">
        <v>24</v>
      </c>
      <c r="D572" s="3" t="s">
        <v>576</v>
      </c>
      <c r="E572" s="4" t="n">
        <v>0</v>
      </c>
    </row>
    <row r="573" customFormat="false" ht="15" hidden="false" customHeight="false" outlineLevel="0" collapsed="false">
      <c r="A573" s="3" t="n">
        <v>2013</v>
      </c>
      <c r="B573" s="3" t="n">
        <v>7</v>
      </c>
      <c r="C573" s="3" t="n">
        <v>25</v>
      </c>
      <c r="D573" s="3" t="s">
        <v>577</v>
      </c>
      <c r="E573" s="4" t="n">
        <v>11</v>
      </c>
    </row>
    <row r="574" customFormat="false" ht="15" hidden="false" customHeight="false" outlineLevel="0" collapsed="false">
      <c r="A574" s="3" t="n">
        <v>2013</v>
      </c>
      <c r="B574" s="3" t="n">
        <v>7</v>
      </c>
      <c r="C574" s="3" t="n">
        <v>26</v>
      </c>
      <c r="D574" s="3" t="s">
        <v>578</v>
      </c>
      <c r="E574" s="4" t="n">
        <v>0</v>
      </c>
    </row>
    <row r="575" customFormat="false" ht="15" hidden="false" customHeight="false" outlineLevel="0" collapsed="false">
      <c r="A575" s="3" t="n">
        <v>2013</v>
      </c>
      <c r="B575" s="3" t="n">
        <v>7</v>
      </c>
      <c r="C575" s="3" t="n">
        <v>27</v>
      </c>
      <c r="D575" s="3" t="s">
        <v>579</v>
      </c>
      <c r="E575" s="4" t="n">
        <v>0</v>
      </c>
    </row>
    <row r="576" customFormat="false" ht="15" hidden="false" customHeight="false" outlineLevel="0" collapsed="false">
      <c r="A576" s="3" t="n">
        <v>2013</v>
      </c>
      <c r="B576" s="3" t="n">
        <v>7</v>
      </c>
      <c r="C576" s="3" t="n">
        <v>28</v>
      </c>
      <c r="D576" s="3" t="s">
        <v>580</v>
      </c>
      <c r="E576" s="4" t="n">
        <v>0</v>
      </c>
    </row>
    <row r="577" customFormat="false" ht="15" hidden="false" customHeight="false" outlineLevel="0" collapsed="false">
      <c r="A577" s="3" t="n">
        <v>2013</v>
      </c>
      <c r="B577" s="3" t="n">
        <v>7</v>
      </c>
      <c r="C577" s="3" t="n">
        <v>29</v>
      </c>
      <c r="D577" s="3" t="s">
        <v>581</v>
      </c>
      <c r="E577" s="4" t="n">
        <v>0</v>
      </c>
    </row>
    <row r="578" customFormat="false" ht="15" hidden="false" customHeight="false" outlineLevel="0" collapsed="false">
      <c r="A578" s="3" t="n">
        <v>2013</v>
      </c>
      <c r="B578" s="3" t="n">
        <v>7</v>
      </c>
      <c r="C578" s="3" t="n">
        <v>30</v>
      </c>
      <c r="D578" s="3" t="s">
        <v>582</v>
      </c>
      <c r="E578" s="4" t="n">
        <v>21</v>
      </c>
    </row>
    <row r="579" customFormat="false" ht="15" hidden="false" customHeight="false" outlineLevel="0" collapsed="false">
      <c r="A579" s="3" t="n">
        <v>2013</v>
      </c>
      <c r="B579" s="3" t="n">
        <v>7</v>
      </c>
      <c r="C579" s="3" t="n">
        <v>31</v>
      </c>
      <c r="D579" s="3" t="s">
        <v>583</v>
      </c>
      <c r="E579" s="4" t="n">
        <v>0</v>
      </c>
    </row>
    <row r="580" customFormat="false" ht="15" hidden="false" customHeight="false" outlineLevel="0" collapsed="false">
      <c r="A580" s="3" t="n">
        <v>2013</v>
      </c>
      <c r="B580" s="3" t="n">
        <v>8</v>
      </c>
      <c r="C580" s="3" t="n">
        <v>1</v>
      </c>
      <c r="D580" s="3" t="s">
        <v>584</v>
      </c>
      <c r="E580" s="4" t="n">
        <v>0</v>
      </c>
    </row>
    <row r="581" customFormat="false" ht="15" hidden="false" customHeight="false" outlineLevel="0" collapsed="false">
      <c r="A581" s="3" t="n">
        <v>2013</v>
      </c>
      <c r="B581" s="3" t="n">
        <v>8</v>
      </c>
      <c r="C581" s="3" t="n">
        <v>2</v>
      </c>
      <c r="D581" s="3" t="s">
        <v>585</v>
      </c>
      <c r="E581" s="4" t="n">
        <v>0</v>
      </c>
    </row>
    <row r="582" customFormat="false" ht="15" hidden="false" customHeight="false" outlineLevel="0" collapsed="false">
      <c r="A582" s="3" t="n">
        <v>2013</v>
      </c>
      <c r="B582" s="3" t="n">
        <v>8</v>
      </c>
      <c r="C582" s="3" t="n">
        <v>3</v>
      </c>
      <c r="D582" s="3" t="s">
        <v>586</v>
      </c>
      <c r="E582" s="4" t="n">
        <v>17</v>
      </c>
    </row>
    <row r="583" customFormat="false" ht="15" hidden="false" customHeight="false" outlineLevel="0" collapsed="false">
      <c r="A583" s="3" t="n">
        <v>2013</v>
      </c>
      <c r="B583" s="3" t="n">
        <v>8</v>
      </c>
      <c r="C583" s="3" t="n">
        <v>4</v>
      </c>
      <c r="D583" s="3" t="s">
        <v>587</v>
      </c>
      <c r="E583" s="4" t="n">
        <v>3</v>
      </c>
    </row>
    <row r="584" customFormat="false" ht="15" hidden="false" customHeight="false" outlineLevel="0" collapsed="false">
      <c r="A584" s="3" t="n">
        <v>2013</v>
      </c>
      <c r="B584" s="3" t="n">
        <v>8</v>
      </c>
      <c r="C584" s="3" t="n">
        <v>5</v>
      </c>
      <c r="D584" s="3" t="s">
        <v>588</v>
      </c>
      <c r="E584" s="4" t="n">
        <v>0</v>
      </c>
    </row>
    <row r="585" customFormat="false" ht="15" hidden="false" customHeight="false" outlineLevel="0" collapsed="false">
      <c r="A585" s="3" t="n">
        <v>2013</v>
      </c>
      <c r="B585" s="3" t="n">
        <v>8</v>
      </c>
      <c r="C585" s="3" t="n">
        <v>6</v>
      </c>
      <c r="D585" s="3" t="s">
        <v>589</v>
      </c>
      <c r="E585" s="4" t="n">
        <v>0</v>
      </c>
    </row>
    <row r="586" customFormat="false" ht="15" hidden="false" customHeight="false" outlineLevel="0" collapsed="false">
      <c r="A586" s="3" t="n">
        <v>2013</v>
      </c>
      <c r="B586" s="3" t="n">
        <v>8</v>
      </c>
      <c r="C586" s="3" t="n">
        <v>7</v>
      </c>
      <c r="D586" s="3" t="s">
        <v>590</v>
      </c>
      <c r="E586" s="4" t="n">
        <v>29</v>
      </c>
    </row>
    <row r="587" customFormat="false" ht="15" hidden="false" customHeight="false" outlineLevel="0" collapsed="false">
      <c r="A587" s="3" t="n">
        <v>2013</v>
      </c>
      <c r="B587" s="3" t="n">
        <v>8</v>
      </c>
      <c r="C587" s="3" t="n">
        <v>8</v>
      </c>
      <c r="D587" s="3" t="s">
        <v>591</v>
      </c>
      <c r="E587" s="4" t="n">
        <v>0</v>
      </c>
    </row>
    <row r="588" customFormat="false" ht="15" hidden="false" customHeight="false" outlineLevel="0" collapsed="false">
      <c r="A588" s="3" t="n">
        <v>2013</v>
      </c>
      <c r="B588" s="3" t="n">
        <v>8</v>
      </c>
      <c r="C588" s="3" t="n">
        <v>9</v>
      </c>
      <c r="D588" s="3" t="s">
        <v>592</v>
      </c>
      <c r="E588" s="4" t="n">
        <v>29</v>
      </c>
    </row>
    <row r="589" customFormat="false" ht="15" hidden="false" customHeight="false" outlineLevel="0" collapsed="false">
      <c r="A589" s="3" t="n">
        <v>2013</v>
      </c>
      <c r="B589" s="3" t="n">
        <v>8</v>
      </c>
      <c r="C589" s="3" t="n">
        <v>10</v>
      </c>
      <c r="D589" s="3" t="s">
        <v>593</v>
      </c>
      <c r="E589" s="4" t="n">
        <v>0</v>
      </c>
    </row>
    <row r="590" customFormat="false" ht="15" hidden="false" customHeight="false" outlineLevel="0" collapsed="false">
      <c r="A590" s="3" t="n">
        <v>2013</v>
      </c>
      <c r="B590" s="3" t="n">
        <v>8</v>
      </c>
      <c r="C590" s="3" t="n">
        <v>11</v>
      </c>
      <c r="D590" s="3" t="s">
        <v>594</v>
      </c>
      <c r="E590" s="4" t="n">
        <v>28</v>
      </c>
    </row>
    <row r="591" customFormat="false" ht="15" hidden="false" customHeight="false" outlineLevel="0" collapsed="false">
      <c r="A591" s="3" t="n">
        <v>2013</v>
      </c>
      <c r="B591" s="3" t="n">
        <v>8</v>
      </c>
      <c r="C591" s="3" t="n">
        <v>12</v>
      </c>
      <c r="D591" s="3" t="s">
        <v>595</v>
      </c>
      <c r="E591" s="4" t="n">
        <v>3</v>
      </c>
    </row>
    <row r="592" customFormat="false" ht="15" hidden="false" customHeight="false" outlineLevel="0" collapsed="false">
      <c r="A592" s="3" t="n">
        <v>2013</v>
      </c>
      <c r="B592" s="3" t="n">
        <v>8</v>
      </c>
      <c r="C592" s="3" t="n">
        <v>13</v>
      </c>
      <c r="D592" s="3" t="s">
        <v>596</v>
      </c>
      <c r="E592" s="4" t="n">
        <v>0</v>
      </c>
    </row>
    <row r="593" customFormat="false" ht="15" hidden="false" customHeight="false" outlineLevel="0" collapsed="false">
      <c r="A593" s="3" t="n">
        <v>2013</v>
      </c>
      <c r="B593" s="3" t="n">
        <v>8</v>
      </c>
      <c r="C593" s="3" t="n">
        <v>14</v>
      </c>
      <c r="D593" s="3" t="s">
        <v>597</v>
      </c>
      <c r="E593" s="4" t="n">
        <v>0</v>
      </c>
    </row>
    <row r="594" customFormat="false" ht="15" hidden="false" customHeight="false" outlineLevel="0" collapsed="false">
      <c r="A594" s="3" t="n">
        <v>2013</v>
      </c>
      <c r="B594" s="3" t="n">
        <v>8</v>
      </c>
      <c r="C594" s="3" t="n">
        <v>15</v>
      </c>
      <c r="D594" s="3" t="s">
        <v>598</v>
      </c>
      <c r="E594" s="4" t="n">
        <v>0</v>
      </c>
    </row>
    <row r="595" customFormat="false" ht="15" hidden="false" customHeight="false" outlineLevel="0" collapsed="false">
      <c r="A595" s="3" t="n">
        <v>2013</v>
      </c>
      <c r="B595" s="3" t="n">
        <v>8</v>
      </c>
      <c r="C595" s="3" t="n">
        <v>16</v>
      </c>
      <c r="D595" s="3" t="s">
        <v>599</v>
      </c>
      <c r="E595" s="4" t="n">
        <v>6</v>
      </c>
    </row>
    <row r="596" customFormat="false" ht="15" hidden="false" customHeight="false" outlineLevel="0" collapsed="false">
      <c r="A596" s="3" t="n">
        <v>2013</v>
      </c>
      <c r="B596" s="3" t="n">
        <v>8</v>
      </c>
      <c r="C596" s="3" t="n">
        <v>17</v>
      </c>
      <c r="D596" s="3" t="s">
        <v>600</v>
      </c>
      <c r="E596" s="4" t="n">
        <v>0</v>
      </c>
    </row>
    <row r="597" customFormat="false" ht="15" hidden="false" customHeight="false" outlineLevel="0" collapsed="false">
      <c r="A597" s="3" t="n">
        <v>2013</v>
      </c>
      <c r="B597" s="3" t="n">
        <v>8</v>
      </c>
      <c r="C597" s="3" t="n">
        <v>18</v>
      </c>
      <c r="D597" s="3" t="s">
        <v>601</v>
      </c>
      <c r="E597" s="4" t="n">
        <v>0</v>
      </c>
    </row>
    <row r="598" customFormat="false" ht="15" hidden="false" customHeight="false" outlineLevel="0" collapsed="false">
      <c r="A598" s="3" t="n">
        <v>2013</v>
      </c>
      <c r="B598" s="3" t="n">
        <v>8</v>
      </c>
      <c r="C598" s="3" t="n">
        <v>19</v>
      </c>
      <c r="D598" s="3" t="s">
        <v>602</v>
      </c>
      <c r="E598" s="4" t="n">
        <v>0</v>
      </c>
    </row>
    <row r="599" customFormat="false" ht="15" hidden="false" customHeight="false" outlineLevel="0" collapsed="false">
      <c r="A599" s="3" t="n">
        <v>2013</v>
      </c>
      <c r="B599" s="3" t="n">
        <v>8</v>
      </c>
      <c r="C599" s="3" t="n">
        <v>20</v>
      </c>
      <c r="D599" s="3" t="s">
        <v>603</v>
      </c>
      <c r="E599" s="4" t="n">
        <v>0</v>
      </c>
    </row>
    <row r="600" customFormat="false" ht="15" hidden="false" customHeight="false" outlineLevel="0" collapsed="false">
      <c r="A600" s="3" t="n">
        <v>2013</v>
      </c>
      <c r="B600" s="3" t="n">
        <v>8</v>
      </c>
      <c r="C600" s="3" t="n">
        <v>21</v>
      </c>
      <c r="D600" s="3" t="s">
        <v>604</v>
      </c>
      <c r="E600" s="4" t="n">
        <v>0</v>
      </c>
    </row>
    <row r="601" customFormat="false" ht="15" hidden="false" customHeight="false" outlineLevel="0" collapsed="false">
      <c r="A601" s="3" t="n">
        <v>2013</v>
      </c>
      <c r="B601" s="3" t="n">
        <v>8</v>
      </c>
      <c r="C601" s="3" t="n">
        <v>22</v>
      </c>
      <c r="D601" s="3" t="s">
        <v>605</v>
      </c>
      <c r="E601" s="4" t="n">
        <v>0</v>
      </c>
    </row>
    <row r="602" customFormat="false" ht="15" hidden="false" customHeight="false" outlineLevel="0" collapsed="false">
      <c r="A602" s="3" t="n">
        <v>2013</v>
      </c>
      <c r="B602" s="3" t="n">
        <v>8</v>
      </c>
      <c r="C602" s="3" t="n">
        <v>23</v>
      </c>
      <c r="D602" s="3" t="s">
        <v>606</v>
      </c>
      <c r="E602" s="4" t="n">
        <v>0</v>
      </c>
    </row>
    <row r="603" customFormat="false" ht="15" hidden="false" customHeight="false" outlineLevel="0" collapsed="false">
      <c r="A603" s="3" t="n">
        <v>2013</v>
      </c>
      <c r="B603" s="3" t="n">
        <v>8</v>
      </c>
      <c r="C603" s="3" t="n">
        <v>24</v>
      </c>
      <c r="D603" s="3" t="s">
        <v>607</v>
      </c>
      <c r="E603" s="4" t="n">
        <v>20</v>
      </c>
    </row>
    <row r="604" customFormat="false" ht="15" hidden="false" customHeight="false" outlineLevel="0" collapsed="false">
      <c r="A604" s="3" t="n">
        <v>2013</v>
      </c>
      <c r="B604" s="3" t="n">
        <v>8</v>
      </c>
      <c r="C604" s="3" t="n">
        <v>25</v>
      </c>
      <c r="D604" s="3" t="s">
        <v>608</v>
      </c>
      <c r="E604" s="4" t="n">
        <v>0</v>
      </c>
    </row>
    <row r="605" customFormat="false" ht="15" hidden="false" customHeight="false" outlineLevel="0" collapsed="false">
      <c r="A605" s="3" t="n">
        <v>2013</v>
      </c>
      <c r="B605" s="3" t="n">
        <v>8</v>
      </c>
      <c r="C605" s="3" t="n">
        <v>26</v>
      </c>
      <c r="D605" s="3" t="s">
        <v>609</v>
      </c>
      <c r="E605" s="4" t="n">
        <v>0</v>
      </c>
    </row>
    <row r="606" customFormat="false" ht="15" hidden="false" customHeight="false" outlineLevel="0" collapsed="false">
      <c r="A606" s="3" t="n">
        <v>2013</v>
      </c>
      <c r="B606" s="3" t="n">
        <v>8</v>
      </c>
      <c r="C606" s="3" t="n">
        <v>27</v>
      </c>
      <c r="D606" s="3" t="s">
        <v>610</v>
      </c>
      <c r="E606" s="4" t="n">
        <v>9</v>
      </c>
    </row>
    <row r="607" customFormat="false" ht="15" hidden="false" customHeight="false" outlineLevel="0" collapsed="false">
      <c r="A607" s="3" t="n">
        <v>2013</v>
      </c>
      <c r="B607" s="3" t="n">
        <v>8</v>
      </c>
      <c r="C607" s="3" t="n">
        <v>28</v>
      </c>
      <c r="D607" s="3" t="s">
        <v>611</v>
      </c>
      <c r="E607" s="4" t="n">
        <v>12</v>
      </c>
    </row>
    <row r="608" customFormat="false" ht="15" hidden="false" customHeight="false" outlineLevel="0" collapsed="false">
      <c r="A608" s="3" t="n">
        <v>2013</v>
      </c>
      <c r="B608" s="3" t="n">
        <v>8</v>
      </c>
      <c r="C608" s="3" t="n">
        <v>29</v>
      </c>
      <c r="D608" s="3" t="s">
        <v>612</v>
      </c>
      <c r="E608" s="4" t="n">
        <v>2</v>
      </c>
    </row>
    <row r="609" customFormat="false" ht="15" hidden="false" customHeight="false" outlineLevel="0" collapsed="false">
      <c r="A609" s="3" t="n">
        <v>2013</v>
      </c>
      <c r="B609" s="3" t="n">
        <v>8</v>
      </c>
      <c r="C609" s="3" t="n">
        <v>30</v>
      </c>
      <c r="D609" s="3" t="s">
        <v>613</v>
      </c>
      <c r="E609" s="4" t="n">
        <v>0</v>
      </c>
    </row>
    <row r="610" customFormat="false" ht="15" hidden="false" customHeight="false" outlineLevel="0" collapsed="false">
      <c r="A610" s="3" t="n">
        <v>2013</v>
      </c>
      <c r="B610" s="3" t="n">
        <v>8</v>
      </c>
      <c r="C610" s="3" t="n">
        <v>31</v>
      </c>
      <c r="D610" s="3" t="s">
        <v>614</v>
      </c>
      <c r="E610" s="4" t="n">
        <v>9</v>
      </c>
    </row>
    <row r="611" customFormat="false" ht="15" hidden="false" customHeight="false" outlineLevel="0" collapsed="false">
      <c r="A611" s="3" t="n">
        <v>2013</v>
      </c>
      <c r="B611" s="3" t="n">
        <v>9</v>
      </c>
      <c r="C611" s="3" t="n">
        <v>1</v>
      </c>
      <c r="D611" s="3" t="s">
        <v>615</v>
      </c>
      <c r="E611" s="4" t="n">
        <v>2</v>
      </c>
    </row>
    <row r="612" customFormat="false" ht="15" hidden="false" customHeight="false" outlineLevel="0" collapsed="false">
      <c r="A612" s="3" t="n">
        <v>2013</v>
      </c>
      <c r="B612" s="3" t="n">
        <v>9</v>
      </c>
      <c r="C612" s="3" t="n">
        <v>2</v>
      </c>
      <c r="D612" s="3" t="s">
        <v>616</v>
      </c>
      <c r="E612" s="4" t="n">
        <v>0</v>
      </c>
    </row>
    <row r="613" customFormat="false" ht="15" hidden="false" customHeight="false" outlineLevel="0" collapsed="false">
      <c r="A613" s="3" t="n">
        <v>2013</v>
      </c>
      <c r="B613" s="3" t="n">
        <v>9</v>
      </c>
      <c r="C613" s="3" t="n">
        <v>3</v>
      </c>
      <c r="D613" s="3" t="s">
        <v>617</v>
      </c>
      <c r="E613" s="4" t="n">
        <v>0</v>
      </c>
    </row>
    <row r="614" customFormat="false" ht="15" hidden="false" customHeight="false" outlineLevel="0" collapsed="false">
      <c r="A614" s="3" t="n">
        <v>2013</v>
      </c>
      <c r="B614" s="3" t="n">
        <v>9</v>
      </c>
      <c r="C614" s="3" t="n">
        <v>4</v>
      </c>
      <c r="D614" s="3" t="s">
        <v>618</v>
      </c>
      <c r="E614" s="4" t="n">
        <v>2</v>
      </c>
    </row>
    <row r="615" customFormat="false" ht="15" hidden="false" customHeight="false" outlineLevel="0" collapsed="false">
      <c r="A615" s="3" t="n">
        <v>2013</v>
      </c>
      <c r="B615" s="3" t="n">
        <v>9</v>
      </c>
      <c r="C615" s="3" t="n">
        <v>5</v>
      </c>
      <c r="D615" s="3" t="s">
        <v>619</v>
      </c>
      <c r="E615" s="4" t="n">
        <v>50</v>
      </c>
    </row>
    <row r="616" customFormat="false" ht="15" hidden="false" customHeight="false" outlineLevel="0" collapsed="false">
      <c r="A616" s="3" t="n">
        <v>2013</v>
      </c>
      <c r="B616" s="3" t="n">
        <v>9</v>
      </c>
      <c r="C616" s="3" t="n">
        <v>6</v>
      </c>
      <c r="D616" s="3" t="s">
        <v>620</v>
      </c>
      <c r="E616" s="4" t="n">
        <v>0</v>
      </c>
    </row>
    <row r="617" customFormat="false" ht="15" hidden="false" customHeight="false" outlineLevel="0" collapsed="false">
      <c r="A617" s="3" t="n">
        <v>2013</v>
      </c>
      <c r="B617" s="3" t="n">
        <v>9</v>
      </c>
      <c r="C617" s="3" t="n">
        <v>7</v>
      </c>
      <c r="D617" s="3" t="s">
        <v>621</v>
      </c>
      <c r="E617" s="4" t="n">
        <v>0</v>
      </c>
    </row>
    <row r="618" customFormat="false" ht="15" hidden="false" customHeight="false" outlineLevel="0" collapsed="false">
      <c r="A618" s="3" t="n">
        <v>2013</v>
      </c>
      <c r="B618" s="3" t="n">
        <v>9</v>
      </c>
      <c r="C618" s="3" t="n">
        <v>8</v>
      </c>
      <c r="D618" s="3" t="s">
        <v>622</v>
      </c>
      <c r="E618" s="4" t="n">
        <v>0</v>
      </c>
    </row>
    <row r="619" customFormat="false" ht="15" hidden="false" customHeight="false" outlineLevel="0" collapsed="false">
      <c r="A619" s="3" t="n">
        <v>2013</v>
      </c>
      <c r="B619" s="3" t="n">
        <v>9</v>
      </c>
      <c r="C619" s="3" t="n">
        <v>9</v>
      </c>
      <c r="D619" s="3" t="s">
        <v>623</v>
      </c>
      <c r="E619" s="4" t="n">
        <v>1</v>
      </c>
    </row>
    <row r="620" customFormat="false" ht="15" hidden="false" customHeight="false" outlineLevel="0" collapsed="false">
      <c r="A620" s="3" t="n">
        <v>2013</v>
      </c>
      <c r="B620" s="3" t="n">
        <v>9</v>
      </c>
      <c r="C620" s="3" t="n">
        <v>10</v>
      </c>
      <c r="D620" s="3" t="s">
        <v>624</v>
      </c>
      <c r="E620" s="4" t="n">
        <v>2</v>
      </c>
    </row>
    <row r="621" customFormat="false" ht="15" hidden="false" customHeight="false" outlineLevel="0" collapsed="false">
      <c r="A621" s="3" t="n">
        <v>2013</v>
      </c>
      <c r="B621" s="3" t="n">
        <v>9</v>
      </c>
      <c r="C621" s="3" t="n">
        <v>11</v>
      </c>
      <c r="D621" s="3" t="s">
        <v>625</v>
      </c>
      <c r="E621" s="4" t="n">
        <v>3</v>
      </c>
    </row>
    <row r="622" customFormat="false" ht="15" hidden="false" customHeight="false" outlineLevel="0" collapsed="false">
      <c r="A622" s="3" t="n">
        <v>2013</v>
      </c>
      <c r="B622" s="3" t="n">
        <v>9</v>
      </c>
      <c r="C622" s="3" t="n">
        <v>12</v>
      </c>
      <c r="D622" s="3" t="s">
        <v>626</v>
      </c>
      <c r="E622" s="4" t="n">
        <v>0</v>
      </c>
    </row>
    <row r="623" customFormat="false" ht="15" hidden="false" customHeight="false" outlineLevel="0" collapsed="false">
      <c r="A623" s="3" t="n">
        <v>2013</v>
      </c>
      <c r="B623" s="3" t="n">
        <v>9</v>
      </c>
      <c r="C623" s="3" t="n">
        <v>13</v>
      </c>
      <c r="D623" s="3" t="s">
        <v>627</v>
      </c>
      <c r="E623" s="4" t="n">
        <v>0</v>
      </c>
    </row>
    <row r="624" customFormat="false" ht="15" hidden="false" customHeight="false" outlineLevel="0" collapsed="false">
      <c r="A624" s="3" t="n">
        <v>2013</v>
      </c>
      <c r="B624" s="3" t="n">
        <v>9</v>
      </c>
      <c r="C624" s="3" t="n">
        <v>14</v>
      </c>
      <c r="D624" s="3" t="s">
        <v>628</v>
      </c>
      <c r="E624" s="4" t="n">
        <v>0</v>
      </c>
    </row>
    <row r="625" customFormat="false" ht="15" hidden="false" customHeight="false" outlineLevel="0" collapsed="false">
      <c r="A625" s="3" t="n">
        <v>2013</v>
      </c>
      <c r="B625" s="3" t="n">
        <v>9</v>
      </c>
      <c r="C625" s="3" t="n">
        <v>15</v>
      </c>
      <c r="D625" s="3" t="s">
        <v>629</v>
      </c>
      <c r="E625" s="4" t="n">
        <v>27</v>
      </c>
    </row>
    <row r="626" customFormat="false" ht="15" hidden="false" customHeight="false" outlineLevel="0" collapsed="false">
      <c r="A626" s="3" t="n">
        <v>2013</v>
      </c>
      <c r="B626" s="3" t="n">
        <v>9</v>
      </c>
      <c r="C626" s="3" t="n">
        <v>16</v>
      </c>
      <c r="D626" s="3" t="s">
        <v>630</v>
      </c>
      <c r="E626" s="4" t="n">
        <v>5</v>
      </c>
    </row>
    <row r="627" customFormat="false" ht="15" hidden="false" customHeight="false" outlineLevel="0" collapsed="false">
      <c r="A627" s="3" t="n">
        <v>2013</v>
      </c>
      <c r="B627" s="3" t="n">
        <v>9</v>
      </c>
      <c r="C627" s="3" t="n">
        <v>17</v>
      </c>
      <c r="D627" s="3" t="s">
        <v>631</v>
      </c>
      <c r="E627" s="4" t="n">
        <v>4</v>
      </c>
    </row>
    <row r="628" customFormat="false" ht="15" hidden="false" customHeight="false" outlineLevel="0" collapsed="false">
      <c r="A628" s="3" t="n">
        <v>2013</v>
      </c>
      <c r="B628" s="3" t="n">
        <v>9</v>
      </c>
      <c r="C628" s="3" t="n">
        <v>18</v>
      </c>
      <c r="D628" s="3" t="s">
        <v>632</v>
      </c>
      <c r="E628" s="4" t="n">
        <v>0</v>
      </c>
    </row>
    <row r="629" customFormat="false" ht="15" hidden="false" customHeight="false" outlineLevel="0" collapsed="false">
      <c r="A629" s="3" t="n">
        <v>2013</v>
      </c>
      <c r="B629" s="3" t="n">
        <v>9</v>
      </c>
      <c r="C629" s="3" t="n">
        <v>19</v>
      </c>
      <c r="D629" s="3" t="s">
        <v>633</v>
      </c>
      <c r="E629" s="4" t="n">
        <v>6</v>
      </c>
    </row>
    <row r="630" customFormat="false" ht="15" hidden="false" customHeight="false" outlineLevel="0" collapsed="false">
      <c r="A630" s="3" t="n">
        <v>2013</v>
      </c>
      <c r="B630" s="3" t="n">
        <v>9</v>
      </c>
      <c r="C630" s="3" t="n">
        <v>20</v>
      </c>
      <c r="D630" s="3" t="s">
        <v>634</v>
      </c>
      <c r="E630" s="4" t="n">
        <v>0</v>
      </c>
    </row>
    <row r="631" customFormat="false" ht="15" hidden="false" customHeight="false" outlineLevel="0" collapsed="false">
      <c r="A631" s="3" t="n">
        <v>2013</v>
      </c>
      <c r="B631" s="3" t="n">
        <v>9</v>
      </c>
      <c r="C631" s="3" t="n">
        <v>21</v>
      </c>
      <c r="D631" s="3" t="s">
        <v>635</v>
      </c>
      <c r="E631" s="4" t="n">
        <v>0</v>
      </c>
    </row>
    <row r="632" customFormat="false" ht="15" hidden="false" customHeight="false" outlineLevel="0" collapsed="false">
      <c r="A632" s="3" t="n">
        <v>2013</v>
      </c>
      <c r="B632" s="3" t="n">
        <v>9</v>
      </c>
      <c r="C632" s="3" t="n">
        <v>22</v>
      </c>
      <c r="D632" s="3" t="s">
        <v>636</v>
      </c>
      <c r="E632" s="4" t="n">
        <v>1</v>
      </c>
    </row>
    <row r="633" customFormat="false" ht="15" hidden="false" customHeight="false" outlineLevel="0" collapsed="false">
      <c r="A633" s="3" t="n">
        <v>2013</v>
      </c>
      <c r="B633" s="3" t="n">
        <v>9</v>
      </c>
      <c r="C633" s="3" t="n">
        <v>23</v>
      </c>
      <c r="D633" s="3" t="s">
        <v>637</v>
      </c>
      <c r="E633" s="4" t="n">
        <v>3</v>
      </c>
    </row>
    <row r="634" customFormat="false" ht="15" hidden="false" customHeight="false" outlineLevel="0" collapsed="false">
      <c r="A634" s="3" t="n">
        <v>2013</v>
      </c>
      <c r="B634" s="3" t="n">
        <v>9</v>
      </c>
      <c r="C634" s="3" t="n">
        <v>24</v>
      </c>
      <c r="D634" s="3" t="s">
        <v>638</v>
      </c>
      <c r="E634" s="4" t="n">
        <v>0</v>
      </c>
    </row>
    <row r="635" customFormat="false" ht="15" hidden="false" customHeight="false" outlineLevel="0" collapsed="false">
      <c r="A635" s="3" t="n">
        <v>2013</v>
      </c>
      <c r="B635" s="3" t="n">
        <v>9</v>
      </c>
      <c r="C635" s="3" t="n">
        <v>25</v>
      </c>
      <c r="D635" s="3" t="s">
        <v>639</v>
      </c>
      <c r="E635" s="4" t="n">
        <v>0</v>
      </c>
    </row>
    <row r="636" customFormat="false" ht="15" hidden="false" customHeight="false" outlineLevel="0" collapsed="false">
      <c r="A636" s="3" t="n">
        <v>2013</v>
      </c>
      <c r="B636" s="3" t="n">
        <v>9</v>
      </c>
      <c r="C636" s="3" t="n">
        <v>26</v>
      </c>
      <c r="D636" s="3" t="s">
        <v>640</v>
      </c>
      <c r="E636" s="4" t="n">
        <v>18</v>
      </c>
    </row>
    <row r="637" customFormat="false" ht="15" hidden="false" customHeight="false" outlineLevel="0" collapsed="false">
      <c r="A637" s="3" t="n">
        <v>2013</v>
      </c>
      <c r="B637" s="3" t="n">
        <v>9</v>
      </c>
      <c r="C637" s="3" t="n">
        <v>27</v>
      </c>
      <c r="D637" s="3" t="s">
        <v>641</v>
      </c>
      <c r="E637" s="4" t="n">
        <v>5</v>
      </c>
    </row>
    <row r="638" customFormat="false" ht="15" hidden="false" customHeight="false" outlineLevel="0" collapsed="false">
      <c r="A638" s="3" t="n">
        <v>2013</v>
      </c>
      <c r="B638" s="3" t="n">
        <v>9</v>
      </c>
      <c r="C638" s="3" t="n">
        <v>28</v>
      </c>
      <c r="D638" s="3" t="s">
        <v>642</v>
      </c>
      <c r="E638" s="4" t="n">
        <v>0</v>
      </c>
    </row>
    <row r="639" customFormat="false" ht="15" hidden="false" customHeight="false" outlineLevel="0" collapsed="false">
      <c r="A639" s="3" t="n">
        <v>2013</v>
      </c>
      <c r="B639" s="3" t="n">
        <v>9</v>
      </c>
      <c r="C639" s="3" t="n">
        <v>29</v>
      </c>
      <c r="D639" s="3" t="s">
        <v>643</v>
      </c>
      <c r="E639" s="4" t="n">
        <v>0</v>
      </c>
    </row>
    <row r="640" customFormat="false" ht="15" hidden="false" customHeight="false" outlineLevel="0" collapsed="false">
      <c r="A640" s="3" t="n">
        <v>2013</v>
      </c>
      <c r="B640" s="3" t="n">
        <v>9</v>
      </c>
      <c r="C640" s="3" t="n">
        <v>30</v>
      </c>
      <c r="D640" s="3" t="s">
        <v>644</v>
      </c>
      <c r="E640" s="4" t="n">
        <v>0</v>
      </c>
    </row>
    <row r="641" customFormat="false" ht="15" hidden="false" customHeight="false" outlineLevel="0" collapsed="false">
      <c r="A641" s="3" t="n">
        <v>2013</v>
      </c>
      <c r="B641" s="3" t="n">
        <v>10</v>
      </c>
      <c r="C641" s="3" t="n">
        <v>1</v>
      </c>
      <c r="D641" s="3" t="s">
        <v>645</v>
      </c>
      <c r="E641" s="4" t="n">
        <v>0</v>
      </c>
    </row>
    <row r="642" customFormat="false" ht="15" hidden="false" customHeight="false" outlineLevel="0" collapsed="false">
      <c r="A642" s="3" t="n">
        <v>2013</v>
      </c>
      <c r="B642" s="3" t="n">
        <v>10</v>
      </c>
      <c r="C642" s="3" t="n">
        <v>2</v>
      </c>
      <c r="D642" s="3" t="s">
        <v>646</v>
      </c>
      <c r="E642" s="4" t="n">
        <v>0</v>
      </c>
    </row>
    <row r="643" customFormat="false" ht="15" hidden="false" customHeight="false" outlineLevel="0" collapsed="false">
      <c r="A643" s="3" t="n">
        <v>2013</v>
      </c>
      <c r="B643" s="3" t="n">
        <v>10</v>
      </c>
      <c r="C643" s="3" t="n">
        <v>3</v>
      </c>
      <c r="D643" s="3" t="s">
        <v>647</v>
      </c>
      <c r="E643" s="4" t="n">
        <v>0</v>
      </c>
    </row>
    <row r="644" customFormat="false" ht="15" hidden="false" customHeight="false" outlineLevel="0" collapsed="false">
      <c r="A644" s="3" t="n">
        <v>2013</v>
      </c>
      <c r="B644" s="3" t="n">
        <v>10</v>
      </c>
      <c r="C644" s="3" t="n">
        <v>4</v>
      </c>
      <c r="D644" s="3" t="s">
        <v>648</v>
      </c>
      <c r="E644" s="4" t="n">
        <v>0</v>
      </c>
    </row>
    <row r="645" customFormat="false" ht="15" hidden="false" customHeight="false" outlineLevel="0" collapsed="false">
      <c r="A645" s="3" t="n">
        <v>2013</v>
      </c>
      <c r="B645" s="3" t="n">
        <v>10</v>
      </c>
      <c r="C645" s="3" t="n">
        <v>5</v>
      </c>
      <c r="D645" s="3" t="s">
        <v>649</v>
      </c>
      <c r="E645" s="4" t="n">
        <v>0</v>
      </c>
    </row>
    <row r="646" customFormat="false" ht="15" hidden="false" customHeight="false" outlineLevel="0" collapsed="false">
      <c r="A646" s="3" t="n">
        <v>2013</v>
      </c>
      <c r="B646" s="3" t="n">
        <v>10</v>
      </c>
      <c r="C646" s="3" t="n">
        <v>6</v>
      </c>
      <c r="D646" s="3" t="s">
        <v>650</v>
      </c>
      <c r="E646" s="4" t="n">
        <v>0</v>
      </c>
    </row>
    <row r="647" customFormat="false" ht="15" hidden="false" customHeight="false" outlineLevel="0" collapsed="false">
      <c r="A647" s="3" t="n">
        <v>2013</v>
      </c>
      <c r="B647" s="3" t="n">
        <v>10</v>
      </c>
      <c r="C647" s="3" t="n">
        <v>7</v>
      </c>
      <c r="D647" s="3" t="s">
        <v>651</v>
      </c>
      <c r="E647" s="4" t="n">
        <v>0</v>
      </c>
    </row>
    <row r="648" customFormat="false" ht="15" hidden="false" customHeight="false" outlineLevel="0" collapsed="false">
      <c r="A648" s="3" t="n">
        <v>2013</v>
      </c>
      <c r="B648" s="3" t="n">
        <v>10</v>
      </c>
      <c r="C648" s="3" t="n">
        <v>8</v>
      </c>
      <c r="D648" s="3" t="s">
        <v>652</v>
      </c>
      <c r="E648" s="4" t="n">
        <v>35</v>
      </c>
    </row>
    <row r="649" customFormat="false" ht="15" hidden="false" customHeight="false" outlineLevel="0" collapsed="false">
      <c r="A649" s="3" t="n">
        <v>2013</v>
      </c>
      <c r="B649" s="3" t="n">
        <v>10</v>
      </c>
      <c r="C649" s="3" t="n">
        <v>9</v>
      </c>
      <c r="D649" s="3" t="s">
        <v>653</v>
      </c>
      <c r="E649" s="4" t="n">
        <v>2</v>
      </c>
    </row>
    <row r="650" customFormat="false" ht="15" hidden="false" customHeight="false" outlineLevel="0" collapsed="false">
      <c r="A650" s="3" t="n">
        <v>2013</v>
      </c>
      <c r="B650" s="3" t="n">
        <v>10</v>
      </c>
      <c r="C650" s="3" t="n">
        <v>10</v>
      </c>
      <c r="D650" s="3" t="s">
        <v>654</v>
      </c>
      <c r="E650" s="4" t="n">
        <v>0</v>
      </c>
    </row>
    <row r="651" customFormat="false" ht="15" hidden="false" customHeight="false" outlineLevel="0" collapsed="false">
      <c r="A651" s="3" t="n">
        <v>2013</v>
      </c>
      <c r="B651" s="3" t="n">
        <v>10</v>
      </c>
      <c r="C651" s="3" t="n">
        <v>11</v>
      </c>
      <c r="D651" s="3" t="s">
        <v>655</v>
      </c>
      <c r="E651" s="4" t="n">
        <v>0</v>
      </c>
    </row>
    <row r="652" customFormat="false" ht="15" hidden="false" customHeight="false" outlineLevel="0" collapsed="false">
      <c r="A652" s="3" t="n">
        <v>2013</v>
      </c>
      <c r="B652" s="3" t="n">
        <v>10</v>
      </c>
      <c r="C652" s="3" t="n">
        <v>12</v>
      </c>
      <c r="D652" s="3" t="s">
        <v>656</v>
      </c>
      <c r="E652" s="4" t="n">
        <v>0</v>
      </c>
    </row>
    <row r="653" customFormat="false" ht="15" hidden="false" customHeight="false" outlineLevel="0" collapsed="false">
      <c r="A653" s="3" t="n">
        <v>2013</v>
      </c>
      <c r="B653" s="3" t="n">
        <v>10</v>
      </c>
      <c r="C653" s="3" t="n">
        <v>13</v>
      </c>
      <c r="D653" s="3" t="s">
        <v>657</v>
      </c>
      <c r="E653" s="4" t="n">
        <v>0</v>
      </c>
    </row>
    <row r="654" customFormat="false" ht="15" hidden="false" customHeight="false" outlineLevel="0" collapsed="false">
      <c r="A654" s="3" t="n">
        <v>2013</v>
      </c>
      <c r="B654" s="3" t="n">
        <v>10</v>
      </c>
      <c r="C654" s="3" t="n">
        <v>14</v>
      </c>
      <c r="D654" s="3" t="s">
        <v>658</v>
      </c>
      <c r="E654" s="4" t="n">
        <v>0</v>
      </c>
    </row>
    <row r="655" customFormat="false" ht="15" hidden="false" customHeight="false" outlineLevel="0" collapsed="false">
      <c r="A655" s="3" t="n">
        <v>2013</v>
      </c>
      <c r="B655" s="3" t="n">
        <v>10</v>
      </c>
      <c r="C655" s="3" t="n">
        <v>15</v>
      </c>
      <c r="D655" s="3" t="s">
        <v>659</v>
      </c>
      <c r="E655" s="4" t="n">
        <v>0</v>
      </c>
    </row>
    <row r="656" customFormat="false" ht="15" hidden="false" customHeight="false" outlineLevel="0" collapsed="false">
      <c r="A656" s="3" t="n">
        <v>2013</v>
      </c>
      <c r="B656" s="3" t="n">
        <v>10</v>
      </c>
      <c r="C656" s="3" t="n">
        <v>16</v>
      </c>
      <c r="D656" s="3" t="s">
        <v>660</v>
      </c>
      <c r="E656" s="4" t="n">
        <v>0</v>
      </c>
    </row>
    <row r="657" customFormat="false" ht="15" hidden="false" customHeight="false" outlineLevel="0" collapsed="false">
      <c r="A657" s="3" t="n">
        <v>2013</v>
      </c>
      <c r="B657" s="3" t="n">
        <v>10</v>
      </c>
      <c r="C657" s="3" t="n">
        <v>17</v>
      </c>
      <c r="D657" s="3" t="s">
        <v>661</v>
      </c>
      <c r="E657" s="4" t="n">
        <v>0</v>
      </c>
    </row>
    <row r="658" customFormat="false" ht="15" hidden="false" customHeight="false" outlineLevel="0" collapsed="false">
      <c r="A658" s="3" t="n">
        <v>2013</v>
      </c>
      <c r="B658" s="3" t="n">
        <v>10</v>
      </c>
      <c r="C658" s="3" t="n">
        <v>18</v>
      </c>
      <c r="D658" s="3" t="s">
        <v>662</v>
      </c>
      <c r="E658" s="4" t="n">
        <v>26</v>
      </c>
    </row>
    <row r="659" customFormat="false" ht="15" hidden="false" customHeight="false" outlineLevel="0" collapsed="false">
      <c r="A659" s="3" t="n">
        <v>2013</v>
      </c>
      <c r="B659" s="3" t="n">
        <v>10</v>
      </c>
      <c r="C659" s="3" t="n">
        <v>19</v>
      </c>
      <c r="D659" s="3" t="s">
        <v>663</v>
      </c>
      <c r="E659" s="4" t="n">
        <v>0</v>
      </c>
    </row>
    <row r="660" customFormat="false" ht="15" hidden="false" customHeight="false" outlineLevel="0" collapsed="false">
      <c r="A660" s="3" t="n">
        <v>2013</v>
      </c>
      <c r="B660" s="3" t="n">
        <v>10</v>
      </c>
      <c r="C660" s="3" t="n">
        <v>20</v>
      </c>
      <c r="D660" s="3" t="s">
        <v>664</v>
      </c>
      <c r="E660" s="4" t="n">
        <v>0</v>
      </c>
    </row>
    <row r="661" customFormat="false" ht="15" hidden="false" customHeight="false" outlineLevel="0" collapsed="false">
      <c r="A661" s="3" t="n">
        <v>2013</v>
      </c>
      <c r="B661" s="3" t="n">
        <v>10</v>
      </c>
      <c r="C661" s="3" t="n">
        <v>21</v>
      </c>
      <c r="D661" s="3" t="s">
        <v>665</v>
      </c>
      <c r="E661" s="4" t="n">
        <v>0</v>
      </c>
    </row>
    <row r="662" customFormat="false" ht="15" hidden="false" customHeight="false" outlineLevel="0" collapsed="false">
      <c r="A662" s="3" t="n">
        <v>2013</v>
      </c>
      <c r="B662" s="3" t="n">
        <v>10</v>
      </c>
      <c r="C662" s="3" t="n">
        <v>22</v>
      </c>
      <c r="D662" s="3" t="s">
        <v>666</v>
      </c>
      <c r="E662" s="4" t="n">
        <v>46</v>
      </c>
    </row>
    <row r="663" customFormat="false" ht="15" hidden="false" customHeight="false" outlineLevel="0" collapsed="false">
      <c r="A663" s="3" t="n">
        <v>2013</v>
      </c>
      <c r="B663" s="3" t="n">
        <v>10</v>
      </c>
      <c r="C663" s="3" t="n">
        <v>23</v>
      </c>
      <c r="D663" s="3" t="s">
        <v>667</v>
      </c>
      <c r="E663" s="4" t="n">
        <v>6</v>
      </c>
    </row>
    <row r="664" customFormat="false" ht="15" hidden="false" customHeight="false" outlineLevel="0" collapsed="false">
      <c r="A664" s="3" t="n">
        <v>2013</v>
      </c>
      <c r="B664" s="3" t="n">
        <v>10</v>
      </c>
      <c r="C664" s="3" t="n">
        <v>24</v>
      </c>
      <c r="D664" s="3" t="s">
        <v>668</v>
      </c>
      <c r="E664" s="4" t="n">
        <v>6</v>
      </c>
    </row>
    <row r="665" customFormat="false" ht="15" hidden="false" customHeight="false" outlineLevel="0" collapsed="false">
      <c r="A665" s="3" t="n">
        <v>2013</v>
      </c>
      <c r="B665" s="3" t="n">
        <v>10</v>
      </c>
      <c r="C665" s="3" t="n">
        <v>25</v>
      </c>
      <c r="D665" s="3" t="s">
        <v>669</v>
      </c>
      <c r="E665" s="4" t="n">
        <v>4</v>
      </c>
    </row>
    <row r="666" customFormat="false" ht="15" hidden="false" customHeight="false" outlineLevel="0" collapsed="false">
      <c r="A666" s="3" t="n">
        <v>2013</v>
      </c>
      <c r="B666" s="3" t="n">
        <v>10</v>
      </c>
      <c r="C666" s="3" t="n">
        <v>26</v>
      </c>
      <c r="D666" s="3" t="s">
        <v>670</v>
      </c>
      <c r="E666" s="4" t="n">
        <v>0</v>
      </c>
    </row>
    <row r="667" customFormat="false" ht="15" hidden="false" customHeight="false" outlineLevel="0" collapsed="false">
      <c r="A667" s="3" t="n">
        <v>2013</v>
      </c>
      <c r="B667" s="3" t="n">
        <v>10</v>
      </c>
      <c r="C667" s="3" t="n">
        <v>27</v>
      </c>
      <c r="D667" s="3" t="s">
        <v>671</v>
      </c>
      <c r="E667" s="4" t="n">
        <v>0</v>
      </c>
    </row>
    <row r="668" customFormat="false" ht="15" hidden="false" customHeight="false" outlineLevel="0" collapsed="false">
      <c r="A668" s="3" t="n">
        <v>2013</v>
      </c>
      <c r="B668" s="3" t="n">
        <v>10</v>
      </c>
      <c r="C668" s="3" t="n">
        <v>28</v>
      </c>
      <c r="D668" s="3" t="s">
        <v>672</v>
      </c>
      <c r="E668" s="4" t="n">
        <v>0</v>
      </c>
    </row>
    <row r="669" customFormat="false" ht="15" hidden="false" customHeight="false" outlineLevel="0" collapsed="false">
      <c r="A669" s="3" t="n">
        <v>2013</v>
      </c>
      <c r="B669" s="3" t="n">
        <v>10</v>
      </c>
      <c r="C669" s="3" t="n">
        <v>29</v>
      </c>
      <c r="D669" s="3" t="s">
        <v>673</v>
      </c>
      <c r="E669" s="4" t="n">
        <v>26</v>
      </c>
    </row>
    <row r="670" customFormat="false" ht="15" hidden="false" customHeight="false" outlineLevel="0" collapsed="false">
      <c r="A670" s="3" t="n">
        <v>2013</v>
      </c>
      <c r="B670" s="3" t="n">
        <v>10</v>
      </c>
      <c r="C670" s="3" t="n">
        <v>30</v>
      </c>
      <c r="D670" s="3" t="s">
        <v>674</v>
      </c>
      <c r="E670" s="4" t="n">
        <v>0</v>
      </c>
    </row>
    <row r="671" customFormat="false" ht="15" hidden="false" customHeight="false" outlineLevel="0" collapsed="false">
      <c r="A671" s="3" t="n">
        <v>2013</v>
      </c>
      <c r="B671" s="3" t="n">
        <v>10</v>
      </c>
      <c r="C671" s="3" t="n">
        <v>31</v>
      </c>
      <c r="D671" s="3" t="s">
        <v>675</v>
      </c>
      <c r="E671" s="4" t="n">
        <v>0</v>
      </c>
    </row>
    <row r="672" customFormat="false" ht="15" hidden="false" customHeight="false" outlineLevel="0" collapsed="false">
      <c r="A672" s="3" t="n">
        <v>2013</v>
      </c>
      <c r="B672" s="3" t="n">
        <v>11</v>
      </c>
      <c r="C672" s="3" t="n">
        <v>1</v>
      </c>
      <c r="D672" s="3" t="s">
        <v>676</v>
      </c>
      <c r="E672" s="4" t="n">
        <v>0</v>
      </c>
    </row>
    <row r="673" customFormat="false" ht="15" hidden="false" customHeight="false" outlineLevel="0" collapsed="false">
      <c r="A673" s="3" t="n">
        <v>2013</v>
      </c>
      <c r="B673" s="3" t="n">
        <v>11</v>
      </c>
      <c r="C673" s="3" t="n">
        <v>2</v>
      </c>
      <c r="D673" s="3" t="s">
        <v>677</v>
      </c>
      <c r="E673" s="4" t="n">
        <v>0</v>
      </c>
    </row>
    <row r="674" customFormat="false" ht="15" hidden="false" customHeight="false" outlineLevel="0" collapsed="false">
      <c r="A674" s="3" t="n">
        <v>2013</v>
      </c>
      <c r="B674" s="3" t="n">
        <v>11</v>
      </c>
      <c r="C674" s="3" t="n">
        <v>3</v>
      </c>
      <c r="D674" s="3" t="s">
        <v>678</v>
      </c>
      <c r="E674" s="4" t="n">
        <v>10</v>
      </c>
    </row>
    <row r="675" customFormat="false" ht="15" hidden="false" customHeight="false" outlineLevel="0" collapsed="false">
      <c r="A675" s="3" t="n">
        <v>2013</v>
      </c>
      <c r="B675" s="3" t="n">
        <v>11</v>
      </c>
      <c r="C675" s="3" t="n">
        <v>4</v>
      </c>
      <c r="D675" s="3" t="s">
        <v>679</v>
      </c>
      <c r="E675" s="4" t="n">
        <v>4</v>
      </c>
    </row>
    <row r="676" customFormat="false" ht="15" hidden="false" customHeight="false" outlineLevel="0" collapsed="false">
      <c r="A676" s="3" t="n">
        <v>2013</v>
      </c>
      <c r="B676" s="3" t="n">
        <v>11</v>
      </c>
      <c r="C676" s="3" t="n">
        <v>5</v>
      </c>
      <c r="D676" s="3" t="s">
        <v>680</v>
      </c>
      <c r="E676" s="4" t="n">
        <v>0</v>
      </c>
    </row>
    <row r="677" customFormat="false" ht="15" hidden="false" customHeight="false" outlineLevel="0" collapsed="false">
      <c r="A677" s="3" t="n">
        <v>2013</v>
      </c>
      <c r="B677" s="3" t="n">
        <v>11</v>
      </c>
      <c r="C677" s="3" t="n">
        <v>6</v>
      </c>
      <c r="D677" s="3" t="s">
        <v>681</v>
      </c>
      <c r="E677" s="4" t="n">
        <v>13</v>
      </c>
    </row>
    <row r="678" customFormat="false" ht="15" hidden="false" customHeight="false" outlineLevel="0" collapsed="false">
      <c r="A678" s="3" t="n">
        <v>2013</v>
      </c>
      <c r="B678" s="3" t="n">
        <v>11</v>
      </c>
      <c r="C678" s="3" t="n">
        <v>7</v>
      </c>
      <c r="D678" s="3" t="s">
        <v>682</v>
      </c>
      <c r="E678" s="4" t="n">
        <v>1</v>
      </c>
    </row>
    <row r="679" customFormat="false" ht="15" hidden="false" customHeight="false" outlineLevel="0" collapsed="false">
      <c r="A679" s="3" t="n">
        <v>2013</v>
      </c>
      <c r="B679" s="3" t="n">
        <v>11</v>
      </c>
      <c r="C679" s="3" t="n">
        <v>8</v>
      </c>
      <c r="D679" s="3" t="s">
        <v>683</v>
      </c>
      <c r="E679" s="4" t="n">
        <v>3</v>
      </c>
    </row>
    <row r="680" customFormat="false" ht="15" hidden="false" customHeight="false" outlineLevel="0" collapsed="false">
      <c r="A680" s="3" t="n">
        <v>2013</v>
      </c>
      <c r="B680" s="3" t="n">
        <v>11</v>
      </c>
      <c r="C680" s="3" t="n">
        <v>9</v>
      </c>
      <c r="D680" s="3" t="s">
        <v>684</v>
      </c>
      <c r="E680" s="4" t="n">
        <v>0</v>
      </c>
    </row>
    <row r="681" customFormat="false" ht="15" hidden="false" customHeight="false" outlineLevel="0" collapsed="false">
      <c r="A681" s="3" t="n">
        <v>2013</v>
      </c>
      <c r="B681" s="3" t="n">
        <v>11</v>
      </c>
      <c r="C681" s="3" t="n">
        <v>10</v>
      </c>
      <c r="D681" s="3" t="s">
        <v>685</v>
      </c>
      <c r="E681" s="4" t="n">
        <v>0</v>
      </c>
    </row>
    <row r="682" customFormat="false" ht="15" hidden="false" customHeight="false" outlineLevel="0" collapsed="false">
      <c r="A682" s="3" t="n">
        <v>2013</v>
      </c>
      <c r="B682" s="3" t="n">
        <v>11</v>
      </c>
      <c r="C682" s="3" t="n">
        <v>11</v>
      </c>
      <c r="D682" s="3" t="s">
        <v>686</v>
      </c>
      <c r="E682" s="4" t="n">
        <v>13</v>
      </c>
    </row>
    <row r="683" customFormat="false" ht="15" hidden="false" customHeight="false" outlineLevel="0" collapsed="false">
      <c r="A683" s="3" t="n">
        <v>2013</v>
      </c>
      <c r="B683" s="3" t="n">
        <v>11</v>
      </c>
      <c r="C683" s="3" t="n">
        <v>12</v>
      </c>
      <c r="D683" s="3" t="s">
        <v>687</v>
      </c>
      <c r="E683" s="4" t="n">
        <v>11</v>
      </c>
    </row>
    <row r="684" customFormat="false" ht="15" hidden="false" customHeight="false" outlineLevel="0" collapsed="false">
      <c r="A684" s="3" t="n">
        <v>2013</v>
      </c>
      <c r="B684" s="3" t="n">
        <v>11</v>
      </c>
      <c r="C684" s="3" t="n">
        <v>13</v>
      </c>
      <c r="D684" s="3" t="s">
        <v>688</v>
      </c>
      <c r="E684" s="4" t="n">
        <v>5</v>
      </c>
    </row>
    <row r="685" customFormat="false" ht="15" hidden="false" customHeight="false" outlineLevel="0" collapsed="false">
      <c r="A685" s="3" t="n">
        <v>2013</v>
      </c>
      <c r="B685" s="3" t="n">
        <v>11</v>
      </c>
      <c r="C685" s="3" t="n">
        <v>14</v>
      </c>
      <c r="D685" s="3" t="s">
        <v>689</v>
      </c>
      <c r="E685" s="4" t="n">
        <v>0</v>
      </c>
    </row>
    <row r="686" customFormat="false" ht="15" hidden="false" customHeight="false" outlineLevel="0" collapsed="false">
      <c r="A686" s="3" t="n">
        <v>2013</v>
      </c>
      <c r="B686" s="3" t="n">
        <v>11</v>
      </c>
      <c r="C686" s="3" t="n">
        <v>15</v>
      </c>
      <c r="D686" s="3" t="s">
        <v>690</v>
      </c>
      <c r="E686" s="4" t="n">
        <v>0</v>
      </c>
    </row>
    <row r="687" customFormat="false" ht="15" hidden="false" customHeight="false" outlineLevel="0" collapsed="false">
      <c r="A687" s="3" t="n">
        <v>2013</v>
      </c>
      <c r="B687" s="3" t="n">
        <v>11</v>
      </c>
      <c r="C687" s="3" t="n">
        <v>16</v>
      </c>
      <c r="D687" s="3" t="s">
        <v>691</v>
      </c>
      <c r="E687" s="4" t="n">
        <v>0</v>
      </c>
    </row>
    <row r="688" customFormat="false" ht="15" hidden="false" customHeight="false" outlineLevel="0" collapsed="false">
      <c r="A688" s="3" t="n">
        <v>2013</v>
      </c>
      <c r="B688" s="3" t="n">
        <v>11</v>
      </c>
      <c r="C688" s="3" t="n">
        <v>17</v>
      </c>
      <c r="D688" s="3" t="s">
        <v>692</v>
      </c>
      <c r="E688" s="4" t="n">
        <v>20</v>
      </c>
    </row>
    <row r="689" customFormat="false" ht="15" hidden="false" customHeight="false" outlineLevel="0" collapsed="false">
      <c r="A689" s="3" t="n">
        <v>2013</v>
      </c>
      <c r="B689" s="3" t="n">
        <v>11</v>
      </c>
      <c r="C689" s="3" t="n">
        <v>18</v>
      </c>
      <c r="D689" s="3" t="s">
        <v>693</v>
      </c>
      <c r="E689" s="4" t="n">
        <v>120</v>
      </c>
    </row>
    <row r="690" customFormat="false" ht="15" hidden="false" customHeight="false" outlineLevel="0" collapsed="false">
      <c r="A690" s="3" t="n">
        <v>2013</v>
      </c>
      <c r="B690" s="3" t="n">
        <v>11</v>
      </c>
      <c r="C690" s="3" t="n">
        <v>19</v>
      </c>
      <c r="D690" s="3" t="s">
        <v>694</v>
      </c>
      <c r="E690" s="4" t="n">
        <v>1</v>
      </c>
    </row>
    <row r="691" customFormat="false" ht="15" hidden="false" customHeight="false" outlineLevel="0" collapsed="false">
      <c r="A691" s="3" t="n">
        <v>2013</v>
      </c>
      <c r="B691" s="3" t="n">
        <v>11</v>
      </c>
      <c r="C691" s="3" t="n">
        <v>20</v>
      </c>
      <c r="D691" s="3" t="s">
        <v>695</v>
      </c>
      <c r="E691" s="4" t="n">
        <v>0</v>
      </c>
    </row>
    <row r="692" customFormat="false" ht="15" hidden="false" customHeight="false" outlineLevel="0" collapsed="false">
      <c r="A692" s="3" t="n">
        <v>2013</v>
      </c>
      <c r="B692" s="3" t="n">
        <v>11</v>
      </c>
      <c r="C692" s="3" t="n">
        <v>21</v>
      </c>
      <c r="D692" s="3" t="s">
        <v>696</v>
      </c>
      <c r="E692" s="4" t="n">
        <v>0</v>
      </c>
    </row>
    <row r="693" customFormat="false" ht="15" hidden="false" customHeight="false" outlineLevel="0" collapsed="false">
      <c r="A693" s="3" t="n">
        <v>2013</v>
      </c>
      <c r="B693" s="3" t="n">
        <v>11</v>
      </c>
      <c r="C693" s="3" t="n">
        <v>22</v>
      </c>
      <c r="D693" s="3" t="s">
        <v>697</v>
      </c>
      <c r="E693" s="4" t="n">
        <v>0</v>
      </c>
    </row>
    <row r="694" customFormat="false" ht="15" hidden="false" customHeight="false" outlineLevel="0" collapsed="false">
      <c r="A694" s="3" t="n">
        <v>2013</v>
      </c>
      <c r="B694" s="3" t="n">
        <v>11</v>
      </c>
      <c r="C694" s="3" t="n">
        <v>23</v>
      </c>
      <c r="D694" s="3" t="s">
        <v>698</v>
      </c>
      <c r="E694" s="4" t="n">
        <v>0</v>
      </c>
    </row>
    <row r="695" customFormat="false" ht="15" hidden="false" customHeight="false" outlineLevel="0" collapsed="false">
      <c r="A695" s="3" t="n">
        <v>2013</v>
      </c>
      <c r="B695" s="3" t="n">
        <v>11</v>
      </c>
      <c r="C695" s="3" t="n">
        <v>24</v>
      </c>
      <c r="D695" s="3" t="s">
        <v>699</v>
      </c>
      <c r="E695" s="4" t="n">
        <v>0</v>
      </c>
    </row>
    <row r="696" customFormat="false" ht="15" hidden="false" customHeight="false" outlineLevel="0" collapsed="false">
      <c r="A696" s="3" t="n">
        <v>2013</v>
      </c>
      <c r="B696" s="3" t="n">
        <v>11</v>
      </c>
      <c r="C696" s="3" t="n">
        <v>25</v>
      </c>
      <c r="D696" s="3" t="s">
        <v>700</v>
      </c>
      <c r="E696" s="4" t="n">
        <v>0</v>
      </c>
    </row>
    <row r="697" customFormat="false" ht="15" hidden="false" customHeight="false" outlineLevel="0" collapsed="false">
      <c r="A697" s="3" t="n">
        <v>2013</v>
      </c>
      <c r="B697" s="3" t="n">
        <v>11</v>
      </c>
      <c r="C697" s="3" t="n">
        <v>26</v>
      </c>
      <c r="D697" s="3" t="s">
        <v>701</v>
      </c>
      <c r="E697" s="4" t="n">
        <v>2</v>
      </c>
    </row>
    <row r="698" customFormat="false" ht="15" hidden="false" customHeight="false" outlineLevel="0" collapsed="false">
      <c r="A698" s="3" t="n">
        <v>2013</v>
      </c>
      <c r="B698" s="3" t="n">
        <v>11</v>
      </c>
      <c r="C698" s="3" t="n">
        <v>27</v>
      </c>
      <c r="D698" s="3" t="s">
        <v>702</v>
      </c>
      <c r="E698" s="4" t="n">
        <v>0</v>
      </c>
    </row>
    <row r="699" customFormat="false" ht="15" hidden="false" customHeight="false" outlineLevel="0" collapsed="false">
      <c r="A699" s="3" t="n">
        <v>2013</v>
      </c>
      <c r="B699" s="3" t="n">
        <v>11</v>
      </c>
      <c r="C699" s="3" t="n">
        <v>28</v>
      </c>
      <c r="D699" s="3" t="s">
        <v>703</v>
      </c>
      <c r="E699" s="4" t="n">
        <v>70</v>
      </c>
    </row>
    <row r="700" customFormat="false" ht="15" hidden="false" customHeight="false" outlineLevel="0" collapsed="false">
      <c r="A700" s="3" t="n">
        <v>2013</v>
      </c>
      <c r="B700" s="3" t="n">
        <v>11</v>
      </c>
      <c r="C700" s="3" t="n">
        <v>29</v>
      </c>
      <c r="D700" s="3" t="s">
        <v>704</v>
      </c>
      <c r="E700" s="4" t="n">
        <v>0</v>
      </c>
    </row>
    <row r="701" customFormat="false" ht="15" hidden="false" customHeight="false" outlineLevel="0" collapsed="false">
      <c r="A701" s="3" t="n">
        <v>2013</v>
      </c>
      <c r="B701" s="3" t="n">
        <v>11</v>
      </c>
      <c r="C701" s="3" t="n">
        <v>30</v>
      </c>
      <c r="D701" s="3" t="s">
        <v>705</v>
      </c>
      <c r="E701" s="4" t="n">
        <v>7</v>
      </c>
    </row>
    <row r="702" customFormat="false" ht="15" hidden="false" customHeight="false" outlineLevel="0" collapsed="false">
      <c r="A702" s="3" t="n">
        <v>2013</v>
      </c>
      <c r="B702" s="3" t="n">
        <v>12</v>
      </c>
      <c r="C702" s="3" t="n">
        <v>1</v>
      </c>
      <c r="D702" s="3" t="s">
        <v>706</v>
      </c>
      <c r="E702" s="4" t="n">
        <v>0</v>
      </c>
    </row>
    <row r="703" customFormat="false" ht="15" hidden="false" customHeight="false" outlineLevel="0" collapsed="false">
      <c r="A703" s="3" t="n">
        <v>2013</v>
      </c>
      <c r="B703" s="3" t="n">
        <v>12</v>
      </c>
      <c r="C703" s="3" t="n">
        <v>2</v>
      </c>
      <c r="D703" s="3" t="s">
        <v>707</v>
      </c>
      <c r="E703" s="4" t="n">
        <v>0</v>
      </c>
    </row>
    <row r="704" customFormat="false" ht="15" hidden="false" customHeight="false" outlineLevel="0" collapsed="false">
      <c r="A704" s="3" t="n">
        <v>2013</v>
      </c>
      <c r="B704" s="3" t="n">
        <v>12</v>
      </c>
      <c r="C704" s="3" t="n">
        <v>3</v>
      </c>
      <c r="D704" s="3" t="s">
        <v>708</v>
      </c>
      <c r="E704" s="4" t="n">
        <v>10</v>
      </c>
    </row>
    <row r="705" customFormat="false" ht="15" hidden="false" customHeight="false" outlineLevel="0" collapsed="false">
      <c r="A705" s="3" t="n">
        <v>2013</v>
      </c>
      <c r="B705" s="3" t="n">
        <v>12</v>
      </c>
      <c r="C705" s="3" t="n">
        <v>4</v>
      </c>
      <c r="D705" s="3" t="s">
        <v>709</v>
      </c>
      <c r="E705" s="4" t="n">
        <v>4</v>
      </c>
    </row>
    <row r="706" customFormat="false" ht="15" hidden="false" customHeight="false" outlineLevel="0" collapsed="false">
      <c r="A706" s="3" t="n">
        <v>2013</v>
      </c>
      <c r="B706" s="3" t="n">
        <v>12</v>
      </c>
      <c r="C706" s="3" t="n">
        <v>5</v>
      </c>
      <c r="D706" s="3" t="s">
        <v>710</v>
      </c>
      <c r="E706" s="4" t="n">
        <v>0</v>
      </c>
    </row>
    <row r="707" customFormat="false" ht="15" hidden="false" customHeight="false" outlineLevel="0" collapsed="false">
      <c r="A707" s="3" t="n">
        <v>2013</v>
      </c>
      <c r="B707" s="3" t="n">
        <v>12</v>
      </c>
      <c r="C707" s="3" t="n">
        <v>6</v>
      </c>
      <c r="D707" s="3" t="s">
        <v>711</v>
      </c>
      <c r="E707" s="4" t="n">
        <v>13</v>
      </c>
    </row>
    <row r="708" customFormat="false" ht="15" hidden="false" customHeight="false" outlineLevel="0" collapsed="false">
      <c r="A708" s="3" t="n">
        <v>2013</v>
      </c>
      <c r="B708" s="3" t="n">
        <v>12</v>
      </c>
      <c r="C708" s="3" t="n">
        <v>7</v>
      </c>
      <c r="D708" s="3" t="s">
        <v>712</v>
      </c>
      <c r="E708" s="4" t="n">
        <v>1</v>
      </c>
    </row>
    <row r="709" customFormat="false" ht="15" hidden="false" customHeight="false" outlineLevel="0" collapsed="false">
      <c r="A709" s="3" t="n">
        <v>2013</v>
      </c>
      <c r="B709" s="3" t="n">
        <v>12</v>
      </c>
      <c r="C709" s="3" t="n">
        <v>8</v>
      </c>
      <c r="D709" s="3" t="s">
        <v>713</v>
      </c>
      <c r="E709" s="4" t="n">
        <v>3</v>
      </c>
    </row>
    <row r="710" customFormat="false" ht="15" hidden="false" customHeight="false" outlineLevel="0" collapsed="false">
      <c r="A710" s="3" t="n">
        <v>2013</v>
      </c>
      <c r="B710" s="3" t="n">
        <v>12</v>
      </c>
      <c r="C710" s="3" t="n">
        <v>9</v>
      </c>
      <c r="D710" s="3" t="s">
        <v>714</v>
      </c>
      <c r="E710" s="4" t="n">
        <v>0</v>
      </c>
    </row>
    <row r="711" customFormat="false" ht="15" hidden="false" customHeight="false" outlineLevel="0" collapsed="false">
      <c r="A711" s="3" t="n">
        <v>2013</v>
      </c>
      <c r="B711" s="3" t="n">
        <v>12</v>
      </c>
      <c r="C711" s="3" t="n">
        <v>10</v>
      </c>
      <c r="D711" s="3" t="s">
        <v>715</v>
      </c>
      <c r="E711" s="4" t="n">
        <v>0</v>
      </c>
    </row>
    <row r="712" customFormat="false" ht="15" hidden="false" customHeight="false" outlineLevel="0" collapsed="false">
      <c r="A712" s="3" t="n">
        <v>2013</v>
      </c>
      <c r="B712" s="3" t="n">
        <v>12</v>
      </c>
      <c r="C712" s="3" t="n">
        <v>11</v>
      </c>
      <c r="D712" s="3" t="s">
        <v>716</v>
      </c>
      <c r="E712" s="4" t="n">
        <v>13</v>
      </c>
    </row>
    <row r="713" customFormat="false" ht="15" hidden="false" customHeight="false" outlineLevel="0" collapsed="false">
      <c r="A713" s="3" t="n">
        <v>2013</v>
      </c>
      <c r="B713" s="3" t="n">
        <v>12</v>
      </c>
      <c r="C713" s="3" t="n">
        <v>12</v>
      </c>
      <c r="D713" s="3" t="s">
        <v>717</v>
      </c>
      <c r="E713" s="4" t="n">
        <v>11</v>
      </c>
    </row>
    <row r="714" customFormat="false" ht="15" hidden="false" customHeight="false" outlineLevel="0" collapsed="false">
      <c r="A714" s="3" t="n">
        <v>2013</v>
      </c>
      <c r="B714" s="3" t="n">
        <v>12</v>
      </c>
      <c r="C714" s="3" t="n">
        <v>13</v>
      </c>
      <c r="D714" s="3" t="s">
        <v>718</v>
      </c>
      <c r="E714" s="4" t="n">
        <v>5</v>
      </c>
    </row>
    <row r="715" customFormat="false" ht="15" hidden="false" customHeight="false" outlineLevel="0" collapsed="false">
      <c r="A715" s="3" t="n">
        <v>2013</v>
      </c>
      <c r="B715" s="3" t="n">
        <v>12</v>
      </c>
      <c r="C715" s="3" t="n">
        <v>14</v>
      </c>
      <c r="D715" s="3" t="s">
        <v>719</v>
      </c>
      <c r="E715" s="4" t="n">
        <v>0</v>
      </c>
    </row>
    <row r="716" customFormat="false" ht="15" hidden="false" customHeight="false" outlineLevel="0" collapsed="false">
      <c r="A716" s="3" t="n">
        <v>2013</v>
      </c>
      <c r="B716" s="3" t="n">
        <v>12</v>
      </c>
      <c r="C716" s="3" t="n">
        <v>15</v>
      </c>
      <c r="D716" s="3" t="s">
        <v>720</v>
      </c>
      <c r="E716" s="4" t="n">
        <v>0</v>
      </c>
    </row>
    <row r="717" customFormat="false" ht="15" hidden="false" customHeight="false" outlineLevel="0" collapsed="false">
      <c r="A717" s="3" t="n">
        <v>2013</v>
      </c>
      <c r="B717" s="3" t="n">
        <v>12</v>
      </c>
      <c r="C717" s="3" t="n">
        <v>16</v>
      </c>
      <c r="D717" s="3" t="s">
        <v>721</v>
      </c>
      <c r="E717" s="4" t="n">
        <v>0</v>
      </c>
    </row>
    <row r="718" customFormat="false" ht="15" hidden="false" customHeight="false" outlineLevel="0" collapsed="false">
      <c r="A718" s="3" t="n">
        <v>2013</v>
      </c>
      <c r="B718" s="3" t="n">
        <v>12</v>
      </c>
      <c r="C718" s="3" t="n">
        <v>17</v>
      </c>
      <c r="D718" s="3" t="s">
        <v>722</v>
      </c>
      <c r="E718" s="4" t="n">
        <v>20</v>
      </c>
    </row>
    <row r="719" customFormat="false" ht="15" hidden="false" customHeight="false" outlineLevel="0" collapsed="false">
      <c r="A719" s="3" t="n">
        <v>2013</v>
      </c>
      <c r="B719" s="3" t="n">
        <v>12</v>
      </c>
      <c r="C719" s="3" t="n">
        <v>18</v>
      </c>
      <c r="D719" s="3" t="s">
        <v>723</v>
      </c>
      <c r="E719" s="4" t="n">
        <v>120</v>
      </c>
    </row>
    <row r="720" customFormat="false" ht="15" hidden="false" customHeight="false" outlineLevel="0" collapsed="false">
      <c r="A720" s="3" t="n">
        <v>2013</v>
      </c>
      <c r="B720" s="3" t="n">
        <v>12</v>
      </c>
      <c r="C720" s="3" t="n">
        <v>19</v>
      </c>
      <c r="D720" s="3" t="s">
        <v>724</v>
      </c>
      <c r="E720" s="4" t="n">
        <v>1</v>
      </c>
    </row>
    <row r="721" customFormat="false" ht="15" hidden="false" customHeight="false" outlineLevel="0" collapsed="false">
      <c r="A721" s="3" t="n">
        <v>2013</v>
      </c>
      <c r="B721" s="3" t="n">
        <v>12</v>
      </c>
      <c r="C721" s="3" t="n">
        <v>20</v>
      </c>
      <c r="D721" s="3" t="s">
        <v>725</v>
      </c>
      <c r="E721" s="4" t="n">
        <v>0</v>
      </c>
    </row>
    <row r="722" customFormat="false" ht="15" hidden="false" customHeight="false" outlineLevel="0" collapsed="false">
      <c r="A722" s="3" t="n">
        <v>2013</v>
      </c>
      <c r="B722" s="3" t="n">
        <v>12</v>
      </c>
      <c r="C722" s="3" t="n">
        <v>21</v>
      </c>
      <c r="D722" s="3" t="s">
        <v>726</v>
      </c>
      <c r="E722" s="4" t="n">
        <v>0</v>
      </c>
    </row>
    <row r="723" customFormat="false" ht="15" hidden="false" customHeight="false" outlineLevel="0" collapsed="false">
      <c r="A723" s="3" t="n">
        <v>2013</v>
      </c>
      <c r="B723" s="3" t="n">
        <v>12</v>
      </c>
      <c r="C723" s="3" t="n">
        <v>22</v>
      </c>
      <c r="D723" s="3" t="s">
        <v>727</v>
      </c>
      <c r="E723" s="4" t="n">
        <v>0</v>
      </c>
    </row>
    <row r="724" customFormat="false" ht="15" hidden="false" customHeight="false" outlineLevel="0" collapsed="false">
      <c r="A724" s="3" t="n">
        <v>2013</v>
      </c>
      <c r="B724" s="3" t="n">
        <v>12</v>
      </c>
      <c r="C724" s="3" t="n">
        <v>23</v>
      </c>
      <c r="D724" s="3" t="s">
        <v>728</v>
      </c>
      <c r="E724" s="4" t="n">
        <v>0</v>
      </c>
    </row>
    <row r="725" customFormat="false" ht="15" hidden="false" customHeight="false" outlineLevel="0" collapsed="false">
      <c r="A725" s="3" t="n">
        <v>2013</v>
      </c>
      <c r="B725" s="3" t="n">
        <v>12</v>
      </c>
      <c r="C725" s="3" t="n">
        <v>24</v>
      </c>
      <c r="D725" s="3" t="s">
        <v>729</v>
      </c>
      <c r="E725" s="4" t="n">
        <v>0</v>
      </c>
    </row>
    <row r="726" customFormat="false" ht="15" hidden="false" customHeight="false" outlineLevel="0" collapsed="false">
      <c r="A726" s="3" t="n">
        <v>2013</v>
      </c>
      <c r="B726" s="3" t="n">
        <v>12</v>
      </c>
      <c r="C726" s="3" t="n">
        <v>25</v>
      </c>
      <c r="D726" s="3" t="s">
        <v>730</v>
      </c>
      <c r="E726" s="4" t="n">
        <v>0</v>
      </c>
    </row>
    <row r="727" customFormat="false" ht="15" hidden="false" customHeight="false" outlineLevel="0" collapsed="false">
      <c r="A727" s="3" t="n">
        <v>2013</v>
      </c>
      <c r="B727" s="3" t="n">
        <v>12</v>
      </c>
      <c r="C727" s="3" t="n">
        <v>26</v>
      </c>
      <c r="D727" s="3" t="s">
        <v>731</v>
      </c>
      <c r="E727" s="4" t="n">
        <v>2</v>
      </c>
    </row>
    <row r="728" customFormat="false" ht="15" hidden="false" customHeight="false" outlineLevel="0" collapsed="false">
      <c r="A728" s="3" t="n">
        <v>2013</v>
      </c>
      <c r="B728" s="3" t="n">
        <v>12</v>
      </c>
      <c r="C728" s="3" t="n">
        <v>27</v>
      </c>
      <c r="D728" s="3" t="s">
        <v>732</v>
      </c>
      <c r="E728" s="4" t="n">
        <v>0</v>
      </c>
    </row>
    <row r="729" customFormat="false" ht="15" hidden="false" customHeight="false" outlineLevel="0" collapsed="false">
      <c r="A729" s="3" t="n">
        <v>2013</v>
      </c>
      <c r="B729" s="3" t="n">
        <v>12</v>
      </c>
      <c r="C729" s="3" t="n">
        <v>28</v>
      </c>
      <c r="D729" s="3" t="s">
        <v>733</v>
      </c>
      <c r="E729" s="4" t="n">
        <v>70</v>
      </c>
    </row>
    <row r="730" customFormat="false" ht="15" hidden="false" customHeight="false" outlineLevel="0" collapsed="false">
      <c r="A730" s="3" t="n">
        <v>2013</v>
      </c>
      <c r="B730" s="3" t="n">
        <v>12</v>
      </c>
      <c r="C730" s="3" t="n">
        <v>29</v>
      </c>
      <c r="D730" s="3" t="s">
        <v>734</v>
      </c>
      <c r="E730" s="4" t="n">
        <v>0</v>
      </c>
    </row>
    <row r="731" customFormat="false" ht="15" hidden="false" customHeight="false" outlineLevel="0" collapsed="false">
      <c r="A731" s="3" t="n">
        <v>2013</v>
      </c>
      <c r="B731" s="3" t="n">
        <v>12</v>
      </c>
      <c r="C731" s="3" t="n">
        <v>30</v>
      </c>
      <c r="D731" s="3" t="s">
        <v>735</v>
      </c>
      <c r="E731" s="4" t="n">
        <v>7</v>
      </c>
    </row>
    <row r="732" customFormat="false" ht="15" hidden="false" customHeight="false" outlineLevel="0" collapsed="false">
      <c r="A732" s="3" t="n">
        <v>2013</v>
      </c>
      <c r="B732" s="3" t="n">
        <v>12</v>
      </c>
      <c r="C732" s="3" t="n">
        <v>31</v>
      </c>
      <c r="D732" s="3" t="s">
        <v>736</v>
      </c>
      <c r="E732" s="4"/>
    </row>
    <row r="733" customFormat="false" ht="15" hidden="false" customHeight="false" outlineLevel="0" collapsed="false">
      <c r="A733" s="3" t="n">
        <v>2014</v>
      </c>
      <c r="B733" s="3" t="n">
        <v>1</v>
      </c>
      <c r="C733" s="3" t="n">
        <v>1</v>
      </c>
      <c r="D733" s="3" t="s">
        <v>737</v>
      </c>
      <c r="E733" s="4" t="n">
        <v>0</v>
      </c>
    </row>
    <row r="734" customFormat="false" ht="15" hidden="false" customHeight="false" outlineLevel="0" collapsed="false">
      <c r="A734" s="3" t="n">
        <v>2014</v>
      </c>
      <c r="B734" s="3" t="n">
        <v>1</v>
      </c>
      <c r="C734" s="3" t="n">
        <v>2</v>
      </c>
      <c r="D734" s="3" t="s">
        <v>738</v>
      </c>
      <c r="E734" s="4" t="n">
        <v>11</v>
      </c>
    </row>
    <row r="735" customFormat="false" ht="15" hidden="false" customHeight="false" outlineLevel="0" collapsed="false">
      <c r="A735" s="3" t="n">
        <v>2014</v>
      </c>
      <c r="B735" s="3" t="n">
        <v>1</v>
      </c>
      <c r="C735" s="3" t="n">
        <v>3</v>
      </c>
      <c r="D735" s="3" t="s">
        <v>739</v>
      </c>
      <c r="E735" s="4" t="n">
        <v>0</v>
      </c>
    </row>
    <row r="736" customFormat="false" ht="15" hidden="false" customHeight="false" outlineLevel="0" collapsed="false">
      <c r="A736" s="3" t="n">
        <v>2014</v>
      </c>
      <c r="B736" s="3" t="n">
        <v>1</v>
      </c>
      <c r="C736" s="3" t="n">
        <v>4</v>
      </c>
      <c r="D736" s="3" t="s">
        <v>740</v>
      </c>
      <c r="E736" s="4" t="n">
        <v>0</v>
      </c>
    </row>
    <row r="737" customFormat="false" ht="15" hidden="false" customHeight="false" outlineLevel="0" collapsed="false">
      <c r="A737" s="3" t="n">
        <v>2014</v>
      </c>
      <c r="B737" s="3" t="n">
        <v>1</v>
      </c>
      <c r="C737" s="3" t="n">
        <v>5</v>
      </c>
      <c r="D737" s="3" t="s">
        <v>741</v>
      </c>
      <c r="E737" s="4" t="n">
        <v>0</v>
      </c>
    </row>
    <row r="738" customFormat="false" ht="15" hidden="false" customHeight="false" outlineLevel="0" collapsed="false">
      <c r="A738" s="3" t="n">
        <v>2014</v>
      </c>
      <c r="B738" s="3" t="n">
        <v>1</v>
      </c>
      <c r="C738" s="3" t="n">
        <v>6</v>
      </c>
      <c r="D738" s="3" t="s">
        <v>742</v>
      </c>
      <c r="E738" s="4" t="n">
        <v>6</v>
      </c>
    </row>
    <row r="739" customFormat="false" ht="15" hidden="false" customHeight="false" outlineLevel="0" collapsed="false">
      <c r="A739" s="3" t="n">
        <v>2014</v>
      </c>
      <c r="B739" s="3" t="n">
        <v>1</v>
      </c>
      <c r="C739" s="3" t="n">
        <v>7</v>
      </c>
      <c r="D739" s="3" t="s">
        <v>743</v>
      </c>
      <c r="E739" s="4" t="n">
        <v>0</v>
      </c>
    </row>
    <row r="740" customFormat="false" ht="15" hidden="false" customHeight="false" outlineLevel="0" collapsed="false">
      <c r="A740" s="3" t="n">
        <v>2014</v>
      </c>
      <c r="B740" s="3" t="n">
        <v>1</v>
      </c>
      <c r="C740" s="3" t="n">
        <v>8</v>
      </c>
      <c r="D740" s="3" t="s">
        <v>744</v>
      </c>
      <c r="E740" s="4" t="n">
        <v>10</v>
      </c>
    </row>
    <row r="741" customFormat="false" ht="15" hidden="false" customHeight="false" outlineLevel="0" collapsed="false">
      <c r="A741" s="3" t="n">
        <v>2014</v>
      </c>
      <c r="B741" s="3" t="n">
        <v>1</v>
      </c>
      <c r="C741" s="3" t="n">
        <v>9</v>
      </c>
      <c r="D741" s="3" t="s">
        <v>745</v>
      </c>
      <c r="E741" s="4" t="n">
        <v>0</v>
      </c>
    </row>
    <row r="742" customFormat="false" ht="15" hidden="false" customHeight="false" outlineLevel="0" collapsed="false">
      <c r="A742" s="3" t="n">
        <v>2014</v>
      </c>
      <c r="B742" s="3" t="n">
        <v>1</v>
      </c>
      <c r="C742" s="3" t="n">
        <v>10</v>
      </c>
      <c r="D742" s="3" t="s">
        <v>746</v>
      </c>
      <c r="E742" s="4" t="n">
        <v>2</v>
      </c>
    </row>
    <row r="743" customFormat="false" ht="15" hidden="false" customHeight="false" outlineLevel="0" collapsed="false">
      <c r="A743" s="3" t="n">
        <v>2014</v>
      </c>
      <c r="B743" s="3" t="n">
        <v>1</v>
      </c>
      <c r="C743" s="3" t="n">
        <v>11</v>
      </c>
      <c r="D743" s="3" t="s">
        <v>747</v>
      </c>
      <c r="E743" s="4" t="n">
        <v>10</v>
      </c>
    </row>
    <row r="744" customFormat="false" ht="15" hidden="false" customHeight="false" outlineLevel="0" collapsed="false">
      <c r="A744" s="3" t="n">
        <v>2014</v>
      </c>
      <c r="B744" s="3" t="n">
        <v>1</v>
      </c>
      <c r="C744" s="3" t="n">
        <v>12</v>
      </c>
      <c r="D744" s="3" t="s">
        <v>748</v>
      </c>
      <c r="E744" s="4" t="n">
        <v>0</v>
      </c>
    </row>
    <row r="745" customFormat="false" ht="15" hidden="false" customHeight="false" outlineLevel="0" collapsed="false">
      <c r="A745" s="3" t="n">
        <v>2014</v>
      </c>
      <c r="B745" s="3" t="n">
        <v>1</v>
      </c>
      <c r="C745" s="3" t="n">
        <v>13</v>
      </c>
      <c r="D745" s="3" t="s">
        <v>749</v>
      </c>
      <c r="E745" s="4" t="n">
        <v>13</v>
      </c>
    </row>
    <row r="746" customFormat="false" ht="15" hidden="false" customHeight="false" outlineLevel="0" collapsed="false">
      <c r="A746" s="3" t="n">
        <v>2014</v>
      </c>
      <c r="B746" s="3" t="n">
        <v>1</v>
      </c>
      <c r="C746" s="3" t="n">
        <v>14</v>
      </c>
      <c r="D746" s="3" t="s">
        <v>750</v>
      </c>
      <c r="E746" s="4" t="n">
        <v>14</v>
      </c>
    </row>
    <row r="747" customFormat="false" ht="15" hidden="false" customHeight="false" outlineLevel="0" collapsed="false">
      <c r="A747" s="3" t="n">
        <v>2014</v>
      </c>
      <c r="B747" s="3" t="n">
        <v>1</v>
      </c>
      <c r="C747" s="3" t="n">
        <v>15</v>
      </c>
      <c r="D747" s="3" t="s">
        <v>751</v>
      </c>
      <c r="E747" s="4" t="n">
        <v>0</v>
      </c>
    </row>
    <row r="748" customFormat="false" ht="15" hidden="false" customHeight="false" outlineLevel="0" collapsed="false">
      <c r="A748" s="3" t="n">
        <v>2014</v>
      </c>
      <c r="B748" s="3" t="n">
        <v>1</v>
      </c>
      <c r="C748" s="3" t="n">
        <v>16</v>
      </c>
      <c r="D748" s="3" t="s">
        <v>752</v>
      </c>
      <c r="E748" s="4" t="n">
        <v>0</v>
      </c>
    </row>
    <row r="749" customFormat="false" ht="15" hidden="false" customHeight="false" outlineLevel="0" collapsed="false">
      <c r="A749" s="3" t="n">
        <v>2014</v>
      </c>
      <c r="B749" s="3" t="n">
        <v>1</v>
      </c>
      <c r="C749" s="3" t="n">
        <v>17</v>
      </c>
      <c r="D749" s="3" t="s">
        <v>753</v>
      </c>
      <c r="E749" s="4" t="n">
        <v>0</v>
      </c>
    </row>
    <row r="750" customFormat="false" ht="15" hidden="false" customHeight="false" outlineLevel="0" collapsed="false">
      <c r="A750" s="3" t="n">
        <v>2014</v>
      </c>
      <c r="B750" s="3" t="n">
        <v>1</v>
      </c>
      <c r="C750" s="3" t="n">
        <v>18</v>
      </c>
      <c r="D750" s="3" t="s">
        <v>754</v>
      </c>
      <c r="E750" s="4" t="n">
        <v>0</v>
      </c>
    </row>
    <row r="751" customFormat="false" ht="15" hidden="false" customHeight="false" outlineLevel="0" collapsed="false">
      <c r="A751" s="3" t="n">
        <v>2014</v>
      </c>
      <c r="B751" s="3" t="n">
        <v>1</v>
      </c>
      <c r="C751" s="3" t="n">
        <v>19</v>
      </c>
      <c r="D751" s="3" t="s">
        <v>755</v>
      </c>
      <c r="E751" s="4" t="n">
        <v>0</v>
      </c>
    </row>
    <row r="752" customFormat="false" ht="15" hidden="false" customHeight="false" outlineLevel="0" collapsed="false">
      <c r="A752" s="3" t="n">
        <v>2014</v>
      </c>
      <c r="B752" s="3" t="n">
        <v>1</v>
      </c>
      <c r="C752" s="3" t="n">
        <v>20</v>
      </c>
      <c r="D752" s="3" t="s">
        <v>756</v>
      </c>
      <c r="E752" s="4" t="n">
        <v>0</v>
      </c>
    </row>
    <row r="753" customFormat="false" ht="15" hidden="false" customHeight="false" outlineLevel="0" collapsed="false">
      <c r="A753" s="3" t="n">
        <v>2014</v>
      </c>
      <c r="B753" s="3" t="n">
        <v>1</v>
      </c>
      <c r="C753" s="3" t="n">
        <v>21</v>
      </c>
      <c r="D753" s="3" t="s">
        <v>757</v>
      </c>
      <c r="E753" s="4" t="n">
        <v>0</v>
      </c>
    </row>
    <row r="754" customFormat="false" ht="15" hidden="false" customHeight="false" outlineLevel="0" collapsed="false">
      <c r="A754" s="3" t="n">
        <v>2014</v>
      </c>
      <c r="B754" s="3" t="n">
        <v>1</v>
      </c>
      <c r="C754" s="3" t="n">
        <v>22</v>
      </c>
      <c r="D754" s="3" t="s">
        <v>758</v>
      </c>
      <c r="E754" s="4" t="n">
        <v>0</v>
      </c>
    </row>
    <row r="755" customFormat="false" ht="15" hidden="false" customHeight="false" outlineLevel="0" collapsed="false">
      <c r="A755" s="3" t="n">
        <v>2014</v>
      </c>
      <c r="B755" s="3" t="n">
        <v>1</v>
      </c>
      <c r="C755" s="3" t="n">
        <v>23</v>
      </c>
      <c r="D755" s="3" t="s">
        <v>759</v>
      </c>
      <c r="E755" s="4" t="n">
        <v>0</v>
      </c>
    </row>
    <row r="756" customFormat="false" ht="15" hidden="false" customHeight="false" outlineLevel="0" collapsed="false">
      <c r="A756" s="3" t="n">
        <v>2014</v>
      </c>
      <c r="B756" s="3" t="n">
        <v>1</v>
      </c>
      <c r="C756" s="3" t="n">
        <v>24</v>
      </c>
      <c r="D756" s="3" t="s">
        <v>760</v>
      </c>
      <c r="E756" s="4" t="n">
        <v>0</v>
      </c>
    </row>
    <row r="757" customFormat="false" ht="15" hidden="false" customHeight="false" outlineLevel="0" collapsed="false">
      <c r="A757" s="3" t="n">
        <v>2014</v>
      </c>
      <c r="B757" s="3" t="n">
        <v>1</v>
      </c>
      <c r="C757" s="3" t="n">
        <v>25</v>
      </c>
      <c r="D757" s="3" t="s">
        <v>761</v>
      </c>
      <c r="E757" s="4" t="n">
        <v>0</v>
      </c>
    </row>
    <row r="758" customFormat="false" ht="15" hidden="false" customHeight="false" outlineLevel="0" collapsed="false">
      <c r="A758" s="3" t="n">
        <v>2014</v>
      </c>
      <c r="B758" s="3" t="n">
        <v>1</v>
      </c>
      <c r="C758" s="3" t="n">
        <v>26</v>
      </c>
      <c r="D758" s="3" t="s">
        <v>762</v>
      </c>
      <c r="E758" s="4" t="n">
        <v>0</v>
      </c>
    </row>
    <row r="759" customFormat="false" ht="15" hidden="false" customHeight="false" outlineLevel="0" collapsed="false">
      <c r="A759" s="3" t="n">
        <v>2014</v>
      </c>
      <c r="B759" s="3" t="n">
        <v>1</v>
      </c>
      <c r="C759" s="3" t="n">
        <v>27</v>
      </c>
      <c r="D759" s="3" t="s">
        <v>763</v>
      </c>
      <c r="E759" s="4" t="n">
        <v>0</v>
      </c>
    </row>
    <row r="760" customFormat="false" ht="15" hidden="false" customHeight="false" outlineLevel="0" collapsed="false">
      <c r="A760" s="3" t="n">
        <v>2014</v>
      </c>
      <c r="B760" s="3" t="n">
        <v>1</v>
      </c>
      <c r="C760" s="3" t="n">
        <v>28</v>
      </c>
      <c r="D760" s="3" t="s">
        <v>764</v>
      </c>
      <c r="E760" s="4" t="n">
        <v>0</v>
      </c>
    </row>
    <row r="761" customFormat="false" ht="15" hidden="false" customHeight="false" outlineLevel="0" collapsed="false">
      <c r="A761" s="3" t="n">
        <v>2014</v>
      </c>
      <c r="B761" s="3" t="n">
        <v>1</v>
      </c>
      <c r="C761" s="3" t="n">
        <v>29</v>
      </c>
      <c r="D761" s="3" t="s">
        <v>765</v>
      </c>
      <c r="E761" s="4" t="n">
        <v>0</v>
      </c>
    </row>
    <row r="762" customFormat="false" ht="15" hidden="false" customHeight="false" outlineLevel="0" collapsed="false">
      <c r="A762" s="3" t="n">
        <v>2014</v>
      </c>
      <c r="B762" s="3" t="n">
        <v>1</v>
      </c>
      <c r="C762" s="3" t="n">
        <v>30</v>
      </c>
      <c r="D762" s="3" t="s">
        <v>766</v>
      </c>
      <c r="E762" s="4" t="n">
        <v>0</v>
      </c>
    </row>
    <row r="763" customFormat="false" ht="15" hidden="false" customHeight="false" outlineLevel="0" collapsed="false">
      <c r="A763" s="3" t="n">
        <v>2014</v>
      </c>
      <c r="B763" s="3" t="n">
        <v>1</v>
      </c>
      <c r="C763" s="3" t="n">
        <v>31</v>
      </c>
      <c r="D763" s="3" t="s">
        <v>767</v>
      </c>
      <c r="E763" s="4" t="n">
        <v>0</v>
      </c>
    </row>
    <row r="764" customFormat="false" ht="15" hidden="false" customHeight="false" outlineLevel="0" collapsed="false">
      <c r="A764" s="3" t="n">
        <v>2014</v>
      </c>
      <c r="B764" s="3" t="n">
        <v>2</v>
      </c>
      <c r="C764" s="3" t="n">
        <v>1</v>
      </c>
      <c r="D764" s="3" t="s">
        <v>768</v>
      </c>
      <c r="E764" s="4" t="n">
        <v>0</v>
      </c>
    </row>
    <row r="765" customFormat="false" ht="15" hidden="false" customHeight="false" outlineLevel="0" collapsed="false">
      <c r="A765" s="3" t="n">
        <v>2014</v>
      </c>
      <c r="B765" s="3" t="n">
        <v>2</v>
      </c>
      <c r="C765" s="3" t="n">
        <v>2</v>
      </c>
      <c r="D765" s="3" t="s">
        <v>769</v>
      </c>
      <c r="E765" s="4" t="n">
        <v>0</v>
      </c>
    </row>
    <row r="766" customFormat="false" ht="15" hidden="false" customHeight="false" outlineLevel="0" collapsed="false">
      <c r="A766" s="3" t="n">
        <v>2014</v>
      </c>
      <c r="B766" s="3" t="n">
        <v>2</v>
      </c>
      <c r="C766" s="3" t="n">
        <v>3</v>
      </c>
      <c r="D766" s="3" t="s">
        <v>770</v>
      </c>
      <c r="E766" s="4" t="n">
        <v>0</v>
      </c>
    </row>
    <row r="767" customFormat="false" ht="15" hidden="false" customHeight="false" outlineLevel="0" collapsed="false">
      <c r="A767" s="3" t="n">
        <v>2014</v>
      </c>
      <c r="B767" s="3" t="n">
        <v>2</v>
      </c>
      <c r="C767" s="3" t="n">
        <v>4</v>
      </c>
      <c r="D767" s="3" t="s">
        <v>771</v>
      </c>
      <c r="E767" s="4" t="n">
        <v>0</v>
      </c>
    </row>
    <row r="768" customFormat="false" ht="15" hidden="false" customHeight="false" outlineLevel="0" collapsed="false">
      <c r="A768" s="3" t="n">
        <v>2014</v>
      </c>
      <c r="B768" s="3" t="n">
        <v>2</v>
      </c>
      <c r="C768" s="3" t="n">
        <v>5</v>
      </c>
      <c r="D768" s="3" t="s">
        <v>772</v>
      </c>
      <c r="E768" s="4" t="n">
        <v>0</v>
      </c>
    </row>
    <row r="769" customFormat="false" ht="15" hidden="false" customHeight="false" outlineLevel="0" collapsed="false">
      <c r="A769" s="3" t="n">
        <v>2014</v>
      </c>
      <c r="B769" s="3" t="n">
        <v>2</v>
      </c>
      <c r="C769" s="3" t="n">
        <v>6</v>
      </c>
      <c r="D769" s="3" t="s">
        <v>773</v>
      </c>
      <c r="E769" s="4" t="n">
        <v>0</v>
      </c>
    </row>
    <row r="770" customFormat="false" ht="15" hidden="false" customHeight="false" outlineLevel="0" collapsed="false">
      <c r="A770" s="3" t="n">
        <v>2014</v>
      </c>
      <c r="B770" s="3" t="n">
        <v>2</v>
      </c>
      <c r="C770" s="3" t="n">
        <v>7</v>
      </c>
      <c r="D770" s="3" t="s">
        <v>774</v>
      </c>
      <c r="E770" s="4" t="n">
        <v>0</v>
      </c>
    </row>
    <row r="771" customFormat="false" ht="15" hidden="false" customHeight="false" outlineLevel="0" collapsed="false">
      <c r="A771" s="3" t="n">
        <v>2014</v>
      </c>
      <c r="B771" s="3" t="n">
        <v>2</v>
      </c>
      <c r="C771" s="3" t="n">
        <v>8</v>
      </c>
      <c r="D771" s="3" t="s">
        <v>775</v>
      </c>
      <c r="E771" s="4" t="n">
        <v>0</v>
      </c>
    </row>
    <row r="772" customFormat="false" ht="15" hidden="false" customHeight="false" outlineLevel="0" collapsed="false">
      <c r="A772" s="3" t="n">
        <v>2014</v>
      </c>
      <c r="B772" s="3" t="n">
        <v>2</v>
      </c>
      <c r="C772" s="3" t="n">
        <v>9</v>
      </c>
      <c r="D772" s="3" t="s">
        <v>776</v>
      </c>
      <c r="E772" s="4" t="n">
        <v>0</v>
      </c>
    </row>
    <row r="773" customFormat="false" ht="15" hidden="false" customHeight="false" outlineLevel="0" collapsed="false">
      <c r="A773" s="3" t="n">
        <v>2014</v>
      </c>
      <c r="B773" s="3" t="n">
        <v>2</v>
      </c>
      <c r="C773" s="3" t="n">
        <v>10</v>
      </c>
      <c r="D773" s="3" t="s">
        <v>777</v>
      </c>
      <c r="E773" s="4" t="n">
        <v>0</v>
      </c>
    </row>
    <row r="774" customFormat="false" ht="15" hidden="false" customHeight="false" outlineLevel="0" collapsed="false">
      <c r="A774" s="3" t="n">
        <v>2014</v>
      </c>
      <c r="B774" s="3" t="n">
        <v>2</v>
      </c>
      <c r="C774" s="3" t="n">
        <v>11</v>
      </c>
      <c r="D774" s="3" t="s">
        <v>778</v>
      </c>
      <c r="E774" s="4" t="n">
        <v>0</v>
      </c>
    </row>
    <row r="775" customFormat="false" ht="15" hidden="false" customHeight="false" outlineLevel="0" collapsed="false">
      <c r="A775" s="3" t="n">
        <v>2014</v>
      </c>
      <c r="B775" s="3" t="n">
        <v>2</v>
      </c>
      <c r="C775" s="3" t="n">
        <v>12</v>
      </c>
      <c r="D775" s="3" t="s">
        <v>779</v>
      </c>
      <c r="E775" s="4" t="n">
        <v>0</v>
      </c>
    </row>
    <row r="776" customFormat="false" ht="15" hidden="false" customHeight="false" outlineLevel="0" collapsed="false">
      <c r="A776" s="3" t="n">
        <v>2014</v>
      </c>
      <c r="B776" s="3" t="n">
        <v>2</v>
      </c>
      <c r="C776" s="3" t="n">
        <v>13</v>
      </c>
      <c r="D776" s="3" t="s">
        <v>780</v>
      </c>
      <c r="E776" s="4" t="n">
        <v>0</v>
      </c>
    </row>
    <row r="777" customFormat="false" ht="15" hidden="false" customHeight="false" outlineLevel="0" collapsed="false">
      <c r="A777" s="3" t="n">
        <v>2014</v>
      </c>
      <c r="B777" s="3" t="n">
        <v>2</v>
      </c>
      <c r="C777" s="3" t="n">
        <v>14</v>
      </c>
      <c r="D777" s="3" t="s">
        <v>781</v>
      </c>
      <c r="E777" s="4" t="n">
        <v>0</v>
      </c>
    </row>
    <row r="778" customFormat="false" ht="15" hidden="false" customHeight="false" outlineLevel="0" collapsed="false">
      <c r="A778" s="3" t="n">
        <v>2014</v>
      </c>
      <c r="B778" s="3" t="n">
        <v>2</v>
      </c>
      <c r="C778" s="3" t="n">
        <v>15</v>
      </c>
      <c r="D778" s="3" t="s">
        <v>782</v>
      </c>
      <c r="E778" s="4" t="n">
        <v>0</v>
      </c>
    </row>
    <row r="779" customFormat="false" ht="15" hidden="false" customHeight="false" outlineLevel="0" collapsed="false">
      <c r="A779" s="3" t="n">
        <v>2014</v>
      </c>
      <c r="B779" s="3" t="n">
        <v>2</v>
      </c>
      <c r="C779" s="3" t="n">
        <v>16</v>
      </c>
      <c r="D779" s="3" t="s">
        <v>783</v>
      </c>
      <c r="E779" s="4" t="n">
        <v>8</v>
      </c>
    </row>
    <row r="780" customFormat="false" ht="15" hidden="false" customHeight="false" outlineLevel="0" collapsed="false">
      <c r="A780" s="3" t="n">
        <v>2014</v>
      </c>
      <c r="B780" s="3" t="n">
        <v>2</v>
      </c>
      <c r="C780" s="3" t="n">
        <v>17</v>
      </c>
      <c r="D780" s="3" t="s">
        <v>784</v>
      </c>
      <c r="E780" s="4" t="n">
        <v>0</v>
      </c>
    </row>
    <row r="781" customFormat="false" ht="15" hidden="false" customHeight="false" outlineLevel="0" collapsed="false">
      <c r="A781" s="3" t="n">
        <v>2014</v>
      </c>
      <c r="B781" s="3" t="n">
        <v>2</v>
      </c>
      <c r="C781" s="3" t="n">
        <v>18</v>
      </c>
      <c r="D781" s="3" t="s">
        <v>785</v>
      </c>
      <c r="E781" s="4" t="n">
        <v>0</v>
      </c>
    </row>
    <row r="782" customFormat="false" ht="15" hidden="false" customHeight="false" outlineLevel="0" collapsed="false">
      <c r="A782" s="3" t="n">
        <v>2014</v>
      </c>
      <c r="B782" s="3" t="n">
        <v>2</v>
      </c>
      <c r="C782" s="3" t="n">
        <v>19</v>
      </c>
      <c r="D782" s="3" t="s">
        <v>786</v>
      </c>
      <c r="E782" s="4" t="n">
        <v>0</v>
      </c>
    </row>
    <row r="783" customFormat="false" ht="15" hidden="false" customHeight="false" outlineLevel="0" collapsed="false">
      <c r="A783" s="3" t="n">
        <v>2014</v>
      </c>
      <c r="B783" s="3" t="n">
        <v>2</v>
      </c>
      <c r="C783" s="3" t="n">
        <v>20</v>
      </c>
      <c r="D783" s="3" t="s">
        <v>787</v>
      </c>
      <c r="E783" s="4" t="n">
        <v>0</v>
      </c>
    </row>
    <row r="784" customFormat="false" ht="15" hidden="false" customHeight="false" outlineLevel="0" collapsed="false">
      <c r="A784" s="3" t="n">
        <v>2014</v>
      </c>
      <c r="B784" s="3" t="n">
        <v>2</v>
      </c>
      <c r="C784" s="3" t="n">
        <v>21</v>
      </c>
      <c r="D784" s="3" t="s">
        <v>788</v>
      </c>
      <c r="E784" s="4" t="n">
        <v>0</v>
      </c>
    </row>
    <row r="785" customFormat="false" ht="15" hidden="false" customHeight="false" outlineLevel="0" collapsed="false">
      <c r="A785" s="3" t="n">
        <v>2014</v>
      </c>
      <c r="B785" s="3" t="n">
        <v>2</v>
      </c>
      <c r="C785" s="3" t="n">
        <v>22</v>
      </c>
      <c r="D785" s="3" t="s">
        <v>789</v>
      </c>
      <c r="E785" s="4" t="n">
        <v>0</v>
      </c>
    </row>
    <row r="786" customFormat="false" ht="15" hidden="false" customHeight="false" outlineLevel="0" collapsed="false">
      <c r="A786" s="3" t="n">
        <v>2014</v>
      </c>
      <c r="B786" s="3" t="n">
        <v>2</v>
      </c>
      <c r="C786" s="3" t="n">
        <v>23</v>
      </c>
      <c r="D786" s="3" t="s">
        <v>790</v>
      </c>
      <c r="E786" s="4" t="n">
        <v>14</v>
      </c>
    </row>
    <row r="787" customFormat="false" ht="15" hidden="false" customHeight="false" outlineLevel="0" collapsed="false">
      <c r="A787" s="3" t="n">
        <v>2014</v>
      </c>
      <c r="B787" s="3" t="n">
        <v>2</v>
      </c>
      <c r="C787" s="3" t="n">
        <v>24</v>
      </c>
      <c r="D787" s="3" t="s">
        <v>791</v>
      </c>
      <c r="E787" s="4" t="n">
        <v>0</v>
      </c>
    </row>
    <row r="788" customFormat="false" ht="15" hidden="false" customHeight="false" outlineLevel="0" collapsed="false">
      <c r="A788" s="3" t="n">
        <v>2014</v>
      </c>
      <c r="B788" s="3" t="n">
        <v>2</v>
      </c>
      <c r="C788" s="3" t="n">
        <v>25</v>
      </c>
      <c r="D788" s="3" t="s">
        <v>792</v>
      </c>
      <c r="E788" s="4" t="n">
        <v>0</v>
      </c>
    </row>
    <row r="789" customFormat="false" ht="15" hidden="false" customHeight="false" outlineLevel="0" collapsed="false">
      <c r="A789" s="3" t="n">
        <v>2014</v>
      </c>
      <c r="B789" s="3" t="n">
        <v>2</v>
      </c>
      <c r="C789" s="3" t="n">
        <v>26</v>
      </c>
      <c r="D789" s="3" t="s">
        <v>793</v>
      </c>
      <c r="E789" s="4" t="n">
        <v>2</v>
      </c>
    </row>
    <row r="790" customFormat="false" ht="15" hidden="false" customHeight="false" outlineLevel="0" collapsed="false">
      <c r="A790" s="3" t="n">
        <v>2014</v>
      </c>
      <c r="B790" s="3" t="n">
        <v>2</v>
      </c>
      <c r="C790" s="3" t="n">
        <v>27</v>
      </c>
      <c r="D790" s="3" t="s">
        <v>794</v>
      </c>
      <c r="E790" s="4" t="n">
        <v>0</v>
      </c>
    </row>
    <row r="791" customFormat="false" ht="15" hidden="false" customHeight="false" outlineLevel="0" collapsed="false">
      <c r="A791" s="3" t="n">
        <v>2014</v>
      </c>
      <c r="B791" s="3" t="n">
        <v>2</v>
      </c>
      <c r="C791" s="3" t="n">
        <v>28</v>
      </c>
      <c r="D791" s="3" t="s">
        <v>795</v>
      </c>
      <c r="E791" s="4" t="n">
        <v>0</v>
      </c>
    </row>
    <row r="792" customFormat="false" ht="15" hidden="false" customHeight="false" outlineLevel="0" collapsed="false">
      <c r="A792" s="3" t="n">
        <v>2014</v>
      </c>
      <c r="B792" s="3" t="n">
        <v>3</v>
      </c>
      <c r="C792" s="3" t="n">
        <v>1</v>
      </c>
      <c r="D792" s="3" t="s">
        <v>796</v>
      </c>
      <c r="E792" s="4" t="n">
        <v>33</v>
      </c>
    </row>
    <row r="793" customFormat="false" ht="15" hidden="false" customHeight="false" outlineLevel="0" collapsed="false">
      <c r="A793" s="3" t="n">
        <v>2014</v>
      </c>
      <c r="B793" s="3" t="n">
        <v>3</v>
      </c>
      <c r="C793" s="3" t="n">
        <v>2</v>
      </c>
      <c r="D793" s="3" t="s">
        <v>797</v>
      </c>
      <c r="E793" s="4" t="n">
        <v>8</v>
      </c>
    </row>
    <row r="794" customFormat="false" ht="15" hidden="false" customHeight="false" outlineLevel="0" collapsed="false">
      <c r="A794" s="3" t="n">
        <v>2014</v>
      </c>
      <c r="B794" s="3" t="n">
        <v>3</v>
      </c>
      <c r="C794" s="3" t="n">
        <v>3</v>
      </c>
      <c r="D794" s="3" t="s">
        <v>798</v>
      </c>
      <c r="E794" s="4" t="n">
        <v>0</v>
      </c>
    </row>
    <row r="795" customFormat="false" ht="15" hidden="false" customHeight="false" outlineLevel="0" collapsed="false">
      <c r="A795" s="3" t="n">
        <v>2014</v>
      </c>
      <c r="B795" s="3" t="n">
        <v>3</v>
      </c>
      <c r="C795" s="3" t="n">
        <v>4</v>
      </c>
      <c r="D795" s="3" t="s">
        <v>799</v>
      </c>
      <c r="E795" s="4" t="n">
        <v>0</v>
      </c>
    </row>
    <row r="796" customFormat="false" ht="15" hidden="false" customHeight="false" outlineLevel="0" collapsed="false">
      <c r="A796" s="3" t="n">
        <v>2014</v>
      </c>
      <c r="B796" s="3" t="n">
        <v>3</v>
      </c>
      <c r="C796" s="3" t="n">
        <v>5</v>
      </c>
      <c r="D796" s="3" t="s">
        <v>800</v>
      </c>
      <c r="E796" s="4" t="n">
        <v>0</v>
      </c>
    </row>
    <row r="797" customFormat="false" ht="15" hidden="false" customHeight="false" outlineLevel="0" collapsed="false">
      <c r="A797" s="3" t="n">
        <v>2014</v>
      </c>
      <c r="B797" s="3" t="n">
        <v>3</v>
      </c>
      <c r="C797" s="3" t="n">
        <v>6</v>
      </c>
      <c r="D797" s="3" t="s">
        <v>801</v>
      </c>
      <c r="E797" s="4" t="n">
        <v>0</v>
      </c>
    </row>
    <row r="798" customFormat="false" ht="15" hidden="false" customHeight="false" outlineLevel="0" collapsed="false">
      <c r="A798" s="3" t="n">
        <v>2014</v>
      </c>
      <c r="B798" s="3" t="n">
        <v>3</v>
      </c>
      <c r="C798" s="3" t="n">
        <v>7</v>
      </c>
      <c r="D798" s="3" t="s">
        <v>802</v>
      </c>
      <c r="E798" s="4" t="n">
        <v>0</v>
      </c>
    </row>
    <row r="799" customFormat="false" ht="15" hidden="false" customHeight="false" outlineLevel="0" collapsed="false">
      <c r="A799" s="3" t="n">
        <v>2014</v>
      </c>
      <c r="B799" s="3" t="n">
        <v>3</v>
      </c>
      <c r="C799" s="3" t="n">
        <v>8</v>
      </c>
      <c r="D799" s="3" t="s">
        <v>803</v>
      </c>
      <c r="E799" s="4" t="n">
        <v>0</v>
      </c>
    </row>
    <row r="800" customFormat="false" ht="15" hidden="false" customHeight="false" outlineLevel="0" collapsed="false">
      <c r="A800" s="3" t="n">
        <v>2014</v>
      </c>
      <c r="B800" s="3" t="n">
        <v>3</v>
      </c>
      <c r="C800" s="3" t="n">
        <v>9</v>
      </c>
      <c r="D800" s="3" t="s">
        <v>804</v>
      </c>
      <c r="E800" s="4" t="n">
        <v>5</v>
      </c>
    </row>
    <row r="801" customFormat="false" ht="15" hidden="false" customHeight="false" outlineLevel="0" collapsed="false">
      <c r="A801" s="3" t="n">
        <v>2014</v>
      </c>
      <c r="B801" s="3" t="n">
        <v>3</v>
      </c>
      <c r="C801" s="3" t="n">
        <v>10</v>
      </c>
      <c r="D801" s="3" t="s">
        <v>805</v>
      </c>
      <c r="E801" s="4" t="n">
        <v>0</v>
      </c>
    </row>
    <row r="802" customFormat="false" ht="15" hidden="false" customHeight="false" outlineLevel="0" collapsed="false">
      <c r="A802" s="3" t="n">
        <v>2014</v>
      </c>
      <c r="B802" s="3" t="n">
        <v>3</v>
      </c>
      <c r="C802" s="3" t="n">
        <v>11</v>
      </c>
      <c r="D802" s="3" t="s">
        <v>806</v>
      </c>
      <c r="E802" s="4" t="n">
        <v>0</v>
      </c>
    </row>
    <row r="803" customFormat="false" ht="15" hidden="false" customHeight="false" outlineLevel="0" collapsed="false">
      <c r="A803" s="3" t="n">
        <v>2014</v>
      </c>
      <c r="B803" s="3" t="n">
        <v>3</v>
      </c>
      <c r="C803" s="3" t="n">
        <v>12</v>
      </c>
      <c r="D803" s="3" t="s">
        <v>807</v>
      </c>
      <c r="E803" s="4" t="n">
        <v>0</v>
      </c>
    </row>
    <row r="804" customFormat="false" ht="15" hidden="false" customHeight="false" outlineLevel="0" collapsed="false">
      <c r="A804" s="3" t="n">
        <v>2014</v>
      </c>
      <c r="B804" s="3" t="n">
        <v>3</v>
      </c>
      <c r="C804" s="3" t="n">
        <v>13</v>
      </c>
      <c r="D804" s="3" t="s">
        <v>808</v>
      </c>
      <c r="E804" s="4" t="n">
        <v>26</v>
      </c>
    </row>
    <row r="805" customFormat="false" ht="15" hidden="false" customHeight="false" outlineLevel="0" collapsed="false">
      <c r="A805" s="3" t="n">
        <v>2014</v>
      </c>
      <c r="B805" s="3" t="n">
        <v>3</v>
      </c>
      <c r="C805" s="3" t="n">
        <v>14</v>
      </c>
      <c r="D805" s="3" t="s">
        <v>809</v>
      </c>
      <c r="E805" s="4" t="n">
        <v>0</v>
      </c>
    </row>
    <row r="806" customFormat="false" ht="15" hidden="false" customHeight="false" outlineLevel="0" collapsed="false">
      <c r="A806" s="3" t="n">
        <v>2014</v>
      </c>
      <c r="B806" s="3" t="n">
        <v>3</v>
      </c>
      <c r="C806" s="3" t="n">
        <v>15</v>
      </c>
      <c r="D806" s="3" t="s">
        <v>810</v>
      </c>
      <c r="E806" s="4" t="n">
        <v>0</v>
      </c>
    </row>
    <row r="807" customFormat="false" ht="15" hidden="false" customHeight="false" outlineLevel="0" collapsed="false">
      <c r="A807" s="3" t="n">
        <v>2014</v>
      </c>
      <c r="B807" s="3" t="n">
        <v>3</v>
      </c>
      <c r="C807" s="3" t="n">
        <v>16</v>
      </c>
      <c r="D807" s="3" t="s">
        <v>811</v>
      </c>
      <c r="E807" s="4" t="n">
        <v>0</v>
      </c>
    </row>
    <row r="808" customFormat="false" ht="15" hidden="false" customHeight="false" outlineLevel="0" collapsed="false">
      <c r="A808" s="3" t="n">
        <v>2014</v>
      </c>
      <c r="B808" s="3" t="n">
        <v>3</v>
      </c>
      <c r="C808" s="3" t="n">
        <v>17</v>
      </c>
      <c r="D808" s="3" t="s">
        <v>812</v>
      </c>
      <c r="E808" s="4" t="n">
        <v>25</v>
      </c>
    </row>
    <row r="809" customFormat="false" ht="15" hidden="false" customHeight="false" outlineLevel="0" collapsed="false">
      <c r="A809" s="3" t="n">
        <v>2014</v>
      </c>
      <c r="B809" s="3" t="n">
        <v>3</v>
      </c>
      <c r="C809" s="3" t="n">
        <v>18</v>
      </c>
      <c r="D809" s="3" t="s">
        <v>813</v>
      </c>
      <c r="E809" s="4" t="n">
        <v>15</v>
      </c>
    </row>
    <row r="810" customFormat="false" ht="15" hidden="false" customHeight="false" outlineLevel="0" collapsed="false">
      <c r="A810" s="3" t="n">
        <v>2014</v>
      </c>
      <c r="B810" s="3" t="n">
        <v>3</v>
      </c>
      <c r="C810" s="3" t="n">
        <v>19</v>
      </c>
      <c r="D810" s="3" t="s">
        <v>814</v>
      </c>
      <c r="E810" s="4" t="n">
        <v>2</v>
      </c>
    </row>
    <row r="811" customFormat="false" ht="15" hidden="false" customHeight="false" outlineLevel="0" collapsed="false">
      <c r="A811" s="3" t="n">
        <v>2014</v>
      </c>
      <c r="B811" s="3" t="n">
        <v>3</v>
      </c>
      <c r="C811" s="3" t="n">
        <v>20</v>
      </c>
      <c r="D811" s="3" t="s">
        <v>815</v>
      </c>
      <c r="E811" s="4" t="n">
        <v>0</v>
      </c>
    </row>
    <row r="812" customFormat="false" ht="15" hidden="false" customHeight="false" outlineLevel="0" collapsed="false">
      <c r="A812" s="3" t="n">
        <v>2014</v>
      </c>
      <c r="B812" s="3" t="n">
        <v>3</v>
      </c>
      <c r="C812" s="3" t="n">
        <v>21</v>
      </c>
      <c r="D812" s="3" t="s">
        <v>816</v>
      </c>
      <c r="E812" s="4" t="n">
        <v>0</v>
      </c>
    </row>
    <row r="813" customFormat="false" ht="15" hidden="false" customHeight="false" outlineLevel="0" collapsed="false">
      <c r="A813" s="3" t="n">
        <v>2014</v>
      </c>
      <c r="B813" s="3" t="n">
        <v>3</v>
      </c>
      <c r="C813" s="3" t="n">
        <v>22</v>
      </c>
      <c r="D813" s="3" t="s">
        <v>817</v>
      </c>
      <c r="E813" s="4" t="n">
        <v>0</v>
      </c>
    </row>
    <row r="814" customFormat="false" ht="15" hidden="false" customHeight="false" outlineLevel="0" collapsed="false">
      <c r="A814" s="3" t="n">
        <v>2014</v>
      </c>
      <c r="B814" s="3" t="n">
        <v>3</v>
      </c>
      <c r="C814" s="3" t="n">
        <v>23</v>
      </c>
      <c r="D814" s="3" t="s">
        <v>818</v>
      </c>
      <c r="E814" s="4" t="n">
        <v>0</v>
      </c>
    </row>
    <row r="815" customFormat="false" ht="15" hidden="false" customHeight="false" outlineLevel="0" collapsed="false">
      <c r="A815" s="3" t="n">
        <v>2014</v>
      </c>
      <c r="B815" s="3" t="n">
        <v>3</v>
      </c>
      <c r="C815" s="3" t="n">
        <v>24</v>
      </c>
      <c r="D815" s="3" t="s">
        <v>819</v>
      </c>
      <c r="E815" s="4" t="n">
        <v>0</v>
      </c>
    </row>
    <row r="816" customFormat="false" ht="15" hidden="false" customHeight="false" outlineLevel="0" collapsed="false">
      <c r="A816" s="3" t="n">
        <v>2014</v>
      </c>
      <c r="B816" s="3" t="n">
        <v>3</v>
      </c>
      <c r="C816" s="3" t="n">
        <v>25</v>
      </c>
      <c r="D816" s="3" t="s">
        <v>820</v>
      </c>
      <c r="E816" s="4" t="n">
        <v>0</v>
      </c>
    </row>
    <row r="817" customFormat="false" ht="15" hidden="false" customHeight="false" outlineLevel="0" collapsed="false">
      <c r="A817" s="3" t="n">
        <v>2014</v>
      </c>
      <c r="B817" s="3" t="n">
        <v>3</v>
      </c>
      <c r="C817" s="3" t="n">
        <v>26</v>
      </c>
      <c r="D817" s="3" t="s">
        <v>821</v>
      </c>
      <c r="E817" s="4" t="n">
        <v>0</v>
      </c>
    </row>
    <row r="818" customFormat="false" ht="15" hidden="false" customHeight="false" outlineLevel="0" collapsed="false">
      <c r="A818" s="3" t="n">
        <v>2014</v>
      </c>
      <c r="B818" s="3" t="n">
        <v>3</v>
      </c>
      <c r="C818" s="3" t="n">
        <v>27</v>
      </c>
      <c r="D818" s="3" t="s">
        <v>822</v>
      </c>
      <c r="E818" s="4" t="n">
        <v>14</v>
      </c>
    </row>
    <row r="819" customFormat="false" ht="15" hidden="false" customHeight="false" outlineLevel="0" collapsed="false">
      <c r="A819" s="3" t="n">
        <v>2014</v>
      </c>
      <c r="B819" s="3" t="n">
        <v>3</v>
      </c>
      <c r="C819" s="3" t="n">
        <v>28</v>
      </c>
      <c r="D819" s="3" t="s">
        <v>823</v>
      </c>
      <c r="E819" s="4" t="n">
        <v>13</v>
      </c>
    </row>
    <row r="820" customFormat="false" ht="15" hidden="false" customHeight="false" outlineLevel="0" collapsed="false">
      <c r="A820" s="3" t="n">
        <v>2014</v>
      </c>
      <c r="B820" s="3" t="n">
        <v>3</v>
      </c>
      <c r="C820" s="3" t="n">
        <v>29</v>
      </c>
      <c r="D820" s="3" t="s">
        <v>824</v>
      </c>
      <c r="E820" s="4" t="n">
        <v>0</v>
      </c>
    </row>
    <row r="821" customFormat="false" ht="15" hidden="false" customHeight="false" outlineLevel="0" collapsed="false">
      <c r="A821" s="3" t="n">
        <v>2014</v>
      </c>
      <c r="B821" s="3" t="n">
        <v>3</v>
      </c>
      <c r="C821" s="3" t="n">
        <v>30</v>
      </c>
      <c r="D821" s="3" t="s">
        <v>825</v>
      </c>
      <c r="E821" s="4" t="n">
        <v>0</v>
      </c>
    </row>
    <row r="822" customFormat="false" ht="15" hidden="false" customHeight="false" outlineLevel="0" collapsed="false">
      <c r="A822" s="3" t="n">
        <v>2014</v>
      </c>
      <c r="B822" s="3" t="n">
        <v>3</v>
      </c>
      <c r="C822" s="3" t="n">
        <v>31</v>
      </c>
      <c r="D822" s="3" t="s">
        <v>826</v>
      </c>
      <c r="E822" s="4" t="n">
        <v>0</v>
      </c>
    </row>
    <row r="823" customFormat="false" ht="15" hidden="false" customHeight="false" outlineLevel="0" collapsed="false">
      <c r="A823" s="3" t="n">
        <v>2014</v>
      </c>
      <c r="B823" s="3" t="n">
        <v>4</v>
      </c>
      <c r="C823" s="3" t="n">
        <v>1</v>
      </c>
      <c r="D823" s="3" t="s">
        <v>827</v>
      </c>
      <c r="E823" s="4" t="n">
        <v>44</v>
      </c>
    </row>
    <row r="824" customFormat="false" ht="15" hidden="false" customHeight="false" outlineLevel="0" collapsed="false">
      <c r="A824" s="3" t="n">
        <v>2014</v>
      </c>
      <c r="B824" s="3" t="n">
        <v>4</v>
      </c>
      <c r="C824" s="3" t="n">
        <v>2</v>
      </c>
      <c r="D824" s="3" t="s">
        <v>828</v>
      </c>
      <c r="E824" s="4" t="n">
        <v>0</v>
      </c>
    </row>
    <row r="825" customFormat="false" ht="15" hidden="false" customHeight="false" outlineLevel="0" collapsed="false">
      <c r="A825" s="3" t="n">
        <v>2014</v>
      </c>
      <c r="B825" s="3" t="n">
        <v>4</v>
      </c>
      <c r="C825" s="3" t="n">
        <v>3</v>
      </c>
      <c r="D825" s="3" t="s">
        <v>829</v>
      </c>
      <c r="E825" s="4" t="n">
        <v>8</v>
      </c>
    </row>
    <row r="826" customFormat="false" ht="15" hidden="false" customHeight="false" outlineLevel="0" collapsed="false">
      <c r="A826" s="3" t="n">
        <v>2014</v>
      </c>
      <c r="B826" s="3" t="n">
        <v>4</v>
      </c>
      <c r="C826" s="3" t="n">
        <v>4</v>
      </c>
      <c r="D826" s="3" t="s">
        <v>830</v>
      </c>
      <c r="E826" s="4" t="n">
        <v>3</v>
      </c>
    </row>
    <row r="827" customFormat="false" ht="15" hidden="false" customHeight="false" outlineLevel="0" collapsed="false">
      <c r="A827" s="3" t="n">
        <v>2014</v>
      </c>
      <c r="B827" s="3" t="n">
        <v>4</v>
      </c>
      <c r="C827" s="3" t="n">
        <v>5</v>
      </c>
      <c r="D827" s="3" t="s">
        <v>831</v>
      </c>
      <c r="E827" s="4" t="n">
        <v>5</v>
      </c>
    </row>
    <row r="828" customFormat="false" ht="15" hidden="false" customHeight="false" outlineLevel="0" collapsed="false">
      <c r="A828" s="3" t="n">
        <v>2014</v>
      </c>
      <c r="B828" s="3" t="n">
        <v>4</v>
      </c>
      <c r="C828" s="3" t="n">
        <v>6</v>
      </c>
      <c r="D828" s="3" t="s">
        <v>832</v>
      </c>
      <c r="E828" s="4" t="n">
        <v>0</v>
      </c>
    </row>
    <row r="829" customFormat="false" ht="15" hidden="false" customHeight="false" outlineLevel="0" collapsed="false">
      <c r="A829" s="3" t="n">
        <v>2014</v>
      </c>
      <c r="B829" s="3" t="n">
        <v>4</v>
      </c>
      <c r="C829" s="3" t="n">
        <v>7</v>
      </c>
      <c r="D829" s="3" t="s">
        <v>833</v>
      </c>
      <c r="E829" s="4" t="n">
        <v>2</v>
      </c>
    </row>
    <row r="830" customFormat="false" ht="15" hidden="false" customHeight="false" outlineLevel="0" collapsed="false">
      <c r="A830" s="3" t="n">
        <v>2014</v>
      </c>
      <c r="B830" s="3" t="n">
        <v>4</v>
      </c>
      <c r="C830" s="3" t="n">
        <v>8</v>
      </c>
      <c r="D830" s="3" t="s">
        <v>834</v>
      </c>
      <c r="E830" s="4" t="n">
        <v>0</v>
      </c>
    </row>
    <row r="831" customFormat="false" ht="15" hidden="false" customHeight="false" outlineLevel="0" collapsed="false">
      <c r="A831" s="3" t="n">
        <v>2014</v>
      </c>
      <c r="B831" s="3" t="n">
        <v>4</v>
      </c>
      <c r="C831" s="3" t="n">
        <v>9</v>
      </c>
      <c r="D831" s="3" t="s">
        <v>835</v>
      </c>
      <c r="E831" s="4" t="n">
        <v>6</v>
      </c>
    </row>
    <row r="832" customFormat="false" ht="15" hidden="false" customHeight="false" outlineLevel="0" collapsed="false">
      <c r="A832" s="3" t="n">
        <v>2014</v>
      </c>
      <c r="B832" s="3" t="n">
        <v>4</v>
      </c>
      <c r="C832" s="3" t="n">
        <v>10</v>
      </c>
      <c r="D832" s="3" t="s">
        <v>836</v>
      </c>
      <c r="E832" s="4" t="n">
        <v>0</v>
      </c>
    </row>
    <row r="833" customFormat="false" ht="15" hidden="false" customHeight="false" outlineLevel="0" collapsed="false">
      <c r="A833" s="3" t="n">
        <v>2014</v>
      </c>
      <c r="B833" s="3" t="n">
        <v>4</v>
      </c>
      <c r="C833" s="3" t="n">
        <v>11</v>
      </c>
      <c r="D833" s="3" t="s">
        <v>837</v>
      </c>
      <c r="E833" s="4" t="n">
        <v>0</v>
      </c>
    </row>
    <row r="834" customFormat="false" ht="15" hidden="false" customHeight="false" outlineLevel="0" collapsed="false">
      <c r="A834" s="3" t="n">
        <v>2014</v>
      </c>
      <c r="B834" s="3" t="n">
        <v>4</v>
      </c>
      <c r="C834" s="3" t="n">
        <v>12</v>
      </c>
      <c r="D834" s="3" t="s">
        <v>838</v>
      </c>
      <c r="E834" s="4" t="n">
        <v>0</v>
      </c>
    </row>
    <row r="835" customFormat="false" ht="15" hidden="false" customHeight="false" outlineLevel="0" collapsed="false">
      <c r="A835" s="3" t="n">
        <v>2014</v>
      </c>
      <c r="B835" s="3" t="n">
        <v>4</v>
      </c>
      <c r="C835" s="3" t="n">
        <v>13</v>
      </c>
      <c r="D835" s="3" t="s">
        <v>839</v>
      </c>
      <c r="E835" s="4" t="n">
        <v>0</v>
      </c>
    </row>
    <row r="836" customFormat="false" ht="15" hidden="false" customHeight="false" outlineLevel="0" collapsed="false">
      <c r="A836" s="3" t="n">
        <v>2014</v>
      </c>
      <c r="B836" s="3" t="n">
        <v>4</v>
      </c>
      <c r="C836" s="3" t="n">
        <v>14</v>
      </c>
      <c r="D836" s="3" t="s">
        <v>840</v>
      </c>
      <c r="E836" s="4" t="n">
        <v>0</v>
      </c>
    </row>
    <row r="837" customFormat="false" ht="15" hidden="false" customHeight="false" outlineLevel="0" collapsed="false">
      <c r="A837" s="3" t="n">
        <v>2014</v>
      </c>
      <c r="B837" s="3" t="n">
        <v>4</v>
      </c>
      <c r="C837" s="3" t="n">
        <v>15</v>
      </c>
      <c r="D837" s="3" t="s">
        <v>841</v>
      </c>
      <c r="E837" s="4" t="n">
        <v>0</v>
      </c>
    </row>
    <row r="838" customFormat="false" ht="15" hidden="false" customHeight="false" outlineLevel="0" collapsed="false">
      <c r="A838" s="3" t="n">
        <v>2014</v>
      </c>
      <c r="B838" s="3" t="n">
        <v>4</v>
      </c>
      <c r="C838" s="3" t="n">
        <v>16</v>
      </c>
      <c r="D838" s="3" t="s">
        <v>842</v>
      </c>
      <c r="E838" s="4" t="n">
        <v>0</v>
      </c>
    </row>
    <row r="839" customFormat="false" ht="15" hidden="false" customHeight="false" outlineLevel="0" collapsed="false">
      <c r="A839" s="3" t="n">
        <v>2014</v>
      </c>
      <c r="B839" s="3" t="n">
        <v>4</v>
      </c>
      <c r="C839" s="3" t="n">
        <v>17</v>
      </c>
      <c r="D839" s="3" t="s">
        <v>843</v>
      </c>
      <c r="E839" s="4" t="n">
        <v>16</v>
      </c>
    </row>
    <row r="840" customFormat="false" ht="15" hidden="false" customHeight="false" outlineLevel="0" collapsed="false">
      <c r="A840" s="3" t="n">
        <v>2014</v>
      </c>
      <c r="B840" s="3" t="n">
        <v>4</v>
      </c>
      <c r="C840" s="3" t="n">
        <v>18</v>
      </c>
      <c r="D840" s="3" t="s">
        <v>844</v>
      </c>
      <c r="E840" s="4" t="n">
        <v>11</v>
      </c>
    </row>
    <row r="841" customFormat="false" ht="15" hidden="false" customHeight="false" outlineLevel="0" collapsed="false">
      <c r="A841" s="3" t="n">
        <v>2014</v>
      </c>
      <c r="B841" s="3" t="n">
        <v>4</v>
      </c>
      <c r="C841" s="3" t="n">
        <v>19</v>
      </c>
      <c r="D841" s="3" t="s">
        <v>845</v>
      </c>
      <c r="E841" s="4" t="n">
        <v>0</v>
      </c>
    </row>
    <row r="842" customFormat="false" ht="15" hidden="false" customHeight="false" outlineLevel="0" collapsed="false">
      <c r="A842" s="3" t="n">
        <v>2014</v>
      </c>
      <c r="B842" s="3" t="n">
        <v>4</v>
      </c>
      <c r="C842" s="3" t="n">
        <v>20</v>
      </c>
      <c r="D842" s="3" t="s">
        <v>846</v>
      </c>
      <c r="E842" s="4" t="n">
        <v>0</v>
      </c>
    </row>
    <row r="843" customFormat="false" ht="15" hidden="false" customHeight="false" outlineLevel="0" collapsed="false">
      <c r="A843" s="3" t="n">
        <v>2014</v>
      </c>
      <c r="B843" s="3" t="n">
        <v>4</v>
      </c>
      <c r="C843" s="3" t="n">
        <v>21</v>
      </c>
      <c r="D843" s="3" t="s">
        <v>847</v>
      </c>
      <c r="E843" s="4" t="n">
        <v>0</v>
      </c>
    </row>
    <row r="844" customFormat="false" ht="15" hidden="false" customHeight="false" outlineLevel="0" collapsed="false">
      <c r="A844" s="3" t="n">
        <v>2014</v>
      </c>
      <c r="B844" s="3" t="n">
        <v>4</v>
      </c>
      <c r="C844" s="3" t="n">
        <v>22</v>
      </c>
      <c r="D844" s="3" t="s">
        <v>848</v>
      </c>
      <c r="E844" s="4" t="n">
        <v>0</v>
      </c>
    </row>
    <row r="845" customFormat="false" ht="15" hidden="false" customHeight="false" outlineLevel="0" collapsed="false">
      <c r="A845" s="3" t="n">
        <v>2014</v>
      </c>
      <c r="B845" s="3" t="n">
        <v>4</v>
      </c>
      <c r="C845" s="3" t="n">
        <v>23</v>
      </c>
      <c r="D845" s="3" t="s">
        <v>849</v>
      </c>
      <c r="E845" s="4" t="n">
        <v>12</v>
      </c>
    </row>
    <row r="846" customFormat="false" ht="15" hidden="false" customHeight="false" outlineLevel="0" collapsed="false">
      <c r="A846" s="3" t="n">
        <v>2014</v>
      </c>
      <c r="B846" s="3" t="n">
        <v>4</v>
      </c>
      <c r="C846" s="3" t="n">
        <v>24</v>
      </c>
      <c r="D846" s="3" t="s">
        <v>850</v>
      </c>
      <c r="E846" s="4" t="n">
        <v>0</v>
      </c>
    </row>
    <row r="847" customFormat="false" ht="15" hidden="false" customHeight="false" outlineLevel="0" collapsed="false">
      <c r="A847" s="3" t="n">
        <v>2014</v>
      </c>
      <c r="B847" s="3" t="n">
        <v>4</v>
      </c>
      <c r="C847" s="3" t="n">
        <v>25</v>
      </c>
      <c r="D847" s="3" t="s">
        <v>851</v>
      </c>
      <c r="E847" s="4" t="n">
        <v>0</v>
      </c>
    </row>
    <row r="848" customFormat="false" ht="15" hidden="false" customHeight="false" outlineLevel="0" collapsed="false">
      <c r="A848" s="3" t="n">
        <v>2014</v>
      </c>
      <c r="B848" s="3" t="n">
        <v>4</v>
      </c>
      <c r="C848" s="3" t="n">
        <v>26</v>
      </c>
      <c r="D848" s="3" t="s">
        <v>852</v>
      </c>
      <c r="E848" s="4" t="n">
        <v>0</v>
      </c>
    </row>
    <row r="849" customFormat="false" ht="15" hidden="false" customHeight="false" outlineLevel="0" collapsed="false">
      <c r="A849" s="3" t="n">
        <v>2014</v>
      </c>
      <c r="B849" s="3" t="n">
        <v>4</v>
      </c>
      <c r="C849" s="3" t="n">
        <v>27</v>
      </c>
      <c r="D849" s="3" t="s">
        <v>853</v>
      </c>
      <c r="E849" s="4" t="n">
        <v>12</v>
      </c>
    </row>
    <row r="850" customFormat="false" ht="15" hidden="false" customHeight="false" outlineLevel="0" collapsed="false">
      <c r="A850" s="3" t="n">
        <v>2014</v>
      </c>
      <c r="B850" s="3" t="n">
        <v>4</v>
      </c>
      <c r="C850" s="3" t="n">
        <v>28</v>
      </c>
      <c r="D850" s="3" t="s">
        <v>854</v>
      </c>
      <c r="E850" s="4" t="n">
        <v>0</v>
      </c>
    </row>
    <row r="851" customFormat="false" ht="15" hidden="false" customHeight="false" outlineLevel="0" collapsed="false">
      <c r="A851" s="3" t="n">
        <v>2014</v>
      </c>
      <c r="B851" s="3" t="n">
        <v>4</v>
      </c>
      <c r="C851" s="3" t="n">
        <v>29</v>
      </c>
      <c r="D851" s="3" t="s">
        <v>855</v>
      </c>
      <c r="E851" s="4" t="n">
        <v>10</v>
      </c>
    </row>
    <row r="852" customFormat="false" ht="15" hidden="false" customHeight="false" outlineLevel="0" collapsed="false">
      <c r="A852" s="3" t="n">
        <v>2014</v>
      </c>
      <c r="B852" s="3" t="n">
        <v>4</v>
      </c>
      <c r="C852" s="3" t="n">
        <v>30</v>
      </c>
      <c r="D852" s="3" t="s">
        <v>856</v>
      </c>
      <c r="E852" s="4" t="n">
        <v>0</v>
      </c>
    </row>
    <row r="853" customFormat="false" ht="15" hidden="false" customHeight="false" outlineLevel="0" collapsed="false">
      <c r="A853" s="3" t="n">
        <v>2014</v>
      </c>
      <c r="B853" s="3" t="n">
        <v>5</v>
      </c>
      <c r="C853" s="3" t="n">
        <v>1</v>
      </c>
      <c r="D853" s="3" t="s">
        <v>857</v>
      </c>
      <c r="E853" s="4" t="n">
        <v>2</v>
      </c>
    </row>
    <row r="854" customFormat="false" ht="15" hidden="false" customHeight="false" outlineLevel="0" collapsed="false">
      <c r="A854" s="3" t="n">
        <v>2014</v>
      </c>
      <c r="B854" s="3" t="n">
        <v>5</v>
      </c>
      <c r="C854" s="3" t="n">
        <v>2</v>
      </c>
      <c r="D854" s="3" t="s">
        <v>858</v>
      </c>
      <c r="E854" s="4" t="n">
        <v>0</v>
      </c>
    </row>
    <row r="855" customFormat="false" ht="15" hidden="false" customHeight="false" outlineLevel="0" collapsed="false">
      <c r="A855" s="3" t="n">
        <v>2014</v>
      </c>
      <c r="B855" s="3" t="n">
        <v>5</v>
      </c>
      <c r="C855" s="3" t="n">
        <v>3</v>
      </c>
      <c r="D855" s="3" t="s">
        <v>859</v>
      </c>
      <c r="E855" s="4" t="n">
        <v>44</v>
      </c>
    </row>
    <row r="856" customFormat="false" ht="15" hidden="false" customHeight="false" outlineLevel="0" collapsed="false">
      <c r="A856" s="3" t="n">
        <v>2014</v>
      </c>
      <c r="B856" s="3" t="n">
        <v>5</v>
      </c>
      <c r="C856" s="3" t="n">
        <v>4</v>
      </c>
      <c r="D856" s="3" t="s">
        <v>860</v>
      </c>
      <c r="E856" s="4" t="n">
        <v>0</v>
      </c>
    </row>
    <row r="857" customFormat="false" ht="15" hidden="false" customHeight="false" outlineLevel="0" collapsed="false">
      <c r="A857" s="3" t="n">
        <v>2014</v>
      </c>
      <c r="B857" s="3" t="n">
        <v>5</v>
      </c>
      <c r="C857" s="3" t="n">
        <v>5</v>
      </c>
      <c r="D857" s="3" t="s">
        <v>861</v>
      </c>
      <c r="E857" s="4" t="n">
        <v>0</v>
      </c>
    </row>
    <row r="858" customFormat="false" ht="15" hidden="false" customHeight="false" outlineLevel="0" collapsed="false">
      <c r="A858" s="3" t="n">
        <v>2014</v>
      </c>
      <c r="B858" s="3" t="n">
        <v>5</v>
      </c>
      <c r="C858" s="3" t="n">
        <v>6</v>
      </c>
      <c r="D858" s="3" t="s">
        <v>862</v>
      </c>
      <c r="E858" s="4" t="n">
        <v>37</v>
      </c>
    </row>
    <row r="859" customFormat="false" ht="15" hidden="false" customHeight="false" outlineLevel="0" collapsed="false">
      <c r="A859" s="3" t="n">
        <v>2014</v>
      </c>
      <c r="B859" s="3" t="n">
        <v>5</v>
      </c>
      <c r="C859" s="3" t="n">
        <v>7</v>
      </c>
      <c r="D859" s="3" t="s">
        <v>863</v>
      </c>
      <c r="E859" s="4" t="n">
        <v>0</v>
      </c>
    </row>
    <row r="860" customFormat="false" ht="15" hidden="false" customHeight="false" outlineLevel="0" collapsed="false">
      <c r="A860" s="3" t="n">
        <v>2014</v>
      </c>
      <c r="B860" s="3" t="n">
        <v>5</v>
      </c>
      <c r="C860" s="3" t="n">
        <v>8</v>
      </c>
      <c r="D860" s="3" t="s">
        <v>864</v>
      </c>
      <c r="E860" s="4" t="n">
        <v>10</v>
      </c>
    </row>
    <row r="861" customFormat="false" ht="15" hidden="false" customHeight="false" outlineLevel="0" collapsed="false">
      <c r="A861" s="3" t="n">
        <v>2014</v>
      </c>
      <c r="B861" s="3" t="n">
        <v>5</v>
      </c>
      <c r="C861" s="3" t="n">
        <v>9</v>
      </c>
      <c r="D861" s="3" t="s">
        <v>865</v>
      </c>
      <c r="E861" s="4" t="n">
        <v>30</v>
      </c>
    </row>
    <row r="862" customFormat="false" ht="15" hidden="false" customHeight="false" outlineLevel="0" collapsed="false">
      <c r="A862" s="3" t="n">
        <v>2014</v>
      </c>
      <c r="B862" s="3" t="n">
        <v>5</v>
      </c>
      <c r="C862" s="3" t="n">
        <v>10</v>
      </c>
      <c r="D862" s="3" t="s">
        <v>866</v>
      </c>
      <c r="E862" s="4" t="n">
        <v>27</v>
      </c>
    </row>
    <row r="863" customFormat="false" ht="15" hidden="false" customHeight="false" outlineLevel="0" collapsed="false">
      <c r="A863" s="3" t="n">
        <v>2014</v>
      </c>
      <c r="B863" s="3" t="n">
        <v>5</v>
      </c>
      <c r="C863" s="3" t="n">
        <v>11</v>
      </c>
      <c r="D863" s="3" t="s">
        <v>867</v>
      </c>
      <c r="E863" s="4" t="n">
        <v>0</v>
      </c>
    </row>
    <row r="864" customFormat="false" ht="15" hidden="false" customHeight="false" outlineLevel="0" collapsed="false">
      <c r="A864" s="3" t="n">
        <v>2014</v>
      </c>
      <c r="B864" s="3" t="n">
        <v>5</v>
      </c>
      <c r="C864" s="3" t="n">
        <v>12</v>
      </c>
      <c r="D864" s="3" t="s">
        <v>868</v>
      </c>
      <c r="E864" s="4" t="n">
        <v>4</v>
      </c>
    </row>
    <row r="865" customFormat="false" ht="15" hidden="false" customHeight="false" outlineLevel="0" collapsed="false">
      <c r="A865" s="3" t="n">
        <v>2014</v>
      </c>
      <c r="B865" s="3" t="n">
        <v>5</v>
      </c>
      <c r="C865" s="3" t="n">
        <v>13</v>
      </c>
      <c r="D865" s="3" t="s">
        <v>869</v>
      </c>
      <c r="E865" s="4" t="n">
        <v>1</v>
      </c>
    </row>
    <row r="866" customFormat="false" ht="15" hidden="false" customHeight="false" outlineLevel="0" collapsed="false">
      <c r="A866" s="3" t="n">
        <v>2014</v>
      </c>
      <c r="B866" s="3" t="n">
        <v>5</v>
      </c>
      <c r="C866" s="3" t="n">
        <v>14</v>
      </c>
      <c r="D866" s="3" t="s">
        <v>870</v>
      </c>
      <c r="E866" s="4" t="n">
        <v>3</v>
      </c>
    </row>
    <row r="867" customFormat="false" ht="15" hidden="false" customHeight="false" outlineLevel="0" collapsed="false">
      <c r="A867" s="3" t="n">
        <v>2014</v>
      </c>
      <c r="B867" s="3" t="n">
        <v>5</v>
      </c>
      <c r="C867" s="3" t="n">
        <v>15</v>
      </c>
      <c r="D867" s="3" t="s">
        <v>871</v>
      </c>
      <c r="E867" s="4" t="n">
        <v>0</v>
      </c>
    </row>
    <row r="868" customFormat="false" ht="15" hidden="false" customHeight="false" outlineLevel="0" collapsed="false">
      <c r="A868" s="3" t="n">
        <v>2014</v>
      </c>
      <c r="B868" s="3" t="n">
        <v>5</v>
      </c>
      <c r="C868" s="3" t="n">
        <v>16</v>
      </c>
      <c r="D868" s="3" t="s">
        <v>872</v>
      </c>
      <c r="E868" s="4" t="n">
        <v>0</v>
      </c>
    </row>
    <row r="869" customFormat="false" ht="15" hidden="false" customHeight="false" outlineLevel="0" collapsed="false">
      <c r="A869" s="3" t="n">
        <v>2014</v>
      </c>
      <c r="B869" s="3" t="n">
        <v>5</v>
      </c>
      <c r="C869" s="3" t="n">
        <v>17</v>
      </c>
      <c r="D869" s="3" t="s">
        <v>873</v>
      </c>
      <c r="E869" s="4" t="n">
        <v>6</v>
      </c>
    </row>
    <row r="870" customFormat="false" ht="15" hidden="false" customHeight="false" outlineLevel="0" collapsed="false">
      <c r="A870" s="3" t="n">
        <v>2014</v>
      </c>
      <c r="B870" s="3" t="n">
        <v>5</v>
      </c>
      <c r="C870" s="3" t="n">
        <v>18</v>
      </c>
      <c r="D870" s="3" t="s">
        <v>874</v>
      </c>
      <c r="E870" s="4" t="n">
        <v>11</v>
      </c>
    </row>
    <row r="871" customFormat="false" ht="15" hidden="false" customHeight="false" outlineLevel="0" collapsed="false">
      <c r="A871" s="3" t="n">
        <v>2014</v>
      </c>
      <c r="B871" s="3" t="n">
        <v>5</v>
      </c>
      <c r="C871" s="3" t="n">
        <v>19</v>
      </c>
      <c r="D871" s="3" t="s">
        <v>875</v>
      </c>
      <c r="E871" s="4" t="n">
        <v>2</v>
      </c>
    </row>
    <row r="872" customFormat="false" ht="15" hidden="false" customHeight="false" outlineLevel="0" collapsed="false">
      <c r="A872" s="3" t="n">
        <v>2014</v>
      </c>
      <c r="B872" s="3" t="n">
        <v>5</v>
      </c>
      <c r="C872" s="3" t="n">
        <v>20</v>
      </c>
      <c r="D872" s="3" t="s">
        <v>876</v>
      </c>
      <c r="E872" s="4" t="n">
        <v>7</v>
      </c>
    </row>
    <row r="873" customFormat="false" ht="15" hidden="false" customHeight="false" outlineLevel="0" collapsed="false">
      <c r="A873" s="3" t="n">
        <v>2014</v>
      </c>
      <c r="B873" s="3" t="n">
        <v>5</v>
      </c>
      <c r="C873" s="3" t="n">
        <v>21</v>
      </c>
      <c r="D873" s="3" t="s">
        <v>877</v>
      </c>
      <c r="E873" s="4" t="n">
        <v>0</v>
      </c>
    </row>
    <row r="874" customFormat="false" ht="15" hidden="false" customHeight="false" outlineLevel="0" collapsed="false">
      <c r="A874" s="3" t="n">
        <v>2014</v>
      </c>
      <c r="B874" s="3" t="n">
        <v>5</v>
      </c>
      <c r="C874" s="3" t="n">
        <v>22</v>
      </c>
      <c r="D874" s="3" t="s">
        <v>878</v>
      </c>
      <c r="E874" s="4" t="n">
        <v>0</v>
      </c>
    </row>
    <row r="875" customFormat="false" ht="15" hidden="false" customHeight="false" outlineLevel="0" collapsed="false">
      <c r="A875" s="3" t="n">
        <v>2014</v>
      </c>
      <c r="B875" s="3" t="n">
        <v>5</v>
      </c>
      <c r="C875" s="3" t="n">
        <v>23</v>
      </c>
      <c r="D875" s="3" t="s">
        <v>879</v>
      </c>
      <c r="E875" s="4" t="n">
        <v>0</v>
      </c>
    </row>
    <row r="876" customFormat="false" ht="15" hidden="false" customHeight="false" outlineLevel="0" collapsed="false">
      <c r="A876" s="3" t="n">
        <v>2014</v>
      </c>
      <c r="B876" s="3" t="n">
        <v>5</v>
      </c>
      <c r="C876" s="3" t="n">
        <v>24</v>
      </c>
      <c r="D876" s="3" t="s">
        <v>880</v>
      </c>
      <c r="E876" s="4" t="n">
        <v>57</v>
      </c>
    </row>
    <row r="877" customFormat="false" ht="15" hidden="false" customHeight="false" outlineLevel="0" collapsed="false">
      <c r="A877" s="3" t="n">
        <v>2014</v>
      </c>
      <c r="B877" s="3" t="n">
        <v>5</v>
      </c>
      <c r="C877" s="3" t="n">
        <v>25</v>
      </c>
      <c r="D877" s="3" t="s">
        <v>881</v>
      </c>
      <c r="E877" s="4" t="n">
        <v>0</v>
      </c>
    </row>
    <row r="878" customFormat="false" ht="15" hidden="false" customHeight="false" outlineLevel="0" collapsed="false">
      <c r="A878" s="3" t="n">
        <v>2014</v>
      </c>
      <c r="B878" s="3" t="n">
        <v>5</v>
      </c>
      <c r="C878" s="3" t="n">
        <v>26</v>
      </c>
      <c r="D878" s="3" t="s">
        <v>882</v>
      </c>
      <c r="E878" s="4" t="n">
        <v>6</v>
      </c>
    </row>
    <row r="879" customFormat="false" ht="15" hidden="false" customHeight="false" outlineLevel="0" collapsed="false">
      <c r="A879" s="3" t="n">
        <v>2014</v>
      </c>
      <c r="B879" s="3" t="n">
        <v>5</v>
      </c>
      <c r="C879" s="3" t="n">
        <v>27</v>
      </c>
      <c r="D879" s="3" t="s">
        <v>883</v>
      </c>
      <c r="E879" s="4" t="n">
        <v>0</v>
      </c>
    </row>
    <row r="880" customFormat="false" ht="15" hidden="false" customHeight="false" outlineLevel="0" collapsed="false">
      <c r="A880" s="3" t="n">
        <v>2014</v>
      </c>
      <c r="B880" s="3" t="n">
        <v>5</v>
      </c>
      <c r="C880" s="3" t="n">
        <v>28</v>
      </c>
      <c r="D880" s="3" t="s">
        <v>884</v>
      </c>
      <c r="E880" s="4" t="n">
        <v>6</v>
      </c>
    </row>
    <row r="881" customFormat="false" ht="15" hidden="false" customHeight="false" outlineLevel="0" collapsed="false">
      <c r="A881" s="3" t="n">
        <v>2014</v>
      </c>
      <c r="B881" s="3" t="n">
        <v>5</v>
      </c>
      <c r="C881" s="3" t="n">
        <v>29</v>
      </c>
      <c r="D881" s="3" t="s">
        <v>885</v>
      </c>
      <c r="E881" s="4" t="n">
        <v>22</v>
      </c>
    </row>
    <row r="882" customFormat="false" ht="15" hidden="false" customHeight="false" outlineLevel="0" collapsed="false">
      <c r="A882" s="3" t="n">
        <v>2014</v>
      </c>
      <c r="B882" s="3" t="n">
        <v>5</v>
      </c>
      <c r="C882" s="3" t="n">
        <v>30</v>
      </c>
      <c r="D882" s="3" t="s">
        <v>886</v>
      </c>
      <c r="E882" s="4" t="n">
        <v>0</v>
      </c>
    </row>
    <row r="883" customFormat="false" ht="15" hidden="false" customHeight="false" outlineLevel="0" collapsed="false">
      <c r="A883" s="3" t="n">
        <v>2014</v>
      </c>
      <c r="B883" s="3" t="n">
        <v>5</v>
      </c>
      <c r="C883" s="3" t="n">
        <v>31</v>
      </c>
      <c r="D883" s="3" t="s">
        <v>887</v>
      </c>
      <c r="E883" s="4" t="n">
        <v>4</v>
      </c>
    </row>
    <row r="884" customFormat="false" ht="15" hidden="false" customHeight="false" outlineLevel="0" collapsed="false">
      <c r="A884" s="3" t="n">
        <v>2014</v>
      </c>
      <c r="B884" s="3" t="n">
        <v>6</v>
      </c>
      <c r="C884" s="3" t="n">
        <v>1</v>
      </c>
      <c r="D884" s="3" t="s">
        <v>888</v>
      </c>
      <c r="E884" s="4" t="n">
        <v>0</v>
      </c>
    </row>
    <row r="885" customFormat="false" ht="15" hidden="false" customHeight="false" outlineLevel="0" collapsed="false">
      <c r="A885" s="3" t="n">
        <v>2014</v>
      </c>
      <c r="B885" s="3" t="n">
        <v>6</v>
      </c>
      <c r="C885" s="3" t="n">
        <v>2</v>
      </c>
      <c r="D885" s="3" t="s">
        <v>889</v>
      </c>
      <c r="E885" s="4" t="n">
        <v>49</v>
      </c>
    </row>
    <row r="886" customFormat="false" ht="15" hidden="false" customHeight="false" outlineLevel="0" collapsed="false">
      <c r="A886" s="3" t="n">
        <v>2014</v>
      </c>
      <c r="B886" s="3" t="n">
        <v>6</v>
      </c>
      <c r="C886" s="3" t="n">
        <v>3</v>
      </c>
      <c r="D886" s="3" t="s">
        <v>890</v>
      </c>
      <c r="E886" s="4" t="n">
        <v>44</v>
      </c>
    </row>
    <row r="887" customFormat="false" ht="15" hidden="false" customHeight="false" outlineLevel="0" collapsed="false">
      <c r="A887" s="3" t="n">
        <v>2014</v>
      </c>
      <c r="B887" s="3" t="n">
        <v>6</v>
      </c>
      <c r="C887" s="3" t="n">
        <v>4</v>
      </c>
      <c r="D887" s="3" t="s">
        <v>891</v>
      </c>
      <c r="E887" s="4" t="n">
        <v>0</v>
      </c>
    </row>
    <row r="888" customFormat="false" ht="15" hidden="false" customHeight="false" outlineLevel="0" collapsed="false">
      <c r="A888" s="3" t="n">
        <v>2014</v>
      </c>
      <c r="B888" s="3" t="n">
        <v>6</v>
      </c>
      <c r="C888" s="3" t="n">
        <v>5</v>
      </c>
      <c r="D888" s="3" t="s">
        <v>892</v>
      </c>
      <c r="E888" s="4" t="n">
        <v>0</v>
      </c>
    </row>
    <row r="889" customFormat="false" ht="15" hidden="false" customHeight="false" outlineLevel="0" collapsed="false">
      <c r="A889" s="3" t="n">
        <v>2014</v>
      </c>
      <c r="B889" s="3" t="n">
        <v>6</v>
      </c>
      <c r="C889" s="3" t="n">
        <v>6</v>
      </c>
      <c r="D889" s="3" t="s">
        <v>893</v>
      </c>
      <c r="E889" s="4" t="n">
        <v>0</v>
      </c>
    </row>
    <row r="890" customFormat="false" ht="15" hidden="false" customHeight="false" outlineLevel="0" collapsed="false">
      <c r="A890" s="3" t="n">
        <v>2014</v>
      </c>
      <c r="B890" s="3" t="n">
        <v>6</v>
      </c>
      <c r="C890" s="3" t="n">
        <v>7</v>
      </c>
      <c r="D890" s="3" t="s">
        <v>894</v>
      </c>
      <c r="E890" s="4" t="n">
        <v>0</v>
      </c>
    </row>
    <row r="891" customFormat="false" ht="15" hidden="false" customHeight="false" outlineLevel="0" collapsed="false">
      <c r="A891" s="3" t="n">
        <v>2014</v>
      </c>
      <c r="B891" s="3" t="n">
        <v>6</v>
      </c>
      <c r="C891" s="3" t="n">
        <v>8</v>
      </c>
      <c r="D891" s="3" t="s">
        <v>895</v>
      </c>
      <c r="E891" s="4" t="n">
        <v>0</v>
      </c>
    </row>
    <row r="892" customFormat="false" ht="15" hidden="false" customHeight="false" outlineLevel="0" collapsed="false">
      <c r="A892" s="3" t="n">
        <v>2014</v>
      </c>
      <c r="B892" s="3" t="n">
        <v>6</v>
      </c>
      <c r="C892" s="3" t="n">
        <v>9</v>
      </c>
      <c r="D892" s="3" t="s">
        <v>896</v>
      </c>
      <c r="E892" s="4" t="n">
        <v>0</v>
      </c>
    </row>
    <row r="893" customFormat="false" ht="15" hidden="false" customHeight="false" outlineLevel="0" collapsed="false">
      <c r="A893" s="3" t="n">
        <v>2014</v>
      </c>
      <c r="B893" s="3" t="n">
        <v>6</v>
      </c>
      <c r="C893" s="3" t="n">
        <v>10</v>
      </c>
      <c r="D893" s="3" t="s">
        <v>897</v>
      </c>
      <c r="E893" s="4" t="n">
        <v>0</v>
      </c>
    </row>
    <row r="894" customFormat="false" ht="15" hidden="false" customHeight="false" outlineLevel="0" collapsed="false">
      <c r="A894" s="3" t="n">
        <v>2014</v>
      </c>
      <c r="B894" s="3" t="n">
        <v>6</v>
      </c>
      <c r="C894" s="3" t="n">
        <v>11</v>
      </c>
      <c r="D894" s="3" t="s">
        <v>898</v>
      </c>
      <c r="E894" s="4" t="n">
        <v>0</v>
      </c>
    </row>
    <row r="895" customFormat="false" ht="15" hidden="false" customHeight="false" outlineLevel="0" collapsed="false">
      <c r="A895" s="3" t="n">
        <v>2014</v>
      </c>
      <c r="B895" s="3" t="n">
        <v>6</v>
      </c>
      <c r="C895" s="3" t="n">
        <v>12</v>
      </c>
      <c r="D895" s="3" t="s">
        <v>899</v>
      </c>
      <c r="E895" s="4" t="n">
        <v>0</v>
      </c>
    </row>
    <row r="896" customFormat="false" ht="15" hidden="false" customHeight="false" outlineLevel="0" collapsed="false">
      <c r="A896" s="3" t="n">
        <v>2014</v>
      </c>
      <c r="B896" s="3" t="n">
        <v>6</v>
      </c>
      <c r="C896" s="3" t="n">
        <v>13</v>
      </c>
      <c r="D896" s="3" t="s">
        <v>900</v>
      </c>
      <c r="E896" s="4" t="n">
        <v>0</v>
      </c>
    </row>
    <row r="897" customFormat="false" ht="15" hidden="false" customHeight="false" outlineLevel="0" collapsed="false">
      <c r="A897" s="3" t="n">
        <v>2014</v>
      </c>
      <c r="B897" s="3" t="n">
        <v>6</v>
      </c>
      <c r="C897" s="3" t="n">
        <v>14</v>
      </c>
      <c r="D897" s="3" t="s">
        <v>901</v>
      </c>
      <c r="E897" s="4" t="n">
        <v>49</v>
      </c>
    </row>
    <row r="898" customFormat="false" ht="15" hidden="false" customHeight="false" outlineLevel="0" collapsed="false">
      <c r="A898" s="3" t="n">
        <v>2014</v>
      </c>
      <c r="B898" s="3" t="n">
        <v>6</v>
      </c>
      <c r="C898" s="3" t="n">
        <v>15</v>
      </c>
      <c r="D898" s="3" t="s">
        <v>902</v>
      </c>
      <c r="E898" s="4" t="n">
        <v>61</v>
      </c>
    </row>
    <row r="899" customFormat="false" ht="15" hidden="false" customHeight="false" outlineLevel="0" collapsed="false">
      <c r="A899" s="3" t="n">
        <v>2014</v>
      </c>
      <c r="B899" s="3" t="n">
        <v>6</v>
      </c>
      <c r="C899" s="3" t="n">
        <v>16</v>
      </c>
      <c r="D899" s="3" t="s">
        <v>903</v>
      </c>
      <c r="E899" s="4" t="n">
        <v>0</v>
      </c>
    </row>
    <row r="900" customFormat="false" ht="15" hidden="false" customHeight="false" outlineLevel="0" collapsed="false">
      <c r="A900" s="3" t="n">
        <v>2014</v>
      </c>
      <c r="B900" s="3" t="n">
        <v>6</v>
      </c>
      <c r="C900" s="3" t="n">
        <v>17</v>
      </c>
      <c r="D900" s="3" t="s">
        <v>904</v>
      </c>
      <c r="E900" s="4" t="n">
        <v>0</v>
      </c>
    </row>
    <row r="901" customFormat="false" ht="15" hidden="false" customHeight="false" outlineLevel="0" collapsed="false">
      <c r="A901" s="3" t="n">
        <v>2014</v>
      </c>
      <c r="B901" s="3" t="n">
        <v>6</v>
      </c>
      <c r="C901" s="3" t="n">
        <v>18</v>
      </c>
      <c r="D901" s="3" t="s">
        <v>905</v>
      </c>
      <c r="E901" s="4" t="n">
        <v>0</v>
      </c>
    </row>
    <row r="902" customFormat="false" ht="15" hidden="false" customHeight="false" outlineLevel="0" collapsed="false">
      <c r="A902" s="3" t="n">
        <v>2014</v>
      </c>
      <c r="B902" s="3" t="n">
        <v>6</v>
      </c>
      <c r="C902" s="3" t="n">
        <v>19</v>
      </c>
      <c r="D902" s="3" t="s">
        <v>906</v>
      </c>
      <c r="E902" s="4" t="n">
        <v>0</v>
      </c>
    </row>
    <row r="903" customFormat="false" ht="15" hidden="false" customHeight="false" outlineLevel="0" collapsed="false">
      <c r="A903" s="3" t="n">
        <v>2014</v>
      </c>
      <c r="B903" s="3" t="n">
        <v>6</v>
      </c>
      <c r="C903" s="3" t="n">
        <v>20</v>
      </c>
      <c r="D903" s="3" t="s">
        <v>907</v>
      </c>
      <c r="E903" s="4" t="n">
        <v>5</v>
      </c>
    </row>
    <row r="904" customFormat="false" ht="15" hidden="false" customHeight="false" outlineLevel="0" collapsed="false">
      <c r="A904" s="3" t="n">
        <v>2014</v>
      </c>
      <c r="B904" s="3" t="n">
        <v>6</v>
      </c>
      <c r="C904" s="3" t="n">
        <v>21</v>
      </c>
      <c r="D904" s="3" t="s">
        <v>908</v>
      </c>
      <c r="E904" s="4" t="n">
        <v>0</v>
      </c>
    </row>
    <row r="905" customFormat="false" ht="15" hidden="false" customHeight="false" outlineLevel="0" collapsed="false">
      <c r="A905" s="3" t="n">
        <v>2014</v>
      </c>
      <c r="B905" s="3" t="n">
        <v>6</v>
      </c>
      <c r="C905" s="3" t="n">
        <v>22</v>
      </c>
      <c r="D905" s="3" t="s">
        <v>909</v>
      </c>
      <c r="E905" s="4" t="n">
        <v>0</v>
      </c>
    </row>
    <row r="906" customFormat="false" ht="15" hidden="false" customHeight="false" outlineLevel="0" collapsed="false">
      <c r="A906" s="3" t="n">
        <v>2014</v>
      </c>
      <c r="B906" s="3" t="n">
        <v>6</v>
      </c>
      <c r="C906" s="3" t="n">
        <v>23</v>
      </c>
      <c r="D906" s="3" t="s">
        <v>910</v>
      </c>
      <c r="E906" s="4" t="n">
        <v>0</v>
      </c>
    </row>
    <row r="907" customFormat="false" ht="15" hidden="false" customHeight="false" outlineLevel="0" collapsed="false">
      <c r="A907" s="3" t="n">
        <v>2014</v>
      </c>
      <c r="B907" s="3" t="n">
        <v>6</v>
      </c>
      <c r="C907" s="3" t="n">
        <v>24</v>
      </c>
      <c r="D907" s="3" t="s">
        <v>911</v>
      </c>
      <c r="E907" s="4" t="n">
        <v>5</v>
      </c>
    </row>
    <row r="908" customFormat="false" ht="15" hidden="false" customHeight="false" outlineLevel="0" collapsed="false">
      <c r="A908" s="3" t="n">
        <v>2014</v>
      </c>
      <c r="B908" s="3" t="n">
        <v>6</v>
      </c>
      <c r="C908" s="3" t="n">
        <v>25</v>
      </c>
      <c r="D908" s="3" t="s">
        <v>912</v>
      </c>
      <c r="E908" s="4" t="n">
        <v>0</v>
      </c>
    </row>
    <row r="909" customFormat="false" ht="15" hidden="false" customHeight="false" outlineLevel="0" collapsed="false">
      <c r="A909" s="3" t="n">
        <v>2014</v>
      </c>
      <c r="B909" s="3" t="n">
        <v>6</v>
      </c>
      <c r="C909" s="3" t="n">
        <v>26</v>
      </c>
      <c r="D909" s="3" t="s">
        <v>913</v>
      </c>
      <c r="E909" s="4" t="n">
        <v>0</v>
      </c>
    </row>
    <row r="910" customFormat="false" ht="15" hidden="false" customHeight="false" outlineLevel="0" collapsed="false">
      <c r="A910" s="3" t="n">
        <v>2014</v>
      </c>
      <c r="B910" s="3" t="n">
        <v>6</v>
      </c>
      <c r="C910" s="3" t="n">
        <v>27</v>
      </c>
      <c r="D910" s="3" t="s">
        <v>914</v>
      </c>
      <c r="E910" s="4" t="n">
        <v>0</v>
      </c>
    </row>
    <row r="911" customFormat="false" ht="15" hidden="false" customHeight="false" outlineLevel="0" collapsed="false">
      <c r="A911" s="3" t="n">
        <v>2014</v>
      </c>
      <c r="B911" s="3" t="n">
        <v>6</v>
      </c>
      <c r="C911" s="3" t="n">
        <v>28</v>
      </c>
      <c r="D911" s="3" t="s">
        <v>915</v>
      </c>
      <c r="E911" s="4" t="n">
        <v>0</v>
      </c>
    </row>
    <row r="912" customFormat="false" ht="15" hidden="false" customHeight="false" outlineLevel="0" collapsed="false">
      <c r="A912" s="3" t="n">
        <v>2014</v>
      </c>
      <c r="B912" s="3" t="n">
        <v>6</v>
      </c>
      <c r="C912" s="3" t="n">
        <v>29</v>
      </c>
      <c r="D912" s="3" t="s">
        <v>916</v>
      </c>
      <c r="E912" s="4" t="n">
        <v>8</v>
      </c>
    </row>
    <row r="913" customFormat="false" ht="15" hidden="false" customHeight="false" outlineLevel="0" collapsed="false">
      <c r="A913" s="3" t="n">
        <v>2014</v>
      </c>
      <c r="B913" s="3" t="n">
        <v>6</v>
      </c>
      <c r="C913" s="3" t="n">
        <v>30</v>
      </c>
      <c r="D913" s="3" t="s">
        <v>917</v>
      </c>
      <c r="E913" s="4" t="n">
        <v>10</v>
      </c>
    </row>
    <row r="914" customFormat="false" ht="15" hidden="false" customHeight="false" outlineLevel="0" collapsed="false">
      <c r="A914" s="3" t="n">
        <v>2014</v>
      </c>
      <c r="B914" s="3" t="n">
        <v>7</v>
      </c>
      <c r="C914" s="3" t="n">
        <v>1</v>
      </c>
      <c r="D914" s="3" t="s">
        <v>918</v>
      </c>
      <c r="E914" s="4" t="n">
        <v>0</v>
      </c>
    </row>
    <row r="915" customFormat="false" ht="15" hidden="false" customHeight="false" outlineLevel="0" collapsed="false">
      <c r="A915" s="3" t="n">
        <v>2014</v>
      </c>
      <c r="B915" s="3" t="n">
        <v>7</v>
      </c>
      <c r="C915" s="3" t="n">
        <v>2</v>
      </c>
      <c r="D915" s="3" t="s">
        <v>919</v>
      </c>
      <c r="E915" s="4" t="n">
        <v>0</v>
      </c>
    </row>
    <row r="916" customFormat="false" ht="15" hidden="false" customHeight="false" outlineLevel="0" collapsed="false">
      <c r="A916" s="3" t="n">
        <v>2014</v>
      </c>
      <c r="B916" s="3" t="n">
        <v>7</v>
      </c>
      <c r="C916" s="3" t="n">
        <v>3</v>
      </c>
      <c r="D916" s="3" t="s">
        <v>920</v>
      </c>
      <c r="E916" s="4" t="n">
        <v>0</v>
      </c>
    </row>
    <row r="917" customFormat="false" ht="15" hidden="false" customHeight="false" outlineLevel="0" collapsed="false">
      <c r="A917" s="3" t="n">
        <v>2014</v>
      </c>
      <c r="B917" s="3" t="n">
        <v>7</v>
      </c>
      <c r="C917" s="3" t="n">
        <v>4</v>
      </c>
      <c r="D917" s="3" t="s">
        <v>921</v>
      </c>
      <c r="E917" s="4" t="n">
        <v>0</v>
      </c>
    </row>
    <row r="918" customFormat="false" ht="15" hidden="false" customHeight="false" outlineLevel="0" collapsed="false">
      <c r="A918" s="3" t="n">
        <v>2014</v>
      </c>
      <c r="B918" s="3" t="n">
        <v>7</v>
      </c>
      <c r="C918" s="3" t="n">
        <v>5</v>
      </c>
      <c r="D918" s="3" t="s">
        <v>922</v>
      </c>
      <c r="E918" s="4" t="n">
        <v>8</v>
      </c>
    </row>
    <row r="919" customFormat="false" ht="15" hidden="false" customHeight="false" outlineLevel="0" collapsed="false">
      <c r="A919" s="3" t="n">
        <v>2014</v>
      </c>
      <c r="B919" s="3" t="n">
        <v>7</v>
      </c>
      <c r="C919" s="3" t="n">
        <v>6</v>
      </c>
      <c r="D919" s="3" t="s">
        <v>923</v>
      </c>
      <c r="E919" s="4" t="n">
        <v>0</v>
      </c>
    </row>
    <row r="920" customFormat="false" ht="15" hidden="false" customHeight="false" outlineLevel="0" collapsed="false">
      <c r="A920" s="3" t="n">
        <v>2014</v>
      </c>
      <c r="B920" s="3" t="n">
        <v>7</v>
      </c>
      <c r="C920" s="3" t="n">
        <v>7</v>
      </c>
      <c r="D920" s="3" t="s">
        <v>924</v>
      </c>
      <c r="E920" s="4" t="n">
        <v>0</v>
      </c>
    </row>
    <row r="921" customFormat="false" ht="15" hidden="false" customHeight="false" outlineLevel="0" collapsed="false">
      <c r="A921" s="3" t="n">
        <v>2014</v>
      </c>
      <c r="B921" s="3" t="n">
        <v>7</v>
      </c>
      <c r="C921" s="3" t="n">
        <v>8</v>
      </c>
      <c r="D921" s="3" t="s">
        <v>925</v>
      </c>
      <c r="E921" s="4" t="n">
        <v>0</v>
      </c>
    </row>
    <row r="922" customFormat="false" ht="15" hidden="false" customHeight="false" outlineLevel="0" collapsed="false">
      <c r="A922" s="3" t="n">
        <v>2014</v>
      </c>
      <c r="B922" s="3" t="n">
        <v>7</v>
      </c>
      <c r="C922" s="3" t="n">
        <v>9</v>
      </c>
      <c r="D922" s="3" t="s">
        <v>926</v>
      </c>
      <c r="E922" s="4" t="n">
        <v>0</v>
      </c>
    </row>
    <row r="923" customFormat="false" ht="15" hidden="false" customHeight="false" outlineLevel="0" collapsed="false">
      <c r="A923" s="3" t="n">
        <v>2014</v>
      </c>
      <c r="B923" s="3" t="n">
        <v>7</v>
      </c>
      <c r="C923" s="3" t="n">
        <v>10</v>
      </c>
      <c r="D923" s="3" t="s">
        <v>927</v>
      </c>
      <c r="E923" s="4" t="n">
        <v>10</v>
      </c>
    </row>
    <row r="924" customFormat="false" ht="15" hidden="false" customHeight="false" outlineLevel="0" collapsed="false">
      <c r="A924" s="3" t="n">
        <v>2014</v>
      </c>
      <c r="B924" s="3" t="n">
        <v>7</v>
      </c>
      <c r="C924" s="3" t="n">
        <v>11</v>
      </c>
      <c r="D924" s="3" t="s">
        <v>928</v>
      </c>
      <c r="E924" s="4" t="n">
        <v>5</v>
      </c>
    </row>
    <row r="925" customFormat="false" ht="15" hidden="false" customHeight="false" outlineLevel="0" collapsed="false">
      <c r="A925" s="3" t="n">
        <v>2014</v>
      </c>
      <c r="B925" s="3" t="n">
        <v>7</v>
      </c>
      <c r="C925" s="3" t="n">
        <v>12</v>
      </c>
      <c r="D925" s="3" t="s">
        <v>929</v>
      </c>
      <c r="E925" s="4" t="n">
        <v>5</v>
      </c>
    </row>
    <row r="926" customFormat="false" ht="15" hidden="false" customHeight="false" outlineLevel="0" collapsed="false">
      <c r="A926" s="3" t="n">
        <v>2014</v>
      </c>
      <c r="B926" s="3" t="n">
        <v>7</v>
      </c>
      <c r="C926" s="3" t="n">
        <v>13</v>
      </c>
      <c r="D926" s="3" t="s">
        <v>930</v>
      </c>
      <c r="E926" s="4" t="n">
        <v>65</v>
      </c>
    </row>
    <row r="927" customFormat="false" ht="15" hidden="false" customHeight="false" outlineLevel="0" collapsed="false">
      <c r="A927" s="3" t="n">
        <v>2014</v>
      </c>
      <c r="B927" s="3" t="n">
        <v>7</v>
      </c>
      <c r="C927" s="3" t="n">
        <v>14</v>
      </c>
      <c r="D927" s="3" t="s">
        <v>931</v>
      </c>
      <c r="E927" s="4" t="n">
        <v>0</v>
      </c>
    </row>
    <row r="928" customFormat="false" ht="15" hidden="false" customHeight="false" outlineLevel="0" collapsed="false">
      <c r="A928" s="3" t="n">
        <v>2014</v>
      </c>
      <c r="B928" s="3" t="n">
        <v>7</v>
      </c>
      <c r="C928" s="3" t="n">
        <v>15</v>
      </c>
      <c r="D928" s="3" t="s">
        <v>932</v>
      </c>
      <c r="E928" s="4" t="n">
        <v>0</v>
      </c>
    </row>
    <row r="929" customFormat="false" ht="15" hidden="false" customHeight="false" outlineLevel="0" collapsed="false">
      <c r="A929" s="3" t="n">
        <v>2014</v>
      </c>
      <c r="B929" s="3" t="n">
        <v>7</v>
      </c>
      <c r="C929" s="3" t="n">
        <v>16</v>
      </c>
      <c r="D929" s="3" t="s">
        <v>933</v>
      </c>
      <c r="E929" s="4" t="n">
        <v>0</v>
      </c>
    </row>
    <row r="930" customFormat="false" ht="15" hidden="false" customHeight="false" outlineLevel="0" collapsed="false">
      <c r="A930" s="3" t="n">
        <v>2014</v>
      </c>
      <c r="B930" s="3" t="n">
        <v>7</v>
      </c>
      <c r="C930" s="3" t="n">
        <v>17</v>
      </c>
      <c r="D930" s="3" t="s">
        <v>934</v>
      </c>
      <c r="E930" s="4" t="n">
        <v>0</v>
      </c>
    </row>
    <row r="931" customFormat="false" ht="15" hidden="false" customHeight="false" outlineLevel="0" collapsed="false">
      <c r="A931" s="3" t="n">
        <v>2014</v>
      </c>
      <c r="B931" s="3" t="n">
        <v>7</v>
      </c>
      <c r="C931" s="3" t="n">
        <v>18</v>
      </c>
      <c r="D931" s="3" t="s">
        <v>935</v>
      </c>
      <c r="E931" s="4" t="n">
        <v>0</v>
      </c>
    </row>
    <row r="932" customFormat="false" ht="15" hidden="false" customHeight="false" outlineLevel="0" collapsed="false">
      <c r="A932" s="3" t="n">
        <v>2014</v>
      </c>
      <c r="B932" s="3" t="n">
        <v>7</v>
      </c>
      <c r="C932" s="3" t="n">
        <v>19</v>
      </c>
      <c r="D932" s="3" t="s">
        <v>936</v>
      </c>
      <c r="E932" s="4" t="n">
        <v>0</v>
      </c>
    </row>
    <row r="933" customFormat="false" ht="15" hidden="false" customHeight="false" outlineLevel="0" collapsed="false">
      <c r="A933" s="3" t="n">
        <v>2014</v>
      </c>
      <c r="B933" s="3" t="n">
        <v>7</v>
      </c>
      <c r="C933" s="3" t="n">
        <v>20</v>
      </c>
      <c r="D933" s="3" t="s">
        <v>937</v>
      </c>
      <c r="E933" s="4" t="n">
        <v>0</v>
      </c>
    </row>
    <row r="934" customFormat="false" ht="15" hidden="false" customHeight="false" outlineLevel="0" collapsed="false">
      <c r="A934" s="3" t="n">
        <v>2014</v>
      </c>
      <c r="B934" s="3" t="n">
        <v>7</v>
      </c>
      <c r="C934" s="3" t="n">
        <v>21</v>
      </c>
      <c r="D934" s="3" t="s">
        <v>938</v>
      </c>
      <c r="E934" s="4" t="n">
        <v>0</v>
      </c>
    </row>
    <row r="935" customFormat="false" ht="15" hidden="false" customHeight="false" outlineLevel="0" collapsed="false">
      <c r="A935" s="3" t="n">
        <v>2014</v>
      </c>
      <c r="B935" s="3" t="n">
        <v>7</v>
      </c>
      <c r="C935" s="3" t="n">
        <v>22</v>
      </c>
      <c r="D935" s="3" t="s">
        <v>939</v>
      </c>
      <c r="E935" s="4" t="n">
        <v>0</v>
      </c>
    </row>
    <row r="936" customFormat="false" ht="15" hidden="false" customHeight="false" outlineLevel="0" collapsed="false">
      <c r="A936" s="3" t="n">
        <v>2014</v>
      </c>
      <c r="B936" s="3" t="n">
        <v>7</v>
      </c>
      <c r="C936" s="3" t="n">
        <v>23</v>
      </c>
      <c r="D936" s="3" t="s">
        <v>940</v>
      </c>
      <c r="E936" s="4" t="n">
        <v>0</v>
      </c>
    </row>
    <row r="937" customFormat="false" ht="15" hidden="false" customHeight="false" outlineLevel="0" collapsed="false">
      <c r="A937" s="3" t="n">
        <v>2014</v>
      </c>
      <c r="B937" s="3" t="n">
        <v>7</v>
      </c>
      <c r="C937" s="3" t="n">
        <v>24</v>
      </c>
      <c r="D937" s="3" t="s">
        <v>941</v>
      </c>
      <c r="E937" s="4" t="n">
        <v>0</v>
      </c>
    </row>
    <row r="938" customFormat="false" ht="15" hidden="false" customHeight="false" outlineLevel="0" collapsed="false">
      <c r="A938" s="3" t="n">
        <v>2014</v>
      </c>
      <c r="B938" s="3" t="n">
        <v>7</v>
      </c>
      <c r="C938" s="3" t="n">
        <v>25</v>
      </c>
      <c r="D938" s="3" t="s">
        <v>942</v>
      </c>
      <c r="E938" s="4" t="n">
        <v>0</v>
      </c>
    </row>
    <row r="939" customFormat="false" ht="15" hidden="false" customHeight="false" outlineLevel="0" collapsed="false">
      <c r="A939" s="3" t="n">
        <v>2014</v>
      </c>
      <c r="B939" s="3" t="n">
        <v>7</v>
      </c>
      <c r="C939" s="3" t="n">
        <v>26</v>
      </c>
      <c r="D939" s="3" t="s">
        <v>943</v>
      </c>
      <c r="E939" s="4" t="n">
        <v>0</v>
      </c>
    </row>
    <row r="940" customFormat="false" ht="15" hidden="false" customHeight="false" outlineLevel="0" collapsed="false">
      <c r="A940" s="3" t="n">
        <v>2014</v>
      </c>
      <c r="B940" s="3" t="n">
        <v>7</v>
      </c>
      <c r="C940" s="3" t="n">
        <v>27</v>
      </c>
      <c r="D940" s="3" t="s">
        <v>944</v>
      </c>
      <c r="E940" s="4" t="n">
        <v>0</v>
      </c>
    </row>
    <row r="941" customFormat="false" ht="15" hidden="false" customHeight="false" outlineLevel="0" collapsed="false">
      <c r="A941" s="3" t="n">
        <v>2014</v>
      </c>
      <c r="B941" s="3" t="n">
        <v>7</v>
      </c>
      <c r="C941" s="3" t="n">
        <v>28</v>
      </c>
      <c r="D941" s="3" t="s">
        <v>945</v>
      </c>
      <c r="E941" s="4" t="n">
        <v>0</v>
      </c>
    </row>
    <row r="942" customFormat="false" ht="15" hidden="false" customHeight="false" outlineLevel="0" collapsed="false">
      <c r="A942" s="3" t="n">
        <v>2014</v>
      </c>
      <c r="B942" s="3" t="n">
        <v>7</v>
      </c>
      <c r="C942" s="3" t="n">
        <v>29</v>
      </c>
      <c r="D942" s="3" t="s">
        <v>946</v>
      </c>
      <c r="E942" s="4" t="n">
        <v>0</v>
      </c>
    </row>
    <row r="943" customFormat="false" ht="15" hidden="false" customHeight="false" outlineLevel="0" collapsed="false">
      <c r="A943" s="3" t="n">
        <v>2014</v>
      </c>
      <c r="B943" s="3" t="n">
        <v>7</v>
      </c>
      <c r="C943" s="3" t="n">
        <v>30</v>
      </c>
      <c r="D943" s="3" t="s">
        <v>947</v>
      </c>
      <c r="E943" s="4" t="n">
        <v>0</v>
      </c>
    </row>
    <row r="944" customFormat="false" ht="15" hidden="false" customHeight="false" outlineLevel="0" collapsed="false">
      <c r="A944" s="3" t="n">
        <v>2014</v>
      </c>
      <c r="B944" s="3" t="n">
        <v>7</v>
      </c>
      <c r="C944" s="3" t="n">
        <v>31</v>
      </c>
      <c r="D944" s="3" t="s">
        <v>948</v>
      </c>
      <c r="E944" s="4" t="n">
        <v>0</v>
      </c>
    </row>
    <row r="945" customFormat="false" ht="15" hidden="false" customHeight="false" outlineLevel="0" collapsed="false">
      <c r="A945" s="3" t="n">
        <v>2014</v>
      </c>
      <c r="B945" s="3" t="n">
        <v>8</v>
      </c>
      <c r="C945" s="3" t="n">
        <v>1</v>
      </c>
      <c r="D945" s="3" t="s">
        <v>949</v>
      </c>
      <c r="E945" s="4" t="n">
        <v>0</v>
      </c>
    </row>
    <row r="946" customFormat="false" ht="15" hidden="false" customHeight="false" outlineLevel="0" collapsed="false">
      <c r="A946" s="3" t="n">
        <v>2014</v>
      </c>
      <c r="B946" s="3" t="n">
        <v>8</v>
      </c>
      <c r="C946" s="3" t="n">
        <v>2</v>
      </c>
      <c r="D946" s="3" t="s">
        <v>950</v>
      </c>
      <c r="E946" s="4" t="n">
        <v>0</v>
      </c>
    </row>
    <row r="947" customFormat="false" ht="15" hidden="false" customHeight="false" outlineLevel="0" collapsed="false">
      <c r="A947" s="3" t="n">
        <v>2014</v>
      </c>
      <c r="B947" s="3" t="n">
        <v>8</v>
      </c>
      <c r="C947" s="3" t="n">
        <v>3</v>
      </c>
      <c r="D947" s="3" t="s">
        <v>951</v>
      </c>
      <c r="E947" s="4" t="n">
        <v>0</v>
      </c>
    </row>
    <row r="948" customFormat="false" ht="15" hidden="false" customHeight="false" outlineLevel="0" collapsed="false">
      <c r="A948" s="3" t="n">
        <v>2014</v>
      </c>
      <c r="B948" s="3" t="n">
        <v>8</v>
      </c>
      <c r="C948" s="3" t="n">
        <v>4</v>
      </c>
      <c r="D948" s="3" t="s">
        <v>952</v>
      </c>
      <c r="E948" s="4" t="n">
        <v>0</v>
      </c>
    </row>
    <row r="949" customFormat="false" ht="15" hidden="false" customHeight="false" outlineLevel="0" collapsed="false">
      <c r="A949" s="3" t="n">
        <v>2014</v>
      </c>
      <c r="B949" s="3" t="n">
        <v>8</v>
      </c>
      <c r="C949" s="3" t="n">
        <v>5</v>
      </c>
      <c r="D949" s="3" t="s">
        <v>953</v>
      </c>
      <c r="E949" s="4" t="n">
        <v>27</v>
      </c>
    </row>
    <row r="950" customFormat="false" ht="15" hidden="false" customHeight="false" outlineLevel="0" collapsed="false">
      <c r="A950" s="3" t="n">
        <v>2014</v>
      </c>
      <c r="B950" s="3" t="n">
        <v>8</v>
      </c>
      <c r="C950" s="3" t="n">
        <v>6</v>
      </c>
      <c r="D950" s="3" t="s">
        <v>954</v>
      </c>
      <c r="E950" s="4" t="n">
        <v>0</v>
      </c>
    </row>
    <row r="951" customFormat="false" ht="15" hidden="false" customHeight="false" outlineLevel="0" collapsed="false">
      <c r="A951" s="3" t="n">
        <v>2014</v>
      </c>
      <c r="B951" s="3" t="n">
        <v>8</v>
      </c>
      <c r="C951" s="3" t="n">
        <v>7</v>
      </c>
      <c r="D951" s="3" t="s">
        <v>955</v>
      </c>
      <c r="E951" s="4" t="n">
        <v>0</v>
      </c>
    </row>
    <row r="952" customFormat="false" ht="15" hidden="false" customHeight="false" outlineLevel="0" collapsed="false">
      <c r="A952" s="3" t="n">
        <v>2014</v>
      </c>
      <c r="B952" s="3" t="n">
        <v>8</v>
      </c>
      <c r="C952" s="3" t="n">
        <v>8</v>
      </c>
      <c r="D952" s="3" t="s">
        <v>956</v>
      </c>
      <c r="E952" s="4" t="n">
        <v>0</v>
      </c>
    </row>
    <row r="953" customFormat="false" ht="15" hidden="false" customHeight="false" outlineLevel="0" collapsed="false">
      <c r="A953" s="3" t="n">
        <v>2014</v>
      </c>
      <c r="B953" s="3" t="n">
        <v>8</v>
      </c>
      <c r="C953" s="3" t="n">
        <v>9</v>
      </c>
      <c r="D953" s="3" t="s">
        <v>957</v>
      </c>
      <c r="E953" s="4" t="n">
        <v>0</v>
      </c>
    </row>
    <row r="954" customFormat="false" ht="15" hidden="false" customHeight="false" outlineLevel="0" collapsed="false">
      <c r="A954" s="3" t="n">
        <v>2014</v>
      </c>
      <c r="B954" s="3" t="n">
        <v>8</v>
      </c>
      <c r="C954" s="3" t="n">
        <v>10</v>
      </c>
      <c r="D954" s="3" t="s">
        <v>958</v>
      </c>
      <c r="E954" s="4" t="n">
        <v>0</v>
      </c>
    </row>
    <row r="955" customFormat="false" ht="15" hidden="false" customHeight="false" outlineLevel="0" collapsed="false">
      <c r="A955" s="3" t="n">
        <v>2014</v>
      </c>
      <c r="B955" s="3" t="n">
        <v>8</v>
      </c>
      <c r="C955" s="3" t="n">
        <v>11</v>
      </c>
      <c r="D955" s="3" t="s">
        <v>959</v>
      </c>
      <c r="E955" s="4" t="n">
        <v>62</v>
      </c>
    </row>
    <row r="956" customFormat="false" ht="15" hidden="false" customHeight="false" outlineLevel="0" collapsed="false">
      <c r="A956" s="3" t="n">
        <v>2014</v>
      </c>
      <c r="B956" s="3" t="n">
        <v>8</v>
      </c>
      <c r="C956" s="3" t="n">
        <v>12</v>
      </c>
      <c r="D956" s="3" t="s">
        <v>960</v>
      </c>
      <c r="E956" s="4" t="n">
        <v>53</v>
      </c>
    </row>
    <row r="957" customFormat="false" ht="15" hidden="false" customHeight="false" outlineLevel="0" collapsed="false">
      <c r="A957" s="3" t="n">
        <v>2014</v>
      </c>
      <c r="B957" s="3" t="n">
        <v>8</v>
      </c>
      <c r="C957" s="3" t="n">
        <v>13</v>
      </c>
      <c r="D957" s="3" t="s">
        <v>961</v>
      </c>
      <c r="E957" s="4" t="n">
        <v>4</v>
      </c>
    </row>
    <row r="958" customFormat="false" ht="15" hidden="false" customHeight="false" outlineLevel="0" collapsed="false">
      <c r="A958" s="3" t="n">
        <v>2014</v>
      </c>
      <c r="B958" s="3" t="n">
        <v>8</v>
      </c>
      <c r="C958" s="3" t="n">
        <v>14</v>
      </c>
      <c r="D958" s="3" t="s">
        <v>962</v>
      </c>
      <c r="E958" s="4" t="n">
        <v>14</v>
      </c>
    </row>
    <row r="959" customFormat="false" ht="15" hidden="false" customHeight="false" outlineLevel="0" collapsed="false">
      <c r="A959" s="3" t="n">
        <v>2014</v>
      </c>
      <c r="B959" s="3" t="n">
        <v>8</v>
      </c>
      <c r="C959" s="3" t="n">
        <v>15</v>
      </c>
      <c r="D959" s="3" t="s">
        <v>963</v>
      </c>
      <c r="E959" s="4" t="n">
        <v>4</v>
      </c>
    </row>
    <row r="960" customFormat="false" ht="15" hidden="false" customHeight="false" outlineLevel="0" collapsed="false">
      <c r="A960" s="3" t="n">
        <v>2014</v>
      </c>
      <c r="B960" s="3" t="n">
        <v>8</v>
      </c>
      <c r="C960" s="3" t="n">
        <v>16</v>
      </c>
      <c r="D960" s="3" t="s">
        <v>964</v>
      </c>
      <c r="E960" s="4" t="n">
        <v>0</v>
      </c>
    </row>
    <row r="961" customFormat="false" ht="15" hidden="false" customHeight="false" outlineLevel="0" collapsed="false">
      <c r="A961" s="3" t="n">
        <v>2014</v>
      </c>
      <c r="B961" s="3" t="n">
        <v>8</v>
      </c>
      <c r="C961" s="3" t="n">
        <v>17</v>
      </c>
      <c r="D961" s="3" t="s">
        <v>965</v>
      </c>
      <c r="E961" s="4" t="n">
        <v>0</v>
      </c>
    </row>
    <row r="962" customFormat="false" ht="15" hidden="false" customHeight="false" outlineLevel="0" collapsed="false">
      <c r="A962" s="3" t="n">
        <v>2014</v>
      </c>
      <c r="B962" s="3" t="n">
        <v>8</v>
      </c>
      <c r="C962" s="3" t="n">
        <v>18</v>
      </c>
      <c r="D962" s="3" t="s">
        <v>966</v>
      </c>
      <c r="E962" s="4" t="n">
        <v>4</v>
      </c>
    </row>
    <row r="963" customFormat="false" ht="15" hidden="false" customHeight="false" outlineLevel="0" collapsed="false">
      <c r="A963" s="3" t="n">
        <v>2014</v>
      </c>
      <c r="B963" s="3" t="n">
        <v>8</v>
      </c>
      <c r="C963" s="3" t="n">
        <v>19</v>
      </c>
      <c r="D963" s="3" t="s">
        <v>967</v>
      </c>
      <c r="E963" s="4" t="n">
        <v>0</v>
      </c>
    </row>
    <row r="964" customFormat="false" ht="15" hidden="false" customHeight="false" outlineLevel="0" collapsed="false">
      <c r="A964" s="3" t="n">
        <v>2014</v>
      </c>
      <c r="B964" s="3" t="n">
        <v>8</v>
      </c>
      <c r="C964" s="3" t="n">
        <v>20</v>
      </c>
      <c r="D964" s="3" t="s">
        <v>968</v>
      </c>
      <c r="E964" s="4" t="n">
        <v>0</v>
      </c>
    </row>
    <row r="965" customFormat="false" ht="15" hidden="false" customHeight="false" outlineLevel="0" collapsed="false">
      <c r="A965" s="3" t="n">
        <v>2014</v>
      </c>
      <c r="B965" s="3" t="n">
        <v>8</v>
      </c>
      <c r="C965" s="3" t="n">
        <v>21</v>
      </c>
      <c r="D965" s="3" t="s">
        <v>969</v>
      </c>
      <c r="E965" s="4" t="n">
        <v>0</v>
      </c>
    </row>
    <row r="966" customFormat="false" ht="15" hidden="false" customHeight="false" outlineLevel="0" collapsed="false">
      <c r="A966" s="3" t="n">
        <v>2014</v>
      </c>
      <c r="B966" s="3" t="n">
        <v>8</v>
      </c>
      <c r="C966" s="3" t="n">
        <v>22</v>
      </c>
      <c r="D966" s="3" t="s">
        <v>970</v>
      </c>
      <c r="E966" s="4" t="n">
        <v>0</v>
      </c>
    </row>
    <row r="967" customFormat="false" ht="15" hidden="false" customHeight="false" outlineLevel="0" collapsed="false">
      <c r="A967" s="3" t="n">
        <v>2014</v>
      </c>
      <c r="B967" s="3" t="n">
        <v>8</v>
      </c>
      <c r="C967" s="3" t="n">
        <v>23</v>
      </c>
      <c r="D967" s="3" t="s">
        <v>971</v>
      </c>
      <c r="E967" s="4" t="n">
        <v>85</v>
      </c>
    </row>
    <row r="968" customFormat="false" ht="15" hidden="false" customHeight="false" outlineLevel="0" collapsed="false">
      <c r="A968" s="3" t="n">
        <v>2014</v>
      </c>
      <c r="B968" s="3" t="n">
        <v>8</v>
      </c>
      <c r="C968" s="3" t="n">
        <v>24</v>
      </c>
      <c r="D968" s="3" t="s">
        <v>972</v>
      </c>
      <c r="E968" s="4" t="n">
        <v>13</v>
      </c>
    </row>
    <row r="969" customFormat="false" ht="15" hidden="false" customHeight="false" outlineLevel="0" collapsed="false">
      <c r="A969" s="3" t="n">
        <v>2014</v>
      </c>
      <c r="B969" s="3" t="n">
        <v>8</v>
      </c>
      <c r="C969" s="3" t="n">
        <v>25</v>
      </c>
      <c r="D969" s="3" t="s">
        <v>973</v>
      </c>
      <c r="E969" s="4" t="n">
        <v>0</v>
      </c>
    </row>
    <row r="970" customFormat="false" ht="15" hidden="false" customHeight="false" outlineLevel="0" collapsed="false">
      <c r="A970" s="3" t="n">
        <v>2014</v>
      </c>
      <c r="B970" s="3" t="n">
        <v>8</v>
      </c>
      <c r="C970" s="3" t="n">
        <v>26</v>
      </c>
      <c r="D970" s="3" t="s">
        <v>974</v>
      </c>
      <c r="E970" s="4" t="n">
        <v>0</v>
      </c>
    </row>
    <row r="971" customFormat="false" ht="15" hidden="false" customHeight="false" outlineLevel="0" collapsed="false">
      <c r="A971" s="3" t="n">
        <v>2014</v>
      </c>
      <c r="B971" s="3" t="n">
        <v>8</v>
      </c>
      <c r="C971" s="3" t="n">
        <v>27</v>
      </c>
      <c r="D971" s="3" t="s">
        <v>975</v>
      </c>
      <c r="E971" s="4" t="n">
        <v>0</v>
      </c>
    </row>
    <row r="972" customFormat="false" ht="15" hidden="false" customHeight="false" outlineLevel="0" collapsed="false">
      <c r="A972" s="3" t="n">
        <v>2014</v>
      </c>
      <c r="B972" s="3" t="n">
        <v>8</v>
      </c>
      <c r="C972" s="3" t="n">
        <v>28</v>
      </c>
      <c r="D972" s="3" t="s">
        <v>976</v>
      </c>
      <c r="E972" s="4" t="n">
        <v>29</v>
      </c>
    </row>
    <row r="973" customFormat="false" ht="15" hidden="false" customHeight="false" outlineLevel="0" collapsed="false">
      <c r="A973" s="3" t="n">
        <v>2014</v>
      </c>
      <c r="B973" s="3" t="n">
        <v>8</v>
      </c>
      <c r="C973" s="3" t="n">
        <v>29</v>
      </c>
      <c r="D973" s="3" t="s">
        <v>977</v>
      </c>
      <c r="E973" s="4" t="n">
        <v>8</v>
      </c>
    </row>
    <row r="974" customFormat="false" ht="15" hidden="false" customHeight="false" outlineLevel="0" collapsed="false">
      <c r="A974" s="3" t="n">
        <v>2014</v>
      </c>
      <c r="B974" s="3" t="n">
        <v>8</v>
      </c>
      <c r="C974" s="3" t="n">
        <v>30</v>
      </c>
      <c r="D974" s="3" t="s">
        <v>978</v>
      </c>
      <c r="E974" s="4" t="n">
        <v>0</v>
      </c>
    </row>
    <row r="975" customFormat="false" ht="15" hidden="false" customHeight="false" outlineLevel="0" collapsed="false">
      <c r="A975" s="3" t="n">
        <v>2014</v>
      </c>
      <c r="B975" s="3" t="n">
        <v>8</v>
      </c>
      <c r="C975" s="3" t="n">
        <v>31</v>
      </c>
      <c r="D975" s="3" t="s">
        <v>979</v>
      </c>
      <c r="E975" s="4" t="n">
        <v>0</v>
      </c>
    </row>
    <row r="976" customFormat="false" ht="15" hidden="false" customHeight="false" outlineLevel="0" collapsed="false">
      <c r="A976" s="3" t="n">
        <v>2014</v>
      </c>
      <c r="B976" s="3" t="n">
        <v>9</v>
      </c>
      <c r="C976" s="3" t="n">
        <v>1</v>
      </c>
      <c r="D976" s="3" t="s">
        <v>980</v>
      </c>
      <c r="E976" s="4" t="n">
        <v>0</v>
      </c>
    </row>
    <row r="977" customFormat="false" ht="15" hidden="false" customHeight="false" outlineLevel="0" collapsed="false">
      <c r="A977" s="3" t="n">
        <v>2014</v>
      </c>
      <c r="B977" s="3" t="n">
        <v>9</v>
      </c>
      <c r="C977" s="3" t="n">
        <v>2</v>
      </c>
      <c r="D977" s="3" t="s">
        <v>981</v>
      </c>
      <c r="E977" s="4" t="n">
        <v>0</v>
      </c>
    </row>
    <row r="978" customFormat="false" ht="15" hidden="false" customHeight="false" outlineLevel="0" collapsed="false">
      <c r="A978" s="3" t="n">
        <v>2014</v>
      </c>
      <c r="B978" s="3" t="n">
        <v>9</v>
      </c>
      <c r="C978" s="3" t="n">
        <v>3</v>
      </c>
      <c r="D978" s="3" t="s">
        <v>982</v>
      </c>
      <c r="E978" s="4" t="n">
        <v>0</v>
      </c>
    </row>
    <row r="979" customFormat="false" ht="15" hidden="false" customHeight="false" outlineLevel="0" collapsed="false">
      <c r="A979" s="3" t="n">
        <v>2014</v>
      </c>
      <c r="B979" s="3" t="n">
        <v>9</v>
      </c>
      <c r="C979" s="3" t="n">
        <v>4</v>
      </c>
      <c r="D979" s="3" t="s">
        <v>983</v>
      </c>
      <c r="E979" s="4" t="n">
        <v>0</v>
      </c>
    </row>
    <row r="980" customFormat="false" ht="15" hidden="false" customHeight="false" outlineLevel="0" collapsed="false">
      <c r="A980" s="3" t="n">
        <v>2014</v>
      </c>
      <c r="B980" s="3" t="n">
        <v>9</v>
      </c>
      <c r="C980" s="3" t="n">
        <v>5</v>
      </c>
      <c r="D980" s="3" t="s">
        <v>984</v>
      </c>
      <c r="E980" s="4" t="n">
        <v>0</v>
      </c>
    </row>
    <row r="981" customFormat="false" ht="15" hidden="false" customHeight="false" outlineLevel="0" collapsed="false">
      <c r="A981" s="3" t="n">
        <v>2014</v>
      </c>
      <c r="B981" s="3" t="n">
        <v>9</v>
      </c>
      <c r="C981" s="3" t="n">
        <v>6</v>
      </c>
      <c r="D981" s="3" t="s">
        <v>985</v>
      </c>
      <c r="E981" s="4" t="n">
        <v>0</v>
      </c>
    </row>
    <row r="982" customFormat="false" ht="15" hidden="false" customHeight="false" outlineLevel="0" collapsed="false">
      <c r="A982" s="3" t="n">
        <v>2014</v>
      </c>
      <c r="B982" s="3" t="n">
        <v>9</v>
      </c>
      <c r="C982" s="3" t="n">
        <v>7</v>
      </c>
      <c r="D982" s="3" t="s">
        <v>986</v>
      </c>
      <c r="E982" s="4" t="n">
        <v>0</v>
      </c>
    </row>
    <row r="983" customFormat="false" ht="15" hidden="false" customHeight="false" outlineLevel="0" collapsed="false">
      <c r="A983" s="3" t="n">
        <v>2014</v>
      </c>
      <c r="B983" s="3" t="n">
        <v>9</v>
      </c>
      <c r="C983" s="3" t="n">
        <v>8</v>
      </c>
      <c r="D983" s="3" t="s">
        <v>987</v>
      </c>
      <c r="E983" s="4" t="n">
        <v>3</v>
      </c>
    </row>
    <row r="984" customFormat="false" ht="15" hidden="false" customHeight="false" outlineLevel="0" collapsed="false">
      <c r="A984" s="3" t="n">
        <v>2014</v>
      </c>
      <c r="B984" s="3" t="n">
        <v>9</v>
      </c>
      <c r="C984" s="3" t="n">
        <v>9</v>
      </c>
      <c r="D984" s="3" t="s">
        <v>988</v>
      </c>
      <c r="E984" s="4" t="n">
        <v>0</v>
      </c>
    </row>
    <row r="985" customFormat="false" ht="15" hidden="false" customHeight="false" outlineLevel="0" collapsed="false">
      <c r="A985" s="3" t="n">
        <v>2014</v>
      </c>
      <c r="B985" s="3" t="n">
        <v>9</v>
      </c>
      <c r="C985" s="3" t="n">
        <v>10</v>
      </c>
      <c r="D985" s="3" t="s">
        <v>989</v>
      </c>
      <c r="E985" s="4" t="n">
        <v>0</v>
      </c>
    </row>
    <row r="986" customFormat="false" ht="15" hidden="false" customHeight="false" outlineLevel="0" collapsed="false">
      <c r="A986" s="3" t="n">
        <v>2014</v>
      </c>
      <c r="B986" s="3" t="n">
        <v>9</v>
      </c>
      <c r="C986" s="3" t="n">
        <v>11</v>
      </c>
      <c r="D986" s="3" t="s">
        <v>990</v>
      </c>
      <c r="E986" s="4" t="n">
        <v>0</v>
      </c>
    </row>
    <row r="987" customFormat="false" ht="15" hidden="false" customHeight="false" outlineLevel="0" collapsed="false">
      <c r="A987" s="3" t="n">
        <v>2014</v>
      </c>
      <c r="B987" s="3" t="n">
        <v>9</v>
      </c>
      <c r="C987" s="3" t="n">
        <v>12</v>
      </c>
      <c r="D987" s="3" t="s">
        <v>991</v>
      </c>
      <c r="E987" s="4" t="n">
        <v>0</v>
      </c>
    </row>
    <row r="988" customFormat="false" ht="15" hidden="false" customHeight="false" outlineLevel="0" collapsed="false">
      <c r="A988" s="3" t="n">
        <v>2014</v>
      </c>
      <c r="B988" s="3" t="n">
        <v>9</v>
      </c>
      <c r="C988" s="3" t="n">
        <v>13</v>
      </c>
      <c r="D988" s="3" t="s">
        <v>992</v>
      </c>
      <c r="E988" s="4" t="n">
        <v>0</v>
      </c>
    </row>
    <row r="989" customFormat="false" ht="15" hidden="false" customHeight="false" outlineLevel="0" collapsed="false">
      <c r="A989" s="3" t="n">
        <v>2014</v>
      </c>
      <c r="B989" s="3" t="n">
        <v>9</v>
      </c>
      <c r="C989" s="3" t="n">
        <v>14</v>
      </c>
      <c r="D989" s="3" t="s">
        <v>993</v>
      </c>
      <c r="E989" s="4" t="n">
        <v>0</v>
      </c>
    </row>
    <row r="990" customFormat="false" ht="15" hidden="false" customHeight="false" outlineLevel="0" collapsed="false">
      <c r="A990" s="3" t="n">
        <v>2014</v>
      </c>
      <c r="B990" s="3" t="n">
        <v>9</v>
      </c>
      <c r="C990" s="3" t="n">
        <v>15</v>
      </c>
      <c r="D990" s="3" t="s">
        <v>994</v>
      </c>
      <c r="E990" s="4" t="n">
        <v>0</v>
      </c>
    </row>
    <row r="991" customFormat="false" ht="15" hidden="false" customHeight="false" outlineLevel="0" collapsed="false">
      <c r="A991" s="3" t="n">
        <v>2014</v>
      </c>
      <c r="B991" s="3" t="n">
        <v>9</v>
      </c>
      <c r="C991" s="3" t="n">
        <v>16</v>
      </c>
      <c r="D991" s="3" t="s">
        <v>995</v>
      </c>
      <c r="E991" s="4" t="n">
        <v>0</v>
      </c>
    </row>
    <row r="992" customFormat="false" ht="15" hidden="false" customHeight="false" outlineLevel="0" collapsed="false">
      <c r="A992" s="3" t="n">
        <v>2014</v>
      </c>
      <c r="B992" s="3" t="n">
        <v>9</v>
      </c>
      <c r="C992" s="3" t="n">
        <v>17</v>
      </c>
      <c r="D992" s="3" t="s">
        <v>996</v>
      </c>
      <c r="E992" s="4" t="n">
        <v>0</v>
      </c>
    </row>
    <row r="993" customFormat="false" ht="15" hidden="false" customHeight="false" outlineLevel="0" collapsed="false">
      <c r="A993" s="3" t="n">
        <v>2014</v>
      </c>
      <c r="B993" s="3" t="n">
        <v>9</v>
      </c>
      <c r="C993" s="3" t="n">
        <v>18</v>
      </c>
      <c r="D993" s="3" t="s">
        <v>997</v>
      </c>
      <c r="E993" s="4" t="n">
        <v>0</v>
      </c>
    </row>
    <row r="994" customFormat="false" ht="15" hidden="false" customHeight="false" outlineLevel="0" collapsed="false">
      <c r="A994" s="3" t="n">
        <v>2014</v>
      </c>
      <c r="B994" s="3" t="n">
        <v>9</v>
      </c>
      <c r="C994" s="3" t="n">
        <v>19</v>
      </c>
      <c r="D994" s="3" t="s">
        <v>998</v>
      </c>
      <c r="E994" s="4" t="n">
        <v>0</v>
      </c>
    </row>
    <row r="995" customFormat="false" ht="15" hidden="false" customHeight="false" outlineLevel="0" collapsed="false">
      <c r="A995" s="3" t="n">
        <v>2014</v>
      </c>
      <c r="B995" s="3" t="n">
        <v>9</v>
      </c>
      <c r="C995" s="3" t="n">
        <v>20</v>
      </c>
      <c r="D995" s="3" t="s">
        <v>999</v>
      </c>
      <c r="E995" s="4" t="n">
        <v>30</v>
      </c>
    </row>
    <row r="996" customFormat="false" ht="15" hidden="false" customHeight="false" outlineLevel="0" collapsed="false">
      <c r="A996" s="3" t="n">
        <v>2014</v>
      </c>
      <c r="B996" s="3" t="n">
        <v>9</v>
      </c>
      <c r="C996" s="3" t="n">
        <v>21</v>
      </c>
      <c r="D996" s="3" t="s">
        <v>1000</v>
      </c>
      <c r="E996" s="4" t="n">
        <v>30</v>
      </c>
    </row>
    <row r="997" customFormat="false" ht="15" hidden="false" customHeight="false" outlineLevel="0" collapsed="false">
      <c r="A997" s="3" t="n">
        <v>2014</v>
      </c>
      <c r="B997" s="3" t="n">
        <v>9</v>
      </c>
      <c r="C997" s="3" t="n">
        <v>22</v>
      </c>
      <c r="D997" s="3" t="s">
        <v>1001</v>
      </c>
      <c r="E997" s="4" t="n">
        <v>0</v>
      </c>
    </row>
    <row r="998" customFormat="false" ht="15" hidden="false" customHeight="false" outlineLevel="0" collapsed="false">
      <c r="A998" s="3" t="n">
        <v>2014</v>
      </c>
      <c r="B998" s="3" t="n">
        <v>9</v>
      </c>
      <c r="C998" s="3" t="n">
        <v>23</v>
      </c>
      <c r="D998" s="3" t="s">
        <v>1002</v>
      </c>
      <c r="E998" s="4" t="n">
        <v>13</v>
      </c>
    </row>
    <row r="999" customFormat="false" ht="15" hidden="false" customHeight="false" outlineLevel="0" collapsed="false">
      <c r="A999" s="3" t="n">
        <v>2014</v>
      </c>
      <c r="B999" s="3" t="n">
        <v>9</v>
      </c>
      <c r="C999" s="3" t="n">
        <v>24</v>
      </c>
      <c r="D999" s="3" t="s">
        <v>1003</v>
      </c>
      <c r="E999" s="4" t="n">
        <v>32</v>
      </c>
    </row>
    <row r="1000" customFormat="false" ht="15" hidden="false" customHeight="false" outlineLevel="0" collapsed="false">
      <c r="A1000" s="3" t="n">
        <v>2014</v>
      </c>
      <c r="B1000" s="3" t="n">
        <v>9</v>
      </c>
      <c r="C1000" s="3" t="n">
        <v>25</v>
      </c>
      <c r="D1000" s="3" t="s">
        <v>1004</v>
      </c>
      <c r="E1000" s="4" t="n">
        <v>0</v>
      </c>
    </row>
    <row r="1001" customFormat="false" ht="15" hidden="false" customHeight="false" outlineLevel="0" collapsed="false">
      <c r="A1001" s="3" t="n">
        <v>2014</v>
      </c>
      <c r="B1001" s="3" t="n">
        <v>9</v>
      </c>
      <c r="C1001" s="3" t="n">
        <v>26</v>
      </c>
      <c r="D1001" s="3" t="s">
        <v>1005</v>
      </c>
      <c r="E1001" s="4" t="n">
        <v>19</v>
      </c>
    </row>
    <row r="1002" customFormat="false" ht="15" hidden="false" customHeight="false" outlineLevel="0" collapsed="false">
      <c r="A1002" s="3" t="n">
        <v>2014</v>
      </c>
      <c r="B1002" s="3" t="n">
        <v>9</v>
      </c>
      <c r="C1002" s="3" t="n">
        <v>27</v>
      </c>
      <c r="D1002" s="3" t="s">
        <v>1006</v>
      </c>
      <c r="E1002" s="4" t="n">
        <v>17</v>
      </c>
    </row>
    <row r="1003" customFormat="false" ht="15" hidden="false" customHeight="false" outlineLevel="0" collapsed="false">
      <c r="A1003" s="3" t="n">
        <v>2014</v>
      </c>
      <c r="B1003" s="3" t="n">
        <v>9</v>
      </c>
      <c r="C1003" s="3" t="n">
        <v>28</v>
      </c>
      <c r="D1003" s="3" t="s">
        <v>1007</v>
      </c>
      <c r="E1003" s="4" t="n">
        <v>12</v>
      </c>
    </row>
    <row r="1004" customFormat="false" ht="15" hidden="false" customHeight="false" outlineLevel="0" collapsed="false">
      <c r="A1004" s="3" t="n">
        <v>2014</v>
      </c>
      <c r="B1004" s="3" t="n">
        <v>9</v>
      </c>
      <c r="C1004" s="3" t="n">
        <v>29</v>
      </c>
      <c r="D1004" s="3" t="s">
        <v>1008</v>
      </c>
      <c r="E1004" s="4" t="n">
        <v>0</v>
      </c>
    </row>
    <row r="1005" customFormat="false" ht="15" hidden="false" customHeight="false" outlineLevel="0" collapsed="false">
      <c r="A1005" s="3" t="n">
        <v>2014</v>
      </c>
      <c r="B1005" s="3" t="n">
        <v>9</v>
      </c>
      <c r="C1005" s="3" t="n">
        <v>30</v>
      </c>
      <c r="D1005" s="3" t="s">
        <v>1009</v>
      </c>
      <c r="E1005" s="4" t="n">
        <v>0</v>
      </c>
    </row>
    <row r="1006" customFormat="false" ht="15" hidden="false" customHeight="false" outlineLevel="0" collapsed="false">
      <c r="A1006" s="3" t="n">
        <v>2014</v>
      </c>
      <c r="B1006" s="3" t="n">
        <v>10</v>
      </c>
      <c r="C1006" s="3" t="n">
        <v>1</v>
      </c>
      <c r="D1006" s="3" t="s">
        <v>1010</v>
      </c>
      <c r="E1006" s="4" t="n">
        <v>0</v>
      </c>
    </row>
    <row r="1007" customFormat="false" ht="15" hidden="false" customHeight="false" outlineLevel="0" collapsed="false">
      <c r="A1007" s="3" t="n">
        <v>2014</v>
      </c>
      <c r="B1007" s="3" t="n">
        <v>10</v>
      </c>
      <c r="C1007" s="3" t="n">
        <v>2</v>
      </c>
      <c r="D1007" s="3" t="s">
        <v>1011</v>
      </c>
      <c r="E1007" s="4" t="n">
        <v>2</v>
      </c>
    </row>
    <row r="1008" customFormat="false" ht="15" hidden="false" customHeight="false" outlineLevel="0" collapsed="false">
      <c r="A1008" s="3" t="n">
        <v>2014</v>
      </c>
      <c r="B1008" s="3" t="n">
        <v>10</v>
      </c>
      <c r="C1008" s="3" t="n">
        <v>3</v>
      </c>
      <c r="D1008" s="3" t="s">
        <v>1012</v>
      </c>
      <c r="E1008" s="4" t="n">
        <v>0</v>
      </c>
    </row>
    <row r="1009" customFormat="false" ht="15" hidden="false" customHeight="false" outlineLevel="0" collapsed="false">
      <c r="A1009" s="3" t="n">
        <v>2014</v>
      </c>
      <c r="B1009" s="3" t="n">
        <v>10</v>
      </c>
      <c r="C1009" s="3" t="n">
        <v>4</v>
      </c>
      <c r="D1009" s="3" t="s">
        <v>1013</v>
      </c>
      <c r="E1009" s="4" t="n">
        <v>0</v>
      </c>
    </row>
    <row r="1010" customFormat="false" ht="15" hidden="false" customHeight="false" outlineLevel="0" collapsed="false">
      <c r="A1010" s="3" t="n">
        <v>2014</v>
      </c>
      <c r="B1010" s="3" t="n">
        <v>10</v>
      </c>
      <c r="C1010" s="3" t="n">
        <v>5</v>
      </c>
      <c r="D1010" s="3" t="s">
        <v>1014</v>
      </c>
      <c r="E1010" s="4" t="n">
        <v>0</v>
      </c>
    </row>
    <row r="1011" customFormat="false" ht="15" hidden="false" customHeight="false" outlineLevel="0" collapsed="false">
      <c r="A1011" s="3" t="n">
        <v>2014</v>
      </c>
      <c r="B1011" s="3" t="n">
        <v>10</v>
      </c>
      <c r="C1011" s="3" t="n">
        <v>6</v>
      </c>
      <c r="D1011" s="3" t="s">
        <v>1015</v>
      </c>
      <c r="E1011" s="4" t="n">
        <v>0</v>
      </c>
    </row>
    <row r="1012" customFormat="false" ht="15" hidden="false" customHeight="false" outlineLevel="0" collapsed="false">
      <c r="A1012" s="3" t="n">
        <v>2014</v>
      </c>
      <c r="B1012" s="3" t="n">
        <v>10</v>
      </c>
      <c r="C1012" s="3" t="n">
        <v>7</v>
      </c>
      <c r="D1012" s="3" t="s">
        <v>1016</v>
      </c>
      <c r="E1012" s="4" t="n">
        <v>3</v>
      </c>
    </row>
    <row r="1013" customFormat="false" ht="15" hidden="false" customHeight="false" outlineLevel="0" collapsed="false">
      <c r="A1013" s="3" t="n">
        <v>2014</v>
      </c>
      <c r="B1013" s="3" t="n">
        <v>10</v>
      </c>
      <c r="C1013" s="3" t="n">
        <v>8</v>
      </c>
      <c r="D1013" s="3" t="s">
        <v>1017</v>
      </c>
      <c r="E1013" s="4" t="n">
        <v>0</v>
      </c>
    </row>
    <row r="1014" customFormat="false" ht="15" hidden="false" customHeight="false" outlineLevel="0" collapsed="false">
      <c r="A1014" s="3" t="n">
        <v>2014</v>
      </c>
      <c r="B1014" s="3" t="n">
        <v>10</v>
      </c>
      <c r="C1014" s="3" t="n">
        <v>9</v>
      </c>
      <c r="D1014" s="3" t="s">
        <v>1018</v>
      </c>
      <c r="E1014" s="4" t="n">
        <v>0</v>
      </c>
    </row>
    <row r="1015" customFormat="false" ht="15" hidden="false" customHeight="false" outlineLevel="0" collapsed="false">
      <c r="A1015" s="3" t="n">
        <v>2014</v>
      </c>
      <c r="B1015" s="3" t="n">
        <v>10</v>
      </c>
      <c r="C1015" s="3" t="n">
        <v>10</v>
      </c>
      <c r="D1015" s="3" t="s">
        <v>1019</v>
      </c>
      <c r="E1015" s="4" t="n">
        <v>0</v>
      </c>
    </row>
    <row r="1016" customFormat="false" ht="15" hidden="false" customHeight="false" outlineLevel="0" collapsed="false">
      <c r="A1016" s="3" t="n">
        <v>2014</v>
      </c>
      <c r="B1016" s="3" t="n">
        <v>10</v>
      </c>
      <c r="C1016" s="3" t="n">
        <v>11</v>
      </c>
      <c r="D1016" s="3" t="s">
        <v>1020</v>
      </c>
      <c r="E1016" s="4" t="n">
        <v>43</v>
      </c>
    </row>
    <row r="1017" customFormat="false" ht="15" hidden="false" customHeight="false" outlineLevel="0" collapsed="false">
      <c r="A1017" s="3" t="n">
        <v>2014</v>
      </c>
      <c r="B1017" s="3" t="n">
        <v>10</v>
      </c>
      <c r="C1017" s="3" t="n">
        <v>12</v>
      </c>
      <c r="D1017" s="3" t="s">
        <v>1021</v>
      </c>
      <c r="E1017" s="4" t="n">
        <v>0</v>
      </c>
    </row>
    <row r="1018" customFormat="false" ht="15" hidden="false" customHeight="false" outlineLevel="0" collapsed="false">
      <c r="A1018" s="3" t="n">
        <v>2014</v>
      </c>
      <c r="B1018" s="3" t="n">
        <v>10</v>
      </c>
      <c r="C1018" s="3" t="n">
        <v>13</v>
      </c>
      <c r="D1018" s="3" t="s">
        <v>1022</v>
      </c>
      <c r="E1018" s="4" t="n">
        <v>0</v>
      </c>
    </row>
    <row r="1019" customFormat="false" ht="15" hidden="false" customHeight="false" outlineLevel="0" collapsed="false">
      <c r="A1019" s="3" t="n">
        <v>2014</v>
      </c>
      <c r="B1019" s="3" t="n">
        <v>10</v>
      </c>
      <c r="C1019" s="3" t="n">
        <v>14</v>
      </c>
      <c r="D1019" s="3" t="s">
        <v>1023</v>
      </c>
      <c r="E1019" s="4" t="n">
        <v>0</v>
      </c>
    </row>
    <row r="1020" customFormat="false" ht="15" hidden="false" customHeight="false" outlineLevel="0" collapsed="false">
      <c r="A1020" s="3" t="n">
        <v>2014</v>
      </c>
      <c r="B1020" s="3" t="n">
        <v>10</v>
      </c>
      <c r="C1020" s="3" t="n">
        <v>15</v>
      </c>
      <c r="D1020" s="3" t="s">
        <v>1024</v>
      </c>
      <c r="E1020" s="4" t="n">
        <v>0</v>
      </c>
    </row>
    <row r="1021" customFormat="false" ht="15" hidden="false" customHeight="false" outlineLevel="0" collapsed="false">
      <c r="A1021" s="3" t="n">
        <v>2014</v>
      </c>
      <c r="B1021" s="3" t="n">
        <v>10</v>
      </c>
      <c r="C1021" s="3" t="n">
        <v>16</v>
      </c>
      <c r="D1021" s="3" t="s">
        <v>1025</v>
      </c>
      <c r="E1021" s="4" t="n">
        <v>3</v>
      </c>
    </row>
    <row r="1022" customFormat="false" ht="15" hidden="false" customHeight="false" outlineLevel="0" collapsed="false">
      <c r="A1022" s="3" t="n">
        <v>2014</v>
      </c>
      <c r="B1022" s="3" t="n">
        <v>10</v>
      </c>
      <c r="C1022" s="3" t="n">
        <v>17</v>
      </c>
      <c r="D1022" s="3" t="s">
        <v>1026</v>
      </c>
      <c r="E1022" s="4" t="n">
        <v>0</v>
      </c>
    </row>
    <row r="1023" customFormat="false" ht="15" hidden="false" customHeight="false" outlineLevel="0" collapsed="false">
      <c r="A1023" s="3" t="n">
        <v>2014</v>
      </c>
      <c r="B1023" s="3" t="n">
        <v>10</v>
      </c>
      <c r="C1023" s="3" t="n">
        <v>18</v>
      </c>
      <c r="D1023" s="3" t="s">
        <v>1027</v>
      </c>
      <c r="E1023" s="4" t="n">
        <v>0</v>
      </c>
    </row>
    <row r="1024" customFormat="false" ht="15" hidden="false" customHeight="false" outlineLevel="0" collapsed="false">
      <c r="A1024" s="3" t="n">
        <v>2014</v>
      </c>
      <c r="B1024" s="3" t="n">
        <v>10</v>
      </c>
      <c r="C1024" s="3" t="n">
        <v>19</v>
      </c>
      <c r="D1024" s="3" t="s">
        <v>1028</v>
      </c>
      <c r="E1024" s="4" t="n">
        <v>28</v>
      </c>
    </row>
    <row r="1025" customFormat="false" ht="15" hidden="false" customHeight="false" outlineLevel="0" collapsed="false">
      <c r="A1025" s="3" t="n">
        <v>2014</v>
      </c>
      <c r="B1025" s="3" t="n">
        <v>10</v>
      </c>
      <c r="C1025" s="3" t="n">
        <v>20</v>
      </c>
      <c r="D1025" s="3" t="s">
        <v>1029</v>
      </c>
      <c r="E1025" s="4" t="n">
        <v>8</v>
      </c>
    </row>
    <row r="1026" customFormat="false" ht="15" hidden="false" customHeight="false" outlineLevel="0" collapsed="false">
      <c r="A1026" s="3" t="n">
        <v>2014</v>
      </c>
      <c r="B1026" s="3" t="n">
        <v>10</v>
      </c>
      <c r="C1026" s="3" t="n">
        <v>21</v>
      </c>
      <c r="D1026" s="3" t="s">
        <v>1030</v>
      </c>
      <c r="E1026" s="4" t="n">
        <v>35</v>
      </c>
    </row>
    <row r="1027" customFormat="false" ht="15" hidden="false" customHeight="false" outlineLevel="0" collapsed="false">
      <c r="A1027" s="3" t="n">
        <v>2014</v>
      </c>
      <c r="B1027" s="3" t="n">
        <v>10</v>
      </c>
      <c r="C1027" s="3" t="n">
        <v>22</v>
      </c>
      <c r="D1027" s="3" t="s">
        <v>1031</v>
      </c>
      <c r="E1027" s="4" t="n">
        <v>41</v>
      </c>
    </row>
    <row r="1028" customFormat="false" ht="15" hidden="false" customHeight="false" outlineLevel="0" collapsed="false">
      <c r="A1028" s="3" t="n">
        <v>2014</v>
      </c>
      <c r="B1028" s="3" t="n">
        <v>10</v>
      </c>
      <c r="C1028" s="3" t="n">
        <v>23</v>
      </c>
      <c r="D1028" s="3" t="s">
        <v>1032</v>
      </c>
      <c r="E1028" s="4" t="n">
        <v>37</v>
      </c>
    </row>
    <row r="1029" customFormat="false" ht="15" hidden="false" customHeight="false" outlineLevel="0" collapsed="false">
      <c r="A1029" s="3" t="n">
        <v>2014</v>
      </c>
      <c r="B1029" s="3" t="n">
        <v>10</v>
      </c>
      <c r="C1029" s="3" t="n">
        <v>24</v>
      </c>
      <c r="D1029" s="3" t="s">
        <v>1033</v>
      </c>
      <c r="E1029" s="4" t="n">
        <v>9</v>
      </c>
    </row>
    <row r="1030" customFormat="false" ht="15" hidden="false" customHeight="false" outlineLevel="0" collapsed="false">
      <c r="A1030" s="3" t="n">
        <v>2014</v>
      </c>
      <c r="B1030" s="3" t="n">
        <v>10</v>
      </c>
      <c r="C1030" s="3" t="n">
        <v>25</v>
      </c>
      <c r="D1030" s="3" t="s">
        <v>1034</v>
      </c>
      <c r="E1030" s="4" t="n">
        <v>0</v>
      </c>
    </row>
    <row r="1031" customFormat="false" ht="15" hidden="false" customHeight="false" outlineLevel="0" collapsed="false">
      <c r="A1031" s="3" t="n">
        <v>2014</v>
      </c>
      <c r="B1031" s="3" t="n">
        <v>10</v>
      </c>
      <c r="C1031" s="3" t="n">
        <v>26</v>
      </c>
      <c r="D1031" s="3" t="s">
        <v>1035</v>
      </c>
      <c r="E1031" s="4" t="n">
        <v>12</v>
      </c>
    </row>
    <row r="1032" customFormat="false" ht="15" hidden="false" customHeight="false" outlineLevel="0" collapsed="false">
      <c r="A1032" s="3" t="n">
        <v>2014</v>
      </c>
      <c r="B1032" s="3" t="n">
        <v>10</v>
      </c>
      <c r="C1032" s="3" t="n">
        <v>27</v>
      </c>
      <c r="D1032" s="3" t="s">
        <v>1036</v>
      </c>
      <c r="E1032" s="4" t="n">
        <v>3</v>
      </c>
    </row>
    <row r="1033" customFormat="false" ht="15" hidden="false" customHeight="false" outlineLevel="0" collapsed="false">
      <c r="A1033" s="3" t="n">
        <v>2014</v>
      </c>
      <c r="B1033" s="3" t="n">
        <v>10</v>
      </c>
      <c r="C1033" s="3" t="n">
        <v>28</v>
      </c>
      <c r="D1033" s="3" t="s">
        <v>1037</v>
      </c>
      <c r="E1033" s="4" t="n">
        <v>2</v>
      </c>
    </row>
    <row r="1034" customFormat="false" ht="15" hidden="false" customHeight="false" outlineLevel="0" collapsed="false">
      <c r="A1034" s="3" t="n">
        <v>2014</v>
      </c>
      <c r="B1034" s="3" t="n">
        <v>10</v>
      </c>
      <c r="C1034" s="3" t="n">
        <v>29</v>
      </c>
      <c r="D1034" s="3" t="s">
        <v>1038</v>
      </c>
      <c r="E1034" s="4" t="n">
        <v>0</v>
      </c>
    </row>
    <row r="1035" customFormat="false" ht="15" hidden="false" customHeight="false" outlineLevel="0" collapsed="false">
      <c r="A1035" s="3" t="n">
        <v>2014</v>
      </c>
      <c r="B1035" s="3" t="n">
        <v>10</v>
      </c>
      <c r="C1035" s="3" t="n">
        <v>30</v>
      </c>
      <c r="D1035" s="3" t="s">
        <v>1039</v>
      </c>
      <c r="E1035" s="4" t="n">
        <v>0</v>
      </c>
    </row>
    <row r="1036" customFormat="false" ht="15" hidden="false" customHeight="false" outlineLevel="0" collapsed="false">
      <c r="A1036" s="3" t="n">
        <v>2014</v>
      </c>
      <c r="B1036" s="3" t="n">
        <v>10</v>
      </c>
      <c r="C1036" s="3" t="n">
        <v>31</v>
      </c>
      <c r="D1036" s="3" t="s">
        <v>1040</v>
      </c>
      <c r="E1036" s="4" t="n">
        <v>0</v>
      </c>
    </row>
    <row r="1037" customFormat="false" ht="15" hidden="false" customHeight="false" outlineLevel="0" collapsed="false">
      <c r="A1037" s="3" t="n">
        <v>2014</v>
      </c>
      <c r="B1037" s="3" t="n">
        <v>11</v>
      </c>
      <c r="C1037" s="3" t="n">
        <v>1</v>
      </c>
      <c r="D1037" s="3" t="s">
        <v>1041</v>
      </c>
      <c r="E1037" s="4" t="n">
        <v>0</v>
      </c>
    </row>
    <row r="1038" customFormat="false" ht="15" hidden="false" customHeight="false" outlineLevel="0" collapsed="false">
      <c r="A1038" s="3" t="n">
        <v>2014</v>
      </c>
      <c r="B1038" s="3" t="n">
        <v>11</v>
      </c>
      <c r="C1038" s="3" t="n">
        <v>2</v>
      </c>
      <c r="D1038" s="3" t="s">
        <v>1042</v>
      </c>
      <c r="E1038" s="4" t="n">
        <v>0</v>
      </c>
    </row>
    <row r="1039" customFormat="false" ht="15" hidden="false" customHeight="false" outlineLevel="0" collapsed="false">
      <c r="A1039" s="3" t="n">
        <v>2014</v>
      </c>
      <c r="B1039" s="3" t="n">
        <v>11</v>
      </c>
      <c r="C1039" s="3" t="n">
        <v>3</v>
      </c>
      <c r="D1039" s="3" t="s">
        <v>1043</v>
      </c>
      <c r="E1039" s="4" t="n">
        <v>0</v>
      </c>
    </row>
    <row r="1040" customFormat="false" ht="15" hidden="false" customHeight="false" outlineLevel="0" collapsed="false">
      <c r="A1040" s="3" t="n">
        <v>2014</v>
      </c>
      <c r="B1040" s="3" t="n">
        <v>11</v>
      </c>
      <c r="C1040" s="3" t="n">
        <v>4</v>
      </c>
      <c r="D1040" s="3" t="s">
        <v>1044</v>
      </c>
      <c r="E1040" s="4" t="n">
        <v>16</v>
      </c>
    </row>
    <row r="1041" customFormat="false" ht="15" hidden="false" customHeight="false" outlineLevel="0" collapsed="false">
      <c r="A1041" s="3" t="n">
        <v>2014</v>
      </c>
      <c r="B1041" s="3" t="n">
        <v>11</v>
      </c>
      <c r="C1041" s="3" t="n">
        <v>5</v>
      </c>
      <c r="D1041" s="3" t="s">
        <v>1045</v>
      </c>
      <c r="E1041" s="4" t="n">
        <v>3</v>
      </c>
    </row>
    <row r="1042" customFormat="false" ht="15" hidden="false" customHeight="false" outlineLevel="0" collapsed="false">
      <c r="A1042" s="3" t="n">
        <v>2014</v>
      </c>
      <c r="B1042" s="3" t="n">
        <v>11</v>
      </c>
      <c r="C1042" s="3" t="n">
        <v>6</v>
      </c>
      <c r="D1042" s="3" t="s">
        <v>1046</v>
      </c>
      <c r="E1042" s="4" t="n">
        <v>0</v>
      </c>
    </row>
    <row r="1043" customFormat="false" ht="15" hidden="false" customHeight="false" outlineLevel="0" collapsed="false">
      <c r="A1043" s="3" t="n">
        <v>2014</v>
      </c>
      <c r="B1043" s="3" t="n">
        <v>11</v>
      </c>
      <c r="C1043" s="3" t="n">
        <v>7</v>
      </c>
      <c r="D1043" s="3" t="s">
        <v>1047</v>
      </c>
      <c r="E1043" s="4" t="n">
        <v>0</v>
      </c>
    </row>
    <row r="1044" customFormat="false" ht="15" hidden="false" customHeight="false" outlineLevel="0" collapsed="false">
      <c r="A1044" s="3" t="n">
        <v>2014</v>
      </c>
      <c r="B1044" s="3" t="n">
        <v>11</v>
      </c>
      <c r="C1044" s="3" t="n">
        <v>8</v>
      </c>
      <c r="D1044" s="3" t="s">
        <v>1048</v>
      </c>
      <c r="E1044" s="4" t="n">
        <v>0</v>
      </c>
    </row>
    <row r="1045" customFormat="false" ht="15" hidden="false" customHeight="false" outlineLevel="0" collapsed="false">
      <c r="A1045" s="3" t="n">
        <v>2014</v>
      </c>
      <c r="B1045" s="3" t="n">
        <v>11</v>
      </c>
      <c r="C1045" s="3" t="n">
        <v>9</v>
      </c>
      <c r="D1045" s="3" t="s">
        <v>1049</v>
      </c>
      <c r="E1045" s="4" t="n">
        <v>12</v>
      </c>
    </row>
    <row r="1046" customFormat="false" ht="15" hidden="false" customHeight="false" outlineLevel="0" collapsed="false">
      <c r="A1046" s="3" t="n">
        <v>2014</v>
      </c>
      <c r="B1046" s="3" t="n">
        <v>11</v>
      </c>
      <c r="C1046" s="3" t="n">
        <v>10</v>
      </c>
      <c r="D1046" s="3" t="s">
        <v>1050</v>
      </c>
      <c r="E1046" s="4" t="n">
        <v>8</v>
      </c>
    </row>
    <row r="1047" customFormat="false" ht="15" hidden="false" customHeight="false" outlineLevel="0" collapsed="false">
      <c r="A1047" s="3" t="n">
        <v>2014</v>
      </c>
      <c r="B1047" s="3" t="n">
        <v>11</v>
      </c>
      <c r="C1047" s="3" t="n">
        <v>11</v>
      </c>
      <c r="D1047" s="3" t="s">
        <v>1051</v>
      </c>
      <c r="E1047" s="4" t="n">
        <v>13</v>
      </c>
    </row>
    <row r="1048" customFormat="false" ht="15" hidden="false" customHeight="false" outlineLevel="0" collapsed="false">
      <c r="A1048" s="3" t="n">
        <v>2014</v>
      </c>
      <c r="B1048" s="3" t="n">
        <v>11</v>
      </c>
      <c r="C1048" s="3" t="n">
        <v>12</v>
      </c>
      <c r="D1048" s="3" t="s">
        <v>1052</v>
      </c>
      <c r="E1048" s="4" t="n">
        <v>0</v>
      </c>
    </row>
    <row r="1049" customFormat="false" ht="15" hidden="false" customHeight="false" outlineLevel="0" collapsed="false">
      <c r="A1049" s="3" t="n">
        <v>2014</v>
      </c>
      <c r="B1049" s="3" t="n">
        <v>11</v>
      </c>
      <c r="C1049" s="3" t="n">
        <v>13</v>
      </c>
      <c r="D1049" s="3" t="s">
        <v>1053</v>
      </c>
      <c r="E1049" s="4" t="n">
        <v>37</v>
      </c>
    </row>
    <row r="1050" customFormat="false" ht="15" hidden="false" customHeight="false" outlineLevel="0" collapsed="false">
      <c r="A1050" s="3" t="n">
        <v>2014</v>
      </c>
      <c r="B1050" s="3" t="n">
        <v>11</v>
      </c>
      <c r="C1050" s="3" t="n">
        <v>14</v>
      </c>
      <c r="D1050" s="3" t="s">
        <v>1054</v>
      </c>
      <c r="E1050" s="4" t="n">
        <v>0</v>
      </c>
    </row>
    <row r="1051" customFormat="false" ht="15" hidden="false" customHeight="false" outlineLevel="0" collapsed="false">
      <c r="A1051" s="3" t="n">
        <v>2014</v>
      </c>
      <c r="B1051" s="3" t="n">
        <v>11</v>
      </c>
      <c r="C1051" s="3" t="n">
        <v>15</v>
      </c>
      <c r="D1051" s="3" t="s">
        <v>1055</v>
      </c>
      <c r="E1051" s="4" t="n">
        <v>0</v>
      </c>
    </row>
    <row r="1052" customFormat="false" ht="15" hidden="false" customHeight="false" outlineLevel="0" collapsed="false">
      <c r="A1052" s="3" t="n">
        <v>2014</v>
      </c>
      <c r="B1052" s="3" t="n">
        <v>11</v>
      </c>
      <c r="C1052" s="3" t="n">
        <v>16</v>
      </c>
      <c r="D1052" s="3" t="s">
        <v>1056</v>
      </c>
      <c r="E1052" s="4" t="n">
        <v>0</v>
      </c>
    </row>
    <row r="1053" customFormat="false" ht="15" hidden="false" customHeight="false" outlineLevel="0" collapsed="false">
      <c r="A1053" s="3" t="n">
        <v>2014</v>
      </c>
      <c r="B1053" s="3" t="n">
        <v>11</v>
      </c>
      <c r="C1053" s="3" t="n">
        <v>17</v>
      </c>
      <c r="D1053" s="3" t="s">
        <v>1057</v>
      </c>
      <c r="E1053" s="4" t="n">
        <v>0</v>
      </c>
    </row>
    <row r="1054" customFormat="false" ht="15" hidden="false" customHeight="false" outlineLevel="0" collapsed="false">
      <c r="A1054" s="3" t="n">
        <v>2014</v>
      </c>
      <c r="B1054" s="3" t="n">
        <v>11</v>
      </c>
      <c r="C1054" s="3" t="n">
        <v>18</v>
      </c>
      <c r="D1054" s="3" t="s">
        <v>1058</v>
      </c>
      <c r="E1054" s="4" t="n">
        <v>39</v>
      </c>
    </row>
    <row r="1055" customFormat="false" ht="15" hidden="false" customHeight="false" outlineLevel="0" collapsed="false">
      <c r="A1055" s="3" t="n">
        <v>2014</v>
      </c>
      <c r="B1055" s="3" t="n">
        <v>11</v>
      </c>
      <c r="C1055" s="3" t="n">
        <v>19</v>
      </c>
      <c r="D1055" s="3" t="s">
        <v>1059</v>
      </c>
      <c r="E1055" s="4" t="n">
        <v>5</v>
      </c>
    </row>
    <row r="1056" customFormat="false" ht="15" hidden="false" customHeight="false" outlineLevel="0" collapsed="false">
      <c r="A1056" s="3" t="n">
        <v>2014</v>
      </c>
      <c r="B1056" s="3" t="n">
        <v>11</v>
      </c>
      <c r="C1056" s="3" t="n">
        <v>20</v>
      </c>
      <c r="D1056" s="3" t="s">
        <v>1060</v>
      </c>
      <c r="E1056" s="4" t="n">
        <v>0</v>
      </c>
    </row>
    <row r="1057" customFormat="false" ht="15" hidden="false" customHeight="false" outlineLevel="0" collapsed="false">
      <c r="A1057" s="3" t="n">
        <v>2014</v>
      </c>
      <c r="B1057" s="3" t="n">
        <v>11</v>
      </c>
      <c r="C1057" s="3" t="n">
        <v>21</v>
      </c>
      <c r="D1057" s="3" t="s">
        <v>1061</v>
      </c>
      <c r="E1057" s="4" t="n">
        <v>0</v>
      </c>
    </row>
    <row r="1058" customFormat="false" ht="15" hidden="false" customHeight="false" outlineLevel="0" collapsed="false">
      <c r="A1058" s="3" t="n">
        <v>2014</v>
      </c>
      <c r="B1058" s="3" t="n">
        <v>11</v>
      </c>
      <c r="C1058" s="3" t="n">
        <v>22</v>
      </c>
      <c r="D1058" s="3" t="s">
        <v>1062</v>
      </c>
      <c r="E1058" s="4" t="n">
        <v>32</v>
      </c>
    </row>
    <row r="1059" customFormat="false" ht="15" hidden="false" customHeight="false" outlineLevel="0" collapsed="false">
      <c r="A1059" s="3" t="n">
        <v>2014</v>
      </c>
      <c r="B1059" s="3" t="n">
        <v>11</v>
      </c>
      <c r="C1059" s="3" t="n">
        <v>23</v>
      </c>
      <c r="D1059" s="3" t="s">
        <v>1063</v>
      </c>
      <c r="E1059" s="4" t="n">
        <v>28</v>
      </c>
    </row>
    <row r="1060" customFormat="false" ht="15" hidden="false" customHeight="false" outlineLevel="0" collapsed="false">
      <c r="A1060" s="3" t="n">
        <v>2014</v>
      </c>
      <c r="B1060" s="3" t="n">
        <v>11</v>
      </c>
      <c r="C1060" s="3" t="n">
        <v>24</v>
      </c>
      <c r="D1060" s="3" t="s">
        <v>1064</v>
      </c>
      <c r="E1060" s="4" t="n">
        <v>0</v>
      </c>
    </row>
    <row r="1061" customFormat="false" ht="15" hidden="false" customHeight="false" outlineLevel="0" collapsed="false">
      <c r="A1061" s="3" t="n">
        <v>2014</v>
      </c>
      <c r="B1061" s="3" t="n">
        <v>11</v>
      </c>
      <c r="C1061" s="3" t="n">
        <v>25</v>
      </c>
      <c r="D1061" s="3" t="s">
        <v>1065</v>
      </c>
      <c r="E1061" s="4" t="n">
        <v>0</v>
      </c>
    </row>
    <row r="1062" customFormat="false" ht="15" hidden="false" customHeight="false" outlineLevel="0" collapsed="false">
      <c r="A1062" s="3" t="n">
        <v>2014</v>
      </c>
      <c r="B1062" s="3" t="n">
        <v>11</v>
      </c>
      <c r="C1062" s="3" t="n">
        <v>26</v>
      </c>
      <c r="D1062" s="3" t="s">
        <v>1066</v>
      </c>
      <c r="E1062" s="4" t="n">
        <v>0</v>
      </c>
    </row>
    <row r="1063" customFormat="false" ht="15" hidden="false" customHeight="false" outlineLevel="0" collapsed="false">
      <c r="A1063" s="3" t="n">
        <v>2014</v>
      </c>
      <c r="B1063" s="3" t="n">
        <v>11</v>
      </c>
      <c r="C1063" s="3" t="n">
        <v>27</v>
      </c>
      <c r="D1063" s="3" t="s">
        <v>1067</v>
      </c>
      <c r="E1063" s="4" t="n">
        <v>3</v>
      </c>
    </row>
    <row r="1064" customFormat="false" ht="15" hidden="false" customHeight="false" outlineLevel="0" collapsed="false">
      <c r="A1064" s="3" t="n">
        <v>2014</v>
      </c>
      <c r="B1064" s="3" t="n">
        <v>11</v>
      </c>
      <c r="C1064" s="3" t="n">
        <v>28</v>
      </c>
      <c r="D1064" s="3" t="s">
        <v>1068</v>
      </c>
      <c r="E1064" s="4" t="n">
        <v>63</v>
      </c>
    </row>
    <row r="1065" customFormat="false" ht="15" hidden="false" customHeight="false" outlineLevel="0" collapsed="false">
      <c r="A1065" s="3" t="n">
        <v>2014</v>
      </c>
      <c r="B1065" s="3" t="n">
        <v>11</v>
      </c>
      <c r="C1065" s="3" t="n">
        <v>29</v>
      </c>
      <c r="D1065" s="3" t="s">
        <v>1069</v>
      </c>
      <c r="E1065" s="4" t="n">
        <v>15</v>
      </c>
    </row>
    <row r="1066" customFormat="false" ht="15" hidden="false" customHeight="false" outlineLevel="0" collapsed="false">
      <c r="A1066" s="3" t="n">
        <v>2014</v>
      </c>
      <c r="B1066" s="3" t="n">
        <v>11</v>
      </c>
      <c r="C1066" s="3" t="n">
        <v>30</v>
      </c>
      <c r="D1066" s="3" t="s">
        <v>1070</v>
      </c>
      <c r="E1066" s="4" t="n">
        <v>16</v>
      </c>
    </row>
    <row r="1067" customFormat="false" ht="15" hidden="false" customHeight="false" outlineLevel="0" collapsed="false">
      <c r="A1067" s="3" t="n">
        <v>2014</v>
      </c>
      <c r="B1067" s="3" t="n">
        <v>12</v>
      </c>
      <c r="C1067" s="3" t="n">
        <v>1</v>
      </c>
      <c r="D1067" s="3" t="s">
        <v>1071</v>
      </c>
      <c r="E1067" s="4" t="n">
        <v>53</v>
      </c>
    </row>
    <row r="1068" customFormat="false" ht="15" hidden="false" customHeight="false" outlineLevel="0" collapsed="false">
      <c r="A1068" s="3" t="n">
        <v>2014</v>
      </c>
      <c r="B1068" s="3" t="n">
        <v>12</v>
      </c>
      <c r="C1068" s="3" t="n">
        <v>2</v>
      </c>
      <c r="D1068" s="3" t="s">
        <v>1072</v>
      </c>
      <c r="E1068" s="4" t="n">
        <v>30</v>
      </c>
    </row>
    <row r="1069" customFormat="false" ht="15" hidden="false" customHeight="false" outlineLevel="0" collapsed="false">
      <c r="A1069" s="3" t="n">
        <v>2014</v>
      </c>
      <c r="B1069" s="3" t="n">
        <v>12</v>
      </c>
      <c r="C1069" s="3" t="n">
        <v>3</v>
      </c>
      <c r="D1069" s="3" t="s">
        <v>1073</v>
      </c>
      <c r="E1069" s="4" t="n">
        <v>0</v>
      </c>
    </row>
    <row r="1070" customFormat="false" ht="15" hidden="false" customHeight="false" outlineLevel="0" collapsed="false">
      <c r="A1070" s="3" t="n">
        <v>2014</v>
      </c>
      <c r="B1070" s="3" t="n">
        <v>12</v>
      </c>
      <c r="C1070" s="3" t="n">
        <v>4</v>
      </c>
      <c r="D1070" s="3" t="s">
        <v>1074</v>
      </c>
      <c r="E1070" s="4" t="n">
        <v>0</v>
      </c>
    </row>
    <row r="1071" customFormat="false" ht="15" hidden="false" customHeight="false" outlineLevel="0" collapsed="false">
      <c r="A1071" s="3" t="n">
        <v>2014</v>
      </c>
      <c r="B1071" s="3" t="n">
        <v>12</v>
      </c>
      <c r="C1071" s="3" t="n">
        <v>5</v>
      </c>
      <c r="D1071" s="3" t="s">
        <v>1075</v>
      </c>
      <c r="E1071" s="4" t="n">
        <v>0</v>
      </c>
    </row>
    <row r="1072" customFormat="false" ht="15" hidden="false" customHeight="false" outlineLevel="0" collapsed="false">
      <c r="A1072" s="3" t="n">
        <v>2014</v>
      </c>
      <c r="B1072" s="3" t="n">
        <v>12</v>
      </c>
      <c r="C1072" s="3" t="n">
        <v>6</v>
      </c>
      <c r="D1072" s="3" t="s">
        <v>1076</v>
      </c>
      <c r="E1072" s="4" t="n">
        <v>0</v>
      </c>
    </row>
    <row r="1073" customFormat="false" ht="15" hidden="false" customHeight="false" outlineLevel="0" collapsed="false">
      <c r="A1073" s="3" t="n">
        <v>2014</v>
      </c>
      <c r="B1073" s="3" t="n">
        <v>12</v>
      </c>
      <c r="C1073" s="3" t="n">
        <v>7</v>
      </c>
      <c r="D1073" s="3" t="s">
        <v>1077</v>
      </c>
      <c r="E1073" s="4" t="n">
        <v>0</v>
      </c>
    </row>
    <row r="1074" customFormat="false" ht="15" hidden="false" customHeight="false" outlineLevel="0" collapsed="false">
      <c r="A1074" s="3" t="n">
        <v>2014</v>
      </c>
      <c r="B1074" s="3" t="n">
        <v>12</v>
      </c>
      <c r="C1074" s="3" t="n">
        <v>8</v>
      </c>
      <c r="D1074" s="3" t="s">
        <v>1078</v>
      </c>
      <c r="E1074" s="4" t="n">
        <v>0</v>
      </c>
    </row>
    <row r="1075" customFormat="false" ht="15" hidden="false" customHeight="false" outlineLevel="0" collapsed="false">
      <c r="A1075" s="3" t="n">
        <v>2014</v>
      </c>
      <c r="B1075" s="3" t="n">
        <v>12</v>
      </c>
      <c r="C1075" s="3" t="n">
        <v>9</v>
      </c>
      <c r="D1075" s="3" t="s">
        <v>1079</v>
      </c>
      <c r="E1075" s="4" t="n">
        <v>0</v>
      </c>
    </row>
    <row r="1076" customFormat="false" ht="15" hidden="false" customHeight="false" outlineLevel="0" collapsed="false">
      <c r="A1076" s="3" t="n">
        <v>2014</v>
      </c>
      <c r="B1076" s="3" t="n">
        <v>12</v>
      </c>
      <c r="C1076" s="3" t="n">
        <v>10</v>
      </c>
      <c r="D1076" s="3" t="s">
        <v>1080</v>
      </c>
      <c r="E1076" s="4" t="n">
        <v>11</v>
      </c>
    </row>
    <row r="1077" customFormat="false" ht="15" hidden="false" customHeight="false" outlineLevel="0" collapsed="false">
      <c r="A1077" s="3" t="n">
        <v>2014</v>
      </c>
      <c r="B1077" s="3" t="n">
        <v>12</v>
      </c>
      <c r="C1077" s="3" t="n">
        <v>11</v>
      </c>
      <c r="D1077" s="3" t="s">
        <v>1081</v>
      </c>
      <c r="E1077" s="4" t="n">
        <v>13</v>
      </c>
    </row>
    <row r="1078" customFormat="false" ht="15" hidden="false" customHeight="false" outlineLevel="0" collapsed="false">
      <c r="A1078" s="3" t="n">
        <v>2014</v>
      </c>
      <c r="B1078" s="3" t="n">
        <v>12</v>
      </c>
      <c r="C1078" s="3" t="n">
        <v>12</v>
      </c>
      <c r="D1078" s="3" t="s">
        <v>1082</v>
      </c>
      <c r="E1078" s="4" t="n">
        <v>0</v>
      </c>
    </row>
    <row r="1079" customFormat="false" ht="15" hidden="false" customHeight="false" outlineLevel="0" collapsed="false">
      <c r="A1079" s="3" t="n">
        <v>2014</v>
      </c>
      <c r="B1079" s="3" t="n">
        <v>12</v>
      </c>
      <c r="C1079" s="3" t="n">
        <v>13</v>
      </c>
      <c r="D1079" s="3" t="s">
        <v>1083</v>
      </c>
      <c r="E1079" s="4" t="n">
        <v>0</v>
      </c>
    </row>
    <row r="1080" customFormat="false" ht="15" hidden="false" customHeight="false" outlineLevel="0" collapsed="false">
      <c r="A1080" s="3" t="n">
        <v>2014</v>
      </c>
      <c r="B1080" s="3" t="n">
        <v>12</v>
      </c>
      <c r="C1080" s="3" t="n">
        <v>14</v>
      </c>
      <c r="D1080" s="3" t="s">
        <v>1084</v>
      </c>
      <c r="E1080" s="4" t="n">
        <v>0</v>
      </c>
    </row>
    <row r="1081" customFormat="false" ht="15" hidden="false" customHeight="false" outlineLevel="0" collapsed="false">
      <c r="A1081" s="3" t="n">
        <v>2014</v>
      </c>
      <c r="B1081" s="3" t="n">
        <v>12</v>
      </c>
      <c r="C1081" s="3" t="n">
        <v>15</v>
      </c>
      <c r="D1081" s="3" t="s">
        <v>1085</v>
      </c>
      <c r="E1081" s="4" t="n">
        <v>5</v>
      </c>
    </row>
    <row r="1082" customFormat="false" ht="15" hidden="false" customHeight="false" outlineLevel="0" collapsed="false">
      <c r="A1082" s="3" t="n">
        <v>2014</v>
      </c>
      <c r="B1082" s="3" t="n">
        <v>12</v>
      </c>
      <c r="C1082" s="3" t="n">
        <v>16</v>
      </c>
      <c r="D1082" s="3" t="s">
        <v>1086</v>
      </c>
      <c r="E1082" s="4" t="n">
        <v>38</v>
      </c>
    </row>
    <row r="1083" customFormat="false" ht="15" hidden="false" customHeight="false" outlineLevel="0" collapsed="false">
      <c r="A1083" s="3" t="n">
        <v>2014</v>
      </c>
      <c r="B1083" s="3" t="n">
        <v>12</v>
      </c>
      <c r="C1083" s="3" t="n">
        <v>17</v>
      </c>
      <c r="D1083" s="3" t="s">
        <v>1087</v>
      </c>
      <c r="E1083" s="4" t="n">
        <v>0</v>
      </c>
    </row>
    <row r="1084" customFormat="false" ht="15" hidden="false" customHeight="false" outlineLevel="0" collapsed="false">
      <c r="A1084" s="3" t="n">
        <v>2014</v>
      </c>
      <c r="B1084" s="3" t="n">
        <v>12</v>
      </c>
      <c r="C1084" s="3" t="n">
        <v>18</v>
      </c>
      <c r="D1084" s="3" t="s">
        <v>1088</v>
      </c>
      <c r="E1084" s="4" t="n">
        <v>0</v>
      </c>
    </row>
    <row r="1085" customFormat="false" ht="15" hidden="false" customHeight="false" outlineLevel="0" collapsed="false">
      <c r="A1085" s="3" t="n">
        <v>2014</v>
      </c>
      <c r="B1085" s="3" t="n">
        <v>12</v>
      </c>
      <c r="C1085" s="3" t="n">
        <v>19</v>
      </c>
      <c r="D1085" s="3" t="s">
        <v>1089</v>
      </c>
      <c r="E1085" s="4" t="n">
        <v>5</v>
      </c>
    </row>
    <row r="1086" customFormat="false" ht="15" hidden="false" customHeight="false" outlineLevel="0" collapsed="false">
      <c r="A1086" s="3" t="n">
        <v>2014</v>
      </c>
      <c r="B1086" s="3" t="n">
        <v>12</v>
      </c>
      <c r="C1086" s="3" t="n">
        <v>20</v>
      </c>
      <c r="D1086" s="3" t="s">
        <v>1090</v>
      </c>
      <c r="E1086" s="4" t="n">
        <v>50</v>
      </c>
    </row>
    <row r="1087" customFormat="false" ht="15" hidden="false" customHeight="false" outlineLevel="0" collapsed="false">
      <c r="A1087" s="3" t="n">
        <v>2014</v>
      </c>
      <c r="B1087" s="3" t="n">
        <v>12</v>
      </c>
      <c r="C1087" s="3" t="n">
        <v>21</v>
      </c>
      <c r="D1087" s="3" t="s">
        <v>1091</v>
      </c>
      <c r="E1087" s="4" t="n">
        <v>0</v>
      </c>
    </row>
    <row r="1088" customFormat="false" ht="15" hidden="false" customHeight="false" outlineLevel="0" collapsed="false">
      <c r="A1088" s="3" t="n">
        <v>2014</v>
      </c>
      <c r="B1088" s="3" t="n">
        <v>12</v>
      </c>
      <c r="C1088" s="3" t="n">
        <v>22</v>
      </c>
      <c r="D1088" s="3" t="s">
        <v>1092</v>
      </c>
      <c r="E1088" s="4" t="n">
        <v>25</v>
      </c>
    </row>
    <row r="1089" customFormat="false" ht="15" hidden="false" customHeight="false" outlineLevel="0" collapsed="false">
      <c r="A1089" s="3" t="n">
        <v>2014</v>
      </c>
      <c r="B1089" s="3" t="n">
        <v>12</v>
      </c>
      <c r="C1089" s="3" t="n">
        <v>23</v>
      </c>
      <c r="D1089" s="3" t="s">
        <v>1093</v>
      </c>
      <c r="E1089" s="4" t="n">
        <v>25</v>
      </c>
    </row>
    <row r="1090" customFormat="false" ht="15" hidden="false" customHeight="false" outlineLevel="0" collapsed="false">
      <c r="A1090" s="3" t="n">
        <v>2014</v>
      </c>
      <c r="B1090" s="3" t="n">
        <v>12</v>
      </c>
      <c r="C1090" s="3" t="n">
        <v>24</v>
      </c>
      <c r="D1090" s="3" t="s">
        <v>1094</v>
      </c>
      <c r="E1090" s="4" t="n">
        <v>0</v>
      </c>
    </row>
    <row r="1091" customFormat="false" ht="15" hidden="false" customHeight="false" outlineLevel="0" collapsed="false">
      <c r="A1091" s="3" t="n">
        <v>2014</v>
      </c>
      <c r="B1091" s="3" t="n">
        <v>12</v>
      </c>
      <c r="C1091" s="3" t="n">
        <v>25</v>
      </c>
      <c r="D1091" s="3" t="s">
        <v>1095</v>
      </c>
      <c r="E1091" s="4" t="n">
        <v>5</v>
      </c>
    </row>
    <row r="1092" customFormat="false" ht="15" hidden="false" customHeight="false" outlineLevel="0" collapsed="false">
      <c r="A1092" s="3" t="n">
        <v>2014</v>
      </c>
      <c r="B1092" s="3" t="n">
        <v>12</v>
      </c>
      <c r="C1092" s="3" t="n">
        <v>26</v>
      </c>
      <c r="D1092" s="3" t="s">
        <v>1096</v>
      </c>
      <c r="E1092" s="4" t="n">
        <v>0</v>
      </c>
    </row>
    <row r="1093" customFormat="false" ht="15" hidden="false" customHeight="false" outlineLevel="0" collapsed="false">
      <c r="A1093" s="3" t="n">
        <v>2014</v>
      </c>
      <c r="B1093" s="3" t="n">
        <v>12</v>
      </c>
      <c r="C1093" s="3" t="n">
        <v>27</v>
      </c>
      <c r="D1093" s="3" t="s">
        <v>1097</v>
      </c>
      <c r="E1093" s="4" t="n">
        <v>120</v>
      </c>
    </row>
    <row r="1094" customFormat="false" ht="15" hidden="false" customHeight="false" outlineLevel="0" collapsed="false">
      <c r="A1094" s="3" t="n">
        <v>2014</v>
      </c>
      <c r="B1094" s="3" t="n">
        <v>12</v>
      </c>
      <c r="C1094" s="3" t="n">
        <v>28</v>
      </c>
      <c r="D1094" s="3" t="s">
        <v>1098</v>
      </c>
      <c r="E1094" s="4" t="n">
        <v>4</v>
      </c>
    </row>
    <row r="1095" customFormat="false" ht="15" hidden="false" customHeight="false" outlineLevel="0" collapsed="false">
      <c r="A1095" s="3" t="n">
        <v>2014</v>
      </c>
      <c r="B1095" s="3" t="n">
        <v>12</v>
      </c>
      <c r="C1095" s="3" t="n">
        <v>29</v>
      </c>
      <c r="D1095" s="3" t="s">
        <v>1099</v>
      </c>
      <c r="E1095" s="4" t="n">
        <v>21</v>
      </c>
    </row>
    <row r="1096" customFormat="false" ht="15" hidden="false" customHeight="false" outlineLevel="0" collapsed="false">
      <c r="A1096" s="3" t="n">
        <v>2014</v>
      </c>
      <c r="B1096" s="3" t="n">
        <v>12</v>
      </c>
      <c r="C1096" s="3" t="n">
        <v>30</v>
      </c>
      <c r="D1096" s="3" t="s">
        <v>1100</v>
      </c>
      <c r="E1096" s="4" t="n">
        <v>32</v>
      </c>
    </row>
    <row r="1097" customFormat="false" ht="15" hidden="false" customHeight="false" outlineLevel="0" collapsed="false">
      <c r="A1097" s="3" t="n">
        <v>2014</v>
      </c>
      <c r="B1097" s="3" t="n">
        <v>12</v>
      </c>
      <c r="C1097" s="3" t="n">
        <v>31</v>
      </c>
      <c r="D1097" s="3" t="s">
        <v>1101</v>
      </c>
      <c r="E1097" s="4" t="n">
        <v>11</v>
      </c>
    </row>
    <row r="1098" customFormat="false" ht="15" hidden="false" customHeight="false" outlineLevel="0" collapsed="false">
      <c r="A1098" s="3" t="n">
        <v>2015</v>
      </c>
      <c r="B1098" s="3" t="n">
        <v>1</v>
      </c>
      <c r="C1098" s="3" t="n">
        <v>1</v>
      </c>
      <c r="D1098" s="3" t="s">
        <v>1102</v>
      </c>
      <c r="E1098" s="4" t="n">
        <v>2</v>
      </c>
    </row>
    <row r="1099" customFormat="false" ht="15" hidden="false" customHeight="false" outlineLevel="0" collapsed="false">
      <c r="A1099" s="3" t="n">
        <v>2015</v>
      </c>
      <c r="B1099" s="3" t="n">
        <v>1</v>
      </c>
      <c r="C1099" s="3" t="n">
        <v>2</v>
      </c>
      <c r="D1099" s="3" t="s">
        <v>1103</v>
      </c>
      <c r="E1099" s="4" t="n">
        <v>4</v>
      </c>
    </row>
    <row r="1100" customFormat="false" ht="15" hidden="false" customHeight="false" outlineLevel="0" collapsed="false">
      <c r="A1100" s="3" t="n">
        <v>2015</v>
      </c>
      <c r="B1100" s="3" t="n">
        <v>1</v>
      </c>
      <c r="C1100" s="3" t="n">
        <v>3</v>
      </c>
      <c r="D1100" s="3" t="s">
        <v>1104</v>
      </c>
      <c r="E1100" s="4" t="n">
        <v>10</v>
      </c>
    </row>
    <row r="1101" customFormat="false" ht="15" hidden="false" customHeight="false" outlineLevel="0" collapsed="false">
      <c r="A1101" s="3" t="n">
        <v>2015</v>
      </c>
      <c r="B1101" s="3" t="n">
        <v>1</v>
      </c>
      <c r="C1101" s="3" t="n">
        <v>4</v>
      </c>
      <c r="D1101" s="3" t="s">
        <v>1105</v>
      </c>
      <c r="E1101" s="4" t="n">
        <v>13</v>
      </c>
    </row>
    <row r="1102" customFormat="false" ht="15" hidden="false" customHeight="false" outlineLevel="0" collapsed="false">
      <c r="A1102" s="3" t="n">
        <v>2015</v>
      </c>
      <c r="B1102" s="3" t="n">
        <v>1</v>
      </c>
      <c r="C1102" s="3" t="n">
        <v>5</v>
      </c>
      <c r="D1102" s="3" t="s">
        <v>1106</v>
      </c>
      <c r="E1102" s="4" t="n">
        <v>4</v>
      </c>
    </row>
    <row r="1103" customFormat="false" ht="15" hidden="false" customHeight="false" outlineLevel="0" collapsed="false">
      <c r="A1103" s="3" t="n">
        <v>2015</v>
      </c>
      <c r="B1103" s="3" t="n">
        <v>1</v>
      </c>
      <c r="C1103" s="3" t="n">
        <v>6</v>
      </c>
      <c r="D1103" s="3" t="s">
        <v>1107</v>
      </c>
      <c r="E1103" s="4" t="n">
        <v>0</v>
      </c>
    </row>
    <row r="1104" customFormat="false" ht="15" hidden="false" customHeight="false" outlineLevel="0" collapsed="false">
      <c r="A1104" s="3" t="n">
        <v>2015</v>
      </c>
      <c r="B1104" s="3" t="n">
        <v>1</v>
      </c>
      <c r="C1104" s="3" t="n">
        <v>7</v>
      </c>
      <c r="D1104" s="3" t="s">
        <v>1108</v>
      </c>
      <c r="E1104" s="4" t="n">
        <v>0</v>
      </c>
    </row>
    <row r="1105" customFormat="false" ht="15" hidden="false" customHeight="false" outlineLevel="0" collapsed="false">
      <c r="A1105" s="3" t="n">
        <v>2015</v>
      </c>
      <c r="B1105" s="3" t="n">
        <v>1</v>
      </c>
      <c r="C1105" s="3" t="n">
        <v>8</v>
      </c>
      <c r="D1105" s="3" t="s">
        <v>1109</v>
      </c>
      <c r="E1105" s="4" t="n">
        <v>11</v>
      </c>
    </row>
    <row r="1106" customFormat="false" ht="15" hidden="false" customHeight="false" outlineLevel="0" collapsed="false">
      <c r="A1106" s="3" t="n">
        <v>2015</v>
      </c>
      <c r="B1106" s="3" t="n">
        <v>1</v>
      </c>
      <c r="C1106" s="3" t="n">
        <v>9</v>
      </c>
      <c r="D1106" s="3" t="s">
        <v>1110</v>
      </c>
      <c r="E1106" s="4" t="n">
        <v>0</v>
      </c>
    </row>
    <row r="1107" customFormat="false" ht="15" hidden="false" customHeight="false" outlineLevel="0" collapsed="false">
      <c r="A1107" s="3" t="n">
        <v>2015</v>
      </c>
      <c r="B1107" s="3" t="n">
        <v>1</v>
      </c>
      <c r="C1107" s="3" t="n">
        <v>10</v>
      </c>
      <c r="D1107" s="3" t="s">
        <v>1111</v>
      </c>
      <c r="E1107" s="4" t="n">
        <v>0</v>
      </c>
    </row>
    <row r="1108" customFormat="false" ht="15" hidden="false" customHeight="false" outlineLevel="0" collapsed="false">
      <c r="A1108" s="3" t="n">
        <v>2015</v>
      </c>
      <c r="B1108" s="3" t="n">
        <v>1</v>
      </c>
      <c r="C1108" s="3" t="n">
        <v>11</v>
      </c>
      <c r="D1108" s="3" t="s">
        <v>1112</v>
      </c>
      <c r="E1108" s="4" t="n">
        <v>0</v>
      </c>
    </row>
    <row r="1109" customFormat="false" ht="15" hidden="false" customHeight="false" outlineLevel="0" collapsed="false">
      <c r="A1109" s="3" t="n">
        <v>2015</v>
      </c>
      <c r="B1109" s="3" t="n">
        <v>1</v>
      </c>
      <c r="C1109" s="3" t="n">
        <v>12</v>
      </c>
      <c r="D1109" s="3" t="s">
        <v>1113</v>
      </c>
      <c r="E1109" s="4" t="n">
        <v>0</v>
      </c>
    </row>
    <row r="1110" customFormat="false" ht="15" hidden="false" customHeight="false" outlineLevel="0" collapsed="false">
      <c r="A1110" s="3" t="n">
        <v>2015</v>
      </c>
      <c r="B1110" s="3" t="n">
        <v>1</v>
      </c>
      <c r="C1110" s="3" t="n">
        <v>13</v>
      </c>
      <c r="D1110" s="3" t="s">
        <v>1114</v>
      </c>
      <c r="E1110" s="4" t="n">
        <v>0</v>
      </c>
    </row>
    <row r="1111" customFormat="false" ht="15" hidden="false" customHeight="false" outlineLevel="0" collapsed="false">
      <c r="A1111" s="3" t="n">
        <v>2015</v>
      </c>
      <c r="B1111" s="3" t="n">
        <v>1</v>
      </c>
      <c r="C1111" s="3" t="n">
        <v>14</v>
      </c>
      <c r="D1111" s="3" t="s">
        <v>1115</v>
      </c>
      <c r="E1111" s="4" t="n">
        <v>0</v>
      </c>
    </row>
    <row r="1112" customFormat="false" ht="15" hidden="false" customHeight="false" outlineLevel="0" collapsed="false">
      <c r="A1112" s="3" t="n">
        <v>2015</v>
      </c>
      <c r="B1112" s="3" t="n">
        <v>1</v>
      </c>
      <c r="C1112" s="3" t="n">
        <v>15</v>
      </c>
      <c r="D1112" s="3" t="s">
        <v>1116</v>
      </c>
      <c r="E1112" s="4" t="n">
        <v>17</v>
      </c>
    </row>
    <row r="1113" customFormat="false" ht="15" hidden="false" customHeight="false" outlineLevel="0" collapsed="false">
      <c r="A1113" s="3" t="n">
        <v>2015</v>
      </c>
      <c r="B1113" s="3" t="n">
        <v>1</v>
      </c>
      <c r="C1113" s="3" t="n">
        <v>16</v>
      </c>
      <c r="D1113" s="3" t="s">
        <v>1117</v>
      </c>
      <c r="E1113" s="4" t="n">
        <v>10</v>
      </c>
    </row>
    <row r="1114" customFormat="false" ht="15" hidden="false" customHeight="false" outlineLevel="0" collapsed="false">
      <c r="A1114" s="3" t="n">
        <v>2015</v>
      </c>
      <c r="B1114" s="3" t="n">
        <v>1</v>
      </c>
      <c r="C1114" s="3" t="n">
        <v>17</v>
      </c>
      <c r="D1114" s="3" t="s">
        <v>1118</v>
      </c>
      <c r="E1114" s="4" t="n">
        <v>34</v>
      </c>
    </row>
    <row r="1115" customFormat="false" ht="15" hidden="false" customHeight="false" outlineLevel="0" collapsed="false">
      <c r="A1115" s="3" t="n">
        <v>2015</v>
      </c>
      <c r="B1115" s="3" t="n">
        <v>1</v>
      </c>
      <c r="C1115" s="3" t="n">
        <v>18</v>
      </c>
      <c r="D1115" s="3" t="s">
        <v>1119</v>
      </c>
      <c r="E1115" s="4" t="n">
        <v>20</v>
      </c>
    </row>
    <row r="1116" customFormat="false" ht="15" hidden="false" customHeight="false" outlineLevel="0" collapsed="false">
      <c r="A1116" s="3" t="n">
        <v>2015</v>
      </c>
      <c r="B1116" s="3" t="n">
        <v>1</v>
      </c>
      <c r="C1116" s="3" t="n">
        <v>19</v>
      </c>
      <c r="D1116" s="3" t="s">
        <v>1120</v>
      </c>
      <c r="E1116" s="4" t="n">
        <v>20</v>
      </c>
    </row>
    <row r="1117" customFormat="false" ht="15" hidden="false" customHeight="false" outlineLevel="0" collapsed="false">
      <c r="A1117" s="3" t="n">
        <v>2015</v>
      </c>
      <c r="B1117" s="3" t="n">
        <v>1</v>
      </c>
      <c r="C1117" s="3" t="n">
        <v>20</v>
      </c>
      <c r="D1117" s="3" t="s">
        <v>1121</v>
      </c>
      <c r="E1117" s="4" t="n">
        <v>0</v>
      </c>
    </row>
    <row r="1118" customFormat="false" ht="15" hidden="false" customHeight="false" outlineLevel="0" collapsed="false">
      <c r="A1118" s="3" t="n">
        <v>2015</v>
      </c>
      <c r="B1118" s="3" t="n">
        <v>1</v>
      </c>
      <c r="C1118" s="3" t="n">
        <v>21</v>
      </c>
      <c r="D1118" s="3" t="s">
        <v>1122</v>
      </c>
      <c r="E1118" s="4" t="n">
        <v>27</v>
      </c>
    </row>
    <row r="1119" customFormat="false" ht="15" hidden="false" customHeight="false" outlineLevel="0" collapsed="false">
      <c r="A1119" s="3" t="n">
        <v>2015</v>
      </c>
      <c r="B1119" s="3" t="n">
        <v>1</v>
      </c>
      <c r="C1119" s="3" t="n">
        <v>22</v>
      </c>
      <c r="D1119" s="3" t="s">
        <v>1123</v>
      </c>
      <c r="E1119" s="4" t="n">
        <v>10</v>
      </c>
    </row>
    <row r="1120" customFormat="false" ht="15" hidden="false" customHeight="false" outlineLevel="0" collapsed="false">
      <c r="A1120" s="3" t="n">
        <v>2015</v>
      </c>
      <c r="B1120" s="3" t="n">
        <v>1</v>
      </c>
      <c r="C1120" s="3" t="n">
        <v>23</v>
      </c>
      <c r="D1120" s="3" t="s">
        <v>1124</v>
      </c>
      <c r="E1120" s="4" t="n">
        <v>63</v>
      </c>
    </row>
    <row r="1121" customFormat="false" ht="15" hidden="false" customHeight="false" outlineLevel="0" collapsed="false">
      <c r="A1121" s="3" t="n">
        <v>2015</v>
      </c>
      <c r="B1121" s="3" t="n">
        <v>1</v>
      </c>
      <c r="C1121" s="3" t="n">
        <v>24</v>
      </c>
      <c r="D1121" s="3" t="s">
        <v>1125</v>
      </c>
      <c r="E1121" s="4" t="n">
        <v>0</v>
      </c>
    </row>
    <row r="1122" customFormat="false" ht="15" hidden="false" customHeight="false" outlineLevel="0" collapsed="false">
      <c r="A1122" s="3" t="n">
        <v>2015</v>
      </c>
      <c r="B1122" s="3" t="n">
        <v>1</v>
      </c>
      <c r="C1122" s="3" t="n">
        <v>25</v>
      </c>
      <c r="D1122" s="3" t="s">
        <v>1126</v>
      </c>
      <c r="E1122" s="4" t="n">
        <v>21</v>
      </c>
    </row>
    <row r="1123" customFormat="false" ht="15" hidden="false" customHeight="false" outlineLevel="0" collapsed="false">
      <c r="A1123" s="3" t="n">
        <v>2015</v>
      </c>
      <c r="B1123" s="3" t="n">
        <v>1</v>
      </c>
      <c r="C1123" s="3" t="n">
        <v>26</v>
      </c>
      <c r="D1123" s="3" t="s">
        <v>1127</v>
      </c>
      <c r="E1123" s="4" t="n">
        <v>0</v>
      </c>
    </row>
    <row r="1124" customFormat="false" ht="15" hidden="false" customHeight="false" outlineLevel="0" collapsed="false">
      <c r="A1124" s="3" t="n">
        <v>2015</v>
      </c>
      <c r="B1124" s="3" t="n">
        <v>1</v>
      </c>
      <c r="C1124" s="3" t="n">
        <v>27</v>
      </c>
      <c r="D1124" s="3" t="s">
        <v>1128</v>
      </c>
      <c r="E1124" s="4" t="n">
        <v>0</v>
      </c>
    </row>
    <row r="1125" customFormat="false" ht="15" hidden="false" customHeight="false" outlineLevel="0" collapsed="false">
      <c r="A1125" s="3" t="n">
        <v>2015</v>
      </c>
      <c r="B1125" s="3" t="n">
        <v>1</v>
      </c>
      <c r="C1125" s="3" t="n">
        <v>28</v>
      </c>
      <c r="D1125" s="3" t="s">
        <v>1129</v>
      </c>
      <c r="E1125" s="4" t="n">
        <v>0</v>
      </c>
    </row>
    <row r="1126" customFormat="false" ht="15" hidden="false" customHeight="false" outlineLevel="0" collapsed="false">
      <c r="A1126" s="3" t="n">
        <v>2015</v>
      </c>
      <c r="B1126" s="3" t="n">
        <v>1</v>
      </c>
      <c r="C1126" s="3" t="n">
        <v>29</v>
      </c>
      <c r="D1126" s="3" t="s">
        <v>1130</v>
      </c>
      <c r="E1126" s="4" t="n">
        <v>0</v>
      </c>
    </row>
    <row r="1127" customFormat="false" ht="15" hidden="false" customHeight="false" outlineLevel="0" collapsed="false">
      <c r="A1127" s="3" t="n">
        <v>2015</v>
      </c>
      <c r="B1127" s="3" t="n">
        <v>1</v>
      </c>
      <c r="C1127" s="3" t="n">
        <v>30</v>
      </c>
      <c r="D1127" s="3" t="s">
        <v>1131</v>
      </c>
      <c r="E1127" s="4" t="n">
        <v>0</v>
      </c>
    </row>
    <row r="1128" customFormat="false" ht="15" hidden="false" customHeight="false" outlineLevel="0" collapsed="false">
      <c r="A1128" s="3" t="n">
        <v>2015</v>
      </c>
      <c r="B1128" s="3" t="n">
        <v>1</v>
      </c>
      <c r="C1128" s="3" t="n">
        <v>31</v>
      </c>
      <c r="D1128" s="3" t="s">
        <v>1132</v>
      </c>
      <c r="E1128" s="4" t="n">
        <v>0</v>
      </c>
    </row>
    <row r="1129" customFormat="false" ht="15" hidden="false" customHeight="false" outlineLevel="0" collapsed="false">
      <c r="A1129" s="3" t="n">
        <v>2015</v>
      </c>
      <c r="B1129" s="3" t="n">
        <v>2</v>
      </c>
      <c r="C1129" s="3" t="n">
        <v>1</v>
      </c>
      <c r="D1129" s="3" t="s">
        <v>1133</v>
      </c>
      <c r="E1129" s="4" t="n">
        <v>68</v>
      </c>
    </row>
    <row r="1130" customFormat="false" ht="15" hidden="false" customHeight="false" outlineLevel="0" collapsed="false">
      <c r="A1130" s="3" t="n">
        <v>2015</v>
      </c>
      <c r="B1130" s="3" t="n">
        <v>2</v>
      </c>
      <c r="C1130" s="3" t="n">
        <v>2</v>
      </c>
      <c r="D1130" s="3" t="s">
        <v>1134</v>
      </c>
      <c r="E1130" s="4" t="n">
        <v>11</v>
      </c>
    </row>
    <row r="1131" customFormat="false" ht="15" hidden="false" customHeight="false" outlineLevel="0" collapsed="false">
      <c r="A1131" s="3" t="n">
        <v>2015</v>
      </c>
      <c r="B1131" s="3" t="n">
        <v>2</v>
      </c>
      <c r="C1131" s="3" t="n">
        <v>3</v>
      </c>
      <c r="D1131" s="3" t="s">
        <v>1135</v>
      </c>
      <c r="E1131" s="4" t="n">
        <v>65</v>
      </c>
    </row>
    <row r="1132" customFormat="false" ht="15" hidden="false" customHeight="false" outlineLevel="0" collapsed="false">
      <c r="A1132" s="3" t="n">
        <v>2015</v>
      </c>
      <c r="B1132" s="3" t="n">
        <v>2</v>
      </c>
      <c r="C1132" s="3" t="n">
        <v>4</v>
      </c>
      <c r="D1132" s="3" t="s">
        <v>1136</v>
      </c>
      <c r="E1132" s="4" t="n">
        <v>78</v>
      </c>
    </row>
    <row r="1133" customFormat="false" ht="15" hidden="false" customHeight="false" outlineLevel="0" collapsed="false">
      <c r="A1133" s="3" t="n">
        <v>2015</v>
      </c>
      <c r="B1133" s="3" t="n">
        <v>2</v>
      </c>
      <c r="C1133" s="3" t="n">
        <v>5</v>
      </c>
      <c r="D1133" s="3" t="s">
        <v>1137</v>
      </c>
      <c r="E1133" s="4" t="n">
        <v>31</v>
      </c>
    </row>
    <row r="1134" customFormat="false" ht="15" hidden="false" customHeight="false" outlineLevel="0" collapsed="false">
      <c r="A1134" s="3" t="n">
        <v>2015</v>
      </c>
      <c r="B1134" s="3" t="n">
        <v>2</v>
      </c>
      <c r="C1134" s="3" t="n">
        <v>6</v>
      </c>
      <c r="D1134" s="3" t="s">
        <v>1138</v>
      </c>
      <c r="E1134" s="4" t="n">
        <v>0</v>
      </c>
    </row>
    <row r="1135" customFormat="false" ht="15" hidden="false" customHeight="false" outlineLevel="0" collapsed="false">
      <c r="A1135" s="3" t="n">
        <v>2015</v>
      </c>
      <c r="B1135" s="3" t="n">
        <v>2</v>
      </c>
      <c r="C1135" s="3" t="n">
        <v>7</v>
      </c>
      <c r="D1135" s="3" t="s">
        <v>1139</v>
      </c>
      <c r="E1135" s="4" t="n">
        <v>0</v>
      </c>
    </row>
    <row r="1136" customFormat="false" ht="15" hidden="false" customHeight="false" outlineLevel="0" collapsed="false">
      <c r="A1136" s="3" t="n">
        <v>2015</v>
      </c>
      <c r="B1136" s="3" t="n">
        <v>2</v>
      </c>
      <c r="C1136" s="3" t="n">
        <v>8</v>
      </c>
      <c r="D1136" s="3" t="s">
        <v>1140</v>
      </c>
      <c r="E1136" s="4" t="n">
        <v>5</v>
      </c>
    </row>
    <row r="1137" customFormat="false" ht="15" hidden="false" customHeight="false" outlineLevel="0" collapsed="false">
      <c r="A1137" s="3" t="n">
        <v>2015</v>
      </c>
      <c r="B1137" s="3" t="n">
        <v>2</v>
      </c>
      <c r="C1137" s="3" t="n">
        <v>9</v>
      </c>
      <c r="D1137" s="3" t="s">
        <v>1141</v>
      </c>
      <c r="E1137" s="4" t="n">
        <v>12</v>
      </c>
    </row>
    <row r="1138" customFormat="false" ht="15" hidden="false" customHeight="false" outlineLevel="0" collapsed="false">
      <c r="A1138" s="3" t="n">
        <v>2015</v>
      </c>
      <c r="B1138" s="3" t="n">
        <v>2</v>
      </c>
      <c r="C1138" s="3" t="n">
        <v>10</v>
      </c>
      <c r="D1138" s="3" t="s">
        <v>1142</v>
      </c>
      <c r="E1138" s="4" t="n">
        <v>5</v>
      </c>
    </row>
    <row r="1139" customFormat="false" ht="15" hidden="false" customHeight="false" outlineLevel="0" collapsed="false">
      <c r="A1139" s="3" t="n">
        <v>2015</v>
      </c>
      <c r="B1139" s="3" t="n">
        <v>2</v>
      </c>
      <c r="C1139" s="3" t="n">
        <v>11</v>
      </c>
      <c r="D1139" s="3" t="s">
        <v>1143</v>
      </c>
      <c r="E1139" s="4" t="n">
        <v>0</v>
      </c>
    </row>
    <row r="1140" customFormat="false" ht="15" hidden="false" customHeight="false" outlineLevel="0" collapsed="false">
      <c r="A1140" s="3" t="n">
        <v>2015</v>
      </c>
      <c r="B1140" s="3" t="n">
        <v>2</v>
      </c>
      <c r="C1140" s="3" t="n">
        <v>12</v>
      </c>
      <c r="D1140" s="3" t="s">
        <v>1144</v>
      </c>
      <c r="E1140" s="4" t="n">
        <v>0</v>
      </c>
    </row>
    <row r="1141" customFormat="false" ht="15" hidden="false" customHeight="false" outlineLevel="0" collapsed="false">
      <c r="A1141" s="3" t="n">
        <v>2015</v>
      </c>
      <c r="B1141" s="3" t="n">
        <v>2</v>
      </c>
      <c r="C1141" s="3" t="n">
        <v>13</v>
      </c>
      <c r="D1141" s="3" t="s">
        <v>1145</v>
      </c>
      <c r="E1141" s="4" t="n">
        <v>0</v>
      </c>
    </row>
    <row r="1142" customFormat="false" ht="15" hidden="false" customHeight="false" outlineLevel="0" collapsed="false">
      <c r="A1142" s="3" t="n">
        <v>2015</v>
      </c>
      <c r="B1142" s="3" t="n">
        <v>2</v>
      </c>
      <c r="C1142" s="3" t="n">
        <v>14</v>
      </c>
      <c r="D1142" s="3" t="s">
        <v>1146</v>
      </c>
      <c r="E1142" s="4" t="n">
        <v>20</v>
      </c>
    </row>
    <row r="1143" customFormat="false" ht="15" hidden="false" customHeight="false" outlineLevel="0" collapsed="false">
      <c r="A1143" s="3" t="n">
        <v>2015</v>
      </c>
      <c r="B1143" s="3" t="n">
        <v>2</v>
      </c>
      <c r="C1143" s="3" t="n">
        <v>15</v>
      </c>
      <c r="D1143" s="3" t="s">
        <v>1147</v>
      </c>
      <c r="E1143" s="4" t="n">
        <v>0</v>
      </c>
    </row>
    <row r="1144" customFormat="false" ht="15" hidden="false" customHeight="false" outlineLevel="0" collapsed="false">
      <c r="A1144" s="3" t="n">
        <v>2015</v>
      </c>
      <c r="B1144" s="3" t="n">
        <v>2</v>
      </c>
      <c r="C1144" s="3" t="n">
        <v>16</v>
      </c>
      <c r="D1144" s="3" t="s">
        <v>1148</v>
      </c>
      <c r="E1144" s="4" t="n">
        <v>0</v>
      </c>
    </row>
    <row r="1145" customFormat="false" ht="15" hidden="false" customHeight="false" outlineLevel="0" collapsed="false">
      <c r="A1145" s="3" t="n">
        <v>2015</v>
      </c>
      <c r="B1145" s="3" t="n">
        <v>2</v>
      </c>
      <c r="C1145" s="3" t="n">
        <v>17</v>
      </c>
      <c r="D1145" s="3" t="s">
        <v>1149</v>
      </c>
      <c r="E1145" s="4" t="n">
        <v>0</v>
      </c>
    </row>
    <row r="1146" customFormat="false" ht="15" hidden="false" customHeight="false" outlineLevel="0" collapsed="false">
      <c r="A1146" s="3" t="n">
        <v>2015</v>
      </c>
      <c r="B1146" s="3" t="n">
        <v>2</v>
      </c>
      <c r="C1146" s="3" t="n">
        <v>18</v>
      </c>
      <c r="D1146" s="3" t="s">
        <v>1150</v>
      </c>
      <c r="E1146" s="4" t="n">
        <v>14</v>
      </c>
    </row>
    <row r="1147" customFormat="false" ht="15" hidden="false" customHeight="false" outlineLevel="0" collapsed="false">
      <c r="A1147" s="3" t="n">
        <v>2015</v>
      </c>
      <c r="B1147" s="3" t="n">
        <v>2</v>
      </c>
      <c r="C1147" s="3" t="n">
        <v>19</v>
      </c>
      <c r="D1147" s="3" t="s">
        <v>1151</v>
      </c>
      <c r="E1147" s="4" t="n">
        <v>40</v>
      </c>
    </row>
    <row r="1148" customFormat="false" ht="15" hidden="false" customHeight="false" outlineLevel="0" collapsed="false">
      <c r="A1148" s="3" t="n">
        <v>2015</v>
      </c>
      <c r="B1148" s="3" t="n">
        <v>2</v>
      </c>
      <c r="C1148" s="3" t="n">
        <v>20</v>
      </c>
      <c r="D1148" s="3" t="s">
        <v>1152</v>
      </c>
      <c r="E1148" s="4" t="n">
        <v>2</v>
      </c>
    </row>
    <row r="1149" customFormat="false" ht="15" hidden="false" customHeight="false" outlineLevel="0" collapsed="false">
      <c r="A1149" s="3" t="n">
        <v>2015</v>
      </c>
      <c r="B1149" s="3" t="n">
        <v>2</v>
      </c>
      <c r="C1149" s="3" t="n">
        <v>21</v>
      </c>
      <c r="D1149" s="3" t="s">
        <v>1153</v>
      </c>
      <c r="E1149" s="4" t="n">
        <v>0</v>
      </c>
    </row>
    <row r="1150" customFormat="false" ht="15" hidden="false" customHeight="false" outlineLevel="0" collapsed="false">
      <c r="A1150" s="3" t="n">
        <v>2015</v>
      </c>
      <c r="B1150" s="3" t="n">
        <v>2</v>
      </c>
      <c r="C1150" s="3" t="n">
        <v>22</v>
      </c>
      <c r="D1150" s="3" t="s">
        <v>1154</v>
      </c>
      <c r="E1150" s="4" t="n">
        <v>0</v>
      </c>
    </row>
    <row r="1151" customFormat="false" ht="15" hidden="false" customHeight="false" outlineLevel="0" collapsed="false">
      <c r="A1151" s="3" t="n">
        <v>2015</v>
      </c>
      <c r="B1151" s="3" t="n">
        <v>2</v>
      </c>
      <c r="C1151" s="3" t="n">
        <v>23</v>
      </c>
      <c r="D1151" s="3" t="s">
        <v>1155</v>
      </c>
      <c r="E1151" s="4" t="n">
        <v>0</v>
      </c>
    </row>
    <row r="1152" customFormat="false" ht="15" hidden="false" customHeight="false" outlineLevel="0" collapsed="false">
      <c r="A1152" s="3" t="n">
        <v>2015</v>
      </c>
      <c r="B1152" s="3" t="n">
        <v>2</v>
      </c>
      <c r="C1152" s="3" t="n">
        <v>24</v>
      </c>
      <c r="D1152" s="3" t="s">
        <v>1156</v>
      </c>
      <c r="E1152" s="4" t="n">
        <v>0</v>
      </c>
    </row>
    <row r="1153" customFormat="false" ht="15" hidden="false" customHeight="false" outlineLevel="0" collapsed="false">
      <c r="A1153" s="3" t="n">
        <v>2015</v>
      </c>
      <c r="B1153" s="3" t="n">
        <v>2</v>
      </c>
      <c r="C1153" s="3" t="n">
        <v>25</v>
      </c>
      <c r="D1153" s="3" t="s">
        <v>1157</v>
      </c>
      <c r="E1153" s="4" t="n">
        <v>0</v>
      </c>
    </row>
    <row r="1154" customFormat="false" ht="15" hidden="false" customHeight="false" outlineLevel="0" collapsed="false">
      <c r="A1154" s="3" t="n">
        <v>2015</v>
      </c>
      <c r="B1154" s="3" t="n">
        <v>2</v>
      </c>
      <c r="C1154" s="3" t="n">
        <v>26</v>
      </c>
      <c r="D1154" s="3" t="s">
        <v>1158</v>
      </c>
      <c r="E1154" s="4" t="n">
        <v>0</v>
      </c>
    </row>
    <row r="1155" customFormat="false" ht="15" hidden="false" customHeight="false" outlineLevel="0" collapsed="false">
      <c r="A1155" s="3" t="n">
        <v>2015</v>
      </c>
      <c r="B1155" s="3" t="n">
        <v>2</v>
      </c>
      <c r="C1155" s="3" t="n">
        <v>27</v>
      </c>
      <c r="D1155" s="3" t="s">
        <v>1159</v>
      </c>
      <c r="E1155" s="4" t="n">
        <v>0</v>
      </c>
    </row>
    <row r="1156" customFormat="false" ht="15" hidden="false" customHeight="false" outlineLevel="0" collapsed="false">
      <c r="A1156" s="3" t="n">
        <v>2015</v>
      </c>
      <c r="B1156" s="3" t="n">
        <v>2</v>
      </c>
      <c r="C1156" s="3" t="n">
        <v>28</v>
      </c>
      <c r="D1156" s="3" t="s">
        <v>1160</v>
      </c>
      <c r="E1156" s="4" t="n">
        <v>0</v>
      </c>
    </row>
    <row r="1157" customFormat="false" ht="15" hidden="false" customHeight="false" outlineLevel="0" collapsed="false">
      <c r="A1157" s="3" t="n">
        <v>2015</v>
      </c>
      <c r="B1157" s="3" t="n">
        <v>3</v>
      </c>
      <c r="C1157" s="3" t="n">
        <v>1</v>
      </c>
      <c r="D1157" s="3" t="s">
        <v>1161</v>
      </c>
      <c r="E1157" s="4" t="n">
        <v>0</v>
      </c>
    </row>
    <row r="1158" customFormat="false" ht="15" hidden="false" customHeight="false" outlineLevel="0" collapsed="false">
      <c r="A1158" s="3" t="n">
        <v>2015</v>
      </c>
      <c r="B1158" s="3" t="n">
        <v>3</v>
      </c>
      <c r="C1158" s="3" t="n">
        <v>2</v>
      </c>
      <c r="D1158" s="3" t="s">
        <v>1162</v>
      </c>
      <c r="E1158" s="4" t="n">
        <v>6</v>
      </c>
    </row>
    <row r="1159" customFormat="false" ht="15" hidden="false" customHeight="false" outlineLevel="0" collapsed="false">
      <c r="A1159" s="3" t="n">
        <v>2015</v>
      </c>
      <c r="B1159" s="3" t="n">
        <v>3</v>
      </c>
      <c r="C1159" s="3" t="n">
        <v>3</v>
      </c>
      <c r="D1159" s="3" t="s">
        <v>1163</v>
      </c>
      <c r="E1159" s="4" t="n">
        <v>13</v>
      </c>
    </row>
    <row r="1160" customFormat="false" ht="15" hidden="false" customHeight="false" outlineLevel="0" collapsed="false">
      <c r="A1160" s="3" t="n">
        <v>2015</v>
      </c>
      <c r="B1160" s="3" t="n">
        <v>3</v>
      </c>
      <c r="C1160" s="3" t="n">
        <v>4</v>
      </c>
      <c r="D1160" s="3" t="s">
        <v>1164</v>
      </c>
      <c r="E1160" s="4" t="n">
        <v>0</v>
      </c>
    </row>
    <row r="1161" customFormat="false" ht="15" hidden="false" customHeight="false" outlineLevel="0" collapsed="false">
      <c r="A1161" s="3" t="n">
        <v>2015</v>
      </c>
      <c r="B1161" s="3" t="n">
        <v>3</v>
      </c>
      <c r="C1161" s="3" t="n">
        <v>5</v>
      </c>
      <c r="D1161" s="3" t="s">
        <v>1165</v>
      </c>
      <c r="E1161" s="4" t="n">
        <v>0</v>
      </c>
    </row>
    <row r="1162" customFormat="false" ht="15" hidden="false" customHeight="false" outlineLevel="0" collapsed="false">
      <c r="A1162" s="3" t="n">
        <v>2015</v>
      </c>
      <c r="B1162" s="3" t="n">
        <v>3</v>
      </c>
      <c r="C1162" s="3" t="n">
        <v>6</v>
      </c>
      <c r="D1162" s="3" t="s">
        <v>1166</v>
      </c>
      <c r="E1162" s="4" t="n">
        <v>0</v>
      </c>
    </row>
    <row r="1163" customFormat="false" ht="15" hidden="false" customHeight="false" outlineLevel="0" collapsed="false">
      <c r="A1163" s="3" t="n">
        <v>2015</v>
      </c>
      <c r="B1163" s="3" t="n">
        <v>3</v>
      </c>
      <c r="C1163" s="3" t="n">
        <v>7</v>
      </c>
      <c r="D1163" s="3" t="s">
        <v>1167</v>
      </c>
      <c r="E1163" s="4" t="n">
        <v>0</v>
      </c>
    </row>
    <row r="1164" customFormat="false" ht="15" hidden="false" customHeight="false" outlineLevel="0" collapsed="false">
      <c r="A1164" s="3" t="n">
        <v>2015</v>
      </c>
      <c r="B1164" s="3" t="n">
        <v>3</v>
      </c>
      <c r="C1164" s="3" t="n">
        <v>8</v>
      </c>
      <c r="D1164" s="3" t="s">
        <v>1168</v>
      </c>
      <c r="E1164" s="4" t="n">
        <v>0</v>
      </c>
    </row>
    <row r="1165" customFormat="false" ht="15" hidden="false" customHeight="false" outlineLevel="0" collapsed="false">
      <c r="A1165" s="3" t="n">
        <v>2015</v>
      </c>
      <c r="B1165" s="3" t="n">
        <v>3</v>
      </c>
      <c r="C1165" s="3" t="n">
        <v>9</v>
      </c>
      <c r="D1165" s="3" t="s">
        <v>1169</v>
      </c>
      <c r="E1165" s="4" t="n">
        <v>0</v>
      </c>
    </row>
    <row r="1166" customFormat="false" ht="15" hidden="false" customHeight="false" outlineLevel="0" collapsed="false">
      <c r="A1166" s="3" t="n">
        <v>2015</v>
      </c>
      <c r="B1166" s="3" t="n">
        <v>3</v>
      </c>
      <c r="C1166" s="3" t="n">
        <v>10</v>
      </c>
      <c r="D1166" s="3" t="s">
        <v>1170</v>
      </c>
      <c r="E1166" s="4" t="n">
        <v>0</v>
      </c>
    </row>
    <row r="1167" customFormat="false" ht="15" hidden="false" customHeight="false" outlineLevel="0" collapsed="false">
      <c r="A1167" s="3" t="n">
        <v>2015</v>
      </c>
      <c r="B1167" s="3" t="n">
        <v>3</v>
      </c>
      <c r="C1167" s="3" t="n">
        <v>11</v>
      </c>
      <c r="D1167" s="3" t="s">
        <v>1171</v>
      </c>
      <c r="E1167" s="4" t="n">
        <v>39</v>
      </c>
    </row>
    <row r="1168" customFormat="false" ht="15" hidden="false" customHeight="false" outlineLevel="0" collapsed="false">
      <c r="A1168" s="3" t="n">
        <v>2015</v>
      </c>
      <c r="B1168" s="3" t="n">
        <v>3</v>
      </c>
      <c r="C1168" s="3" t="n">
        <v>12</v>
      </c>
      <c r="D1168" s="3" t="s">
        <v>1172</v>
      </c>
      <c r="E1168" s="4" t="n">
        <v>0</v>
      </c>
    </row>
    <row r="1169" customFormat="false" ht="15" hidden="false" customHeight="false" outlineLevel="0" collapsed="false">
      <c r="A1169" s="3" t="n">
        <v>2015</v>
      </c>
      <c r="B1169" s="3" t="n">
        <v>3</v>
      </c>
      <c r="C1169" s="3" t="n">
        <v>13</v>
      </c>
      <c r="D1169" s="3" t="s">
        <v>1173</v>
      </c>
      <c r="E1169" s="4" t="n">
        <v>2</v>
      </c>
    </row>
    <row r="1170" customFormat="false" ht="15" hidden="false" customHeight="false" outlineLevel="0" collapsed="false">
      <c r="A1170" s="3" t="n">
        <v>2015</v>
      </c>
      <c r="B1170" s="3" t="n">
        <v>3</v>
      </c>
      <c r="C1170" s="3" t="n">
        <v>14</v>
      </c>
      <c r="D1170" s="3" t="s">
        <v>1174</v>
      </c>
      <c r="E1170" s="4" t="n">
        <v>0</v>
      </c>
    </row>
    <row r="1171" customFormat="false" ht="15" hidden="false" customHeight="false" outlineLevel="0" collapsed="false">
      <c r="A1171" s="3" t="n">
        <v>2015</v>
      </c>
      <c r="B1171" s="3" t="n">
        <v>3</v>
      </c>
      <c r="C1171" s="3" t="n">
        <v>15</v>
      </c>
      <c r="D1171" s="3" t="s">
        <v>1175</v>
      </c>
      <c r="E1171" s="4" t="n">
        <v>0</v>
      </c>
    </row>
    <row r="1172" customFormat="false" ht="15" hidden="false" customHeight="false" outlineLevel="0" collapsed="false">
      <c r="A1172" s="3" t="n">
        <v>2015</v>
      </c>
      <c r="B1172" s="3" t="n">
        <v>3</v>
      </c>
      <c r="C1172" s="3" t="n">
        <v>16</v>
      </c>
      <c r="D1172" s="3" t="s">
        <v>1176</v>
      </c>
      <c r="E1172" s="4" t="n">
        <v>34</v>
      </c>
    </row>
    <row r="1173" customFormat="false" ht="15" hidden="false" customHeight="false" outlineLevel="0" collapsed="false">
      <c r="A1173" s="3" t="n">
        <v>2015</v>
      </c>
      <c r="B1173" s="3" t="n">
        <v>3</v>
      </c>
      <c r="C1173" s="3" t="n">
        <v>17</v>
      </c>
      <c r="D1173" s="3" t="s">
        <v>1177</v>
      </c>
      <c r="E1173" s="4" t="n">
        <v>0</v>
      </c>
    </row>
    <row r="1174" customFormat="false" ht="15" hidden="false" customHeight="false" outlineLevel="0" collapsed="false">
      <c r="A1174" s="3" t="n">
        <v>2015</v>
      </c>
      <c r="B1174" s="3" t="n">
        <v>3</v>
      </c>
      <c r="C1174" s="3" t="n">
        <v>18</v>
      </c>
      <c r="D1174" s="3" t="s">
        <v>1178</v>
      </c>
      <c r="E1174" s="4" t="n">
        <v>0</v>
      </c>
    </row>
    <row r="1175" customFormat="false" ht="15" hidden="false" customHeight="false" outlineLevel="0" collapsed="false">
      <c r="A1175" s="3" t="n">
        <v>2015</v>
      </c>
      <c r="B1175" s="3" t="n">
        <v>3</v>
      </c>
      <c r="C1175" s="3" t="n">
        <v>19</v>
      </c>
      <c r="D1175" s="3" t="s">
        <v>1179</v>
      </c>
      <c r="E1175" s="4" t="n">
        <v>0</v>
      </c>
    </row>
    <row r="1176" customFormat="false" ht="15" hidden="false" customHeight="false" outlineLevel="0" collapsed="false">
      <c r="A1176" s="3" t="n">
        <v>2015</v>
      </c>
      <c r="B1176" s="3" t="n">
        <v>3</v>
      </c>
      <c r="C1176" s="3" t="n">
        <v>20</v>
      </c>
      <c r="D1176" s="3" t="s">
        <v>1180</v>
      </c>
      <c r="E1176" s="4" t="n">
        <v>0</v>
      </c>
    </row>
    <row r="1177" customFormat="false" ht="15" hidden="false" customHeight="false" outlineLevel="0" collapsed="false">
      <c r="A1177" s="3" t="n">
        <v>2015</v>
      </c>
      <c r="B1177" s="3" t="n">
        <v>3</v>
      </c>
      <c r="C1177" s="3" t="n">
        <v>21</v>
      </c>
      <c r="D1177" s="3" t="s">
        <v>1181</v>
      </c>
      <c r="E1177" s="4" t="n">
        <v>0</v>
      </c>
    </row>
    <row r="1178" customFormat="false" ht="15" hidden="false" customHeight="false" outlineLevel="0" collapsed="false">
      <c r="A1178" s="3" t="n">
        <v>2015</v>
      </c>
      <c r="B1178" s="3" t="n">
        <v>3</v>
      </c>
      <c r="C1178" s="3" t="n">
        <v>22</v>
      </c>
      <c r="D1178" s="3" t="s">
        <v>1182</v>
      </c>
      <c r="E1178" s="4" t="n">
        <v>0</v>
      </c>
    </row>
    <row r="1179" customFormat="false" ht="15" hidden="false" customHeight="false" outlineLevel="0" collapsed="false">
      <c r="A1179" s="3" t="n">
        <v>2015</v>
      </c>
      <c r="B1179" s="3" t="n">
        <v>3</v>
      </c>
      <c r="C1179" s="3" t="n">
        <v>23</v>
      </c>
      <c r="D1179" s="3" t="s">
        <v>1183</v>
      </c>
      <c r="E1179" s="4" t="n">
        <v>0</v>
      </c>
    </row>
    <row r="1180" customFormat="false" ht="15" hidden="false" customHeight="false" outlineLevel="0" collapsed="false">
      <c r="A1180" s="3" t="n">
        <v>2015</v>
      </c>
      <c r="B1180" s="3" t="n">
        <v>3</v>
      </c>
      <c r="C1180" s="3" t="n">
        <v>24</v>
      </c>
      <c r="D1180" s="3" t="s">
        <v>1184</v>
      </c>
      <c r="E1180" s="4" t="n">
        <v>0</v>
      </c>
    </row>
    <row r="1181" customFormat="false" ht="15" hidden="false" customHeight="false" outlineLevel="0" collapsed="false">
      <c r="A1181" s="3" t="n">
        <v>2015</v>
      </c>
      <c r="B1181" s="3" t="n">
        <v>3</v>
      </c>
      <c r="C1181" s="3" t="n">
        <v>25</v>
      </c>
      <c r="D1181" s="3" t="s">
        <v>1185</v>
      </c>
      <c r="E1181" s="4" t="n">
        <v>11</v>
      </c>
    </row>
    <row r="1182" customFormat="false" ht="15" hidden="false" customHeight="false" outlineLevel="0" collapsed="false">
      <c r="A1182" s="3" t="n">
        <v>2015</v>
      </c>
      <c r="B1182" s="3" t="n">
        <v>3</v>
      </c>
      <c r="C1182" s="3" t="n">
        <v>26</v>
      </c>
      <c r="D1182" s="3" t="s">
        <v>1186</v>
      </c>
      <c r="E1182" s="4" t="n">
        <v>71</v>
      </c>
    </row>
    <row r="1183" customFormat="false" ht="15" hidden="false" customHeight="false" outlineLevel="0" collapsed="false">
      <c r="A1183" s="3" t="n">
        <v>2015</v>
      </c>
      <c r="B1183" s="3" t="n">
        <v>3</v>
      </c>
      <c r="C1183" s="3" t="n">
        <v>27</v>
      </c>
      <c r="D1183" s="3" t="s">
        <v>1187</v>
      </c>
      <c r="E1183" s="4" t="n">
        <v>6</v>
      </c>
    </row>
    <row r="1184" customFormat="false" ht="15" hidden="false" customHeight="false" outlineLevel="0" collapsed="false">
      <c r="A1184" s="3" t="n">
        <v>2015</v>
      </c>
      <c r="B1184" s="3" t="n">
        <v>3</v>
      </c>
      <c r="C1184" s="3" t="n">
        <v>28</v>
      </c>
      <c r="D1184" s="3" t="s">
        <v>1188</v>
      </c>
      <c r="E1184" s="4" t="n">
        <v>27</v>
      </c>
    </row>
    <row r="1185" customFormat="false" ht="15" hidden="false" customHeight="false" outlineLevel="0" collapsed="false">
      <c r="A1185" s="3" t="n">
        <v>2015</v>
      </c>
      <c r="B1185" s="3" t="n">
        <v>3</v>
      </c>
      <c r="C1185" s="3" t="n">
        <v>29</v>
      </c>
      <c r="D1185" s="3" t="s">
        <v>1189</v>
      </c>
      <c r="E1185" s="4" t="n">
        <v>0</v>
      </c>
    </row>
    <row r="1186" customFormat="false" ht="15" hidden="false" customHeight="false" outlineLevel="0" collapsed="false">
      <c r="A1186" s="3" t="n">
        <v>2015</v>
      </c>
      <c r="B1186" s="3" t="n">
        <v>3</v>
      </c>
      <c r="C1186" s="3" t="n">
        <v>30</v>
      </c>
      <c r="D1186" s="3" t="s">
        <v>1190</v>
      </c>
      <c r="E1186" s="4" t="n">
        <v>0</v>
      </c>
    </row>
    <row r="1187" customFormat="false" ht="15" hidden="false" customHeight="false" outlineLevel="0" collapsed="false">
      <c r="A1187" s="3" t="n">
        <v>2015</v>
      </c>
      <c r="B1187" s="3" t="n">
        <v>3</v>
      </c>
      <c r="C1187" s="3" t="n">
        <v>31</v>
      </c>
      <c r="D1187" s="3" t="s">
        <v>1191</v>
      </c>
      <c r="E1187" s="4" t="n">
        <v>13</v>
      </c>
    </row>
    <row r="1188" customFormat="false" ht="15" hidden="false" customHeight="false" outlineLevel="0" collapsed="false">
      <c r="A1188" s="3" t="n">
        <v>2015</v>
      </c>
      <c r="B1188" s="3" t="n">
        <v>4</v>
      </c>
      <c r="C1188" s="3" t="n">
        <v>1</v>
      </c>
      <c r="D1188" s="3" t="s">
        <v>1192</v>
      </c>
      <c r="E1188" s="4" t="n">
        <v>0</v>
      </c>
    </row>
    <row r="1189" customFormat="false" ht="15" hidden="false" customHeight="false" outlineLevel="0" collapsed="false">
      <c r="A1189" s="3" t="n">
        <v>2015</v>
      </c>
      <c r="B1189" s="3" t="n">
        <v>4</v>
      </c>
      <c r="C1189" s="3" t="n">
        <v>2</v>
      </c>
      <c r="D1189" s="3" t="s">
        <v>1193</v>
      </c>
      <c r="E1189" s="4" t="n">
        <v>29</v>
      </c>
    </row>
    <row r="1190" customFormat="false" ht="15" hidden="false" customHeight="false" outlineLevel="0" collapsed="false">
      <c r="A1190" s="3" t="n">
        <v>2015</v>
      </c>
      <c r="B1190" s="3" t="n">
        <v>4</v>
      </c>
      <c r="C1190" s="3" t="n">
        <v>3</v>
      </c>
      <c r="D1190" s="3" t="s">
        <v>1194</v>
      </c>
      <c r="E1190" s="4" t="n">
        <v>5</v>
      </c>
    </row>
    <row r="1191" customFormat="false" ht="15" hidden="false" customHeight="false" outlineLevel="0" collapsed="false">
      <c r="A1191" s="3" t="n">
        <v>2015</v>
      </c>
      <c r="B1191" s="3" t="n">
        <v>4</v>
      </c>
      <c r="C1191" s="3" t="n">
        <v>4</v>
      </c>
      <c r="D1191" s="3" t="s">
        <v>1195</v>
      </c>
      <c r="E1191" s="4" t="n">
        <v>13</v>
      </c>
    </row>
    <row r="1192" customFormat="false" ht="15" hidden="false" customHeight="false" outlineLevel="0" collapsed="false">
      <c r="A1192" s="3" t="n">
        <v>2015</v>
      </c>
      <c r="B1192" s="3" t="n">
        <v>4</v>
      </c>
      <c r="C1192" s="3" t="n">
        <v>5</v>
      </c>
      <c r="D1192" s="3" t="s">
        <v>1196</v>
      </c>
      <c r="E1192" s="4" t="n">
        <v>0</v>
      </c>
    </row>
    <row r="1193" customFormat="false" ht="15" hidden="false" customHeight="false" outlineLevel="0" collapsed="false">
      <c r="A1193" s="3" t="n">
        <v>2015</v>
      </c>
      <c r="B1193" s="3" t="n">
        <v>4</v>
      </c>
      <c r="C1193" s="3" t="n">
        <v>6</v>
      </c>
      <c r="D1193" s="3" t="s">
        <v>1197</v>
      </c>
      <c r="E1193" s="4" t="n">
        <v>0</v>
      </c>
    </row>
    <row r="1194" customFormat="false" ht="15" hidden="false" customHeight="false" outlineLevel="0" collapsed="false">
      <c r="A1194" s="3" t="n">
        <v>2015</v>
      </c>
      <c r="B1194" s="3" t="n">
        <v>4</v>
      </c>
      <c r="C1194" s="3" t="n">
        <v>7</v>
      </c>
      <c r="D1194" s="3" t="s">
        <v>1198</v>
      </c>
      <c r="E1194" s="4" t="n">
        <v>0</v>
      </c>
    </row>
    <row r="1195" customFormat="false" ht="15" hidden="false" customHeight="false" outlineLevel="0" collapsed="false">
      <c r="A1195" s="3" t="n">
        <v>2015</v>
      </c>
      <c r="B1195" s="3" t="n">
        <v>4</v>
      </c>
      <c r="C1195" s="3" t="n">
        <v>8</v>
      </c>
      <c r="D1195" s="3" t="s">
        <v>1199</v>
      </c>
      <c r="E1195" s="4" t="n">
        <v>12</v>
      </c>
    </row>
    <row r="1196" customFormat="false" ht="15" hidden="false" customHeight="false" outlineLevel="0" collapsed="false">
      <c r="A1196" s="3" t="n">
        <v>2015</v>
      </c>
      <c r="B1196" s="3" t="n">
        <v>4</v>
      </c>
      <c r="C1196" s="3" t="n">
        <v>9</v>
      </c>
      <c r="D1196" s="3" t="s">
        <v>1200</v>
      </c>
      <c r="E1196" s="4" t="n">
        <v>3</v>
      </c>
    </row>
    <row r="1197" customFormat="false" ht="15" hidden="false" customHeight="false" outlineLevel="0" collapsed="false">
      <c r="A1197" s="3" t="n">
        <v>2015</v>
      </c>
      <c r="B1197" s="3" t="n">
        <v>4</v>
      </c>
      <c r="C1197" s="3" t="n">
        <v>10</v>
      </c>
      <c r="D1197" s="3" t="s">
        <v>1201</v>
      </c>
      <c r="E1197" s="4" t="n">
        <v>66</v>
      </c>
    </row>
    <row r="1198" customFormat="false" ht="15" hidden="false" customHeight="false" outlineLevel="0" collapsed="false">
      <c r="A1198" s="3" t="n">
        <v>2015</v>
      </c>
      <c r="B1198" s="3" t="n">
        <v>4</v>
      </c>
      <c r="C1198" s="3" t="n">
        <v>11</v>
      </c>
      <c r="D1198" s="3" t="s">
        <v>1202</v>
      </c>
      <c r="E1198" s="4" t="n">
        <v>1</v>
      </c>
    </row>
    <row r="1199" customFormat="false" ht="15" hidden="false" customHeight="false" outlineLevel="0" collapsed="false">
      <c r="A1199" s="3" t="n">
        <v>2015</v>
      </c>
      <c r="B1199" s="3" t="n">
        <v>4</v>
      </c>
      <c r="C1199" s="3" t="n">
        <v>12</v>
      </c>
      <c r="D1199" s="3" t="s">
        <v>1203</v>
      </c>
      <c r="E1199" s="4" t="n">
        <v>1</v>
      </c>
    </row>
    <row r="1200" customFormat="false" ht="15" hidden="false" customHeight="false" outlineLevel="0" collapsed="false">
      <c r="A1200" s="3" t="n">
        <v>2015</v>
      </c>
      <c r="B1200" s="3" t="n">
        <v>4</v>
      </c>
      <c r="C1200" s="3" t="n">
        <v>13</v>
      </c>
      <c r="D1200" s="3" t="s">
        <v>1204</v>
      </c>
      <c r="E1200" s="4" t="n">
        <v>0</v>
      </c>
    </row>
    <row r="1201" customFormat="false" ht="15" hidden="false" customHeight="false" outlineLevel="0" collapsed="false">
      <c r="A1201" s="3" t="n">
        <v>2015</v>
      </c>
      <c r="B1201" s="3" t="n">
        <v>4</v>
      </c>
      <c r="C1201" s="3" t="n">
        <v>14</v>
      </c>
      <c r="D1201" s="3" t="s">
        <v>1205</v>
      </c>
      <c r="E1201" s="4" t="n">
        <v>0</v>
      </c>
    </row>
    <row r="1202" customFormat="false" ht="15" hidden="false" customHeight="false" outlineLevel="0" collapsed="false">
      <c r="A1202" s="3" t="n">
        <v>2015</v>
      </c>
      <c r="B1202" s="3" t="n">
        <v>4</v>
      </c>
      <c r="C1202" s="3" t="n">
        <v>15</v>
      </c>
      <c r="D1202" s="3" t="s">
        <v>1206</v>
      </c>
      <c r="E1202" s="4" t="n">
        <v>0</v>
      </c>
    </row>
    <row r="1203" customFormat="false" ht="15" hidden="false" customHeight="false" outlineLevel="0" collapsed="false">
      <c r="A1203" s="3" t="n">
        <v>2015</v>
      </c>
      <c r="B1203" s="3" t="n">
        <v>4</v>
      </c>
      <c r="C1203" s="3" t="n">
        <v>16</v>
      </c>
      <c r="D1203" s="3" t="s">
        <v>1207</v>
      </c>
      <c r="E1203" s="4" t="n">
        <v>0</v>
      </c>
    </row>
    <row r="1204" customFormat="false" ht="15" hidden="false" customHeight="false" outlineLevel="0" collapsed="false">
      <c r="A1204" s="3" t="n">
        <v>2015</v>
      </c>
      <c r="B1204" s="3" t="n">
        <v>4</v>
      </c>
      <c r="C1204" s="3" t="n">
        <v>17</v>
      </c>
      <c r="D1204" s="3" t="s">
        <v>1208</v>
      </c>
      <c r="E1204" s="4" t="n">
        <v>0</v>
      </c>
    </row>
    <row r="1205" customFormat="false" ht="15" hidden="false" customHeight="false" outlineLevel="0" collapsed="false">
      <c r="A1205" s="3" t="n">
        <v>2015</v>
      </c>
      <c r="B1205" s="3" t="n">
        <v>4</v>
      </c>
      <c r="C1205" s="3" t="n">
        <v>18</v>
      </c>
      <c r="D1205" s="3" t="s">
        <v>1209</v>
      </c>
      <c r="E1205" s="4" t="n">
        <v>0</v>
      </c>
    </row>
    <row r="1206" customFormat="false" ht="15" hidden="false" customHeight="false" outlineLevel="0" collapsed="false">
      <c r="A1206" s="3" t="n">
        <v>2015</v>
      </c>
      <c r="B1206" s="3" t="n">
        <v>4</v>
      </c>
      <c r="C1206" s="3" t="n">
        <v>19</v>
      </c>
      <c r="D1206" s="3" t="s">
        <v>1210</v>
      </c>
      <c r="E1206" s="4" t="n">
        <v>0</v>
      </c>
    </row>
    <row r="1207" customFormat="false" ht="15" hidden="false" customHeight="false" outlineLevel="0" collapsed="false">
      <c r="A1207" s="3" t="n">
        <v>2015</v>
      </c>
      <c r="B1207" s="3" t="n">
        <v>4</v>
      </c>
      <c r="C1207" s="3" t="n">
        <v>20</v>
      </c>
      <c r="D1207" s="3" t="s">
        <v>1211</v>
      </c>
      <c r="E1207" s="4" t="n">
        <v>67</v>
      </c>
    </row>
    <row r="1208" customFormat="false" ht="15" hidden="false" customHeight="false" outlineLevel="0" collapsed="false">
      <c r="A1208" s="3" t="n">
        <v>2015</v>
      </c>
      <c r="B1208" s="3" t="n">
        <v>4</v>
      </c>
      <c r="C1208" s="3" t="n">
        <v>21</v>
      </c>
      <c r="D1208" s="3" t="s">
        <v>1212</v>
      </c>
      <c r="E1208" s="4" t="n">
        <v>0</v>
      </c>
    </row>
    <row r="1209" customFormat="false" ht="15" hidden="false" customHeight="false" outlineLevel="0" collapsed="false">
      <c r="A1209" s="3" t="n">
        <v>2015</v>
      </c>
      <c r="B1209" s="3" t="n">
        <v>4</v>
      </c>
      <c r="C1209" s="3" t="n">
        <v>22</v>
      </c>
      <c r="D1209" s="3" t="s">
        <v>1213</v>
      </c>
      <c r="E1209" s="4" t="n">
        <v>0</v>
      </c>
    </row>
    <row r="1210" customFormat="false" ht="15" hidden="false" customHeight="false" outlineLevel="0" collapsed="false">
      <c r="A1210" s="3" t="n">
        <v>2015</v>
      </c>
      <c r="B1210" s="3" t="n">
        <v>4</v>
      </c>
      <c r="C1210" s="3" t="n">
        <v>23</v>
      </c>
      <c r="D1210" s="3" t="s">
        <v>1214</v>
      </c>
      <c r="E1210" s="4" t="n">
        <v>0</v>
      </c>
    </row>
    <row r="1211" customFormat="false" ht="15" hidden="false" customHeight="false" outlineLevel="0" collapsed="false">
      <c r="A1211" s="3" t="n">
        <v>2015</v>
      </c>
      <c r="B1211" s="3" t="n">
        <v>4</v>
      </c>
      <c r="C1211" s="3" t="n">
        <v>24</v>
      </c>
      <c r="D1211" s="3" t="s">
        <v>1215</v>
      </c>
      <c r="E1211" s="4" t="n">
        <v>0</v>
      </c>
    </row>
    <row r="1212" customFormat="false" ht="15" hidden="false" customHeight="false" outlineLevel="0" collapsed="false">
      <c r="A1212" s="3" t="n">
        <v>2015</v>
      </c>
      <c r="B1212" s="3" t="n">
        <v>4</v>
      </c>
      <c r="C1212" s="3" t="n">
        <v>25</v>
      </c>
      <c r="D1212" s="3" t="s">
        <v>1216</v>
      </c>
      <c r="E1212" s="4" t="n">
        <v>3</v>
      </c>
    </row>
    <row r="1213" customFormat="false" ht="15" hidden="false" customHeight="false" outlineLevel="0" collapsed="false">
      <c r="A1213" s="3" t="n">
        <v>2015</v>
      </c>
      <c r="B1213" s="3" t="n">
        <v>4</v>
      </c>
      <c r="C1213" s="3" t="n">
        <v>26</v>
      </c>
      <c r="D1213" s="3" t="s">
        <v>1217</v>
      </c>
      <c r="E1213" s="4" t="n">
        <v>2</v>
      </c>
    </row>
    <row r="1214" customFormat="false" ht="15" hidden="false" customHeight="false" outlineLevel="0" collapsed="false">
      <c r="A1214" s="3" t="n">
        <v>2015</v>
      </c>
      <c r="B1214" s="3" t="n">
        <v>4</v>
      </c>
      <c r="C1214" s="3" t="n">
        <v>27</v>
      </c>
      <c r="D1214" s="3" t="s">
        <v>1218</v>
      </c>
      <c r="E1214" s="4" t="n">
        <v>0</v>
      </c>
    </row>
    <row r="1215" customFormat="false" ht="15" hidden="false" customHeight="false" outlineLevel="0" collapsed="false">
      <c r="A1215" s="3" t="n">
        <v>2015</v>
      </c>
      <c r="B1215" s="3" t="n">
        <v>4</v>
      </c>
      <c r="C1215" s="3" t="n">
        <v>28</v>
      </c>
      <c r="D1215" s="3" t="s">
        <v>1219</v>
      </c>
      <c r="E1215" s="4" t="n">
        <v>0</v>
      </c>
    </row>
    <row r="1216" customFormat="false" ht="15" hidden="false" customHeight="false" outlineLevel="0" collapsed="false">
      <c r="A1216" s="3" t="n">
        <v>2015</v>
      </c>
      <c r="B1216" s="3" t="n">
        <v>4</v>
      </c>
      <c r="C1216" s="3" t="n">
        <v>29</v>
      </c>
      <c r="D1216" s="3" t="s">
        <v>1220</v>
      </c>
      <c r="E1216" s="4" t="n">
        <v>0</v>
      </c>
    </row>
    <row r="1217" customFormat="false" ht="15" hidden="false" customHeight="false" outlineLevel="0" collapsed="false">
      <c r="A1217" s="3" t="n">
        <v>2015</v>
      </c>
      <c r="B1217" s="3" t="n">
        <v>4</v>
      </c>
      <c r="C1217" s="3" t="n">
        <v>30</v>
      </c>
      <c r="D1217" s="3" t="s">
        <v>1221</v>
      </c>
      <c r="E1217" s="4" t="n">
        <v>0</v>
      </c>
    </row>
    <row r="1218" customFormat="false" ht="15" hidden="false" customHeight="false" outlineLevel="0" collapsed="false">
      <c r="A1218" s="3" t="n">
        <v>2015</v>
      </c>
      <c r="B1218" s="3" t="n">
        <v>5</v>
      </c>
      <c r="C1218" s="3" t="n">
        <v>1</v>
      </c>
      <c r="D1218" s="3" t="s">
        <v>1222</v>
      </c>
      <c r="E1218" s="4" t="n">
        <v>23</v>
      </c>
    </row>
    <row r="1219" customFormat="false" ht="15" hidden="false" customHeight="false" outlineLevel="0" collapsed="false">
      <c r="A1219" s="3" t="n">
        <v>2015</v>
      </c>
      <c r="B1219" s="3" t="n">
        <v>5</v>
      </c>
      <c r="C1219" s="3" t="n">
        <v>2</v>
      </c>
      <c r="D1219" s="3" t="s">
        <v>1223</v>
      </c>
      <c r="E1219" s="4" t="n">
        <v>7</v>
      </c>
    </row>
    <row r="1220" customFormat="false" ht="15" hidden="false" customHeight="false" outlineLevel="0" collapsed="false">
      <c r="A1220" s="3" t="n">
        <v>2015</v>
      </c>
      <c r="B1220" s="3" t="n">
        <v>5</v>
      </c>
      <c r="C1220" s="3" t="n">
        <v>3</v>
      </c>
      <c r="D1220" s="3" t="s">
        <v>1224</v>
      </c>
      <c r="E1220" s="4" t="n">
        <v>0</v>
      </c>
    </row>
    <row r="1221" customFormat="false" ht="15" hidden="false" customHeight="false" outlineLevel="0" collapsed="false">
      <c r="A1221" s="3" t="n">
        <v>2015</v>
      </c>
      <c r="B1221" s="3" t="n">
        <v>5</v>
      </c>
      <c r="C1221" s="3" t="n">
        <v>4</v>
      </c>
      <c r="D1221" s="3" t="s">
        <v>1225</v>
      </c>
      <c r="E1221" s="4" t="n">
        <v>8</v>
      </c>
    </row>
    <row r="1222" customFormat="false" ht="15" hidden="false" customHeight="false" outlineLevel="0" collapsed="false">
      <c r="A1222" s="3" t="n">
        <v>2015</v>
      </c>
      <c r="B1222" s="3" t="n">
        <v>5</v>
      </c>
      <c r="C1222" s="3" t="n">
        <v>5</v>
      </c>
      <c r="D1222" s="3" t="s">
        <v>1226</v>
      </c>
      <c r="E1222" s="4" t="n">
        <v>0</v>
      </c>
    </row>
    <row r="1223" customFormat="false" ht="15" hidden="false" customHeight="false" outlineLevel="0" collapsed="false">
      <c r="A1223" s="3" t="n">
        <v>2015</v>
      </c>
      <c r="B1223" s="3" t="n">
        <v>5</v>
      </c>
      <c r="C1223" s="3" t="n">
        <v>6</v>
      </c>
      <c r="D1223" s="3" t="s">
        <v>1227</v>
      </c>
      <c r="E1223" s="4" t="n">
        <v>0</v>
      </c>
    </row>
    <row r="1224" customFormat="false" ht="15" hidden="false" customHeight="false" outlineLevel="0" collapsed="false">
      <c r="A1224" s="3" t="n">
        <v>2015</v>
      </c>
      <c r="B1224" s="3" t="n">
        <v>5</v>
      </c>
      <c r="C1224" s="3" t="n">
        <v>7</v>
      </c>
      <c r="D1224" s="3" t="s">
        <v>1228</v>
      </c>
      <c r="E1224" s="4" t="n">
        <v>0</v>
      </c>
    </row>
    <row r="1225" customFormat="false" ht="15" hidden="false" customHeight="false" outlineLevel="0" collapsed="false">
      <c r="A1225" s="3" t="n">
        <v>2015</v>
      </c>
      <c r="B1225" s="3" t="n">
        <v>5</v>
      </c>
      <c r="C1225" s="3" t="n">
        <v>8</v>
      </c>
      <c r="D1225" s="3" t="s">
        <v>1229</v>
      </c>
      <c r="E1225" s="4" t="n">
        <v>0</v>
      </c>
    </row>
    <row r="1226" customFormat="false" ht="15" hidden="false" customHeight="false" outlineLevel="0" collapsed="false">
      <c r="A1226" s="3" t="n">
        <v>2015</v>
      </c>
      <c r="B1226" s="3" t="n">
        <v>5</v>
      </c>
      <c r="C1226" s="3" t="n">
        <v>9</v>
      </c>
      <c r="D1226" s="3" t="s">
        <v>1230</v>
      </c>
      <c r="E1226" s="4" t="n">
        <v>67</v>
      </c>
    </row>
    <row r="1227" customFormat="false" ht="15" hidden="false" customHeight="false" outlineLevel="0" collapsed="false">
      <c r="A1227" s="3" t="n">
        <v>2015</v>
      </c>
      <c r="B1227" s="3" t="n">
        <v>5</v>
      </c>
      <c r="C1227" s="3" t="n">
        <v>10</v>
      </c>
      <c r="D1227" s="3" t="s">
        <v>1231</v>
      </c>
      <c r="E1227" s="4" t="n">
        <v>8</v>
      </c>
    </row>
    <row r="1228" customFormat="false" ht="15" hidden="false" customHeight="false" outlineLevel="0" collapsed="false">
      <c r="A1228" s="3" t="n">
        <v>2015</v>
      </c>
      <c r="B1228" s="3" t="n">
        <v>5</v>
      </c>
      <c r="C1228" s="3" t="n">
        <v>11</v>
      </c>
      <c r="D1228" s="3" t="s">
        <v>1232</v>
      </c>
      <c r="E1228" s="4" t="n">
        <v>23</v>
      </c>
    </row>
    <row r="1229" customFormat="false" ht="15" hidden="false" customHeight="false" outlineLevel="0" collapsed="false">
      <c r="A1229" s="3" t="n">
        <v>2015</v>
      </c>
      <c r="B1229" s="3" t="n">
        <v>5</v>
      </c>
      <c r="C1229" s="3" t="n">
        <v>12</v>
      </c>
      <c r="D1229" s="3" t="s">
        <v>1233</v>
      </c>
      <c r="E1229" s="4" t="n">
        <v>25</v>
      </c>
    </row>
    <row r="1230" customFormat="false" ht="15" hidden="false" customHeight="false" outlineLevel="0" collapsed="false">
      <c r="A1230" s="3" t="n">
        <v>2015</v>
      </c>
      <c r="B1230" s="3" t="n">
        <v>5</v>
      </c>
      <c r="C1230" s="3" t="n">
        <v>13</v>
      </c>
      <c r="D1230" s="3" t="s">
        <v>1234</v>
      </c>
      <c r="E1230" s="4" t="n">
        <v>0</v>
      </c>
    </row>
    <row r="1231" customFormat="false" ht="15" hidden="false" customHeight="false" outlineLevel="0" collapsed="false">
      <c r="A1231" s="3" t="n">
        <v>2015</v>
      </c>
      <c r="B1231" s="3" t="n">
        <v>5</v>
      </c>
      <c r="C1231" s="3" t="n">
        <v>14</v>
      </c>
      <c r="D1231" s="3" t="s">
        <v>1235</v>
      </c>
      <c r="E1231" s="4" t="n">
        <v>8</v>
      </c>
    </row>
    <row r="1232" customFormat="false" ht="15" hidden="false" customHeight="false" outlineLevel="0" collapsed="false">
      <c r="A1232" s="3" t="n">
        <v>2015</v>
      </c>
      <c r="B1232" s="3" t="n">
        <v>5</v>
      </c>
      <c r="C1232" s="3" t="n">
        <v>15</v>
      </c>
      <c r="D1232" s="3" t="s">
        <v>1236</v>
      </c>
      <c r="E1232" s="4" t="n">
        <v>7</v>
      </c>
    </row>
    <row r="1233" customFormat="false" ht="15" hidden="false" customHeight="false" outlineLevel="0" collapsed="false">
      <c r="A1233" s="3" t="n">
        <v>2015</v>
      </c>
      <c r="B1233" s="3" t="n">
        <v>5</v>
      </c>
      <c r="C1233" s="3" t="n">
        <v>16</v>
      </c>
      <c r="D1233" s="3" t="s">
        <v>1237</v>
      </c>
      <c r="E1233" s="4" t="n">
        <v>63</v>
      </c>
    </row>
    <row r="1234" customFormat="false" ht="15" hidden="false" customHeight="false" outlineLevel="0" collapsed="false">
      <c r="A1234" s="3" t="n">
        <v>2015</v>
      </c>
      <c r="B1234" s="3" t="n">
        <v>5</v>
      </c>
      <c r="C1234" s="3" t="n">
        <v>17</v>
      </c>
      <c r="D1234" s="3" t="s">
        <v>1238</v>
      </c>
      <c r="E1234" s="4" t="n">
        <v>0</v>
      </c>
    </row>
    <row r="1235" customFormat="false" ht="15" hidden="false" customHeight="false" outlineLevel="0" collapsed="false">
      <c r="A1235" s="3" t="n">
        <v>2015</v>
      </c>
      <c r="B1235" s="3" t="n">
        <v>5</v>
      </c>
      <c r="C1235" s="3" t="n">
        <v>18</v>
      </c>
      <c r="D1235" s="3" t="s">
        <v>1239</v>
      </c>
      <c r="E1235" s="4" t="n">
        <v>17</v>
      </c>
    </row>
    <row r="1236" customFormat="false" ht="15" hidden="false" customHeight="false" outlineLevel="0" collapsed="false">
      <c r="A1236" s="3" t="n">
        <v>2015</v>
      </c>
      <c r="B1236" s="3" t="n">
        <v>5</v>
      </c>
      <c r="C1236" s="3" t="n">
        <v>19</v>
      </c>
      <c r="D1236" s="3" t="s">
        <v>1240</v>
      </c>
      <c r="E1236" s="4" t="n">
        <v>0</v>
      </c>
    </row>
    <row r="1237" customFormat="false" ht="15" hidden="false" customHeight="false" outlineLevel="0" collapsed="false">
      <c r="A1237" s="3" t="n">
        <v>2015</v>
      </c>
      <c r="B1237" s="3" t="n">
        <v>5</v>
      </c>
      <c r="C1237" s="3" t="n">
        <v>20</v>
      </c>
      <c r="D1237" s="3" t="s">
        <v>1241</v>
      </c>
      <c r="E1237" s="4" t="n">
        <v>0</v>
      </c>
    </row>
    <row r="1238" customFormat="false" ht="15" hidden="false" customHeight="false" outlineLevel="0" collapsed="false">
      <c r="A1238" s="3" t="n">
        <v>2015</v>
      </c>
      <c r="B1238" s="3" t="n">
        <v>5</v>
      </c>
      <c r="C1238" s="3" t="n">
        <v>21</v>
      </c>
      <c r="D1238" s="3" t="s">
        <v>1242</v>
      </c>
      <c r="E1238" s="4" t="n">
        <v>0</v>
      </c>
    </row>
    <row r="1239" customFormat="false" ht="15" hidden="false" customHeight="false" outlineLevel="0" collapsed="false">
      <c r="A1239" s="3" t="n">
        <v>2015</v>
      </c>
      <c r="B1239" s="3" t="n">
        <v>5</v>
      </c>
      <c r="C1239" s="3" t="n">
        <v>22</v>
      </c>
      <c r="D1239" s="3" t="s">
        <v>1243</v>
      </c>
      <c r="E1239" s="4" t="n">
        <v>33</v>
      </c>
    </row>
    <row r="1240" customFormat="false" ht="15" hidden="false" customHeight="false" outlineLevel="0" collapsed="false">
      <c r="A1240" s="3" t="n">
        <v>2015</v>
      </c>
      <c r="B1240" s="3" t="n">
        <v>5</v>
      </c>
      <c r="C1240" s="3" t="n">
        <v>23</v>
      </c>
      <c r="D1240" s="3" t="s">
        <v>1244</v>
      </c>
      <c r="E1240" s="4" t="n">
        <v>13</v>
      </c>
    </row>
    <row r="1241" customFormat="false" ht="15" hidden="false" customHeight="false" outlineLevel="0" collapsed="false">
      <c r="A1241" s="3" t="n">
        <v>2015</v>
      </c>
      <c r="B1241" s="3" t="n">
        <v>5</v>
      </c>
      <c r="C1241" s="3" t="n">
        <v>24</v>
      </c>
      <c r="D1241" s="3" t="s">
        <v>1245</v>
      </c>
      <c r="E1241" s="4" t="n">
        <v>23</v>
      </c>
    </row>
    <row r="1242" customFormat="false" ht="15" hidden="false" customHeight="false" outlineLevel="0" collapsed="false">
      <c r="A1242" s="3" t="n">
        <v>2015</v>
      </c>
      <c r="B1242" s="3" t="n">
        <v>5</v>
      </c>
      <c r="C1242" s="3" t="n">
        <v>25</v>
      </c>
      <c r="D1242" s="3" t="s">
        <v>1246</v>
      </c>
      <c r="E1242" s="4" t="n">
        <v>0</v>
      </c>
    </row>
    <row r="1243" customFormat="false" ht="15" hidden="false" customHeight="false" outlineLevel="0" collapsed="false">
      <c r="A1243" s="3" t="n">
        <v>2015</v>
      </c>
      <c r="B1243" s="3" t="n">
        <v>5</v>
      </c>
      <c r="C1243" s="3" t="n">
        <v>26</v>
      </c>
      <c r="D1243" s="3" t="s">
        <v>1247</v>
      </c>
      <c r="E1243" s="4" t="n">
        <v>0</v>
      </c>
    </row>
    <row r="1244" customFormat="false" ht="15" hidden="false" customHeight="false" outlineLevel="0" collapsed="false">
      <c r="A1244" s="3" t="n">
        <v>2015</v>
      </c>
      <c r="B1244" s="3" t="n">
        <v>5</v>
      </c>
      <c r="C1244" s="3" t="n">
        <v>27</v>
      </c>
      <c r="D1244" s="3" t="s">
        <v>1248</v>
      </c>
      <c r="E1244" s="4" t="n">
        <v>0</v>
      </c>
    </row>
    <row r="1245" customFormat="false" ht="15" hidden="false" customHeight="false" outlineLevel="0" collapsed="false">
      <c r="A1245" s="3" t="n">
        <v>2015</v>
      </c>
      <c r="B1245" s="3" t="n">
        <v>5</v>
      </c>
      <c r="C1245" s="3" t="n">
        <v>28</v>
      </c>
      <c r="D1245" s="3" t="s">
        <v>1249</v>
      </c>
      <c r="E1245" s="4" t="n">
        <v>0</v>
      </c>
    </row>
    <row r="1246" customFormat="false" ht="15" hidden="false" customHeight="false" outlineLevel="0" collapsed="false">
      <c r="A1246" s="3" t="n">
        <v>2015</v>
      </c>
      <c r="B1246" s="3" t="n">
        <v>5</v>
      </c>
      <c r="C1246" s="3" t="n">
        <v>29</v>
      </c>
      <c r="D1246" s="3" t="s">
        <v>1250</v>
      </c>
      <c r="E1246" s="4" t="n">
        <v>16</v>
      </c>
    </row>
    <row r="1247" customFormat="false" ht="15" hidden="false" customHeight="false" outlineLevel="0" collapsed="false">
      <c r="A1247" s="3" t="n">
        <v>2015</v>
      </c>
      <c r="B1247" s="3" t="n">
        <v>5</v>
      </c>
      <c r="C1247" s="3" t="n">
        <v>30</v>
      </c>
      <c r="D1247" s="3" t="s">
        <v>1251</v>
      </c>
      <c r="E1247" s="4" t="n">
        <v>0</v>
      </c>
    </row>
    <row r="1248" customFormat="false" ht="15" hidden="false" customHeight="false" outlineLevel="0" collapsed="false">
      <c r="A1248" s="3" t="n">
        <v>2015</v>
      </c>
      <c r="B1248" s="3" t="n">
        <v>5</v>
      </c>
      <c r="C1248" s="3" t="n">
        <v>31</v>
      </c>
      <c r="D1248" s="3" t="s">
        <v>1252</v>
      </c>
      <c r="E1248" s="4" t="n">
        <v>0</v>
      </c>
    </row>
    <row r="1249" customFormat="false" ht="15" hidden="false" customHeight="false" outlineLevel="0" collapsed="false">
      <c r="A1249" s="3" t="n">
        <v>2015</v>
      </c>
      <c r="B1249" s="3" t="n">
        <v>6</v>
      </c>
      <c r="C1249" s="3" t="n">
        <v>1</v>
      </c>
      <c r="D1249" s="3" t="s">
        <v>1253</v>
      </c>
      <c r="E1249" s="4" t="n">
        <v>0</v>
      </c>
    </row>
    <row r="1250" customFormat="false" ht="15" hidden="false" customHeight="false" outlineLevel="0" collapsed="false">
      <c r="A1250" s="3" t="n">
        <v>2015</v>
      </c>
      <c r="B1250" s="3" t="n">
        <v>6</v>
      </c>
      <c r="C1250" s="3" t="n">
        <v>2</v>
      </c>
      <c r="D1250" s="3" t="s">
        <v>1254</v>
      </c>
      <c r="E1250" s="4" t="n">
        <v>0</v>
      </c>
    </row>
    <row r="1251" customFormat="false" ht="15" hidden="false" customHeight="false" outlineLevel="0" collapsed="false">
      <c r="A1251" s="3" t="n">
        <v>2015</v>
      </c>
      <c r="B1251" s="3" t="n">
        <v>6</v>
      </c>
      <c r="C1251" s="3" t="n">
        <v>3</v>
      </c>
      <c r="D1251" s="3" t="s">
        <v>1255</v>
      </c>
      <c r="E1251" s="4" t="n">
        <v>0</v>
      </c>
    </row>
    <row r="1252" customFormat="false" ht="15" hidden="false" customHeight="false" outlineLevel="0" collapsed="false">
      <c r="A1252" s="3" t="n">
        <v>2015</v>
      </c>
      <c r="B1252" s="3" t="n">
        <v>6</v>
      </c>
      <c r="C1252" s="3" t="n">
        <v>4</v>
      </c>
      <c r="D1252" s="3" t="s">
        <v>1256</v>
      </c>
      <c r="E1252" s="4" t="n">
        <v>4</v>
      </c>
    </row>
    <row r="1253" customFormat="false" ht="15" hidden="false" customHeight="false" outlineLevel="0" collapsed="false">
      <c r="A1253" s="3" t="n">
        <v>2015</v>
      </c>
      <c r="B1253" s="3" t="n">
        <v>6</v>
      </c>
      <c r="C1253" s="3" t="n">
        <v>5</v>
      </c>
      <c r="D1253" s="3" t="s">
        <v>1257</v>
      </c>
      <c r="E1253" s="4" t="n">
        <v>0</v>
      </c>
    </row>
    <row r="1254" customFormat="false" ht="15" hidden="false" customHeight="false" outlineLevel="0" collapsed="false">
      <c r="A1254" s="3" t="n">
        <v>2015</v>
      </c>
      <c r="B1254" s="3" t="n">
        <v>6</v>
      </c>
      <c r="C1254" s="3" t="n">
        <v>6</v>
      </c>
      <c r="D1254" s="3" t="s">
        <v>1258</v>
      </c>
      <c r="E1254" s="4" t="n">
        <v>5</v>
      </c>
    </row>
    <row r="1255" customFormat="false" ht="15" hidden="false" customHeight="false" outlineLevel="0" collapsed="false">
      <c r="A1255" s="3" t="n">
        <v>2015</v>
      </c>
      <c r="B1255" s="3" t="n">
        <v>6</v>
      </c>
      <c r="C1255" s="3" t="n">
        <v>7</v>
      </c>
      <c r="D1255" s="3" t="s">
        <v>1259</v>
      </c>
      <c r="E1255" s="4" t="n">
        <v>62</v>
      </c>
    </row>
    <row r="1256" customFormat="false" ht="15" hidden="false" customHeight="false" outlineLevel="0" collapsed="false">
      <c r="A1256" s="3" t="n">
        <v>2015</v>
      </c>
      <c r="B1256" s="3" t="n">
        <v>6</v>
      </c>
      <c r="C1256" s="3" t="n">
        <v>8</v>
      </c>
      <c r="D1256" s="3" t="s">
        <v>1260</v>
      </c>
      <c r="E1256" s="4" t="n">
        <v>11</v>
      </c>
    </row>
    <row r="1257" customFormat="false" ht="15" hidden="false" customHeight="false" outlineLevel="0" collapsed="false">
      <c r="A1257" s="3" t="n">
        <v>2015</v>
      </c>
      <c r="B1257" s="3" t="n">
        <v>6</v>
      </c>
      <c r="C1257" s="3" t="n">
        <v>9</v>
      </c>
      <c r="D1257" s="3" t="s">
        <v>1261</v>
      </c>
      <c r="E1257" s="4" t="n">
        <v>11</v>
      </c>
    </row>
    <row r="1258" customFormat="false" ht="15" hidden="false" customHeight="false" outlineLevel="0" collapsed="false">
      <c r="A1258" s="3" t="n">
        <v>2015</v>
      </c>
      <c r="B1258" s="3" t="n">
        <v>6</v>
      </c>
      <c r="C1258" s="3" t="n">
        <v>10</v>
      </c>
      <c r="D1258" s="3" t="s">
        <v>1262</v>
      </c>
      <c r="E1258" s="4" t="n">
        <v>0</v>
      </c>
    </row>
    <row r="1259" customFormat="false" ht="15" hidden="false" customHeight="false" outlineLevel="0" collapsed="false">
      <c r="A1259" s="3" t="n">
        <v>2015</v>
      </c>
      <c r="B1259" s="3" t="n">
        <v>6</v>
      </c>
      <c r="C1259" s="3" t="n">
        <v>11</v>
      </c>
      <c r="D1259" s="3" t="s">
        <v>1263</v>
      </c>
      <c r="E1259" s="4" t="n">
        <v>0</v>
      </c>
    </row>
    <row r="1260" customFormat="false" ht="15" hidden="false" customHeight="false" outlineLevel="0" collapsed="false">
      <c r="A1260" s="3" t="n">
        <v>2015</v>
      </c>
      <c r="B1260" s="3" t="n">
        <v>6</v>
      </c>
      <c r="C1260" s="3" t="n">
        <v>12</v>
      </c>
      <c r="D1260" s="3" t="s">
        <v>1264</v>
      </c>
      <c r="E1260" s="4" t="n">
        <v>40</v>
      </c>
    </row>
    <row r="1261" customFormat="false" ht="15" hidden="false" customHeight="false" outlineLevel="0" collapsed="false">
      <c r="A1261" s="3" t="n">
        <v>2015</v>
      </c>
      <c r="B1261" s="3" t="n">
        <v>6</v>
      </c>
      <c r="C1261" s="3" t="n">
        <v>13</v>
      </c>
      <c r="D1261" s="3" t="s">
        <v>1265</v>
      </c>
      <c r="E1261" s="4" t="n">
        <v>48</v>
      </c>
    </row>
    <row r="1262" customFormat="false" ht="15" hidden="false" customHeight="false" outlineLevel="0" collapsed="false">
      <c r="A1262" s="3" t="n">
        <v>2015</v>
      </c>
      <c r="B1262" s="3" t="n">
        <v>6</v>
      </c>
      <c r="C1262" s="3" t="n">
        <v>14</v>
      </c>
      <c r="D1262" s="3" t="s">
        <v>1266</v>
      </c>
      <c r="E1262" s="4" t="n">
        <v>43</v>
      </c>
    </row>
    <row r="1263" customFormat="false" ht="15" hidden="false" customHeight="false" outlineLevel="0" collapsed="false">
      <c r="A1263" s="3" t="n">
        <v>2015</v>
      </c>
      <c r="B1263" s="3" t="n">
        <v>6</v>
      </c>
      <c r="C1263" s="3" t="n">
        <v>15</v>
      </c>
      <c r="D1263" s="3" t="s">
        <v>1267</v>
      </c>
      <c r="E1263" s="4" t="n">
        <v>0</v>
      </c>
    </row>
    <row r="1264" customFormat="false" ht="15" hidden="false" customHeight="false" outlineLevel="0" collapsed="false">
      <c r="A1264" s="3" t="n">
        <v>2015</v>
      </c>
      <c r="B1264" s="3" t="n">
        <v>6</v>
      </c>
      <c r="C1264" s="3" t="n">
        <v>16</v>
      </c>
      <c r="D1264" s="3" t="s">
        <v>1268</v>
      </c>
      <c r="E1264" s="4" t="n">
        <v>1</v>
      </c>
    </row>
    <row r="1265" customFormat="false" ht="15" hidden="false" customHeight="false" outlineLevel="0" collapsed="false">
      <c r="A1265" s="3" t="n">
        <v>2015</v>
      </c>
      <c r="B1265" s="3" t="n">
        <v>6</v>
      </c>
      <c r="C1265" s="3" t="n">
        <v>17</v>
      </c>
      <c r="D1265" s="3" t="s">
        <v>1269</v>
      </c>
      <c r="E1265" s="4" t="n">
        <v>0</v>
      </c>
    </row>
    <row r="1266" customFormat="false" ht="15" hidden="false" customHeight="false" outlineLevel="0" collapsed="false">
      <c r="A1266" s="3" t="n">
        <v>2015</v>
      </c>
      <c r="B1266" s="3" t="n">
        <v>6</v>
      </c>
      <c r="C1266" s="3" t="n">
        <v>18</v>
      </c>
      <c r="D1266" s="3" t="s">
        <v>1270</v>
      </c>
      <c r="E1266" s="4" t="n">
        <v>0</v>
      </c>
    </row>
    <row r="1267" customFormat="false" ht="15" hidden="false" customHeight="false" outlineLevel="0" collapsed="false">
      <c r="A1267" s="3" t="n">
        <v>2015</v>
      </c>
      <c r="B1267" s="3" t="n">
        <v>6</v>
      </c>
      <c r="C1267" s="3" t="n">
        <v>19</v>
      </c>
      <c r="D1267" s="3" t="s">
        <v>1271</v>
      </c>
      <c r="E1267" s="4" t="n">
        <v>0</v>
      </c>
    </row>
    <row r="1268" customFormat="false" ht="15" hidden="false" customHeight="false" outlineLevel="0" collapsed="false">
      <c r="A1268" s="3" t="n">
        <v>2015</v>
      </c>
      <c r="B1268" s="3" t="n">
        <v>6</v>
      </c>
      <c r="C1268" s="3" t="n">
        <v>20</v>
      </c>
      <c r="D1268" s="3" t="s">
        <v>1272</v>
      </c>
      <c r="E1268" s="4" t="n">
        <v>0</v>
      </c>
    </row>
    <row r="1269" customFormat="false" ht="15" hidden="false" customHeight="false" outlineLevel="0" collapsed="false">
      <c r="A1269" s="3" t="n">
        <v>2015</v>
      </c>
      <c r="B1269" s="3" t="n">
        <v>6</v>
      </c>
      <c r="C1269" s="3" t="n">
        <v>21</v>
      </c>
      <c r="D1269" s="3" t="s">
        <v>1273</v>
      </c>
      <c r="E1269" s="4" t="n">
        <v>0</v>
      </c>
    </row>
    <row r="1270" customFormat="false" ht="15" hidden="false" customHeight="false" outlineLevel="0" collapsed="false">
      <c r="A1270" s="3" t="n">
        <v>2015</v>
      </c>
      <c r="B1270" s="3" t="n">
        <v>6</v>
      </c>
      <c r="C1270" s="3" t="n">
        <v>22</v>
      </c>
      <c r="D1270" s="3" t="s">
        <v>1274</v>
      </c>
      <c r="E1270" s="4" t="n">
        <v>0</v>
      </c>
    </row>
    <row r="1271" customFormat="false" ht="15" hidden="false" customHeight="false" outlineLevel="0" collapsed="false">
      <c r="A1271" s="3" t="n">
        <v>2015</v>
      </c>
      <c r="B1271" s="3" t="n">
        <v>6</v>
      </c>
      <c r="C1271" s="3" t="n">
        <v>23</v>
      </c>
      <c r="D1271" s="3" t="s">
        <v>1275</v>
      </c>
      <c r="E1271" s="4" t="n">
        <v>0</v>
      </c>
    </row>
    <row r="1272" customFormat="false" ht="15" hidden="false" customHeight="false" outlineLevel="0" collapsed="false">
      <c r="A1272" s="3" t="n">
        <v>2015</v>
      </c>
      <c r="B1272" s="3" t="n">
        <v>6</v>
      </c>
      <c r="C1272" s="3" t="n">
        <v>24</v>
      </c>
      <c r="D1272" s="3" t="s">
        <v>1276</v>
      </c>
      <c r="E1272" s="4" t="n">
        <v>0</v>
      </c>
    </row>
    <row r="1273" customFormat="false" ht="15" hidden="false" customHeight="false" outlineLevel="0" collapsed="false">
      <c r="A1273" s="3" t="n">
        <v>2015</v>
      </c>
      <c r="B1273" s="3" t="n">
        <v>6</v>
      </c>
      <c r="C1273" s="3" t="n">
        <v>25</v>
      </c>
      <c r="D1273" s="3" t="s">
        <v>1277</v>
      </c>
      <c r="E1273" s="4" t="n">
        <v>0</v>
      </c>
    </row>
    <row r="1274" customFormat="false" ht="15" hidden="false" customHeight="false" outlineLevel="0" collapsed="false">
      <c r="A1274" s="3" t="n">
        <v>2015</v>
      </c>
      <c r="B1274" s="3" t="n">
        <v>6</v>
      </c>
      <c r="C1274" s="3" t="n">
        <v>26</v>
      </c>
      <c r="D1274" s="3" t="s">
        <v>1278</v>
      </c>
      <c r="E1274" s="4" t="n">
        <v>0</v>
      </c>
    </row>
    <row r="1275" customFormat="false" ht="15" hidden="false" customHeight="false" outlineLevel="0" collapsed="false">
      <c r="A1275" s="3" t="n">
        <v>2015</v>
      </c>
      <c r="B1275" s="3" t="n">
        <v>6</v>
      </c>
      <c r="C1275" s="3" t="n">
        <v>27</v>
      </c>
      <c r="D1275" s="3" t="s">
        <v>1279</v>
      </c>
      <c r="E1275" s="4" t="n">
        <v>4</v>
      </c>
    </row>
    <row r="1276" customFormat="false" ht="15" hidden="false" customHeight="false" outlineLevel="0" collapsed="false">
      <c r="A1276" s="3" t="n">
        <v>2015</v>
      </c>
      <c r="B1276" s="3" t="n">
        <v>6</v>
      </c>
      <c r="C1276" s="3" t="n">
        <v>28</v>
      </c>
      <c r="D1276" s="3" t="s">
        <v>1280</v>
      </c>
      <c r="E1276" s="4" t="n">
        <v>55</v>
      </c>
    </row>
    <row r="1277" customFormat="false" ht="15" hidden="false" customHeight="false" outlineLevel="0" collapsed="false">
      <c r="A1277" s="3" t="n">
        <v>2015</v>
      </c>
      <c r="B1277" s="3" t="n">
        <v>6</v>
      </c>
      <c r="C1277" s="3" t="n">
        <v>29</v>
      </c>
      <c r="D1277" s="3" t="s">
        <v>1281</v>
      </c>
      <c r="E1277" s="4" t="n">
        <v>0</v>
      </c>
    </row>
    <row r="1278" customFormat="false" ht="15" hidden="false" customHeight="false" outlineLevel="0" collapsed="false">
      <c r="A1278" s="3" t="n">
        <v>2015</v>
      </c>
      <c r="B1278" s="3" t="n">
        <v>6</v>
      </c>
      <c r="C1278" s="3" t="n">
        <v>30</v>
      </c>
      <c r="D1278" s="3" t="s">
        <v>1282</v>
      </c>
      <c r="E1278" s="4" t="n">
        <v>0</v>
      </c>
    </row>
    <row r="1279" customFormat="false" ht="15" hidden="false" customHeight="false" outlineLevel="0" collapsed="false">
      <c r="A1279" s="3" t="n">
        <v>2015</v>
      </c>
      <c r="B1279" s="3" t="n">
        <v>7</v>
      </c>
      <c r="C1279" s="3" t="n">
        <v>1</v>
      </c>
      <c r="D1279" s="3" t="s">
        <v>1283</v>
      </c>
      <c r="E1279" s="4" t="n">
        <v>0</v>
      </c>
    </row>
    <row r="1280" customFormat="false" ht="15" hidden="false" customHeight="false" outlineLevel="0" collapsed="false">
      <c r="A1280" s="3" t="n">
        <v>2015</v>
      </c>
      <c r="B1280" s="3" t="n">
        <v>7</v>
      </c>
      <c r="C1280" s="3" t="n">
        <v>2</v>
      </c>
      <c r="D1280" s="3" t="s">
        <v>1284</v>
      </c>
      <c r="E1280" s="4" t="n">
        <v>0</v>
      </c>
    </row>
    <row r="1281" customFormat="false" ht="15" hidden="false" customHeight="false" outlineLevel="0" collapsed="false">
      <c r="A1281" s="3" t="n">
        <v>2015</v>
      </c>
      <c r="B1281" s="3" t="n">
        <v>7</v>
      </c>
      <c r="C1281" s="3" t="n">
        <v>3</v>
      </c>
      <c r="D1281" s="3" t="s">
        <v>1285</v>
      </c>
      <c r="E1281" s="4" t="n">
        <v>0</v>
      </c>
    </row>
    <row r="1282" customFormat="false" ht="15" hidden="false" customHeight="false" outlineLevel="0" collapsed="false">
      <c r="A1282" s="3" t="n">
        <v>2015</v>
      </c>
      <c r="B1282" s="3" t="n">
        <v>7</v>
      </c>
      <c r="C1282" s="3" t="n">
        <v>4</v>
      </c>
      <c r="D1282" s="3" t="s">
        <v>1286</v>
      </c>
      <c r="E1282" s="4" t="n">
        <v>0</v>
      </c>
    </row>
    <row r="1283" customFormat="false" ht="15" hidden="false" customHeight="false" outlineLevel="0" collapsed="false">
      <c r="A1283" s="3" t="n">
        <v>2015</v>
      </c>
      <c r="B1283" s="3" t="n">
        <v>7</v>
      </c>
      <c r="C1283" s="3" t="n">
        <v>5</v>
      </c>
      <c r="D1283" s="3" t="s">
        <v>1287</v>
      </c>
      <c r="E1283" s="4" t="n">
        <v>0</v>
      </c>
    </row>
    <row r="1284" customFormat="false" ht="15" hidden="false" customHeight="false" outlineLevel="0" collapsed="false">
      <c r="A1284" s="3" t="n">
        <v>2015</v>
      </c>
      <c r="B1284" s="3" t="n">
        <v>7</v>
      </c>
      <c r="C1284" s="3" t="n">
        <v>6</v>
      </c>
      <c r="D1284" s="3" t="s">
        <v>1288</v>
      </c>
      <c r="E1284" s="4" t="n">
        <v>0</v>
      </c>
    </row>
    <row r="1285" customFormat="false" ht="15" hidden="false" customHeight="false" outlineLevel="0" collapsed="false">
      <c r="A1285" s="3" t="n">
        <v>2015</v>
      </c>
      <c r="B1285" s="3" t="n">
        <v>7</v>
      </c>
      <c r="C1285" s="3" t="n">
        <v>7</v>
      </c>
      <c r="D1285" s="3" t="s">
        <v>1289</v>
      </c>
      <c r="E1285" s="4" t="n">
        <v>0</v>
      </c>
    </row>
    <row r="1286" customFormat="false" ht="15" hidden="false" customHeight="false" outlineLevel="0" collapsed="false">
      <c r="A1286" s="3" t="n">
        <v>2015</v>
      </c>
      <c r="B1286" s="3" t="n">
        <v>7</v>
      </c>
      <c r="C1286" s="3" t="n">
        <v>8</v>
      </c>
      <c r="D1286" s="3" t="s">
        <v>1290</v>
      </c>
      <c r="E1286" s="4" t="n">
        <v>0</v>
      </c>
    </row>
    <row r="1287" customFormat="false" ht="15" hidden="false" customHeight="false" outlineLevel="0" collapsed="false">
      <c r="A1287" s="3" t="n">
        <v>2015</v>
      </c>
      <c r="B1287" s="3" t="n">
        <v>7</v>
      </c>
      <c r="C1287" s="3" t="n">
        <v>9</v>
      </c>
      <c r="D1287" s="3" t="s">
        <v>1291</v>
      </c>
      <c r="E1287" s="4" t="n">
        <v>0</v>
      </c>
    </row>
    <row r="1288" customFormat="false" ht="15" hidden="false" customHeight="false" outlineLevel="0" collapsed="false">
      <c r="A1288" s="3" t="n">
        <v>2015</v>
      </c>
      <c r="B1288" s="3" t="n">
        <v>7</v>
      </c>
      <c r="C1288" s="3" t="n">
        <v>10</v>
      </c>
      <c r="D1288" s="3" t="s">
        <v>1292</v>
      </c>
      <c r="E1288" s="4" t="n">
        <v>0</v>
      </c>
    </row>
    <row r="1289" customFormat="false" ht="15" hidden="false" customHeight="false" outlineLevel="0" collapsed="false">
      <c r="A1289" s="3" t="n">
        <v>2015</v>
      </c>
      <c r="B1289" s="3" t="n">
        <v>7</v>
      </c>
      <c r="C1289" s="3" t="n">
        <v>11</v>
      </c>
      <c r="D1289" s="3" t="s">
        <v>1293</v>
      </c>
      <c r="E1289" s="4" t="n">
        <v>0</v>
      </c>
    </row>
    <row r="1290" customFormat="false" ht="15" hidden="false" customHeight="false" outlineLevel="0" collapsed="false">
      <c r="A1290" s="3" t="n">
        <v>2015</v>
      </c>
      <c r="B1290" s="3" t="n">
        <v>7</v>
      </c>
      <c r="C1290" s="3" t="n">
        <v>12</v>
      </c>
      <c r="D1290" s="3" t="s">
        <v>1294</v>
      </c>
      <c r="E1290" s="4" t="n">
        <v>0</v>
      </c>
    </row>
    <row r="1291" customFormat="false" ht="15" hidden="false" customHeight="false" outlineLevel="0" collapsed="false">
      <c r="A1291" s="3" t="n">
        <v>2015</v>
      </c>
      <c r="B1291" s="3" t="n">
        <v>7</v>
      </c>
      <c r="C1291" s="3" t="n">
        <v>13</v>
      </c>
      <c r="D1291" s="3" t="s">
        <v>1295</v>
      </c>
      <c r="E1291" s="4" t="n">
        <v>0</v>
      </c>
    </row>
    <row r="1292" customFormat="false" ht="15" hidden="false" customHeight="false" outlineLevel="0" collapsed="false">
      <c r="A1292" s="3" t="n">
        <v>2015</v>
      </c>
      <c r="B1292" s="3" t="n">
        <v>7</v>
      </c>
      <c r="C1292" s="3" t="n">
        <v>14</v>
      </c>
      <c r="D1292" s="3" t="s">
        <v>1296</v>
      </c>
      <c r="E1292" s="4" t="n">
        <v>0</v>
      </c>
    </row>
    <row r="1293" customFormat="false" ht="15" hidden="false" customHeight="false" outlineLevel="0" collapsed="false">
      <c r="A1293" s="3" t="n">
        <v>2015</v>
      </c>
      <c r="B1293" s="3" t="n">
        <v>7</v>
      </c>
      <c r="C1293" s="3" t="n">
        <v>15</v>
      </c>
      <c r="D1293" s="3" t="s">
        <v>1297</v>
      </c>
      <c r="E1293" s="4" t="n">
        <v>0</v>
      </c>
    </row>
    <row r="1294" customFormat="false" ht="15" hidden="false" customHeight="false" outlineLevel="0" collapsed="false">
      <c r="A1294" s="3" t="n">
        <v>2015</v>
      </c>
      <c r="B1294" s="3" t="n">
        <v>7</v>
      </c>
      <c r="C1294" s="3" t="n">
        <v>16</v>
      </c>
      <c r="D1294" s="3" t="s">
        <v>1298</v>
      </c>
      <c r="E1294" s="4" t="n">
        <v>12</v>
      </c>
    </row>
    <row r="1295" customFormat="false" ht="15" hidden="false" customHeight="false" outlineLevel="0" collapsed="false">
      <c r="A1295" s="3" t="n">
        <v>2015</v>
      </c>
      <c r="B1295" s="3" t="n">
        <v>7</v>
      </c>
      <c r="C1295" s="3" t="n">
        <v>17</v>
      </c>
      <c r="D1295" s="3" t="s">
        <v>1299</v>
      </c>
      <c r="E1295" s="4" t="n">
        <v>0</v>
      </c>
    </row>
    <row r="1296" customFormat="false" ht="15" hidden="false" customHeight="false" outlineLevel="0" collapsed="false">
      <c r="A1296" s="3" t="n">
        <v>2015</v>
      </c>
      <c r="B1296" s="3" t="n">
        <v>7</v>
      </c>
      <c r="C1296" s="3" t="n">
        <v>18</v>
      </c>
      <c r="D1296" s="3" t="s">
        <v>1300</v>
      </c>
      <c r="E1296" s="4" t="n">
        <v>0</v>
      </c>
    </row>
    <row r="1297" customFormat="false" ht="15" hidden="false" customHeight="false" outlineLevel="0" collapsed="false">
      <c r="A1297" s="3" t="n">
        <v>2015</v>
      </c>
      <c r="B1297" s="3" t="n">
        <v>7</v>
      </c>
      <c r="C1297" s="3" t="n">
        <v>19</v>
      </c>
      <c r="D1297" s="3" t="s">
        <v>1301</v>
      </c>
      <c r="E1297" s="4" t="n">
        <v>0</v>
      </c>
    </row>
    <row r="1298" customFormat="false" ht="15" hidden="false" customHeight="false" outlineLevel="0" collapsed="false">
      <c r="A1298" s="3" t="n">
        <v>2015</v>
      </c>
      <c r="B1298" s="3" t="n">
        <v>7</v>
      </c>
      <c r="C1298" s="3" t="n">
        <v>20</v>
      </c>
      <c r="D1298" s="3" t="s">
        <v>1302</v>
      </c>
      <c r="E1298" s="4" t="n">
        <v>0</v>
      </c>
    </row>
    <row r="1299" customFormat="false" ht="15" hidden="false" customHeight="false" outlineLevel="0" collapsed="false">
      <c r="A1299" s="3" t="n">
        <v>2015</v>
      </c>
      <c r="B1299" s="3" t="n">
        <v>7</v>
      </c>
      <c r="C1299" s="3" t="n">
        <v>21</v>
      </c>
      <c r="D1299" s="3" t="s">
        <v>1303</v>
      </c>
      <c r="E1299" s="4" t="n">
        <v>28</v>
      </c>
    </row>
    <row r="1300" customFormat="false" ht="15" hidden="false" customHeight="false" outlineLevel="0" collapsed="false">
      <c r="A1300" s="3" t="n">
        <v>2015</v>
      </c>
      <c r="B1300" s="3" t="n">
        <v>7</v>
      </c>
      <c r="C1300" s="3" t="n">
        <v>22</v>
      </c>
      <c r="D1300" s="3" t="s">
        <v>1304</v>
      </c>
      <c r="E1300" s="4" t="n">
        <v>0</v>
      </c>
    </row>
    <row r="1301" customFormat="false" ht="15" hidden="false" customHeight="false" outlineLevel="0" collapsed="false">
      <c r="A1301" s="3" t="n">
        <v>2015</v>
      </c>
      <c r="B1301" s="3" t="n">
        <v>7</v>
      </c>
      <c r="C1301" s="3" t="n">
        <v>23</v>
      </c>
      <c r="D1301" s="3" t="s">
        <v>1305</v>
      </c>
      <c r="E1301" s="4" t="n">
        <v>0</v>
      </c>
    </row>
    <row r="1302" customFormat="false" ht="15" hidden="false" customHeight="false" outlineLevel="0" collapsed="false">
      <c r="A1302" s="3" t="n">
        <v>2015</v>
      </c>
      <c r="B1302" s="3" t="n">
        <v>7</v>
      </c>
      <c r="C1302" s="3" t="n">
        <v>24</v>
      </c>
      <c r="D1302" s="3" t="s">
        <v>1306</v>
      </c>
      <c r="E1302" s="4" t="n">
        <v>0</v>
      </c>
    </row>
    <row r="1303" customFormat="false" ht="15" hidden="false" customHeight="false" outlineLevel="0" collapsed="false">
      <c r="A1303" s="3" t="n">
        <v>2015</v>
      </c>
      <c r="B1303" s="3" t="n">
        <v>7</v>
      </c>
      <c r="C1303" s="3" t="n">
        <v>25</v>
      </c>
      <c r="D1303" s="3" t="s">
        <v>1307</v>
      </c>
      <c r="E1303" s="4" t="n">
        <v>0</v>
      </c>
    </row>
    <row r="1304" customFormat="false" ht="15" hidden="false" customHeight="false" outlineLevel="0" collapsed="false">
      <c r="A1304" s="3" t="n">
        <v>2015</v>
      </c>
      <c r="B1304" s="3" t="n">
        <v>7</v>
      </c>
      <c r="C1304" s="3" t="n">
        <v>26</v>
      </c>
      <c r="D1304" s="3" t="s">
        <v>1308</v>
      </c>
      <c r="E1304" s="4" t="n">
        <v>91</v>
      </c>
    </row>
    <row r="1305" customFormat="false" ht="15" hidden="false" customHeight="false" outlineLevel="0" collapsed="false">
      <c r="A1305" s="3" t="n">
        <v>2015</v>
      </c>
      <c r="B1305" s="3" t="n">
        <v>7</v>
      </c>
      <c r="C1305" s="3" t="n">
        <v>27</v>
      </c>
      <c r="D1305" s="3" t="s">
        <v>1309</v>
      </c>
      <c r="E1305" s="4" t="n">
        <v>0</v>
      </c>
    </row>
    <row r="1306" customFormat="false" ht="15" hidden="false" customHeight="false" outlineLevel="0" collapsed="false">
      <c r="A1306" s="3" t="n">
        <v>2015</v>
      </c>
      <c r="B1306" s="3" t="n">
        <v>7</v>
      </c>
      <c r="C1306" s="3" t="n">
        <v>28</v>
      </c>
      <c r="D1306" s="3" t="s">
        <v>1310</v>
      </c>
      <c r="E1306" s="4" t="n">
        <v>58</v>
      </c>
    </row>
    <row r="1307" customFormat="false" ht="15" hidden="false" customHeight="false" outlineLevel="0" collapsed="false">
      <c r="A1307" s="3" t="n">
        <v>2015</v>
      </c>
      <c r="B1307" s="3" t="n">
        <v>7</v>
      </c>
      <c r="C1307" s="3" t="n">
        <v>29</v>
      </c>
      <c r="D1307" s="3" t="s">
        <v>1311</v>
      </c>
      <c r="E1307" s="4" t="n">
        <v>59</v>
      </c>
    </row>
    <row r="1308" customFormat="false" ht="15" hidden="false" customHeight="false" outlineLevel="0" collapsed="false">
      <c r="A1308" s="3" t="n">
        <v>2015</v>
      </c>
      <c r="B1308" s="3" t="n">
        <v>7</v>
      </c>
      <c r="C1308" s="3" t="n">
        <v>30</v>
      </c>
      <c r="D1308" s="3" t="s">
        <v>1312</v>
      </c>
      <c r="E1308" s="4" t="n">
        <v>0</v>
      </c>
    </row>
    <row r="1309" customFormat="false" ht="15" hidden="false" customHeight="false" outlineLevel="0" collapsed="false">
      <c r="A1309" s="3" t="n">
        <v>2015</v>
      </c>
      <c r="B1309" s="3" t="n">
        <v>7</v>
      </c>
      <c r="C1309" s="3" t="n">
        <v>31</v>
      </c>
      <c r="D1309" s="3" t="s">
        <v>1313</v>
      </c>
      <c r="E1309" s="4" t="n">
        <v>42</v>
      </c>
    </row>
    <row r="1310" customFormat="false" ht="15" hidden="false" customHeight="false" outlineLevel="0" collapsed="false">
      <c r="A1310" s="3" t="n">
        <v>2015</v>
      </c>
      <c r="B1310" s="3" t="n">
        <v>8</v>
      </c>
      <c r="C1310" s="3" t="n">
        <v>1</v>
      </c>
      <c r="D1310" s="3" t="s">
        <v>1314</v>
      </c>
      <c r="E1310" s="4" t="n">
        <v>46</v>
      </c>
    </row>
    <row r="1311" customFormat="false" ht="15" hidden="false" customHeight="false" outlineLevel="0" collapsed="false">
      <c r="A1311" s="3" t="n">
        <v>2015</v>
      </c>
      <c r="B1311" s="3" t="n">
        <v>8</v>
      </c>
      <c r="C1311" s="3" t="n">
        <v>2</v>
      </c>
      <c r="D1311" s="3" t="s">
        <v>1315</v>
      </c>
      <c r="E1311" s="4" t="n">
        <v>0</v>
      </c>
    </row>
    <row r="1312" customFormat="false" ht="15" hidden="false" customHeight="false" outlineLevel="0" collapsed="false">
      <c r="A1312" s="3" t="n">
        <v>2015</v>
      </c>
      <c r="B1312" s="3" t="n">
        <v>8</v>
      </c>
      <c r="C1312" s="3" t="n">
        <v>3</v>
      </c>
      <c r="D1312" s="3" t="s">
        <v>1316</v>
      </c>
      <c r="E1312" s="4" t="n">
        <v>0</v>
      </c>
    </row>
    <row r="1313" customFormat="false" ht="15" hidden="false" customHeight="false" outlineLevel="0" collapsed="false">
      <c r="A1313" s="3" t="n">
        <v>2015</v>
      </c>
      <c r="B1313" s="3" t="n">
        <v>8</v>
      </c>
      <c r="C1313" s="3" t="n">
        <v>4</v>
      </c>
      <c r="D1313" s="3" t="s">
        <v>1317</v>
      </c>
      <c r="E1313" s="4" t="n">
        <v>0</v>
      </c>
    </row>
    <row r="1314" customFormat="false" ht="15" hidden="false" customHeight="false" outlineLevel="0" collapsed="false">
      <c r="A1314" s="3" t="n">
        <v>2015</v>
      </c>
      <c r="B1314" s="3" t="n">
        <v>8</v>
      </c>
      <c r="C1314" s="3" t="n">
        <v>5</v>
      </c>
      <c r="D1314" s="3" t="s">
        <v>1318</v>
      </c>
      <c r="E1314" s="4" t="n">
        <v>0</v>
      </c>
    </row>
    <row r="1315" customFormat="false" ht="15" hidden="false" customHeight="false" outlineLevel="0" collapsed="false">
      <c r="A1315" s="3" t="n">
        <v>2015</v>
      </c>
      <c r="B1315" s="3" t="n">
        <v>8</v>
      </c>
      <c r="C1315" s="3" t="n">
        <v>6</v>
      </c>
      <c r="D1315" s="3" t="s">
        <v>1319</v>
      </c>
      <c r="E1315" s="4" t="n">
        <v>0</v>
      </c>
    </row>
    <row r="1316" customFormat="false" ht="15" hidden="false" customHeight="false" outlineLevel="0" collapsed="false">
      <c r="A1316" s="3" t="n">
        <v>2015</v>
      </c>
      <c r="B1316" s="3" t="n">
        <v>8</v>
      </c>
      <c r="C1316" s="3" t="n">
        <v>7</v>
      </c>
      <c r="D1316" s="3" t="s">
        <v>1320</v>
      </c>
      <c r="E1316" s="4" t="n">
        <v>0</v>
      </c>
    </row>
    <row r="1317" customFormat="false" ht="15" hidden="false" customHeight="false" outlineLevel="0" collapsed="false">
      <c r="A1317" s="3" t="n">
        <v>2015</v>
      </c>
      <c r="B1317" s="3" t="n">
        <v>8</v>
      </c>
      <c r="C1317" s="3" t="n">
        <v>8</v>
      </c>
      <c r="D1317" s="3" t="s">
        <v>1321</v>
      </c>
      <c r="E1317" s="4" t="n">
        <v>0</v>
      </c>
    </row>
    <row r="1318" customFormat="false" ht="15" hidden="false" customHeight="false" outlineLevel="0" collapsed="false">
      <c r="A1318" s="3" t="n">
        <v>2015</v>
      </c>
      <c r="B1318" s="3" t="n">
        <v>8</v>
      </c>
      <c r="C1318" s="3" t="n">
        <v>9</v>
      </c>
      <c r="D1318" s="3" t="s">
        <v>1322</v>
      </c>
      <c r="E1318" s="4" t="n">
        <v>0</v>
      </c>
    </row>
    <row r="1319" customFormat="false" ht="15" hidden="false" customHeight="false" outlineLevel="0" collapsed="false">
      <c r="A1319" s="3" t="n">
        <v>2015</v>
      </c>
      <c r="B1319" s="3" t="n">
        <v>8</v>
      </c>
      <c r="C1319" s="3" t="n">
        <v>10</v>
      </c>
      <c r="D1319" s="3" t="s">
        <v>1323</v>
      </c>
      <c r="E1319" s="4" t="n">
        <v>0</v>
      </c>
    </row>
    <row r="1320" customFormat="false" ht="15" hidden="false" customHeight="false" outlineLevel="0" collapsed="false">
      <c r="A1320" s="3" t="n">
        <v>2015</v>
      </c>
      <c r="B1320" s="3" t="n">
        <v>8</v>
      </c>
      <c r="C1320" s="3" t="n">
        <v>11</v>
      </c>
      <c r="D1320" s="3" t="s">
        <v>1324</v>
      </c>
      <c r="E1320" s="4" t="n">
        <v>0</v>
      </c>
    </row>
    <row r="1321" customFormat="false" ht="15" hidden="false" customHeight="false" outlineLevel="0" collapsed="false">
      <c r="A1321" s="3" t="n">
        <v>2015</v>
      </c>
      <c r="B1321" s="3" t="n">
        <v>8</v>
      </c>
      <c r="C1321" s="3" t="n">
        <v>12</v>
      </c>
      <c r="D1321" s="3" t="s">
        <v>1325</v>
      </c>
      <c r="E1321" s="4" t="n">
        <v>0</v>
      </c>
    </row>
    <row r="1322" customFormat="false" ht="15" hidden="false" customHeight="false" outlineLevel="0" collapsed="false">
      <c r="A1322" s="3" t="n">
        <v>2015</v>
      </c>
      <c r="B1322" s="3" t="n">
        <v>8</v>
      </c>
      <c r="C1322" s="3" t="n">
        <v>13</v>
      </c>
      <c r="D1322" s="3" t="s">
        <v>1326</v>
      </c>
      <c r="E1322" s="4" t="n">
        <v>0</v>
      </c>
    </row>
    <row r="1323" customFormat="false" ht="15" hidden="false" customHeight="false" outlineLevel="0" collapsed="false">
      <c r="A1323" s="3" t="n">
        <v>2015</v>
      </c>
      <c r="B1323" s="3" t="n">
        <v>8</v>
      </c>
      <c r="C1323" s="3" t="n">
        <v>14</v>
      </c>
      <c r="D1323" s="3" t="s">
        <v>1327</v>
      </c>
      <c r="E1323" s="4" t="n">
        <v>0</v>
      </c>
    </row>
    <row r="1324" customFormat="false" ht="15" hidden="false" customHeight="false" outlineLevel="0" collapsed="false">
      <c r="A1324" s="3" t="n">
        <v>2015</v>
      </c>
      <c r="B1324" s="3" t="n">
        <v>8</v>
      </c>
      <c r="C1324" s="3" t="n">
        <v>15</v>
      </c>
      <c r="D1324" s="3" t="s">
        <v>1328</v>
      </c>
      <c r="E1324" s="4" t="n">
        <v>0</v>
      </c>
    </row>
    <row r="1325" customFormat="false" ht="15" hidden="false" customHeight="false" outlineLevel="0" collapsed="false">
      <c r="A1325" s="3" t="n">
        <v>2015</v>
      </c>
      <c r="B1325" s="3" t="n">
        <v>8</v>
      </c>
      <c r="C1325" s="3" t="n">
        <v>16</v>
      </c>
      <c r="D1325" s="3" t="s">
        <v>1329</v>
      </c>
      <c r="E1325" s="4" t="n">
        <v>0</v>
      </c>
    </row>
    <row r="1326" customFormat="false" ht="15" hidden="false" customHeight="false" outlineLevel="0" collapsed="false">
      <c r="A1326" s="3" t="n">
        <v>2015</v>
      </c>
      <c r="B1326" s="3" t="n">
        <v>8</v>
      </c>
      <c r="C1326" s="3" t="n">
        <v>17</v>
      </c>
      <c r="D1326" s="3" t="s">
        <v>1330</v>
      </c>
      <c r="E1326" s="4" t="n">
        <v>0</v>
      </c>
    </row>
    <row r="1327" customFormat="false" ht="15" hidden="false" customHeight="false" outlineLevel="0" collapsed="false">
      <c r="A1327" s="3" t="n">
        <v>2015</v>
      </c>
      <c r="B1327" s="3" t="n">
        <v>8</v>
      </c>
      <c r="C1327" s="3" t="n">
        <v>18</v>
      </c>
      <c r="D1327" s="3" t="s">
        <v>1331</v>
      </c>
      <c r="E1327" s="4" t="n">
        <v>6</v>
      </c>
    </row>
    <row r="1328" customFormat="false" ht="15" hidden="false" customHeight="false" outlineLevel="0" collapsed="false">
      <c r="A1328" s="3" t="n">
        <v>2015</v>
      </c>
      <c r="B1328" s="3" t="n">
        <v>8</v>
      </c>
      <c r="C1328" s="3" t="n">
        <v>19</v>
      </c>
      <c r="D1328" s="3" t="s">
        <v>1332</v>
      </c>
      <c r="E1328" s="4" t="n">
        <v>0</v>
      </c>
    </row>
    <row r="1329" customFormat="false" ht="15" hidden="false" customHeight="false" outlineLevel="0" collapsed="false">
      <c r="A1329" s="3" t="n">
        <v>2015</v>
      </c>
      <c r="B1329" s="3" t="n">
        <v>8</v>
      </c>
      <c r="C1329" s="3" t="n">
        <v>20</v>
      </c>
      <c r="D1329" s="3" t="s">
        <v>1333</v>
      </c>
      <c r="E1329" s="4" t="n">
        <v>28</v>
      </c>
    </row>
    <row r="1330" customFormat="false" ht="15" hidden="false" customHeight="false" outlineLevel="0" collapsed="false">
      <c r="A1330" s="3" t="n">
        <v>2015</v>
      </c>
      <c r="B1330" s="3" t="n">
        <v>8</v>
      </c>
      <c r="C1330" s="3" t="n">
        <v>21</v>
      </c>
      <c r="D1330" s="3" t="s">
        <v>1334</v>
      </c>
      <c r="E1330" s="4" t="n">
        <v>0</v>
      </c>
    </row>
    <row r="1331" customFormat="false" ht="15" hidden="false" customHeight="false" outlineLevel="0" collapsed="false">
      <c r="A1331" s="3" t="n">
        <v>2015</v>
      </c>
      <c r="B1331" s="3" t="n">
        <v>8</v>
      </c>
      <c r="C1331" s="3" t="n">
        <v>22</v>
      </c>
      <c r="D1331" s="3" t="s">
        <v>1335</v>
      </c>
      <c r="E1331" s="4" t="n">
        <v>0</v>
      </c>
    </row>
    <row r="1332" customFormat="false" ht="15" hidden="false" customHeight="false" outlineLevel="0" collapsed="false">
      <c r="A1332" s="3" t="n">
        <v>2015</v>
      </c>
      <c r="B1332" s="3" t="n">
        <v>8</v>
      </c>
      <c r="C1332" s="3" t="n">
        <v>23</v>
      </c>
      <c r="D1332" s="3" t="s">
        <v>1336</v>
      </c>
      <c r="E1332" s="4" t="n">
        <v>0</v>
      </c>
    </row>
    <row r="1333" customFormat="false" ht="15" hidden="false" customHeight="false" outlineLevel="0" collapsed="false">
      <c r="A1333" s="3" t="n">
        <v>2015</v>
      </c>
      <c r="B1333" s="3" t="n">
        <v>8</v>
      </c>
      <c r="C1333" s="3" t="n">
        <v>24</v>
      </c>
      <c r="D1333" s="3" t="s">
        <v>1337</v>
      </c>
      <c r="E1333" s="4" t="n">
        <v>0</v>
      </c>
    </row>
    <row r="1334" customFormat="false" ht="15" hidden="false" customHeight="false" outlineLevel="0" collapsed="false">
      <c r="A1334" s="3" t="n">
        <v>2015</v>
      </c>
      <c r="B1334" s="3" t="n">
        <v>8</v>
      </c>
      <c r="C1334" s="3" t="n">
        <v>25</v>
      </c>
      <c r="D1334" s="3" t="s">
        <v>1338</v>
      </c>
      <c r="E1334" s="4" t="n">
        <v>0</v>
      </c>
    </row>
    <row r="1335" customFormat="false" ht="15" hidden="false" customHeight="false" outlineLevel="0" collapsed="false">
      <c r="A1335" s="3" t="n">
        <v>2015</v>
      </c>
      <c r="B1335" s="3" t="n">
        <v>8</v>
      </c>
      <c r="C1335" s="3" t="n">
        <v>26</v>
      </c>
      <c r="D1335" s="3" t="s">
        <v>1339</v>
      </c>
      <c r="E1335" s="4" t="n">
        <v>0</v>
      </c>
    </row>
    <row r="1336" customFormat="false" ht="15" hidden="false" customHeight="false" outlineLevel="0" collapsed="false">
      <c r="A1336" s="3" t="n">
        <v>2015</v>
      </c>
      <c r="B1336" s="3" t="n">
        <v>8</v>
      </c>
      <c r="C1336" s="3" t="n">
        <v>27</v>
      </c>
      <c r="D1336" s="3" t="s">
        <v>1340</v>
      </c>
      <c r="E1336" s="4" t="n">
        <v>0</v>
      </c>
    </row>
    <row r="1337" customFormat="false" ht="15" hidden="false" customHeight="false" outlineLevel="0" collapsed="false">
      <c r="A1337" s="3" t="n">
        <v>2015</v>
      </c>
      <c r="B1337" s="3" t="n">
        <v>8</v>
      </c>
      <c r="C1337" s="3" t="n">
        <v>28</v>
      </c>
      <c r="D1337" s="3" t="s">
        <v>1341</v>
      </c>
      <c r="E1337" s="4" t="n">
        <v>0</v>
      </c>
    </row>
    <row r="1338" customFormat="false" ht="15" hidden="false" customHeight="false" outlineLevel="0" collapsed="false">
      <c r="A1338" s="3" t="n">
        <v>2015</v>
      </c>
      <c r="B1338" s="3" t="n">
        <v>8</v>
      </c>
      <c r="C1338" s="3" t="n">
        <v>29</v>
      </c>
      <c r="D1338" s="3" t="s">
        <v>1342</v>
      </c>
      <c r="E1338" s="4" t="n">
        <v>0</v>
      </c>
    </row>
    <row r="1339" customFormat="false" ht="15" hidden="false" customHeight="false" outlineLevel="0" collapsed="false">
      <c r="A1339" s="3" t="n">
        <v>2015</v>
      </c>
      <c r="B1339" s="3" t="n">
        <v>8</v>
      </c>
      <c r="C1339" s="3" t="n">
        <v>30</v>
      </c>
      <c r="D1339" s="3" t="s">
        <v>1343</v>
      </c>
      <c r="E1339" s="4" t="n">
        <v>6</v>
      </c>
    </row>
    <row r="1340" customFormat="false" ht="15" hidden="false" customHeight="false" outlineLevel="0" collapsed="false">
      <c r="A1340" s="3" t="n">
        <v>2015</v>
      </c>
      <c r="B1340" s="3" t="n">
        <v>8</v>
      </c>
      <c r="C1340" s="3" t="n">
        <v>31</v>
      </c>
      <c r="D1340" s="3" t="s">
        <v>1344</v>
      </c>
      <c r="E1340" s="4" t="n">
        <v>0</v>
      </c>
    </row>
    <row r="1341" customFormat="false" ht="15" hidden="false" customHeight="false" outlineLevel="0" collapsed="false">
      <c r="A1341" s="3" t="n">
        <v>2015</v>
      </c>
      <c r="B1341" s="3" t="n">
        <v>9</v>
      </c>
      <c r="C1341" s="3" t="n">
        <v>1</v>
      </c>
      <c r="D1341" s="3" t="s">
        <v>1345</v>
      </c>
      <c r="E1341" s="4" t="n">
        <v>0</v>
      </c>
    </row>
    <row r="1342" customFormat="false" ht="15" hidden="false" customHeight="false" outlineLevel="0" collapsed="false">
      <c r="A1342" s="3" t="n">
        <v>2015</v>
      </c>
      <c r="B1342" s="3" t="n">
        <v>9</v>
      </c>
      <c r="C1342" s="3" t="n">
        <v>2</v>
      </c>
      <c r="D1342" s="3" t="s">
        <v>1346</v>
      </c>
      <c r="E1342" s="4" t="n">
        <v>0</v>
      </c>
    </row>
    <row r="1343" customFormat="false" ht="15" hidden="false" customHeight="false" outlineLevel="0" collapsed="false">
      <c r="A1343" s="3" t="n">
        <v>2015</v>
      </c>
      <c r="B1343" s="3" t="n">
        <v>9</v>
      </c>
      <c r="C1343" s="3" t="n">
        <v>3</v>
      </c>
      <c r="D1343" s="3" t="s">
        <v>1347</v>
      </c>
      <c r="E1343" s="4" t="n">
        <v>0</v>
      </c>
    </row>
    <row r="1344" customFormat="false" ht="15" hidden="false" customHeight="false" outlineLevel="0" collapsed="false">
      <c r="A1344" s="3" t="n">
        <v>2015</v>
      </c>
      <c r="B1344" s="3" t="n">
        <v>9</v>
      </c>
      <c r="C1344" s="3" t="n">
        <v>4</v>
      </c>
      <c r="D1344" s="3" t="s">
        <v>1348</v>
      </c>
      <c r="E1344" s="4" t="n">
        <v>0</v>
      </c>
    </row>
    <row r="1345" customFormat="false" ht="15" hidden="false" customHeight="false" outlineLevel="0" collapsed="false">
      <c r="A1345" s="3" t="n">
        <v>2015</v>
      </c>
      <c r="B1345" s="3" t="n">
        <v>9</v>
      </c>
      <c r="C1345" s="3" t="n">
        <v>5</v>
      </c>
      <c r="D1345" s="3" t="s">
        <v>1349</v>
      </c>
      <c r="E1345" s="4" t="n">
        <v>0</v>
      </c>
    </row>
    <row r="1346" customFormat="false" ht="15" hidden="false" customHeight="false" outlineLevel="0" collapsed="false">
      <c r="A1346" s="3" t="n">
        <v>2015</v>
      </c>
      <c r="B1346" s="3" t="n">
        <v>9</v>
      </c>
      <c r="C1346" s="3" t="n">
        <v>6</v>
      </c>
      <c r="D1346" s="3" t="s">
        <v>1350</v>
      </c>
      <c r="E1346" s="4" t="n">
        <v>0</v>
      </c>
    </row>
    <row r="1347" customFormat="false" ht="15" hidden="false" customHeight="false" outlineLevel="0" collapsed="false">
      <c r="A1347" s="3" t="n">
        <v>2015</v>
      </c>
      <c r="B1347" s="3" t="n">
        <v>9</v>
      </c>
      <c r="C1347" s="3" t="n">
        <v>7</v>
      </c>
      <c r="D1347" s="3" t="s">
        <v>1351</v>
      </c>
      <c r="E1347" s="4" t="n">
        <v>0</v>
      </c>
    </row>
    <row r="1348" customFormat="false" ht="15" hidden="false" customHeight="false" outlineLevel="0" collapsed="false">
      <c r="A1348" s="3" t="n">
        <v>2015</v>
      </c>
      <c r="B1348" s="3" t="n">
        <v>9</v>
      </c>
      <c r="C1348" s="3" t="n">
        <v>8</v>
      </c>
      <c r="D1348" s="3" t="s">
        <v>1352</v>
      </c>
      <c r="E1348" s="4" t="n">
        <v>0</v>
      </c>
    </row>
    <row r="1349" customFormat="false" ht="15" hidden="false" customHeight="false" outlineLevel="0" collapsed="false">
      <c r="A1349" s="3" t="n">
        <v>2015</v>
      </c>
      <c r="B1349" s="3" t="n">
        <v>9</v>
      </c>
      <c r="C1349" s="3" t="n">
        <v>9</v>
      </c>
      <c r="D1349" s="3" t="s">
        <v>1353</v>
      </c>
      <c r="E1349" s="4" t="n">
        <v>0</v>
      </c>
    </row>
    <row r="1350" customFormat="false" ht="15" hidden="false" customHeight="false" outlineLevel="0" collapsed="false">
      <c r="A1350" s="3" t="n">
        <v>2015</v>
      </c>
      <c r="B1350" s="3" t="n">
        <v>9</v>
      </c>
      <c r="C1350" s="3" t="n">
        <v>10</v>
      </c>
      <c r="D1350" s="3" t="s">
        <v>1354</v>
      </c>
      <c r="E1350" s="4" t="n">
        <v>0</v>
      </c>
    </row>
    <row r="1351" customFormat="false" ht="15" hidden="false" customHeight="false" outlineLevel="0" collapsed="false">
      <c r="A1351" s="3" t="n">
        <v>2015</v>
      </c>
      <c r="B1351" s="3" t="n">
        <v>9</v>
      </c>
      <c r="C1351" s="3" t="n">
        <v>11</v>
      </c>
      <c r="D1351" s="3" t="s">
        <v>1355</v>
      </c>
      <c r="E1351" s="4" t="n">
        <v>0</v>
      </c>
    </row>
    <row r="1352" customFormat="false" ht="15" hidden="false" customHeight="false" outlineLevel="0" collapsed="false">
      <c r="A1352" s="3" t="n">
        <v>2015</v>
      </c>
      <c r="B1352" s="3" t="n">
        <v>9</v>
      </c>
      <c r="C1352" s="3" t="n">
        <v>12</v>
      </c>
      <c r="D1352" s="3" t="s">
        <v>1356</v>
      </c>
      <c r="E1352" s="4" t="n">
        <v>0</v>
      </c>
    </row>
    <row r="1353" customFormat="false" ht="15" hidden="false" customHeight="false" outlineLevel="0" collapsed="false">
      <c r="A1353" s="3" t="n">
        <v>2015</v>
      </c>
      <c r="B1353" s="3" t="n">
        <v>9</v>
      </c>
      <c r="C1353" s="3" t="n">
        <v>13</v>
      </c>
      <c r="D1353" s="3" t="s">
        <v>1357</v>
      </c>
      <c r="E1353" s="4" t="n">
        <v>0</v>
      </c>
    </row>
    <row r="1354" customFormat="false" ht="15" hidden="false" customHeight="false" outlineLevel="0" collapsed="false">
      <c r="A1354" s="3" t="n">
        <v>2015</v>
      </c>
      <c r="B1354" s="3" t="n">
        <v>9</v>
      </c>
      <c r="C1354" s="3" t="n">
        <v>14</v>
      </c>
      <c r="D1354" s="3" t="s">
        <v>1358</v>
      </c>
      <c r="E1354" s="4" t="n">
        <v>0</v>
      </c>
    </row>
    <row r="1355" customFormat="false" ht="15" hidden="false" customHeight="false" outlineLevel="0" collapsed="false">
      <c r="A1355" s="3" t="n">
        <v>2015</v>
      </c>
      <c r="B1355" s="3" t="n">
        <v>9</v>
      </c>
      <c r="C1355" s="3" t="n">
        <v>15</v>
      </c>
      <c r="D1355" s="3" t="s">
        <v>1359</v>
      </c>
      <c r="E1355" s="4" t="n">
        <v>0</v>
      </c>
    </row>
    <row r="1356" customFormat="false" ht="15" hidden="false" customHeight="false" outlineLevel="0" collapsed="false">
      <c r="A1356" s="3" t="n">
        <v>2015</v>
      </c>
      <c r="B1356" s="3" t="n">
        <v>9</v>
      </c>
      <c r="C1356" s="3" t="n">
        <v>16</v>
      </c>
      <c r="D1356" s="3" t="s">
        <v>1360</v>
      </c>
      <c r="E1356" s="4" t="n">
        <v>0</v>
      </c>
    </row>
    <row r="1357" customFormat="false" ht="15" hidden="false" customHeight="false" outlineLevel="0" collapsed="false">
      <c r="A1357" s="3" t="n">
        <v>2015</v>
      </c>
      <c r="B1357" s="3" t="n">
        <v>9</v>
      </c>
      <c r="C1357" s="3" t="n">
        <v>17</v>
      </c>
      <c r="D1357" s="3" t="s">
        <v>1361</v>
      </c>
      <c r="E1357" s="4" t="n">
        <v>0</v>
      </c>
    </row>
    <row r="1358" customFormat="false" ht="15" hidden="false" customHeight="false" outlineLevel="0" collapsed="false">
      <c r="A1358" s="3" t="n">
        <v>2015</v>
      </c>
      <c r="B1358" s="3" t="n">
        <v>9</v>
      </c>
      <c r="C1358" s="3" t="n">
        <v>18</v>
      </c>
      <c r="D1358" s="3" t="s">
        <v>1362</v>
      </c>
      <c r="E1358" s="4" t="n">
        <v>0</v>
      </c>
    </row>
    <row r="1359" customFormat="false" ht="15" hidden="false" customHeight="false" outlineLevel="0" collapsed="false">
      <c r="A1359" s="3" t="n">
        <v>2015</v>
      </c>
      <c r="B1359" s="3" t="n">
        <v>9</v>
      </c>
      <c r="C1359" s="3" t="n">
        <v>19</v>
      </c>
      <c r="D1359" s="3" t="s">
        <v>1363</v>
      </c>
      <c r="E1359" s="4" t="n">
        <v>0</v>
      </c>
    </row>
    <row r="1360" customFormat="false" ht="15" hidden="false" customHeight="false" outlineLevel="0" collapsed="false">
      <c r="A1360" s="3" t="n">
        <v>2015</v>
      </c>
      <c r="B1360" s="3" t="n">
        <v>9</v>
      </c>
      <c r="C1360" s="3" t="n">
        <v>20</v>
      </c>
      <c r="D1360" s="3" t="s">
        <v>1364</v>
      </c>
      <c r="E1360" s="4" t="n">
        <v>20</v>
      </c>
    </row>
    <row r="1361" customFormat="false" ht="15" hidden="false" customHeight="false" outlineLevel="0" collapsed="false">
      <c r="A1361" s="3" t="n">
        <v>2015</v>
      </c>
      <c r="B1361" s="3" t="n">
        <v>9</v>
      </c>
      <c r="C1361" s="3" t="n">
        <v>21</v>
      </c>
      <c r="D1361" s="3" t="s">
        <v>1365</v>
      </c>
      <c r="E1361" s="4" t="n">
        <v>0</v>
      </c>
    </row>
    <row r="1362" customFormat="false" ht="15" hidden="false" customHeight="false" outlineLevel="0" collapsed="false">
      <c r="A1362" s="3" t="n">
        <v>2015</v>
      </c>
      <c r="B1362" s="3" t="n">
        <v>9</v>
      </c>
      <c r="C1362" s="3" t="n">
        <v>22</v>
      </c>
      <c r="D1362" s="3" t="s">
        <v>1366</v>
      </c>
      <c r="E1362" s="4" t="n">
        <v>0</v>
      </c>
    </row>
    <row r="1363" customFormat="false" ht="15" hidden="false" customHeight="false" outlineLevel="0" collapsed="false">
      <c r="A1363" s="3" t="n">
        <v>2015</v>
      </c>
      <c r="B1363" s="3" t="n">
        <v>9</v>
      </c>
      <c r="C1363" s="3" t="n">
        <v>23</v>
      </c>
      <c r="D1363" s="3" t="s">
        <v>1367</v>
      </c>
      <c r="E1363" s="4" t="n">
        <v>0</v>
      </c>
    </row>
    <row r="1364" customFormat="false" ht="15" hidden="false" customHeight="false" outlineLevel="0" collapsed="false">
      <c r="A1364" s="3" t="n">
        <v>2015</v>
      </c>
      <c r="B1364" s="3" t="n">
        <v>9</v>
      </c>
      <c r="C1364" s="3" t="n">
        <v>24</v>
      </c>
      <c r="D1364" s="3" t="s">
        <v>1368</v>
      </c>
      <c r="E1364" s="4" t="n">
        <v>0</v>
      </c>
    </row>
    <row r="1365" customFormat="false" ht="15" hidden="false" customHeight="false" outlineLevel="0" collapsed="false">
      <c r="A1365" s="3" t="n">
        <v>2015</v>
      </c>
      <c r="B1365" s="3" t="n">
        <v>9</v>
      </c>
      <c r="C1365" s="3" t="n">
        <v>25</v>
      </c>
      <c r="D1365" s="3" t="s">
        <v>1369</v>
      </c>
      <c r="E1365" s="4" t="n">
        <v>0</v>
      </c>
    </row>
    <row r="1366" customFormat="false" ht="15" hidden="false" customHeight="false" outlineLevel="0" collapsed="false">
      <c r="A1366" s="3" t="n">
        <v>2015</v>
      </c>
      <c r="B1366" s="3" t="n">
        <v>9</v>
      </c>
      <c r="C1366" s="3" t="n">
        <v>26</v>
      </c>
      <c r="D1366" s="3" t="s">
        <v>1370</v>
      </c>
      <c r="E1366" s="4" t="n">
        <v>0</v>
      </c>
    </row>
    <row r="1367" customFormat="false" ht="15" hidden="false" customHeight="false" outlineLevel="0" collapsed="false">
      <c r="A1367" s="3" t="n">
        <v>2015</v>
      </c>
      <c r="B1367" s="3" t="n">
        <v>9</v>
      </c>
      <c r="C1367" s="3" t="n">
        <v>27</v>
      </c>
      <c r="D1367" s="3" t="s">
        <v>1371</v>
      </c>
      <c r="E1367" s="4" t="n">
        <v>0</v>
      </c>
    </row>
    <row r="1368" customFormat="false" ht="15" hidden="false" customHeight="false" outlineLevel="0" collapsed="false">
      <c r="A1368" s="3" t="n">
        <v>2015</v>
      </c>
      <c r="B1368" s="3" t="n">
        <v>9</v>
      </c>
      <c r="C1368" s="3" t="n">
        <v>28</v>
      </c>
      <c r="D1368" s="3" t="s">
        <v>1372</v>
      </c>
      <c r="E1368" s="4" t="n">
        <v>0</v>
      </c>
    </row>
    <row r="1369" customFormat="false" ht="15" hidden="false" customHeight="false" outlineLevel="0" collapsed="false">
      <c r="A1369" s="3" t="n">
        <v>2015</v>
      </c>
      <c r="B1369" s="3" t="n">
        <v>9</v>
      </c>
      <c r="C1369" s="3" t="n">
        <v>29</v>
      </c>
      <c r="D1369" s="3" t="s">
        <v>1373</v>
      </c>
      <c r="E1369" s="4" t="n">
        <v>17</v>
      </c>
    </row>
    <row r="1370" customFormat="false" ht="15" hidden="false" customHeight="false" outlineLevel="0" collapsed="false">
      <c r="A1370" s="3" t="n">
        <v>2015</v>
      </c>
      <c r="B1370" s="3" t="n">
        <v>9</v>
      </c>
      <c r="C1370" s="3" t="n">
        <v>30</v>
      </c>
      <c r="D1370" s="3" t="s">
        <v>1374</v>
      </c>
      <c r="E1370" s="4" t="n">
        <v>0</v>
      </c>
    </row>
    <row r="1371" customFormat="false" ht="15" hidden="false" customHeight="false" outlineLevel="0" collapsed="false">
      <c r="A1371" s="3" t="n">
        <v>2015</v>
      </c>
      <c r="B1371" s="3" t="n">
        <v>10</v>
      </c>
      <c r="C1371" s="3" t="n">
        <v>1</v>
      </c>
      <c r="D1371" s="3" t="s">
        <v>1375</v>
      </c>
      <c r="E1371" s="4" t="n">
        <v>0</v>
      </c>
    </row>
    <row r="1372" customFormat="false" ht="15" hidden="false" customHeight="false" outlineLevel="0" collapsed="false">
      <c r="A1372" s="3" t="n">
        <v>2015</v>
      </c>
      <c r="B1372" s="3" t="n">
        <v>10</v>
      </c>
      <c r="C1372" s="3" t="n">
        <v>2</v>
      </c>
      <c r="D1372" s="3" t="s">
        <v>1376</v>
      </c>
      <c r="E1372" s="4" t="n">
        <v>0</v>
      </c>
    </row>
    <row r="1373" customFormat="false" ht="15" hidden="false" customHeight="false" outlineLevel="0" collapsed="false">
      <c r="A1373" s="3" t="n">
        <v>2015</v>
      </c>
      <c r="B1373" s="3" t="n">
        <v>10</v>
      </c>
      <c r="C1373" s="3" t="n">
        <v>3</v>
      </c>
      <c r="D1373" s="3" t="s">
        <v>1377</v>
      </c>
      <c r="E1373" s="4" t="n">
        <v>23</v>
      </c>
    </row>
    <row r="1374" customFormat="false" ht="15" hidden="false" customHeight="false" outlineLevel="0" collapsed="false">
      <c r="A1374" s="3" t="n">
        <v>2015</v>
      </c>
      <c r="B1374" s="3" t="n">
        <v>10</v>
      </c>
      <c r="C1374" s="3" t="n">
        <v>4</v>
      </c>
      <c r="D1374" s="3" t="s">
        <v>1378</v>
      </c>
      <c r="E1374" s="4" t="n">
        <v>0</v>
      </c>
    </row>
    <row r="1375" customFormat="false" ht="15" hidden="false" customHeight="false" outlineLevel="0" collapsed="false">
      <c r="A1375" s="3" t="n">
        <v>2015</v>
      </c>
      <c r="B1375" s="3" t="n">
        <v>10</v>
      </c>
      <c r="C1375" s="3" t="n">
        <v>5</v>
      </c>
      <c r="D1375" s="3" t="s">
        <v>1379</v>
      </c>
      <c r="E1375" s="4" t="n">
        <v>3</v>
      </c>
    </row>
    <row r="1376" customFormat="false" ht="15" hidden="false" customHeight="false" outlineLevel="0" collapsed="false">
      <c r="A1376" s="3" t="n">
        <v>2015</v>
      </c>
      <c r="B1376" s="3" t="n">
        <v>10</v>
      </c>
      <c r="C1376" s="3" t="n">
        <v>6</v>
      </c>
      <c r="D1376" s="3" t="s">
        <v>1380</v>
      </c>
      <c r="E1376" s="4" t="n">
        <v>0</v>
      </c>
    </row>
    <row r="1377" customFormat="false" ht="15" hidden="false" customHeight="false" outlineLevel="0" collapsed="false">
      <c r="A1377" s="3" t="n">
        <v>2015</v>
      </c>
      <c r="B1377" s="3" t="n">
        <v>10</v>
      </c>
      <c r="C1377" s="3" t="n">
        <v>7</v>
      </c>
      <c r="D1377" s="3" t="s">
        <v>1381</v>
      </c>
      <c r="E1377" s="4" t="n">
        <v>18</v>
      </c>
    </row>
    <row r="1378" customFormat="false" ht="15" hidden="false" customHeight="false" outlineLevel="0" collapsed="false">
      <c r="A1378" s="3" t="n">
        <v>2015</v>
      </c>
      <c r="B1378" s="3" t="n">
        <v>10</v>
      </c>
      <c r="C1378" s="3" t="n">
        <v>8</v>
      </c>
      <c r="D1378" s="3" t="s">
        <v>1382</v>
      </c>
      <c r="E1378" s="4" t="n">
        <v>0</v>
      </c>
    </row>
    <row r="1379" customFormat="false" ht="15" hidden="false" customHeight="false" outlineLevel="0" collapsed="false">
      <c r="A1379" s="3" t="n">
        <v>2015</v>
      </c>
      <c r="B1379" s="3" t="n">
        <v>10</v>
      </c>
      <c r="C1379" s="3" t="n">
        <v>9</v>
      </c>
      <c r="D1379" s="3" t="s">
        <v>1383</v>
      </c>
      <c r="E1379" s="4" t="n">
        <v>0</v>
      </c>
    </row>
    <row r="1380" customFormat="false" ht="15" hidden="false" customHeight="false" outlineLevel="0" collapsed="false">
      <c r="A1380" s="3" t="n">
        <v>2015</v>
      </c>
      <c r="B1380" s="3" t="n">
        <v>10</v>
      </c>
      <c r="C1380" s="3" t="n">
        <v>10</v>
      </c>
      <c r="D1380" s="3" t="s">
        <v>1384</v>
      </c>
      <c r="E1380" s="4" t="n">
        <v>0</v>
      </c>
    </row>
    <row r="1381" customFormat="false" ht="15" hidden="false" customHeight="false" outlineLevel="0" collapsed="false">
      <c r="A1381" s="3" t="n">
        <v>2015</v>
      </c>
      <c r="B1381" s="3" t="n">
        <v>10</v>
      </c>
      <c r="C1381" s="3" t="n">
        <v>11</v>
      </c>
      <c r="D1381" s="3" t="s">
        <v>1385</v>
      </c>
      <c r="E1381" s="4" t="n">
        <v>0</v>
      </c>
    </row>
    <row r="1382" customFormat="false" ht="15" hidden="false" customHeight="false" outlineLevel="0" collapsed="false">
      <c r="A1382" s="3" t="n">
        <v>2015</v>
      </c>
      <c r="B1382" s="3" t="n">
        <v>10</v>
      </c>
      <c r="C1382" s="3" t="n">
        <v>12</v>
      </c>
      <c r="D1382" s="3" t="s">
        <v>1386</v>
      </c>
      <c r="E1382" s="4" t="n">
        <v>6</v>
      </c>
    </row>
    <row r="1383" customFormat="false" ht="15" hidden="false" customHeight="false" outlineLevel="0" collapsed="false">
      <c r="A1383" s="3" t="n">
        <v>2015</v>
      </c>
      <c r="B1383" s="3" t="n">
        <v>10</v>
      </c>
      <c r="C1383" s="3" t="n">
        <v>13</v>
      </c>
      <c r="D1383" s="3" t="s">
        <v>1387</v>
      </c>
      <c r="E1383" s="4" t="n">
        <v>0</v>
      </c>
    </row>
    <row r="1384" customFormat="false" ht="15" hidden="false" customHeight="false" outlineLevel="0" collapsed="false">
      <c r="A1384" s="3" t="n">
        <v>2015</v>
      </c>
      <c r="B1384" s="3" t="n">
        <v>10</v>
      </c>
      <c r="C1384" s="3" t="n">
        <v>14</v>
      </c>
      <c r="D1384" s="3" t="s">
        <v>1388</v>
      </c>
      <c r="E1384" s="4" t="n">
        <v>0</v>
      </c>
    </row>
    <row r="1385" customFormat="false" ht="15" hidden="false" customHeight="false" outlineLevel="0" collapsed="false">
      <c r="A1385" s="3" t="n">
        <v>2015</v>
      </c>
      <c r="B1385" s="3" t="n">
        <v>10</v>
      </c>
      <c r="C1385" s="3" t="n">
        <v>15</v>
      </c>
      <c r="D1385" s="3" t="s">
        <v>1389</v>
      </c>
      <c r="E1385" s="4" t="n">
        <v>0</v>
      </c>
    </row>
    <row r="1386" customFormat="false" ht="15" hidden="false" customHeight="false" outlineLevel="0" collapsed="false">
      <c r="A1386" s="3" t="n">
        <v>2015</v>
      </c>
      <c r="B1386" s="3" t="n">
        <v>10</v>
      </c>
      <c r="C1386" s="3" t="n">
        <v>16</v>
      </c>
      <c r="D1386" s="3" t="s">
        <v>1390</v>
      </c>
      <c r="E1386" s="4" t="n">
        <v>0</v>
      </c>
    </row>
    <row r="1387" customFormat="false" ht="15" hidden="false" customHeight="false" outlineLevel="0" collapsed="false">
      <c r="A1387" s="3" t="n">
        <v>2015</v>
      </c>
      <c r="B1387" s="3" t="n">
        <v>10</v>
      </c>
      <c r="C1387" s="3" t="n">
        <v>17</v>
      </c>
      <c r="D1387" s="3" t="s">
        <v>1391</v>
      </c>
      <c r="E1387" s="4" t="n">
        <v>0</v>
      </c>
    </row>
    <row r="1388" customFormat="false" ht="15" hidden="false" customHeight="false" outlineLevel="0" collapsed="false">
      <c r="A1388" s="3" t="n">
        <v>2015</v>
      </c>
      <c r="B1388" s="3" t="n">
        <v>10</v>
      </c>
      <c r="C1388" s="3" t="n">
        <v>18</v>
      </c>
      <c r="D1388" s="3" t="s">
        <v>1392</v>
      </c>
      <c r="E1388" s="4" t="n">
        <v>0</v>
      </c>
    </row>
    <row r="1389" customFormat="false" ht="15" hidden="false" customHeight="false" outlineLevel="0" collapsed="false">
      <c r="A1389" s="3" t="n">
        <v>2015</v>
      </c>
      <c r="B1389" s="3" t="n">
        <v>10</v>
      </c>
      <c r="C1389" s="3" t="n">
        <v>19</v>
      </c>
      <c r="D1389" s="3" t="s">
        <v>1393</v>
      </c>
      <c r="E1389" s="4" t="n">
        <v>0</v>
      </c>
    </row>
    <row r="1390" customFormat="false" ht="15" hidden="false" customHeight="false" outlineLevel="0" collapsed="false">
      <c r="A1390" s="3" t="n">
        <v>2015</v>
      </c>
      <c r="B1390" s="3" t="n">
        <v>10</v>
      </c>
      <c r="C1390" s="3" t="n">
        <v>20</v>
      </c>
      <c r="D1390" s="3" t="s">
        <v>1394</v>
      </c>
      <c r="E1390" s="4" t="n">
        <v>0</v>
      </c>
    </row>
    <row r="1391" customFormat="false" ht="15" hidden="false" customHeight="false" outlineLevel="0" collapsed="false">
      <c r="A1391" s="3" t="n">
        <v>2015</v>
      </c>
      <c r="B1391" s="3" t="n">
        <v>10</v>
      </c>
      <c r="C1391" s="3" t="n">
        <v>21</v>
      </c>
      <c r="D1391" s="3" t="s">
        <v>1395</v>
      </c>
      <c r="E1391" s="4" t="n">
        <v>0</v>
      </c>
    </row>
    <row r="1392" customFormat="false" ht="15" hidden="false" customHeight="false" outlineLevel="0" collapsed="false">
      <c r="A1392" s="3" t="n">
        <v>2015</v>
      </c>
      <c r="B1392" s="3" t="n">
        <v>10</v>
      </c>
      <c r="C1392" s="3" t="n">
        <v>22</v>
      </c>
      <c r="D1392" s="3" t="s">
        <v>1396</v>
      </c>
      <c r="E1392" s="4" t="n">
        <v>0</v>
      </c>
    </row>
    <row r="1393" customFormat="false" ht="15" hidden="false" customHeight="false" outlineLevel="0" collapsed="false">
      <c r="A1393" s="3" t="n">
        <v>2015</v>
      </c>
      <c r="B1393" s="3" t="n">
        <v>10</v>
      </c>
      <c r="C1393" s="3" t="n">
        <v>23</v>
      </c>
      <c r="D1393" s="3" t="s">
        <v>1397</v>
      </c>
      <c r="E1393" s="4" t="n">
        <v>36</v>
      </c>
    </row>
    <row r="1394" customFormat="false" ht="15" hidden="false" customHeight="false" outlineLevel="0" collapsed="false">
      <c r="A1394" s="3" t="n">
        <v>2015</v>
      </c>
      <c r="B1394" s="3" t="n">
        <v>10</v>
      </c>
      <c r="C1394" s="3" t="n">
        <v>24</v>
      </c>
      <c r="D1394" s="3" t="s">
        <v>1398</v>
      </c>
      <c r="E1394" s="4" t="n">
        <v>22</v>
      </c>
    </row>
    <row r="1395" customFormat="false" ht="15" hidden="false" customHeight="false" outlineLevel="0" collapsed="false">
      <c r="A1395" s="3" t="n">
        <v>2015</v>
      </c>
      <c r="B1395" s="3" t="n">
        <v>10</v>
      </c>
      <c r="C1395" s="3" t="n">
        <v>25</v>
      </c>
      <c r="D1395" s="3" t="s">
        <v>1399</v>
      </c>
      <c r="E1395" s="4" t="n">
        <v>0</v>
      </c>
    </row>
    <row r="1396" customFormat="false" ht="15" hidden="false" customHeight="false" outlineLevel="0" collapsed="false">
      <c r="A1396" s="3" t="n">
        <v>2015</v>
      </c>
      <c r="B1396" s="3" t="n">
        <v>10</v>
      </c>
      <c r="C1396" s="3" t="n">
        <v>26</v>
      </c>
      <c r="D1396" s="3" t="s">
        <v>1400</v>
      </c>
      <c r="E1396" s="4" t="n">
        <v>0</v>
      </c>
    </row>
    <row r="1397" customFormat="false" ht="15" hidden="false" customHeight="false" outlineLevel="0" collapsed="false">
      <c r="A1397" s="3" t="n">
        <v>2015</v>
      </c>
      <c r="B1397" s="3" t="n">
        <v>10</v>
      </c>
      <c r="C1397" s="3" t="n">
        <v>27</v>
      </c>
      <c r="D1397" s="3" t="s">
        <v>1401</v>
      </c>
      <c r="E1397" s="4" t="n">
        <v>7</v>
      </c>
    </row>
    <row r="1398" customFormat="false" ht="15" hidden="false" customHeight="false" outlineLevel="0" collapsed="false">
      <c r="A1398" s="3" t="n">
        <v>2015</v>
      </c>
      <c r="B1398" s="3" t="n">
        <v>10</v>
      </c>
      <c r="C1398" s="3" t="n">
        <v>28</v>
      </c>
      <c r="D1398" s="3" t="s">
        <v>1402</v>
      </c>
      <c r="E1398" s="4" t="n">
        <v>0</v>
      </c>
    </row>
    <row r="1399" customFormat="false" ht="15" hidden="false" customHeight="false" outlineLevel="0" collapsed="false">
      <c r="A1399" s="3" t="n">
        <v>2015</v>
      </c>
      <c r="B1399" s="3" t="n">
        <v>10</v>
      </c>
      <c r="C1399" s="3" t="n">
        <v>29</v>
      </c>
      <c r="D1399" s="3" t="s">
        <v>1403</v>
      </c>
      <c r="E1399" s="4" t="n">
        <v>44</v>
      </c>
    </row>
    <row r="1400" customFormat="false" ht="15" hidden="false" customHeight="false" outlineLevel="0" collapsed="false">
      <c r="A1400" s="3" t="n">
        <v>2015</v>
      </c>
      <c r="B1400" s="3" t="n">
        <v>10</v>
      </c>
      <c r="C1400" s="3" t="n">
        <v>30</v>
      </c>
      <c r="D1400" s="3" t="s">
        <v>1404</v>
      </c>
      <c r="E1400" s="4" t="n">
        <v>0</v>
      </c>
    </row>
    <row r="1401" customFormat="false" ht="15" hidden="false" customHeight="false" outlineLevel="0" collapsed="false">
      <c r="A1401" s="3" t="n">
        <v>2015</v>
      </c>
      <c r="B1401" s="3" t="n">
        <v>10</v>
      </c>
      <c r="C1401" s="3" t="n">
        <v>31</v>
      </c>
      <c r="D1401" s="3" t="s">
        <v>1405</v>
      </c>
      <c r="E1401" s="4" t="n">
        <v>0</v>
      </c>
    </row>
    <row r="1402" customFormat="false" ht="15" hidden="false" customHeight="false" outlineLevel="0" collapsed="false">
      <c r="A1402" s="3" t="n">
        <v>2015</v>
      </c>
      <c r="B1402" s="3" t="n">
        <v>11</v>
      </c>
      <c r="C1402" s="3" t="n">
        <v>1</v>
      </c>
      <c r="D1402" s="3" t="s">
        <v>1406</v>
      </c>
      <c r="E1402" s="4" t="n">
        <v>33</v>
      </c>
    </row>
    <row r="1403" customFormat="false" ht="15" hidden="false" customHeight="false" outlineLevel="0" collapsed="false">
      <c r="A1403" s="3" t="n">
        <v>2015</v>
      </c>
      <c r="B1403" s="3" t="n">
        <v>11</v>
      </c>
      <c r="C1403" s="3" t="n">
        <v>2</v>
      </c>
      <c r="D1403" s="3" t="s">
        <v>1407</v>
      </c>
      <c r="E1403" s="4" t="n">
        <v>10</v>
      </c>
    </row>
    <row r="1404" customFormat="false" ht="15" hidden="false" customHeight="false" outlineLevel="0" collapsed="false">
      <c r="A1404" s="3" t="n">
        <v>2015</v>
      </c>
      <c r="B1404" s="3" t="n">
        <v>11</v>
      </c>
      <c r="C1404" s="3" t="n">
        <v>3</v>
      </c>
      <c r="D1404" s="3" t="s">
        <v>1408</v>
      </c>
      <c r="E1404" s="4" t="n">
        <v>0</v>
      </c>
    </row>
    <row r="1405" customFormat="false" ht="15" hidden="false" customHeight="false" outlineLevel="0" collapsed="false">
      <c r="A1405" s="3" t="n">
        <v>2015</v>
      </c>
      <c r="B1405" s="3" t="n">
        <v>11</v>
      </c>
      <c r="C1405" s="3" t="n">
        <v>4</v>
      </c>
      <c r="D1405" s="3" t="s">
        <v>1409</v>
      </c>
      <c r="E1405" s="4" t="n">
        <v>36</v>
      </c>
    </row>
    <row r="1406" customFormat="false" ht="15" hidden="false" customHeight="false" outlineLevel="0" collapsed="false">
      <c r="A1406" s="3" t="n">
        <v>2015</v>
      </c>
      <c r="B1406" s="3" t="n">
        <v>11</v>
      </c>
      <c r="C1406" s="3" t="n">
        <v>5</v>
      </c>
      <c r="D1406" s="3" t="s">
        <v>1410</v>
      </c>
      <c r="E1406" s="4" t="n">
        <v>51</v>
      </c>
    </row>
    <row r="1407" customFormat="false" ht="15" hidden="false" customHeight="false" outlineLevel="0" collapsed="false">
      <c r="A1407" s="3" t="n">
        <v>2015</v>
      </c>
      <c r="B1407" s="3" t="n">
        <v>11</v>
      </c>
      <c r="C1407" s="3" t="n">
        <v>6</v>
      </c>
      <c r="D1407" s="3" t="s">
        <v>1411</v>
      </c>
      <c r="E1407" s="4" t="n">
        <v>8</v>
      </c>
    </row>
    <row r="1408" customFormat="false" ht="15" hidden="false" customHeight="false" outlineLevel="0" collapsed="false">
      <c r="A1408" s="3" t="n">
        <v>2015</v>
      </c>
      <c r="B1408" s="3" t="n">
        <v>11</v>
      </c>
      <c r="C1408" s="3" t="n">
        <v>7</v>
      </c>
      <c r="D1408" s="3" t="s">
        <v>1412</v>
      </c>
      <c r="E1408" s="4" t="n">
        <v>14</v>
      </c>
    </row>
    <row r="1409" customFormat="false" ht="15" hidden="false" customHeight="false" outlineLevel="0" collapsed="false">
      <c r="A1409" s="3" t="n">
        <v>2015</v>
      </c>
      <c r="B1409" s="3" t="n">
        <v>11</v>
      </c>
      <c r="C1409" s="3" t="n">
        <v>8</v>
      </c>
      <c r="D1409" s="3" t="s">
        <v>1413</v>
      </c>
      <c r="E1409" s="4" t="n">
        <v>21</v>
      </c>
    </row>
    <row r="1410" customFormat="false" ht="15" hidden="false" customHeight="false" outlineLevel="0" collapsed="false">
      <c r="A1410" s="3" t="n">
        <v>2015</v>
      </c>
      <c r="B1410" s="3" t="n">
        <v>11</v>
      </c>
      <c r="C1410" s="3" t="n">
        <v>9</v>
      </c>
      <c r="D1410" s="3" t="s">
        <v>1414</v>
      </c>
      <c r="E1410" s="4" t="n">
        <v>0</v>
      </c>
    </row>
    <row r="1411" customFormat="false" ht="15" hidden="false" customHeight="false" outlineLevel="0" collapsed="false">
      <c r="A1411" s="3" t="n">
        <v>2015</v>
      </c>
      <c r="B1411" s="3" t="n">
        <v>11</v>
      </c>
      <c r="C1411" s="3" t="n">
        <v>10</v>
      </c>
      <c r="D1411" s="3" t="s">
        <v>1415</v>
      </c>
      <c r="E1411" s="4" t="n">
        <v>0</v>
      </c>
    </row>
    <row r="1412" customFormat="false" ht="15" hidden="false" customHeight="false" outlineLevel="0" collapsed="false">
      <c r="A1412" s="3" t="n">
        <v>2015</v>
      </c>
      <c r="B1412" s="3" t="n">
        <v>11</v>
      </c>
      <c r="C1412" s="3" t="n">
        <v>11</v>
      </c>
      <c r="D1412" s="3" t="s">
        <v>1416</v>
      </c>
      <c r="E1412" s="4" t="n">
        <v>13</v>
      </c>
    </row>
    <row r="1413" customFormat="false" ht="15" hidden="false" customHeight="false" outlineLevel="0" collapsed="false">
      <c r="A1413" s="3" t="n">
        <v>2015</v>
      </c>
      <c r="B1413" s="3" t="n">
        <v>11</v>
      </c>
      <c r="C1413" s="3" t="n">
        <v>12</v>
      </c>
      <c r="D1413" s="3" t="s">
        <v>1417</v>
      </c>
      <c r="E1413" s="4" t="n">
        <v>13</v>
      </c>
    </row>
    <row r="1414" customFormat="false" ht="15" hidden="false" customHeight="false" outlineLevel="0" collapsed="false">
      <c r="A1414" s="3" t="n">
        <v>2015</v>
      </c>
      <c r="B1414" s="3" t="n">
        <v>11</v>
      </c>
      <c r="C1414" s="3" t="n">
        <v>13</v>
      </c>
      <c r="D1414" s="3" t="s">
        <v>1418</v>
      </c>
      <c r="E1414" s="4" t="n">
        <v>34</v>
      </c>
    </row>
    <row r="1415" customFormat="false" ht="15" hidden="false" customHeight="false" outlineLevel="0" collapsed="false">
      <c r="A1415" s="3" t="n">
        <v>2015</v>
      </c>
      <c r="B1415" s="3" t="n">
        <v>11</v>
      </c>
      <c r="C1415" s="3" t="n">
        <v>14</v>
      </c>
      <c r="D1415" s="3" t="s">
        <v>1419</v>
      </c>
      <c r="E1415" s="4" t="n">
        <v>3</v>
      </c>
    </row>
    <row r="1416" customFormat="false" ht="15" hidden="false" customHeight="false" outlineLevel="0" collapsed="false">
      <c r="A1416" s="3" t="n">
        <v>2015</v>
      </c>
      <c r="B1416" s="3" t="n">
        <v>11</v>
      </c>
      <c r="C1416" s="3" t="n">
        <v>15</v>
      </c>
      <c r="D1416" s="3" t="s">
        <v>1420</v>
      </c>
      <c r="E1416" s="4" t="n">
        <v>2</v>
      </c>
    </row>
    <row r="1417" customFormat="false" ht="15" hidden="false" customHeight="false" outlineLevel="0" collapsed="false">
      <c r="A1417" s="3" t="n">
        <v>2015</v>
      </c>
      <c r="B1417" s="3" t="n">
        <v>11</v>
      </c>
      <c r="C1417" s="3" t="n">
        <v>16</v>
      </c>
      <c r="D1417" s="3" t="s">
        <v>1421</v>
      </c>
      <c r="E1417" s="4" t="n">
        <v>12</v>
      </c>
    </row>
    <row r="1418" customFormat="false" ht="15" hidden="false" customHeight="false" outlineLevel="0" collapsed="false">
      <c r="A1418" s="3" t="n">
        <v>2015</v>
      </c>
      <c r="B1418" s="3" t="n">
        <v>11</v>
      </c>
      <c r="C1418" s="3" t="n">
        <v>17</v>
      </c>
      <c r="D1418" s="3" t="s">
        <v>1422</v>
      </c>
      <c r="E1418" s="4" t="n">
        <v>66</v>
      </c>
    </row>
    <row r="1419" customFormat="false" ht="15" hidden="false" customHeight="false" outlineLevel="0" collapsed="false">
      <c r="A1419" s="3" t="n">
        <v>2015</v>
      </c>
      <c r="B1419" s="3" t="n">
        <v>11</v>
      </c>
      <c r="C1419" s="3" t="n">
        <v>18</v>
      </c>
      <c r="D1419" s="3" t="s">
        <v>1423</v>
      </c>
      <c r="E1419" s="4" t="n">
        <v>5</v>
      </c>
    </row>
    <row r="1420" customFormat="false" ht="15" hidden="false" customHeight="false" outlineLevel="0" collapsed="false">
      <c r="A1420" s="3" t="n">
        <v>2015</v>
      </c>
      <c r="B1420" s="3" t="n">
        <v>11</v>
      </c>
      <c r="C1420" s="3" t="n">
        <v>19</v>
      </c>
      <c r="D1420" s="3" t="s">
        <v>1424</v>
      </c>
      <c r="E1420" s="4" t="n">
        <v>0</v>
      </c>
    </row>
    <row r="1421" customFormat="false" ht="15" hidden="false" customHeight="false" outlineLevel="0" collapsed="false">
      <c r="A1421" s="3" t="n">
        <v>2015</v>
      </c>
      <c r="B1421" s="3" t="n">
        <v>11</v>
      </c>
      <c r="C1421" s="3" t="n">
        <v>20</v>
      </c>
      <c r="D1421" s="3" t="s">
        <v>1425</v>
      </c>
      <c r="E1421" s="4" t="n">
        <v>64</v>
      </c>
    </row>
    <row r="1422" customFormat="false" ht="15" hidden="false" customHeight="false" outlineLevel="0" collapsed="false">
      <c r="A1422" s="3" t="n">
        <v>2015</v>
      </c>
      <c r="B1422" s="3" t="n">
        <v>11</v>
      </c>
      <c r="C1422" s="3" t="n">
        <v>21</v>
      </c>
      <c r="D1422" s="3" t="s">
        <v>1426</v>
      </c>
      <c r="E1422" s="4" t="n">
        <v>0</v>
      </c>
    </row>
    <row r="1423" customFormat="false" ht="15" hidden="false" customHeight="false" outlineLevel="0" collapsed="false">
      <c r="A1423" s="3" t="n">
        <v>2015</v>
      </c>
      <c r="B1423" s="3" t="n">
        <v>11</v>
      </c>
      <c r="C1423" s="3" t="n">
        <v>22</v>
      </c>
      <c r="D1423" s="3" t="s">
        <v>1427</v>
      </c>
      <c r="E1423" s="4" t="n">
        <v>0</v>
      </c>
    </row>
    <row r="1424" customFormat="false" ht="15" hidden="false" customHeight="false" outlineLevel="0" collapsed="false">
      <c r="A1424" s="3" t="n">
        <v>2015</v>
      </c>
      <c r="B1424" s="3" t="n">
        <v>11</v>
      </c>
      <c r="C1424" s="3" t="n">
        <v>23</v>
      </c>
      <c r="D1424" s="3" t="s">
        <v>1428</v>
      </c>
      <c r="E1424" s="4" t="n">
        <v>23</v>
      </c>
    </row>
    <row r="1425" customFormat="false" ht="15" hidden="false" customHeight="false" outlineLevel="0" collapsed="false">
      <c r="A1425" s="3" t="n">
        <v>2015</v>
      </c>
      <c r="B1425" s="3" t="n">
        <v>11</v>
      </c>
      <c r="C1425" s="3" t="n">
        <v>24</v>
      </c>
      <c r="D1425" s="3" t="s">
        <v>1429</v>
      </c>
      <c r="E1425" s="4" t="n">
        <v>0</v>
      </c>
    </row>
    <row r="1426" customFormat="false" ht="15" hidden="false" customHeight="false" outlineLevel="0" collapsed="false">
      <c r="A1426" s="3" t="n">
        <v>2015</v>
      </c>
      <c r="B1426" s="3" t="n">
        <v>11</v>
      </c>
      <c r="C1426" s="3" t="n">
        <v>25</v>
      </c>
      <c r="D1426" s="3" t="s">
        <v>1430</v>
      </c>
      <c r="E1426" s="4" t="n">
        <v>0</v>
      </c>
    </row>
    <row r="1427" customFormat="false" ht="15" hidden="false" customHeight="false" outlineLevel="0" collapsed="false">
      <c r="A1427" s="3" t="n">
        <v>2015</v>
      </c>
      <c r="B1427" s="3" t="n">
        <v>11</v>
      </c>
      <c r="C1427" s="3" t="n">
        <v>26</v>
      </c>
      <c r="D1427" s="3" t="s">
        <v>1431</v>
      </c>
      <c r="E1427" s="4" t="n">
        <v>0</v>
      </c>
    </row>
    <row r="1428" customFormat="false" ht="15" hidden="false" customHeight="false" outlineLevel="0" collapsed="false">
      <c r="A1428" s="3" t="n">
        <v>2015</v>
      </c>
      <c r="B1428" s="3" t="n">
        <v>11</v>
      </c>
      <c r="C1428" s="3" t="n">
        <v>27</v>
      </c>
      <c r="D1428" s="3" t="s">
        <v>1432</v>
      </c>
      <c r="E1428" s="4" t="n">
        <v>45</v>
      </c>
    </row>
    <row r="1429" customFormat="false" ht="15" hidden="false" customHeight="false" outlineLevel="0" collapsed="false">
      <c r="A1429" s="3" t="n">
        <v>2015</v>
      </c>
      <c r="B1429" s="3" t="n">
        <v>11</v>
      </c>
      <c r="C1429" s="3" t="n">
        <v>28</v>
      </c>
      <c r="D1429" s="3" t="s">
        <v>1433</v>
      </c>
      <c r="E1429" s="4" t="n">
        <v>3</v>
      </c>
    </row>
    <row r="1430" customFormat="false" ht="15" hidden="false" customHeight="false" outlineLevel="0" collapsed="false">
      <c r="A1430" s="3" t="n">
        <v>2015</v>
      </c>
      <c r="B1430" s="3" t="n">
        <v>11</v>
      </c>
      <c r="C1430" s="3" t="n">
        <v>29</v>
      </c>
      <c r="D1430" s="3" t="s">
        <v>1434</v>
      </c>
      <c r="E1430" s="4" t="n">
        <v>0</v>
      </c>
    </row>
    <row r="1431" customFormat="false" ht="15" hidden="false" customHeight="false" outlineLevel="0" collapsed="false">
      <c r="A1431" s="3" t="n">
        <v>2015</v>
      </c>
      <c r="B1431" s="3" t="n">
        <v>11</v>
      </c>
      <c r="C1431" s="3" t="n">
        <v>30</v>
      </c>
      <c r="D1431" s="3" t="s">
        <v>1435</v>
      </c>
      <c r="E1431" s="4" t="n">
        <v>15</v>
      </c>
    </row>
    <row r="1432" customFormat="false" ht="15" hidden="false" customHeight="false" outlineLevel="0" collapsed="false">
      <c r="A1432" s="3" t="n">
        <v>2015</v>
      </c>
      <c r="B1432" s="3" t="n">
        <v>12</v>
      </c>
      <c r="C1432" s="3" t="n">
        <v>1</v>
      </c>
      <c r="D1432" s="3" t="s">
        <v>1436</v>
      </c>
      <c r="E1432" s="4" t="n">
        <v>0</v>
      </c>
    </row>
    <row r="1433" customFormat="false" ht="15" hidden="false" customHeight="false" outlineLevel="0" collapsed="false">
      <c r="A1433" s="3" t="n">
        <v>2015</v>
      </c>
      <c r="B1433" s="3" t="n">
        <v>12</v>
      </c>
      <c r="C1433" s="3" t="n">
        <v>2</v>
      </c>
      <c r="D1433" s="3" t="s">
        <v>1437</v>
      </c>
      <c r="E1433" s="4" t="n">
        <v>0</v>
      </c>
    </row>
    <row r="1434" customFormat="false" ht="15" hidden="false" customHeight="false" outlineLevel="0" collapsed="false">
      <c r="A1434" s="3" t="n">
        <v>2015</v>
      </c>
      <c r="B1434" s="3" t="n">
        <v>12</v>
      </c>
      <c r="C1434" s="3" t="n">
        <v>3</v>
      </c>
      <c r="D1434" s="3" t="s">
        <v>1438</v>
      </c>
      <c r="E1434" s="4" t="n">
        <v>0</v>
      </c>
    </row>
    <row r="1435" customFormat="false" ht="15" hidden="false" customHeight="false" outlineLevel="0" collapsed="false">
      <c r="A1435" s="3" t="n">
        <v>2015</v>
      </c>
      <c r="B1435" s="3" t="n">
        <v>12</v>
      </c>
      <c r="C1435" s="3" t="n">
        <v>4</v>
      </c>
      <c r="D1435" s="3" t="s">
        <v>1439</v>
      </c>
      <c r="E1435" s="4" t="n">
        <v>71</v>
      </c>
    </row>
    <row r="1436" customFormat="false" ht="15" hidden="false" customHeight="false" outlineLevel="0" collapsed="false">
      <c r="A1436" s="3" t="n">
        <v>2015</v>
      </c>
      <c r="B1436" s="3" t="n">
        <v>12</v>
      </c>
      <c r="C1436" s="3" t="n">
        <v>5</v>
      </c>
      <c r="D1436" s="3" t="s">
        <v>1440</v>
      </c>
      <c r="E1436" s="4" t="n">
        <v>9</v>
      </c>
    </row>
    <row r="1437" customFormat="false" ht="15" hidden="false" customHeight="false" outlineLevel="0" collapsed="false">
      <c r="A1437" s="3" t="n">
        <v>2015</v>
      </c>
      <c r="B1437" s="3" t="n">
        <v>12</v>
      </c>
      <c r="C1437" s="3" t="n">
        <v>6</v>
      </c>
      <c r="D1437" s="3" t="s">
        <v>1441</v>
      </c>
      <c r="E1437" s="4" t="n">
        <v>0</v>
      </c>
    </row>
    <row r="1438" customFormat="false" ht="15" hidden="false" customHeight="false" outlineLevel="0" collapsed="false">
      <c r="A1438" s="3" t="n">
        <v>2015</v>
      </c>
      <c r="B1438" s="3" t="n">
        <v>12</v>
      </c>
      <c r="C1438" s="3" t="n">
        <v>7</v>
      </c>
      <c r="D1438" s="3" t="s">
        <v>1442</v>
      </c>
      <c r="E1438" s="4" t="n">
        <v>3</v>
      </c>
    </row>
    <row r="1439" customFormat="false" ht="15" hidden="false" customHeight="false" outlineLevel="0" collapsed="false">
      <c r="A1439" s="3" t="n">
        <v>2015</v>
      </c>
      <c r="B1439" s="3" t="n">
        <v>12</v>
      </c>
      <c r="C1439" s="3" t="n">
        <v>8</v>
      </c>
      <c r="D1439" s="3" t="s">
        <v>1443</v>
      </c>
      <c r="E1439" s="4" t="n">
        <v>0</v>
      </c>
    </row>
    <row r="1440" customFormat="false" ht="15" hidden="false" customHeight="false" outlineLevel="0" collapsed="false">
      <c r="A1440" s="3" t="n">
        <v>2015</v>
      </c>
      <c r="B1440" s="3" t="n">
        <v>12</v>
      </c>
      <c r="C1440" s="3" t="n">
        <v>9</v>
      </c>
      <c r="D1440" s="3" t="s">
        <v>1444</v>
      </c>
      <c r="E1440" s="4" t="n">
        <v>33</v>
      </c>
    </row>
    <row r="1441" customFormat="false" ht="15" hidden="false" customHeight="false" outlineLevel="0" collapsed="false">
      <c r="A1441" s="3" t="n">
        <v>2015</v>
      </c>
      <c r="B1441" s="3" t="n">
        <v>12</v>
      </c>
      <c r="C1441" s="3" t="n">
        <v>10</v>
      </c>
      <c r="D1441" s="3" t="s">
        <v>1445</v>
      </c>
      <c r="E1441" s="4" t="n">
        <v>0</v>
      </c>
    </row>
    <row r="1442" customFormat="false" ht="15" hidden="false" customHeight="false" outlineLevel="0" collapsed="false">
      <c r="A1442" s="3" t="n">
        <v>2015</v>
      </c>
      <c r="B1442" s="3" t="n">
        <v>12</v>
      </c>
      <c r="C1442" s="3" t="n">
        <v>11</v>
      </c>
      <c r="D1442" s="3" t="s">
        <v>1446</v>
      </c>
      <c r="E1442" s="4" t="n">
        <v>49</v>
      </c>
    </row>
    <row r="1443" customFormat="false" ht="15" hidden="false" customHeight="false" outlineLevel="0" collapsed="false">
      <c r="A1443" s="3" t="n">
        <v>2015</v>
      </c>
      <c r="B1443" s="3" t="n">
        <v>12</v>
      </c>
      <c r="C1443" s="3" t="n">
        <v>12</v>
      </c>
      <c r="D1443" s="3" t="s">
        <v>1447</v>
      </c>
      <c r="E1443" s="4" t="n">
        <v>3</v>
      </c>
    </row>
    <row r="1444" customFormat="false" ht="15" hidden="false" customHeight="false" outlineLevel="0" collapsed="false">
      <c r="A1444" s="3" t="n">
        <v>2015</v>
      </c>
      <c r="B1444" s="3" t="n">
        <v>12</v>
      </c>
      <c r="C1444" s="3" t="n">
        <v>13</v>
      </c>
      <c r="D1444" s="3" t="s">
        <v>1448</v>
      </c>
      <c r="E1444" s="4" t="n">
        <v>0</v>
      </c>
    </row>
    <row r="1445" customFormat="false" ht="15" hidden="false" customHeight="false" outlineLevel="0" collapsed="false">
      <c r="A1445" s="3" t="n">
        <v>2015</v>
      </c>
      <c r="B1445" s="3" t="n">
        <v>12</v>
      </c>
      <c r="C1445" s="3" t="n">
        <v>14</v>
      </c>
      <c r="D1445" s="3" t="s">
        <v>1449</v>
      </c>
      <c r="E1445" s="4" t="n">
        <v>12</v>
      </c>
    </row>
    <row r="1446" customFormat="false" ht="15" hidden="false" customHeight="false" outlineLevel="0" collapsed="false">
      <c r="A1446" s="3" t="n">
        <v>2015</v>
      </c>
      <c r="B1446" s="3" t="n">
        <v>12</v>
      </c>
      <c r="C1446" s="3" t="n">
        <v>15</v>
      </c>
      <c r="D1446" s="3" t="s">
        <v>1450</v>
      </c>
      <c r="E1446" s="4" t="n">
        <v>3</v>
      </c>
    </row>
    <row r="1447" customFormat="false" ht="15" hidden="false" customHeight="false" outlineLevel="0" collapsed="false">
      <c r="A1447" s="3" t="n">
        <v>2015</v>
      </c>
      <c r="B1447" s="3" t="n">
        <v>12</v>
      </c>
      <c r="C1447" s="3" t="n">
        <v>16</v>
      </c>
      <c r="D1447" s="3" t="s">
        <v>1451</v>
      </c>
      <c r="E1447" s="4" t="n">
        <v>0</v>
      </c>
    </row>
    <row r="1448" customFormat="false" ht="15" hidden="false" customHeight="false" outlineLevel="0" collapsed="false">
      <c r="A1448" s="3" t="n">
        <v>2015</v>
      </c>
      <c r="B1448" s="3" t="n">
        <v>12</v>
      </c>
      <c r="C1448" s="3" t="n">
        <v>17</v>
      </c>
      <c r="D1448" s="3" t="s">
        <v>1452</v>
      </c>
      <c r="E1448" s="4" t="n">
        <v>1</v>
      </c>
    </row>
    <row r="1449" customFormat="false" ht="15" hidden="false" customHeight="false" outlineLevel="0" collapsed="false">
      <c r="A1449" s="3" t="n">
        <v>2015</v>
      </c>
      <c r="B1449" s="3" t="n">
        <v>12</v>
      </c>
      <c r="C1449" s="3" t="n">
        <v>18</v>
      </c>
      <c r="D1449" s="3" t="s">
        <v>1453</v>
      </c>
      <c r="E1449" s="4" t="n">
        <v>10</v>
      </c>
    </row>
    <row r="1450" customFormat="false" ht="15" hidden="false" customHeight="false" outlineLevel="0" collapsed="false">
      <c r="A1450" s="3" t="n">
        <v>2015</v>
      </c>
      <c r="B1450" s="3" t="n">
        <v>12</v>
      </c>
      <c r="C1450" s="3" t="n">
        <v>19</v>
      </c>
      <c r="D1450" s="3" t="s">
        <v>1454</v>
      </c>
      <c r="E1450" s="4" t="n">
        <v>20</v>
      </c>
    </row>
    <row r="1451" customFormat="false" ht="15" hidden="false" customHeight="false" outlineLevel="0" collapsed="false">
      <c r="A1451" s="3" t="n">
        <v>2015</v>
      </c>
      <c r="B1451" s="3" t="n">
        <v>12</v>
      </c>
      <c r="C1451" s="3" t="n">
        <v>20</v>
      </c>
      <c r="D1451" s="3" t="s">
        <v>1455</v>
      </c>
      <c r="E1451" s="4" t="n">
        <v>0</v>
      </c>
    </row>
    <row r="1452" customFormat="false" ht="15" hidden="false" customHeight="false" outlineLevel="0" collapsed="false">
      <c r="A1452" s="3" t="n">
        <v>2015</v>
      </c>
      <c r="B1452" s="3" t="n">
        <v>12</v>
      </c>
      <c r="C1452" s="3" t="n">
        <v>21</v>
      </c>
      <c r="D1452" s="3" t="s">
        <v>1456</v>
      </c>
      <c r="E1452" s="4" t="n">
        <v>0</v>
      </c>
    </row>
    <row r="1453" customFormat="false" ht="15" hidden="false" customHeight="false" outlineLevel="0" collapsed="false">
      <c r="A1453" s="3" t="n">
        <v>2015</v>
      </c>
      <c r="B1453" s="3" t="n">
        <v>12</v>
      </c>
      <c r="C1453" s="3" t="n">
        <v>22</v>
      </c>
      <c r="D1453" s="3" t="s">
        <v>1457</v>
      </c>
      <c r="E1453" s="4" t="n">
        <v>0</v>
      </c>
    </row>
    <row r="1454" customFormat="false" ht="15" hidden="false" customHeight="false" outlineLevel="0" collapsed="false">
      <c r="A1454" s="3" t="n">
        <v>2015</v>
      </c>
      <c r="B1454" s="3" t="n">
        <v>12</v>
      </c>
      <c r="C1454" s="3" t="n">
        <v>23</v>
      </c>
      <c r="D1454" s="3" t="s">
        <v>1458</v>
      </c>
      <c r="E1454" s="4" t="n">
        <v>0</v>
      </c>
    </row>
    <row r="1455" customFormat="false" ht="15" hidden="false" customHeight="false" outlineLevel="0" collapsed="false">
      <c r="A1455" s="3" t="n">
        <v>2015</v>
      </c>
      <c r="B1455" s="3" t="n">
        <v>12</v>
      </c>
      <c r="C1455" s="3" t="n">
        <v>24</v>
      </c>
      <c r="D1455" s="3" t="s">
        <v>1459</v>
      </c>
      <c r="E1455" s="4" t="n">
        <v>0</v>
      </c>
    </row>
    <row r="1456" customFormat="false" ht="15" hidden="false" customHeight="false" outlineLevel="0" collapsed="false">
      <c r="A1456" s="3" t="n">
        <v>2015</v>
      </c>
      <c r="B1456" s="3" t="n">
        <v>12</v>
      </c>
      <c r="C1456" s="3" t="n">
        <v>25</v>
      </c>
      <c r="D1456" s="3" t="s">
        <v>1460</v>
      </c>
      <c r="E1456" s="4" t="n">
        <v>0</v>
      </c>
    </row>
    <row r="1457" customFormat="false" ht="15" hidden="false" customHeight="false" outlineLevel="0" collapsed="false">
      <c r="A1457" s="3" t="n">
        <v>2015</v>
      </c>
      <c r="B1457" s="3" t="n">
        <v>12</v>
      </c>
      <c r="C1457" s="3" t="n">
        <v>26</v>
      </c>
      <c r="D1457" s="3" t="s">
        <v>1461</v>
      </c>
      <c r="E1457" s="4" t="n">
        <v>0</v>
      </c>
    </row>
    <row r="1458" customFormat="false" ht="15" hidden="false" customHeight="false" outlineLevel="0" collapsed="false">
      <c r="A1458" s="3" t="n">
        <v>2015</v>
      </c>
      <c r="B1458" s="3" t="n">
        <v>12</v>
      </c>
      <c r="C1458" s="3" t="n">
        <v>27</v>
      </c>
      <c r="D1458" s="3" t="s">
        <v>1462</v>
      </c>
      <c r="E1458" s="4" t="n">
        <v>0</v>
      </c>
    </row>
    <row r="1459" customFormat="false" ht="15" hidden="false" customHeight="false" outlineLevel="0" collapsed="false">
      <c r="A1459" s="3" t="n">
        <v>2015</v>
      </c>
      <c r="B1459" s="3" t="n">
        <v>12</v>
      </c>
      <c r="C1459" s="3" t="n">
        <v>28</v>
      </c>
      <c r="D1459" s="3" t="s">
        <v>1463</v>
      </c>
      <c r="E1459" s="4" t="n">
        <v>27</v>
      </c>
    </row>
    <row r="1460" customFormat="false" ht="15" hidden="false" customHeight="false" outlineLevel="0" collapsed="false">
      <c r="A1460" s="3" t="n">
        <v>2015</v>
      </c>
      <c r="B1460" s="3" t="n">
        <v>12</v>
      </c>
      <c r="C1460" s="3" t="n">
        <v>29</v>
      </c>
      <c r="D1460" s="3" t="s">
        <v>1464</v>
      </c>
      <c r="E1460" s="4" t="n">
        <v>11</v>
      </c>
    </row>
    <row r="1461" customFormat="false" ht="15" hidden="false" customHeight="false" outlineLevel="0" collapsed="false">
      <c r="A1461" s="3" t="n">
        <v>2015</v>
      </c>
      <c r="B1461" s="3" t="n">
        <v>12</v>
      </c>
      <c r="C1461" s="3" t="n">
        <v>30</v>
      </c>
      <c r="D1461" s="3" t="s">
        <v>1465</v>
      </c>
      <c r="E1461" s="4" t="n">
        <v>0</v>
      </c>
    </row>
    <row r="1462" customFormat="false" ht="15" hidden="false" customHeight="false" outlineLevel="0" collapsed="false">
      <c r="A1462" s="3" t="n">
        <v>2015</v>
      </c>
      <c r="B1462" s="3" t="n">
        <v>12</v>
      </c>
      <c r="C1462" s="3" t="n">
        <v>31</v>
      </c>
      <c r="D1462" s="3" t="s">
        <v>1466</v>
      </c>
      <c r="E1462" s="4" t="n">
        <v>0</v>
      </c>
    </row>
    <row r="1463" customFormat="false" ht="15" hidden="false" customHeight="false" outlineLevel="0" collapsed="false">
      <c r="A1463" s="3" t="n">
        <v>2016</v>
      </c>
      <c r="B1463" s="3" t="n">
        <v>1</v>
      </c>
      <c r="C1463" s="3" t="n">
        <v>1</v>
      </c>
      <c r="D1463" s="3" t="s">
        <v>1467</v>
      </c>
      <c r="E1463" s="4" t="n">
        <v>0</v>
      </c>
    </row>
    <row r="1464" customFormat="false" ht="15" hidden="false" customHeight="false" outlineLevel="0" collapsed="false">
      <c r="A1464" s="3" t="n">
        <v>2016</v>
      </c>
      <c r="B1464" s="3" t="n">
        <v>1</v>
      </c>
      <c r="C1464" s="3" t="n">
        <v>2</v>
      </c>
      <c r="D1464" s="3" t="s">
        <v>1468</v>
      </c>
      <c r="E1464" s="4" t="n">
        <v>0</v>
      </c>
    </row>
    <row r="1465" customFormat="false" ht="15" hidden="false" customHeight="false" outlineLevel="0" collapsed="false">
      <c r="A1465" s="3" t="n">
        <v>2016</v>
      </c>
      <c r="B1465" s="3" t="n">
        <v>1</v>
      </c>
      <c r="C1465" s="3" t="n">
        <v>3</v>
      </c>
      <c r="D1465" s="3" t="s">
        <v>1469</v>
      </c>
      <c r="E1465" s="4" t="n">
        <v>20</v>
      </c>
    </row>
    <row r="1466" customFormat="false" ht="15" hidden="false" customHeight="false" outlineLevel="0" collapsed="false">
      <c r="A1466" s="3" t="n">
        <v>2016</v>
      </c>
      <c r="B1466" s="3" t="n">
        <v>1</v>
      </c>
      <c r="C1466" s="3" t="n">
        <v>4</v>
      </c>
      <c r="D1466" s="3" t="s">
        <v>1470</v>
      </c>
      <c r="E1466" s="4" t="n">
        <v>0</v>
      </c>
    </row>
    <row r="1467" customFormat="false" ht="15" hidden="false" customHeight="false" outlineLevel="0" collapsed="false">
      <c r="A1467" s="3" t="n">
        <v>2016</v>
      </c>
      <c r="B1467" s="3" t="n">
        <v>1</v>
      </c>
      <c r="C1467" s="3" t="n">
        <v>5</v>
      </c>
      <c r="D1467" s="3" t="s">
        <v>1471</v>
      </c>
      <c r="E1467" s="4" t="n">
        <v>0</v>
      </c>
    </row>
    <row r="1468" customFormat="false" ht="15" hidden="false" customHeight="false" outlineLevel="0" collapsed="false">
      <c r="A1468" s="3" t="n">
        <v>2016</v>
      </c>
      <c r="B1468" s="3" t="n">
        <v>1</v>
      </c>
      <c r="C1468" s="3" t="n">
        <v>6</v>
      </c>
      <c r="D1468" s="3" t="s">
        <v>1472</v>
      </c>
      <c r="E1468" s="4" t="n">
        <v>0</v>
      </c>
    </row>
    <row r="1469" customFormat="false" ht="15" hidden="false" customHeight="false" outlineLevel="0" collapsed="false">
      <c r="A1469" s="3" t="n">
        <v>2016</v>
      </c>
      <c r="B1469" s="3" t="n">
        <v>1</v>
      </c>
      <c r="C1469" s="3" t="n">
        <v>7</v>
      </c>
      <c r="D1469" s="3" t="s">
        <v>1473</v>
      </c>
      <c r="E1469" s="4" t="n">
        <v>0</v>
      </c>
    </row>
    <row r="1470" customFormat="false" ht="15" hidden="false" customHeight="false" outlineLevel="0" collapsed="false">
      <c r="A1470" s="3" t="n">
        <v>2016</v>
      </c>
      <c r="B1470" s="3" t="n">
        <v>1</v>
      </c>
      <c r="C1470" s="3" t="n">
        <v>8</v>
      </c>
      <c r="D1470" s="3" t="s">
        <v>1474</v>
      </c>
      <c r="E1470" s="4" t="n">
        <v>0</v>
      </c>
    </row>
    <row r="1471" customFormat="false" ht="15" hidden="false" customHeight="false" outlineLevel="0" collapsed="false">
      <c r="A1471" s="3" t="n">
        <v>2016</v>
      </c>
      <c r="B1471" s="3" t="n">
        <v>1</v>
      </c>
      <c r="C1471" s="3" t="n">
        <v>9</v>
      </c>
      <c r="D1471" s="3" t="s">
        <v>1475</v>
      </c>
      <c r="E1471" s="4" t="n">
        <v>0</v>
      </c>
    </row>
    <row r="1472" customFormat="false" ht="15" hidden="false" customHeight="false" outlineLevel="0" collapsed="false">
      <c r="A1472" s="3" t="n">
        <v>2016</v>
      </c>
      <c r="B1472" s="3" t="n">
        <v>1</v>
      </c>
      <c r="C1472" s="3" t="n">
        <v>10</v>
      </c>
      <c r="D1472" s="3" t="s">
        <v>1476</v>
      </c>
      <c r="E1472" s="4" t="n">
        <v>57</v>
      </c>
    </row>
    <row r="1473" customFormat="false" ht="15" hidden="false" customHeight="false" outlineLevel="0" collapsed="false">
      <c r="A1473" s="3" t="n">
        <v>2016</v>
      </c>
      <c r="B1473" s="3" t="n">
        <v>1</v>
      </c>
      <c r="C1473" s="3" t="n">
        <v>11</v>
      </c>
      <c r="D1473" s="3" t="s">
        <v>1477</v>
      </c>
      <c r="E1473" s="4" t="n">
        <v>0</v>
      </c>
    </row>
    <row r="1474" customFormat="false" ht="15" hidden="false" customHeight="false" outlineLevel="0" collapsed="false">
      <c r="A1474" s="3" t="n">
        <v>2016</v>
      </c>
      <c r="B1474" s="3" t="n">
        <v>1</v>
      </c>
      <c r="C1474" s="3" t="n">
        <v>12</v>
      </c>
      <c r="D1474" s="3" t="s">
        <v>1478</v>
      </c>
      <c r="E1474" s="4" t="n">
        <v>0</v>
      </c>
    </row>
    <row r="1475" customFormat="false" ht="15" hidden="false" customHeight="false" outlineLevel="0" collapsed="false">
      <c r="A1475" s="3" t="n">
        <v>2016</v>
      </c>
      <c r="B1475" s="3" t="n">
        <v>1</v>
      </c>
      <c r="C1475" s="3" t="n">
        <v>13</v>
      </c>
      <c r="D1475" s="3" t="s">
        <v>1479</v>
      </c>
      <c r="E1475" s="4" t="n">
        <v>0</v>
      </c>
    </row>
    <row r="1476" customFormat="false" ht="15" hidden="false" customHeight="false" outlineLevel="0" collapsed="false">
      <c r="A1476" s="3" t="n">
        <v>2016</v>
      </c>
      <c r="B1476" s="3" t="n">
        <v>1</v>
      </c>
      <c r="C1476" s="3" t="n">
        <v>14</v>
      </c>
      <c r="D1476" s="3" t="s">
        <v>1480</v>
      </c>
      <c r="E1476" s="4" t="n">
        <v>0</v>
      </c>
    </row>
    <row r="1477" customFormat="false" ht="15" hidden="false" customHeight="false" outlineLevel="0" collapsed="false">
      <c r="A1477" s="3" t="n">
        <v>2016</v>
      </c>
      <c r="B1477" s="3" t="n">
        <v>1</v>
      </c>
      <c r="C1477" s="3" t="n">
        <v>15</v>
      </c>
      <c r="D1477" s="3" t="s">
        <v>1481</v>
      </c>
      <c r="E1477" s="4" t="n">
        <v>0</v>
      </c>
    </row>
    <row r="1478" customFormat="false" ht="15" hidden="false" customHeight="false" outlineLevel="0" collapsed="false">
      <c r="A1478" s="3" t="n">
        <v>2016</v>
      </c>
      <c r="B1478" s="3" t="n">
        <v>1</v>
      </c>
      <c r="C1478" s="3" t="n">
        <v>16</v>
      </c>
      <c r="D1478" s="3" t="s">
        <v>1482</v>
      </c>
      <c r="E1478" s="4" t="n">
        <v>0</v>
      </c>
    </row>
    <row r="1479" customFormat="false" ht="15" hidden="false" customHeight="false" outlineLevel="0" collapsed="false">
      <c r="A1479" s="3" t="n">
        <v>2016</v>
      </c>
      <c r="B1479" s="3" t="n">
        <v>1</v>
      </c>
      <c r="C1479" s="3" t="n">
        <v>17</v>
      </c>
      <c r="D1479" s="3" t="s">
        <v>1483</v>
      </c>
      <c r="E1479" s="4" t="n">
        <v>42</v>
      </c>
    </row>
    <row r="1480" customFormat="false" ht="15" hidden="false" customHeight="false" outlineLevel="0" collapsed="false">
      <c r="A1480" s="3" t="n">
        <v>2016</v>
      </c>
      <c r="B1480" s="3" t="n">
        <v>1</v>
      </c>
      <c r="C1480" s="3" t="n">
        <v>18</v>
      </c>
      <c r="D1480" s="3" t="s">
        <v>1484</v>
      </c>
      <c r="E1480" s="4" t="n">
        <v>9</v>
      </c>
    </row>
    <row r="1481" customFormat="false" ht="15" hidden="false" customHeight="false" outlineLevel="0" collapsed="false">
      <c r="A1481" s="3" t="n">
        <v>2016</v>
      </c>
      <c r="B1481" s="3" t="n">
        <v>1</v>
      </c>
      <c r="C1481" s="3" t="n">
        <v>19</v>
      </c>
      <c r="D1481" s="3" t="s">
        <v>1485</v>
      </c>
      <c r="E1481" s="4" t="n">
        <v>0</v>
      </c>
    </row>
    <row r="1482" customFormat="false" ht="15" hidden="false" customHeight="false" outlineLevel="0" collapsed="false">
      <c r="A1482" s="3" t="n">
        <v>2016</v>
      </c>
      <c r="B1482" s="3" t="n">
        <v>1</v>
      </c>
      <c r="C1482" s="3" t="n">
        <v>20</v>
      </c>
      <c r="D1482" s="3" t="s">
        <v>1486</v>
      </c>
      <c r="E1482" s="4" t="n">
        <v>0</v>
      </c>
    </row>
    <row r="1483" customFormat="false" ht="15" hidden="false" customHeight="false" outlineLevel="0" collapsed="false">
      <c r="A1483" s="3" t="n">
        <v>2016</v>
      </c>
      <c r="B1483" s="3" t="n">
        <v>1</v>
      </c>
      <c r="C1483" s="3" t="n">
        <v>21</v>
      </c>
      <c r="D1483" s="3" t="s">
        <v>1487</v>
      </c>
      <c r="E1483" s="4" t="n">
        <v>0</v>
      </c>
    </row>
    <row r="1484" customFormat="false" ht="15" hidden="false" customHeight="false" outlineLevel="0" collapsed="false">
      <c r="A1484" s="3" t="n">
        <v>2016</v>
      </c>
      <c r="B1484" s="3" t="n">
        <v>1</v>
      </c>
      <c r="C1484" s="3" t="n">
        <v>22</v>
      </c>
      <c r="D1484" s="3" t="s">
        <v>1488</v>
      </c>
      <c r="E1484" s="4" t="n">
        <v>23</v>
      </c>
    </row>
    <row r="1485" customFormat="false" ht="15" hidden="false" customHeight="false" outlineLevel="0" collapsed="false">
      <c r="A1485" s="3" t="n">
        <v>2016</v>
      </c>
      <c r="B1485" s="3" t="n">
        <v>1</v>
      </c>
      <c r="C1485" s="3" t="n">
        <v>23</v>
      </c>
      <c r="D1485" s="3" t="s">
        <v>1489</v>
      </c>
      <c r="E1485" s="4" t="n">
        <v>0</v>
      </c>
    </row>
    <row r="1486" customFormat="false" ht="15" hidden="false" customHeight="false" outlineLevel="0" collapsed="false">
      <c r="A1486" s="3" t="n">
        <v>2016</v>
      </c>
      <c r="B1486" s="3" t="n">
        <v>1</v>
      </c>
      <c r="C1486" s="3" t="n">
        <v>24</v>
      </c>
      <c r="D1486" s="3" t="s">
        <v>1490</v>
      </c>
      <c r="E1486" s="4" t="n">
        <v>27</v>
      </c>
    </row>
    <row r="1487" customFormat="false" ht="15" hidden="false" customHeight="false" outlineLevel="0" collapsed="false">
      <c r="A1487" s="3" t="n">
        <v>2016</v>
      </c>
      <c r="B1487" s="3" t="n">
        <v>1</v>
      </c>
      <c r="C1487" s="3" t="n">
        <v>25</v>
      </c>
      <c r="D1487" s="3" t="s">
        <v>1491</v>
      </c>
      <c r="E1487" s="4" t="n">
        <v>0</v>
      </c>
    </row>
    <row r="1488" customFormat="false" ht="15" hidden="false" customHeight="false" outlineLevel="0" collapsed="false">
      <c r="A1488" s="3" t="n">
        <v>2016</v>
      </c>
      <c r="B1488" s="3" t="n">
        <v>1</v>
      </c>
      <c r="C1488" s="3" t="n">
        <v>26</v>
      </c>
      <c r="D1488" s="3" t="s">
        <v>1492</v>
      </c>
      <c r="E1488" s="4" t="n">
        <v>0</v>
      </c>
    </row>
    <row r="1489" customFormat="false" ht="15" hidden="false" customHeight="false" outlineLevel="0" collapsed="false">
      <c r="A1489" s="3" t="n">
        <v>2016</v>
      </c>
      <c r="B1489" s="3" t="n">
        <v>1</v>
      </c>
      <c r="C1489" s="3" t="n">
        <v>27</v>
      </c>
      <c r="D1489" s="3" t="s">
        <v>1493</v>
      </c>
      <c r="E1489" s="4" t="n">
        <v>0</v>
      </c>
    </row>
    <row r="1490" customFormat="false" ht="15" hidden="false" customHeight="false" outlineLevel="0" collapsed="false">
      <c r="A1490" s="3" t="n">
        <v>2016</v>
      </c>
      <c r="B1490" s="3" t="n">
        <v>1</v>
      </c>
      <c r="C1490" s="3" t="n">
        <v>28</v>
      </c>
      <c r="D1490" s="3" t="s">
        <v>1494</v>
      </c>
      <c r="E1490" s="4" t="n">
        <v>27</v>
      </c>
    </row>
    <row r="1491" customFormat="false" ht="15" hidden="false" customHeight="false" outlineLevel="0" collapsed="false">
      <c r="A1491" s="3" t="n">
        <v>2016</v>
      </c>
      <c r="B1491" s="3" t="n">
        <v>1</v>
      </c>
      <c r="C1491" s="3" t="n">
        <v>29</v>
      </c>
      <c r="D1491" s="3" t="s">
        <v>1495</v>
      </c>
      <c r="E1491" s="4" t="n">
        <v>0</v>
      </c>
    </row>
    <row r="1492" customFormat="false" ht="15" hidden="false" customHeight="false" outlineLevel="0" collapsed="false">
      <c r="A1492" s="3" t="n">
        <v>2016</v>
      </c>
      <c r="B1492" s="3" t="n">
        <v>1</v>
      </c>
      <c r="C1492" s="3" t="n">
        <v>30</v>
      </c>
      <c r="D1492" s="3" t="s">
        <v>1496</v>
      </c>
      <c r="E1492" s="4" t="n">
        <v>40</v>
      </c>
    </row>
    <row r="1493" customFormat="false" ht="15" hidden="false" customHeight="false" outlineLevel="0" collapsed="false">
      <c r="A1493" s="3" t="n">
        <v>2016</v>
      </c>
      <c r="B1493" s="3" t="n">
        <v>1</v>
      </c>
      <c r="C1493" s="3" t="n">
        <v>31</v>
      </c>
      <c r="D1493" s="3" t="s">
        <v>1497</v>
      </c>
      <c r="E1493" s="4" t="n">
        <v>0</v>
      </c>
    </row>
    <row r="1494" customFormat="false" ht="15" hidden="false" customHeight="false" outlineLevel="0" collapsed="false">
      <c r="A1494" s="3" t="n">
        <v>2016</v>
      </c>
      <c r="B1494" s="3" t="n">
        <v>2</v>
      </c>
      <c r="C1494" s="3" t="n">
        <v>1</v>
      </c>
      <c r="D1494" s="3" t="s">
        <v>1498</v>
      </c>
      <c r="E1494" s="4" t="n">
        <v>0</v>
      </c>
    </row>
    <row r="1495" customFormat="false" ht="15" hidden="false" customHeight="false" outlineLevel="0" collapsed="false">
      <c r="A1495" s="3" t="n">
        <v>2016</v>
      </c>
      <c r="B1495" s="3" t="n">
        <v>2</v>
      </c>
      <c r="C1495" s="3" t="n">
        <v>2</v>
      </c>
      <c r="D1495" s="3" t="s">
        <v>1499</v>
      </c>
      <c r="E1495" s="4" t="n">
        <v>33</v>
      </c>
    </row>
    <row r="1496" customFormat="false" ht="15" hidden="false" customHeight="false" outlineLevel="0" collapsed="false">
      <c r="A1496" s="3" t="n">
        <v>2016</v>
      </c>
      <c r="B1496" s="3" t="n">
        <v>2</v>
      </c>
      <c r="C1496" s="3" t="n">
        <v>3</v>
      </c>
      <c r="D1496" s="3" t="s">
        <v>1500</v>
      </c>
      <c r="E1496" s="4" t="n">
        <v>0</v>
      </c>
    </row>
    <row r="1497" customFormat="false" ht="15" hidden="false" customHeight="false" outlineLevel="0" collapsed="false">
      <c r="A1497" s="3" t="n">
        <v>2016</v>
      </c>
      <c r="B1497" s="3" t="n">
        <v>2</v>
      </c>
      <c r="C1497" s="3" t="n">
        <v>4</v>
      </c>
      <c r="D1497" s="3" t="s">
        <v>1501</v>
      </c>
      <c r="E1497" s="4" t="n">
        <v>0</v>
      </c>
    </row>
    <row r="1498" customFormat="false" ht="15" hidden="false" customHeight="false" outlineLevel="0" collapsed="false">
      <c r="A1498" s="3" t="n">
        <v>2016</v>
      </c>
      <c r="B1498" s="3" t="n">
        <v>2</v>
      </c>
      <c r="C1498" s="3" t="n">
        <v>5</v>
      </c>
      <c r="D1498" s="3" t="s">
        <v>1502</v>
      </c>
      <c r="E1498" s="4" t="n">
        <v>0</v>
      </c>
    </row>
    <row r="1499" customFormat="false" ht="15" hidden="false" customHeight="false" outlineLevel="0" collapsed="false">
      <c r="A1499" s="3" t="n">
        <v>2016</v>
      </c>
      <c r="B1499" s="3" t="n">
        <v>2</v>
      </c>
      <c r="C1499" s="3" t="n">
        <v>6</v>
      </c>
      <c r="D1499" s="3" t="s">
        <v>1503</v>
      </c>
      <c r="E1499" s="4" t="n">
        <v>14</v>
      </c>
    </row>
    <row r="1500" customFormat="false" ht="15" hidden="false" customHeight="false" outlineLevel="0" collapsed="false">
      <c r="A1500" s="3" t="n">
        <v>2016</v>
      </c>
      <c r="B1500" s="3" t="n">
        <v>2</v>
      </c>
      <c r="C1500" s="3" t="n">
        <v>7</v>
      </c>
      <c r="D1500" s="3" t="s">
        <v>1504</v>
      </c>
      <c r="E1500" s="4" t="n">
        <v>0</v>
      </c>
    </row>
    <row r="1501" customFormat="false" ht="15" hidden="false" customHeight="false" outlineLevel="0" collapsed="false">
      <c r="A1501" s="3" t="n">
        <v>2016</v>
      </c>
      <c r="B1501" s="3" t="n">
        <v>2</v>
      </c>
      <c r="C1501" s="3" t="n">
        <v>8</v>
      </c>
      <c r="D1501" s="3" t="s">
        <v>1505</v>
      </c>
      <c r="E1501" s="4" t="n">
        <v>0</v>
      </c>
    </row>
    <row r="1502" customFormat="false" ht="15" hidden="false" customHeight="false" outlineLevel="0" collapsed="false">
      <c r="A1502" s="3" t="n">
        <v>2016</v>
      </c>
      <c r="B1502" s="3" t="n">
        <v>2</v>
      </c>
      <c r="C1502" s="3" t="n">
        <v>9</v>
      </c>
      <c r="D1502" s="3" t="s">
        <v>1506</v>
      </c>
      <c r="E1502" s="4" t="n">
        <v>7</v>
      </c>
    </row>
    <row r="1503" customFormat="false" ht="15" hidden="false" customHeight="false" outlineLevel="0" collapsed="false">
      <c r="A1503" s="3" t="n">
        <v>2016</v>
      </c>
      <c r="B1503" s="3" t="n">
        <v>2</v>
      </c>
      <c r="C1503" s="3" t="n">
        <v>10</v>
      </c>
      <c r="D1503" s="3" t="s">
        <v>1507</v>
      </c>
      <c r="E1503" s="4" t="n">
        <v>68</v>
      </c>
    </row>
    <row r="1504" customFormat="false" ht="15" hidden="false" customHeight="false" outlineLevel="0" collapsed="false">
      <c r="A1504" s="3" t="n">
        <v>2016</v>
      </c>
      <c r="B1504" s="3" t="n">
        <v>2</v>
      </c>
      <c r="C1504" s="3" t="n">
        <v>11</v>
      </c>
      <c r="D1504" s="3" t="s">
        <v>1508</v>
      </c>
      <c r="E1504" s="4" t="n">
        <v>0</v>
      </c>
    </row>
    <row r="1505" customFormat="false" ht="15" hidden="false" customHeight="false" outlineLevel="0" collapsed="false">
      <c r="A1505" s="3" t="n">
        <v>2016</v>
      </c>
      <c r="B1505" s="3" t="n">
        <v>2</v>
      </c>
      <c r="C1505" s="3" t="n">
        <v>12</v>
      </c>
      <c r="D1505" s="3" t="s">
        <v>1509</v>
      </c>
      <c r="E1505" s="4" t="n">
        <v>26</v>
      </c>
    </row>
    <row r="1506" customFormat="false" ht="15" hidden="false" customHeight="false" outlineLevel="0" collapsed="false">
      <c r="A1506" s="3" t="n">
        <v>2016</v>
      </c>
      <c r="B1506" s="3" t="n">
        <v>2</v>
      </c>
      <c r="C1506" s="3" t="n">
        <v>13</v>
      </c>
      <c r="D1506" s="3" t="s">
        <v>1510</v>
      </c>
      <c r="E1506" s="4" t="n">
        <v>0</v>
      </c>
    </row>
    <row r="1507" customFormat="false" ht="15" hidden="false" customHeight="false" outlineLevel="0" collapsed="false">
      <c r="A1507" s="3" t="n">
        <v>2016</v>
      </c>
      <c r="B1507" s="3" t="n">
        <v>2</v>
      </c>
      <c r="C1507" s="3" t="n">
        <v>14</v>
      </c>
      <c r="D1507" s="3" t="s">
        <v>1511</v>
      </c>
      <c r="E1507" s="4" t="n">
        <v>7</v>
      </c>
    </row>
    <row r="1508" customFormat="false" ht="15" hidden="false" customHeight="false" outlineLevel="0" collapsed="false">
      <c r="A1508" s="3" t="n">
        <v>2016</v>
      </c>
      <c r="B1508" s="3" t="n">
        <v>2</v>
      </c>
      <c r="C1508" s="3" t="n">
        <v>15</v>
      </c>
      <c r="D1508" s="3" t="s">
        <v>1512</v>
      </c>
      <c r="E1508" s="4" t="n">
        <v>0</v>
      </c>
    </row>
    <row r="1509" customFormat="false" ht="15" hidden="false" customHeight="false" outlineLevel="0" collapsed="false">
      <c r="A1509" s="3" t="n">
        <v>2016</v>
      </c>
      <c r="B1509" s="3" t="n">
        <v>2</v>
      </c>
      <c r="C1509" s="3" t="n">
        <v>16</v>
      </c>
      <c r="D1509" s="3" t="s">
        <v>1513</v>
      </c>
      <c r="E1509" s="4" t="n">
        <v>0</v>
      </c>
    </row>
    <row r="1510" customFormat="false" ht="15" hidden="false" customHeight="false" outlineLevel="0" collapsed="false">
      <c r="A1510" s="3" t="n">
        <v>2016</v>
      </c>
      <c r="B1510" s="3" t="n">
        <v>2</v>
      </c>
      <c r="C1510" s="3" t="n">
        <v>17</v>
      </c>
      <c r="D1510" s="3" t="s">
        <v>1514</v>
      </c>
      <c r="E1510" s="4" t="n">
        <v>3</v>
      </c>
    </row>
    <row r="1511" customFormat="false" ht="15" hidden="false" customHeight="false" outlineLevel="0" collapsed="false">
      <c r="A1511" s="3" t="n">
        <v>2016</v>
      </c>
      <c r="B1511" s="3" t="n">
        <v>2</v>
      </c>
      <c r="C1511" s="3" t="n">
        <v>18</v>
      </c>
      <c r="D1511" s="3" t="s">
        <v>1515</v>
      </c>
      <c r="E1511" s="4" t="n">
        <v>12</v>
      </c>
    </row>
    <row r="1512" customFormat="false" ht="15" hidden="false" customHeight="false" outlineLevel="0" collapsed="false">
      <c r="A1512" s="3" t="n">
        <v>2016</v>
      </c>
      <c r="B1512" s="3" t="n">
        <v>2</v>
      </c>
      <c r="C1512" s="3" t="n">
        <v>19</v>
      </c>
      <c r="D1512" s="3" t="s">
        <v>1516</v>
      </c>
      <c r="E1512" s="4" t="n">
        <v>4</v>
      </c>
    </row>
    <row r="1513" customFormat="false" ht="15" hidden="false" customHeight="false" outlineLevel="0" collapsed="false">
      <c r="A1513" s="3" t="n">
        <v>2016</v>
      </c>
      <c r="B1513" s="3" t="n">
        <v>2</v>
      </c>
      <c r="C1513" s="3" t="n">
        <v>20</v>
      </c>
      <c r="D1513" s="3" t="s">
        <v>1517</v>
      </c>
      <c r="E1513" s="4" t="n">
        <v>0</v>
      </c>
    </row>
    <row r="1514" customFormat="false" ht="15" hidden="false" customHeight="false" outlineLevel="0" collapsed="false">
      <c r="A1514" s="3" t="n">
        <v>2016</v>
      </c>
      <c r="B1514" s="3" t="n">
        <v>2</v>
      </c>
      <c r="C1514" s="3" t="n">
        <v>21</v>
      </c>
      <c r="D1514" s="3" t="s">
        <v>1518</v>
      </c>
      <c r="E1514" s="4" t="n">
        <v>0</v>
      </c>
    </row>
    <row r="1515" customFormat="false" ht="15" hidden="false" customHeight="false" outlineLevel="0" collapsed="false">
      <c r="A1515" s="3" t="n">
        <v>2016</v>
      </c>
      <c r="B1515" s="3" t="n">
        <v>2</v>
      </c>
      <c r="C1515" s="3" t="n">
        <v>22</v>
      </c>
      <c r="D1515" s="3" t="s">
        <v>1519</v>
      </c>
      <c r="E1515" s="4" t="n">
        <v>9</v>
      </c>
    </row>
    <row r="1516" customFormat="false" ht="15" hidden="false" customHeight="false" outlineLevel="0" collapsed="false">
      <c r="A1516" s="3" t="n">
        <v>2016</v>
      </c>
      <c r="B1516" s="3" t="n">
        <v>2</v>
      </c>
      <c r="C1516" s="3" t="n">
        <v>23</v>
      </c>
      <c r="D1516" s="3" t="s">
        <v>1520</v>
      </c>
      <c r="E1516" s="4" t="n">
        <v>0</v>
      </c>
    </row>
    <row r="1517" customFormat="false" ht="15" hidden="false" customHeight="false" outlineLevel="0" collapsed="false">
      <c r="A1517" s="3" t="n">
        <v>2016</v>
      </c>
      <c r="B1517" s="3" t="n">
        <v>2</v>
      </c>
      <c r="C1517" s="3" t="n">
        <v>24</v>
      </c>
      <c r="D1517" s="3" t="s">
        <v>1521</v>
      </c>
      <c r="E1517" s="4" t="n">
        <v>0</v>
      </c>
    </row>
    <row r="1518" customFormat="false" ht="15" hidden="false" customHeight="false" outlineLevel="0" collapsed="false">
      <c r="A1518" s="3" t="n">
        <v>2016</v>
      </c>
      <c r="B1518" s="3" t="n">
        <v>2</v>
      </c>
      <c r="C1518" s="3" t="n">
        <v>25</v>
      </c>
      <c r="D1518" s="3" t="s">
        <v>1522</v>
      </c>
      <c r="E1518" s="4" t="n">
        <v>6</v>
      </c>
    </row>
    <row r="1519" customFormat="false" ht="15" hidden="false" customHeight="false" outlineLevel="0" collapsed="false">
      <c r="A1519" s="3" t="n">
        <v>2016</v>
      </c>
      <c r="B1519" s="3" t="n">
        <v>2</v>
      </c>
      <c r="C1519" s="3" t="n">
        <v>26</v>
      </c>
      <c r="D1519" s="3" t="s">
        <v>1523</v>
      </c>
      <c r="E1519" s="4" t="n">
        <v>0</v>
      </c>
    </row>
    <row r="1520" customFormat="false" ht="15" hidden="false" customHeight="false" outlineLevel="0" collapsed="false">
      <c r="A1520" s="3" t="n">
        <v>2016</v>
      </c>
      <c r="B1520" s="3" t="n">
        <v>2</v>
      </c>
      <c r="C1520" s="3" t="n">
        <v>27</v>
      </c>
      <c r="D1520" s="3" t="s">
        <v>1524</v>
      </c>
      <c r="E1520" s="4" t="n">
        <v>0</v>
      </c>
    </row>
    <row r="1521" customFormat="false" ht="15" hidden="false" customHeight="false" outlineLevel="0" collapsed="false">
      <c r="A1521" s="3" t="n">
        <v>2016</v>
      </c>
      <c r="B1521" s="3" t="n">
        <v>2</v>
      </c>
      <c r="C1521" s="3" t="n">
        <v>28</v>
      </c>
      <c r="D1521" s="3" t="s">
        <v>1525</v>
      </c>
      <c r="E1521" s="4" t="n">
        <v>0</v>
      </c>
    </row>
    <row r="1522" customFormat="false" ht="15" hidden="false" customHeight="false" outlineLevel="0" collapsed="false">
      <c r="A1522" s="3" t="n">
        <v>2016</v>
      </c>
      <c r="B1522" s="3" t="n">
        <v>2</v>
      </c>
      <c r="C1522" s="3" t="n">
        <v>29</v>
      </c>
      <c r="D1522" s="3" t="s">
        <v>1526</v>
      </c>
      <c r="E1522" s="4" t="n">
        <v>15</v>
      </c>
    </row>
    <row r="1523" customFormat="false" ht="15" hidden="false" customHeight="false" outlineLevel="0" collapsed="false">
      <c r="A1523" s="3" t="n">
        <v>2016</v>
      </c>
      <c r="B1523" s="3" t="n">
        <v>3</v>
      </c>
      <c r="C1523" s="3" t="n">
        <v>1</v>
      </c>
      <c r="D1523" s="3" t="s">
        <v>1527</v>
      </c>
      <c r="E1523" s="4" t="n">
        <v>31</v>
      </c>
    </row>
    <row r="1524" customFormat="false" ht="15" hidden="false" customHeight="false" outlineLevel="0" collapsed="false">
      <c r="A1524" s="3" t="n">
        <v>2016</v>
      </c>
      <c r="B1524" s="3" t="n">
        <v>3</v>
      </c>
      <c r="C1524" s="3" t="n">
        <v>2</v>
      </c>
      <c r="D1524" s="3" t="s">
        <v>1528</v>
      </c>
      <c r="E1524" s="4" t="n">
        <v>7</v>
      </c>
    </row>
    <row r="1525" customFormat="false" ht="15" hidden="false" customHeight="false" outlineLevel="0" collapsed="false">
      <c r="A1525" s="3" t="n">
        <v>2016</v>
      </c>
      <c r="B1525" s="3" t="n">
        <v>3</v>
      </c>
      <c r="C1525" s="3" t="n">
        <v>3</v>
      </c>
      <c r="D1525" s="3" t="s">
        <v>1529</v>
      </c>
      <c r="E1525" s="4" t="n">
        <v>5</v>
      </c>
    </row>
    <row r="1526" customFormat="false" ht="15" hidden="false" customHeight="false" outlineLevel="0" collapsed="false">
      <c r="A1526" s="3" t="n">
        <v>2016</v>
      </c>
      <c r="B1526" s="3" t="n">
        <v>3</v>
      </c>
      <c r="C1526" s="3" t="n">
        <v>4</v>
      </c>
      <c r="D1526" s="3" t="s">
        <v>1530</v>
      </c>
      <c r="E1526" s="4" t="n">
        <v>52</v>
      </c>
    </row>
    <row r="1527" customFormat="false" ht="15" hidden="false" customHeight="false" outlineLevel="0" collapsed="false">
      <c r="A1527" s="3" t="n">
        <v>2016</v>
      </c>
      <c r="B1527" s="3" t="n">
        <v>3</v>
      </c>
      <c r="C1527" s="3" t="n">
        <v>5</v>
      </c>
      <c r="D1527" s="3" t="s">
        <v>1531</v>
      </c>
      <c r="E1527" s="4" t="n">
        <v>0</v>
      </c>
    </row>
    <row r="1528" customFormat="false" ht="15" hidden="false" customHeight="false" outlineLevel="0" collapsed="false">
      <c r="A1528" s="3" t="n">
        <v>2016</v>
      </c>
      <c r="B1528" s="3" t="n">
        <v>3</v>
      </c>
      <c r="C1528" s="3" t="n">
        <v>6</v>
      </c>
      <c r="D1528" s="3" t="s">
        <v>1532</v>
      </c>
      <c r="E1528" s="4" t="n">
        <v>25</v>
      </c>
    </row>
    <row r="1529" customFormat="false" ht="15" hidden="false" customHeight="false" outlineLevel="0" collapsed="false">
      <c r="A1529" s="3" t="n">
        <v>2016</v>
      </c>
      <c r="B1529" s="3" t="n">
        <v>3</v>
      </c>
      <c r="C1529" s="3" t="n">
        <v>7</v>
      </c>
      <c r="D1529" s="3" t="s">
        <v>1533</v>
      </c>
      <c r="E1529" s="4" t="n">
        <v>33</v>
      </c>
    </row>
    <row r="1530" customFormat="false" ht="15" hidden="false" customHeight="false" outlineLevel="0" collapsed="false">
      <c r="A1530" s="3" t="n">
        <v>2016</v>
      </c>
      <c r="B1530" s="3" t="n">
        <v>3</v>
      </c>
      <c r="C1530" s="3" t="n">
        <v>8</v>
      </c>
      <c r="D1530" s="3" t="s">
        <v>1534</v>
      </c>
      <c r="E1530" s="4" t="n">
        <v>0</v>
      </c>
    </row>
    <row r="1531" customFormat="false" ht="15" hidden="false" customHeight="false" outlineLevel="0" collapsed="false">
      <c r="A1531" s="3" t="n">
        <v>2016</v>
      </c>
      <c r="B1531" s="3" t="n">
        <v>3</v>
      </c>
      <c r="C1531" s="3" t="n">
        <v>9</v>
      </c>
      <c r="D1531" s="3" t="s">
        <v>1535</v>
      </c>
      <c r="E1531" s="4" t="n">
        <v>54</v>
      </c>
    </row>
    <row r="1532" customFormat="false" ht="15" hidden="false" customHeight="false" outlineLevel="0" collapsed="false">
      <c r="A1532" s="3" t="n">
        <v>2016</v>
      </c>
      <c r="B1532" s="3" t="n">
        <v>3</v>
      </c>
      <c r="C1532" s="3" t="n">
        <v>10</v>
      </c>
      <c r="D1532" s="3" t="s">
        <v>1536</v>
      </c>
      <c r="E1532" s="4" t="n">
        <v>88</v>
      </c>
    </row>
    <row r="1533" customFormat="false" ht="15" hidden="false" customHeight="false" outlineLevel="0" collapsed="false">
      <c r="A1533" s="3" t="n">
        <v>2016</v>
      </c>
      <c r="B1533" s="3" t="n">
        <v>3</v>
      </c>
      <c r="C1533" s="3" t="n">
        <v>11</v>
      </c>
      <c r="D1533" s="3" t="s">
        <v>1537</v>
      </c>
      <c r="E1533" s="4" t="n">
        <v>0</v>
      </c>
    </row>
    <row r="1534" customFormat="false" ht="15" hidden="false" customHeight="false" outlineLevel="0" collapsed="false">
      <c r="A1534" s="3" t="n">
        <v>2016</v>
      </c>
      <c r="B1534" s="3" t="n">
        <v>3</v>
      </c>
      <c r="C1534" s="3" t="n">
        <v>12</v>
      </c>
      <c r="D1534" s="3" t="s">
        <v>1538</v>
      </c>
      <c r="E1534" s="4" t="n">
        <v>15</v>
      </c>
    </row>
    <row r="1535" customFormat="false" ht="15" hidden="false" customHeight="false" outlineLevel="0" collapsed="false">
      <c r="A1535" s="3" t="n">
        <v>2016</v>
      </c>
      <c r="B1535" s="3" t="n">
        <v>3</v>
      </c>
      <c r="C1535" s="3" t="n">
        <v>13</v>
      </c>
      <c r="D1535" s="3" t="s">
        <v>1539</v>
      </c>
      <c r="E1535" s="4" t="n">
        <v>1</v>
      </c>
    </row>
    <row r="1536" customFormat="false" ht="15" hidden="false" customHeight="false" outlineLevel="0" collapsed="false">
      <c r="A1536" s="3" t="n">
        <v>2016</v>
      </c>
      <c r="B1536" s="3" t="n">
        <v>3</v>
      </c>
      <c r="C1536" s="3" t="n">
        <v>14</v>
      </c>
      <c r="D1536" s="3" t="s">
        <v>1540</v>
      </c>
      <c r="E1536" s="4" t="n">
        <v>7</v>
      </c>
    </row>
    <row r="1537" customFormat="false" ht="15" hidden="false" customHeight="false" outlineLevel="0" collapsed="false">
      <c r="A1537" s="3" t="n">
        <v>2016</v>
      </c>
      <c r="B1537" s="3" t="n">
        <v>3</v>
      </c>
      <c r="C1537" s="3" t="n">
        <v>15</v>
      </c>
      <c r="D1537" s="3" t="s">
        <v>1541</v>
      </c>
      <c r="E1537" s="4" t="n">
        <v>0</v>
      </c>
    </row>
    <row r="1538" customFormat="false" ht="15" hidden="false" customHeight="false" outlineLevel="0" collapsed="false">
      <c r="A1538" s="3" t="n">
        <v>2016</v>
      </c>
      <c r="B1538" s="3" t="n">
        <v>3</v>
      </c>
      <c r="C1538" s="3" t="n">
        <v>16</v>
      </c>
      <c r="D1538" s="3" t="s">
        <v>1542</v>
      </c>
      <c r="E1538" s="4" t="n">
        <v>0</v>
      </c>
    </row>
    <row r="1539" customFormat="false" ht="15" hidden="false" customHeight="false" outlineLevel="0" collapsed="false">
      <c r="A1539" s="3" t="n">
        <v>2016</v>
      </c>
      <c r="B1539" s="3" t="n">
        <v>3</v>
      </c>
      <c r="C1539" s="3" t="n">
        <v>17</v>
      </c>
      <c r="D1539" s="3" t="s">
        <v>1543</v>
      </c>
      <c r="E1539" s="4" t="n">
        <v>0</v>
      </c>
    </row>
    <row r="1540" customFormat="false" ht="15" hidden="false" customHeight="false" outlineLevel="0" collapsed="false">
      <c r="A1540" s="3" t="n">
        <v>2016</v>
      </c>
      <c r="B1540" s="3" t="n">
        <v>3</v>
      </c>
      <c r="C1540" s="3" t="n">
        <v>18</v>
      </c>
      <c r="D1540" s="3" t="s">
        <v>1544</v>
      </c>
      <c r="E1540" s="4" t="n">
        <v>12</v>
      </c>
    </row>
    <row r="1541" customFormat="false" ht="15" hidden="false" customHeight="false" outlineLevel="0" collapsed="false">
      <c r="A1541" s="3" t="n">
        <v>2016</v>
      </c>
      <c r="B1541" s="3" t="n">
        <v>3</v>
      </c>
      <c r="C1541" s="3" t="n">
        <v>19</v>
      </c>
      <c r="D1541" s="3" t="s">
        <v>1545</v>
      </c>
      <c r="E1541" s="4" t="n">
        <v>0</v>
      </c>
    </row>
    <row r="1542" customFormat="false" ht="15" hidden="false" customHeight="false" outlineLevel="0" collapsed="false">
      <c r="A1542" s="3" t="n">
        <v>2016</v>
      </c>
      <c r="B1542" s="3" t="n">
        <v>3</v>
      </c>
      <c r="C1542" s="3" t="n">
        <v>20</v>
      </c>
      <c r="D1542" s="3" t="s">
        <v>1546</v>
      </c>
      <c r="E1542" s="4" t="n">
        <v>0</v>
      </c>
    </row>
    <row r="1543" customFormat="false" ht="15" hidden="false" customHeight="false" outlineLevel="0" collapsed="false">
      <c r="A1543" s="3" t="n">
        <v>2016</v>
      </c>
      <c r="B1543" s="3" t="n">
        <v>3</v>
      </c>
      <c r="C1543" s="3" t="n">
        <v>21</v>
      </c>
      <c r="D1543" s="3" t="s">
        <v>1547</v>
      </c>
      <c r="E1543" s="4" t="n">
        <v>0</v>
      </c>
    </row>
    <row r="1544" customFormat="false" ht="15" hidden="false" customHeight="false" outlineLevel="0" collapsed="false">
      <c r="A1544" s="3" t="n">
        <v>2016</v>
      </c>
      <c r="B1544" s="3" t="n">
        <v>3</v>
      </c>
      <c r="C1544" s="3" t="n">
        <v>22</v>
      </c>
      <c r="D1544" s="3" t="s">
        <v>1548</v>
      </c>
      <c r="E1544" s="4" t="n">
        <v>0</v>
      </c>
    </row>
    <row r="1545" customFormat="false" ht="15" hidden="false" customHeight="false" outlineLevel="0" collapsed="false">
      <c r="A1545" s="3" t="n">
        <v>2016</v>
      </c>
      <c r="B1545" s="3" t="n">
        <v>3</v>
      </c>
      <c r="C1545" s="3" t="n">
        <v>23</v>
      </c>
      <c r="D1545" s="3" t="s">
        <v>1549</v>
      </c>
      <c r="E1545" s="4" t="n">
        <v>0</v>
      </c>
    </row>
    <row r="1546" customFormat="false" ht="15" hidden="false" customHeight="false" outlineLevel="0" collapsed="false">
      <c r="A1546" s="3" t="n">
        <v>2016</v>
      </c>
      <c r="B1546" s="3" t="n">
        <v>3</v>
      </c>
      <c r="C1546" s="3" t="n">
        <v>24</v>
      </c>
      <c r="D1546" s="3" t="s">
        <v>1550</v>
      </c>
      <c r="E1546" s="4" t="n">
        <v>0</v>
      </c>
    </row>
    <row r="1547" customFormat="false" ht="15" hidden="false" customHeight="false" outlineLevel="0" collapsed="false">
      <c r="A1547" s="3" t="n">
        <v>2016</v>
      </c>
      <c r="B1547" s="3" t="n">
        <v>3</v>
      </c>
      <c r="C1547" s="3" t="n">
        <v>25</v>
      </c>
      <c r="D1547" s="3" t="s">
        <v>1551</v>
      </c>
      <c r="E1547" s="4" t="n">
        <v>0</v>
      </c>
    </row>
    <row r="1548" customFormat="false" ht="15" hidden="false" customHeight="false" outlineLevel="0" collapsed="false">
      <c r="A1548" s="3" t="n">
        <v>2016</v>
      </c>
      <c r="B1548" s="3" t="n">
        <v>3</v>
      </c>
      <c r="C1548" s="3" t="n">
        <v>26</v>
      </c>
      <c r="D1548" s="3" t="s">
        <v>1552</v>
      </c>
      <c r="E1548" s="4" t="n">
        <v>0</v>
      </c>
    </row>
    <row r="1549" customFormat="false" ht="15" hidden="false" customHeight="false" outlineLevel="0" collapsed="false">
      <c r="A1549" s="3" t="n">
        <v>2016</v>
      </c>
      <c r="B1549" s="3" t="n">
        <v>3</v>
      </c>
      <c r="C1549" s="3" t="n">
        <v>27</v>
      </c>
      <c r="D1549" s="3" t="s">
        <v>1553</v>
      </c>
      <c r="E1549" s="4" t="n">
        <v>0</v>
      </c>
    </row>
    <row r="1550" customFormat="false" ht="15" hidden="false" customHeight="false" outlineLevel="0" collapsed="false">
      <c r="A1550" s="3" t="n">
        <v>2016</v>
      </c>
      <c r="B1550" s="3" t="n">
        <v>3</v>
      </c>
      <c r="C1550" s="3" t="n">
        <v>28</v>
      </c>
      <c r="D1550" s="3" t="s">
        <v>1554</v>
      </c>
      <c r="E1550" s="4" t="n">
        <v>18</v>
      </c>
    </row>
    <row r="1551" customFormat="false" ht="15" hidden="false" customHeight="false" outlineLevel="0" collapsed="false">
      <c r="A1551" s="3" t="n">
        <v>2016</v>
      </c>
      <c r="B1551" s="3" t="n">
        <v>3</v>
      </c>
      <c r="C1551" s="3" t="n">
        <v>29</v>
      </c>
      <c r="D1551" s="3" t="s">
        <v>1555</v>
      </c>
      <c r="E1551" s="4" t="n">
        <v>7</v>
      </c>
    </row>
    <row r="1552" customFormat="false" ht="15" hidden="false" customHeight="false" outlineLevel="0" collapsed="false">
      <c r="A1552" s="3" t="n">
        <v>2016</v>
      </c>
      <c r="B1552" s="3" t="n">
        <v>3</v>
      </c>
      <c r="C1552" s="3" t="n">
        <v>30</v>
      </c>
      <c r="D1552" s="3" t="s">
        <v>1556</v>
      </c>
      <c r="E1552" s="4" t="n">
        <v>26</v>
      </c>
    </row>
    <row r="1553" customFormat="false" ht="15" hidden="false" customHeight="false" outlineLevel="0" collapsed="false">
      <c r="A1553" s="3" t="n">
        <v>2016</v>
      </c>
      <c r="B1553" s="3" t="n">
        <v>3</v>
      </c>
      <c r="C1553" s="3" t="n">
        <v>31</v>
      </c>
      <c r="D1553" s="3" t="s">
        <v>1557</v>
      </c>
      <c r="E1553" s="4" t="n">
        <v>0</v>
      </c>
    </row>
    <row r="1554" customFormat="false" ht="15" hidden="false" customHeight="false" outlineLevel="0" collapsed="false">
      <c r="A1554" s="3" t="n">
        <v>2016</v>
      </c>
      <c r="B1554" s="3" t="n">
        <v>4</v>
      </c>
      <c r="C1554" s="3" t="n">
        <v>1</v>
      </c>
      <c r="D1554" s="3" t="s">
        <v>1558</v>
      </c>
      <c r="E1554" s="4" t="n">
        <v>0</v>
      </c>
    </row>
    <row r="1555" customFormat="false" ht="15" hidden="false" customHeight="false" outlineLevel="0" collapsed="false">
      <c r="A1555" s="3" t="n">
        <v>2016</v>
      </c>
      <c r="B1555" s="3" t="n">
        <v>4</v>
      </c>
      <c r="C1555" s="3" t="n">
        <v>2</v>
      </c>
      <c r="D1555" s="3" t="s">
        <v>1559</v>
      </c>
      <c r="E1555" s="4" t="n">
        <v>6</v>
      </c>
    </row>
    <row r="1556" customFormat="false" ht="15" hidden="false" customHeight="false" outlineLevel="0" collapsed="false">
      <c r="A1556" s="3" t="n">
        <v>2016</v>
      </c>
      <c r="B1556" s="3" t="n">
        <v>4</v>
      </c>
      <c r="C1556" s="3" t="n">
        <v>3</v>
      </c>
      <c r="D1556" s="3" t="s">
        <v>1560</v>
      </c>
      <c r="E1556" s="4" t="n">
        <v>0</v>
      </c>
    </row>
    <row r="1557" customFormat="false" ht="15" hidden="false" customHeight="false" outlineLevel="0" collapsed="false">
      <c r="A1557" s="3" t="n">
        <v>2016</v>
      </c>
      <c r="B1557" s="3" t="n">
        <v>4</v>
      </c>
      <c r="C1557" s="3" t="n">
        <v>4</v>
      </c>
      <c r="D1557" s="3" t="s">
        <v>1561</v>
      </c>
      <c r="E1557" s="4" t="n">
        <v>0</v>
      </c>
    </row>
    <row r="1558" customFormat="false" ht="15" hidden="false" customHeight="false" outlineLevel="0" collapsed="false">
      <c r="A1558" s="3" t="n">
        <v>2016</v>
      </c>
      <c r="B1558" s="3" t="n">
        <v>4</v>
      </c>
      <c r="C1558" s="3" t="n">
        <v>5</v>
      </c>
      <c r="D1558" s="3" t="s">
        <v>1562</v>
      </c>
      <c r="E1558" s="4" t="n">
        <v>31</v>
      </c>
    </row>
    <row r="1559" customFormat="false" ht="15" hidden="false" customHeight="false" outlineLevel="0" collapsed="false">
      <c r="A1559" s="3" t="n">
        <v>2016</v>
      </c>
      <c r="B1559" s="3" t="n">
        <v>4</v>
      </c>
      <c r="C1559" s="3" t="n">
        <v>6</v>
      </c>
      <c r="D1559" s="3" t="s">
        <v>1563</v>
      </c>
      <c r="E1559" s="4" t="n">
        <v>0</v>
      </c>
    </row>
    <row r="1560" customFormat="false" ht="15" hidden="false" customHeight="false" outlineLevel="0" collapsed="false">
      <c r="A1560" s="3" t="n">
        <v>2016</v>
      </c>
      <c r="B1560" s="3" t="n">
        <v>4</v>
      </c>
      <c r="C1560" s="3" t="n">
        <v>7</v>
      </c>
      <c r="D1560" s="3" t="s">
        <v>1564</v>
      </c>
      <c r="E1560" s="4" t="n">
        <v>0</v>
      </c>
    </row>
    <row r="1561" customFormat="false" ht="15" hidden="false" customHeight="false" outlineLevel="0" collapsed="false">
      <c r="A1561" s="3" t="n">
        <v>2016</v>
      </c>
      <c r="B1561" s="3" t="n">
        <v>4</v>
      </c>
      <c r="C1561" s="3" t="n">
        <v>8</v>
      </c>
      <c r="D1561" s="3" t="s">
        <v>1565</v>
      </c>
      <c r="E1561" s="4" t="n">
        <v>0</v>
      </c>
    </row>
    <row r="1562" customFormat="false" ht="15" hidden="false" customHeight="false" outlineLevel="0" collapsed="false">
      <c r="A1562" s="3" t="n">
        <v>2016</v>
      </c>
      <c r="B1562" s="3" t="n">
        <v>4</v>
      </c>
      <c r="C1562" s="3" t="n">
        <v>9</v>
      </c>
      <c r="D1562" s="3" t="s">
        <v>1566</v>
      </c>
      <c r="E1562" s="4" t="n">
        <v>0</v>
      </c>
    </row>
    <row r="1563" customFormat="false" ht="15" hidden="false" customHeight="false" outlineLevel="0" collapsed="false">
      <c r="A1563" s="3" t="n">
        <v>2016</v>
      </c>
      <c r="B1563" s="3" t="n">
        <v>4</v>
      </c>
      <c r="C1563" s="3" t="n">
        <v>10</v>
      </c>
      <c r="D1563" s="3" t="s">
        <v>1567</v>
      </c>
      <c r="E1563" s="4" t="n">
        <v>0</v>
      </c>
    </row>
    <row r="1564" customFormat="false" ht="15" hidden="false" customHeight="false" outlineLevel="0" collapsed="false">
      <c r="A1564" s="3" t="n">
        <v>2016</v>
      </c>
      <c r="B1564" s="3" t="n">
        <v>4</v>
      </c>
      <c r="C1564" s="3" t="n">
        <v>11</v>
      </c>
      <c r="D1564" s="3" t="s">
        <v>1568</v>
      </c>
      <c r="E1564" s="4" t="n">
        <v>0</v>
      </c>
    </row>
    <row r="1565" customFormat="false" ht="15" hidden="false" customHeight="false" outlineLevel="0" collapsed="false">
      <c r="A1565" s="3" t="n">
        <v>2016</v>
      </c>
      <c r="B1565" s="3" t="n">
        <v>4</v>
      </c>
      <c r="C1565" s="3" t="n">
        <v>12</v>
      </c>
      <c r="D1565" s="3" t="s">
        <v>1569</v>
      </c>
      <c r="E1565" s="4" t="n">
        <v>28</v>
      </c>
    </row>
    <row r="1566" customFormat="false" ht="15" hidden="false" customHeight="false" outlineLevel="0" collapsed="false">
      <c r="A1566" s="3" t="n">
        <v>2016</v>
      </c>
      <c r="B1566" s="3" t="n">
        <v>4</v>
      </c>
      <c r="C1566" s="3" t="n">
        <v>13</v>
      </c>
      <c r="D1566" s="3" t="s">
        <v>1570</v>
      </c>
      <c r="E1566" s="4" t="n">
        <v>2</v>
      </c>
    </row>
    <row r="1567" customFormat="false" ht="15" hidden="false" customHeight="false" outlineLevel="0" collapsed="false">
      <c r="A1567" s="3" t="n">
        <v>2016</v>
      </c>
      <c r="B1567" s="3" t="n">
        <v>4</v>
      </c>
      <c r="C1567" s="3" t="n">
        <v>14</v>
      </c>
      <c r="D1567" s="3" t="s">
        <v>1571</v>
      </c>
      <c r="E1567" s="4" t="n">
        <v>0</v>
      </c>
    </row>
    <row r="1568" customFormat="false" ht="15" hidden="false" customHeight="false" outlineLevel="0" collapsed="false">
      <c r="A1568" s="3" t="n">
        <v>2016</v>
      </c>
      <c r="B1568" s="3" t="n">
        <v>4</v>
      </c>
      <c r="C1568" s="3" t="n">
        <v>15</v>
      </c>
      <c r="D1568" s="3" t="s">
        <v>1572</v>
      </c>
      <c r="E1568" s="4" t="n">
        <v>13</v>
      </c>
    </row>
    <row r="1569" customFormat="false" ht="15" hidden="false" customHeight="false" outlineLevel="0" collapsed="false">
      <c r="A1569" s="3" t="n">
        <v>2016</v>
      </c>
      <c r="B1569" s="3" t="n">
        <v>4</v>
      </c>
      <c r="C1569" s="3" t="n">
        <v>16</v>
      </c>
      <c r="D1569" s="3" t="s">
        <v>1573</v>
      </c>
      <c r="E1569" s="4" t="n">
        <v>0</v>
      </c>
    </row>
    <row r="1570" customFormat="false" ht="15" hidden="false" customHeight="false" outlineLevel="0" collapsed="false">
      <c r="A1570" s="3" t="n">
        <v>2016</v>
      </c>
      <c r="B1570" s="3" t="n">
        <v>4</v>
      </c>
      <c r="C1570" s="3" t="n">
        <v>17</v>
      </c>
      <c r="D1570" s="3" t="s">
        <v>1574</v>
      </c>
      <c r="E1570" s="4" t="n">
        <v>59</v>
      </c>
    </row>
    <row r="1571" customFormat="false" ht="15" hidden="false" customHeight="false" outlineLevel="0" collapsed="false">
      <c r="A1571" s="3" t="n">
        <v>2016</v>
      </c>
      <c r="B1571" s="3" t="n">
        <v>4</v>
      </c>
      <c r="C1571" s="3" t="n">
        <v>18</v>
      </c>
      <c r="D1571" s="3" t="s">
        <v>1575</v>
      </c>
      <c r="E1571" s="4" t="n">
        <v>0</v>
      </c>
    </row>
    <row r="1572" customFormat="false" ht="15" hidden="false" customHeight="false" outlineLevel="0" collapsed="false">
      <c r="A1572" s="3" t="n">
        <v>2016</v>
      </c>
      <c r="B1572" s="3" t="n">
        <v>4</v>
      </c>
      <c r="C1572" s="3" t="n">
        <v>19</v>
      </c>
      <c r="D1572" s="3" t="s">
        <v>1576</v>
      </c>
      <c r="E1572" s="4" t="n">
        <v>0</v>
      </c>
    </row>
    <row r="1573" customFormat="false" ht="15" hidden="false" customHeight="false" outlineLevel="0" collapsed="false">
      <c r="A1573" s="3" t="n">
        <v>2016</v>
      </c>
      <c r="B1573" s="3" t="n">
        <v>4</v>
      </c>
      <c r="C1573" s="3" t="n">
        <v>20</v>
      </c>
      <c r="D1573" s="3" t="s">
        <v>1577</v>
      </c>
      <c r="E1573" s="4" t="n">
        <v>0</v>
      </c>
    </row>
    <row r="1574" customFormat="false" ht="15" hidden="false" customHeight="false" outlineLevel="0" collapsed="false">
      <c r="A1574" s="3" t="n">
        <v>2016</v>
      </c>
      <c r="B1574" s="3" t="n">
        <v>4</v>
      </c>
      <c r="C1574" s="3" t="n">
        <v>21</v>
      </c>
      <c r="D1574" s="3" t="s">
        <v>1578</v>
      </c>
      <c r="E1574" s="4" t="n">
        <v>28</v>
      </c>
    </row>
    <row r="1575" customFormat="false" ht="15" hidden="false" customHeight="false" outlineLevel="0" collapsed="false">
      <c r="A1575" s="3" t="n">
        <v>2016</v>
      </c>
      <c r="B1575" s="3" t="n">
        <v>4</v>
      </c>
      <c r="C1575" s="3" t="n">
        <v>22</v>
      </c>
      <c r="D1575" s="3" t="s">
        <v>1579</v>
      </c>
      <c r="E1575" s="4" t="n">
        <v>0</v>
      </c>
    </row>
    <row r="1576" customFormat="false" ht="15" hidden="false" customHeight="false" outlineLevel="0" collapsed="false">
      <c r="A1576" s="3" t="n">
        <v>2016</v>
      </c>
      <c r="B1576" s="3" t="n">
        <v>4</v>
      </c>
      <c r="C1576" s="3" t="n">
        <v>23</v>
      </c>
      <c r="D1576" s="3" t="s">
        <v>1580</v>
      </c>
      <c r="E1576" s="4" t="n">
        <v>0</v>
      </c>
    </row>
    <row r="1577" customFormat="false" ht="15" hidden="false" customHeight="false" outlineLevel="0" collapsed="false">
      <c r="A1577" s="3" t="n">
        <v>2016</v>
      </c>
      <c r="B1577" s="3" t="n">
        <v>4</v>
      </c>
      <c r="C1577" s="3" t="n">
        <v>24</v>
      </c>
      <c r="D1577" s="3" t="s">
        <v>1581</v>
      </c>
      <c r="E1577" s="4" t="n">
        <v>55</v>
      </c>
    </row>
    <row r="1578" customFormat="false" ht="15" hidden="false" customHeight="false" outlineLevel="0" collapsed="false">
      <c r="A1578" s="3" t="n">
        <v>2016</v>
      </c>
      <c r="B1578" s="3" t="n">
        <v>4</v>
      </c>
      <c r="C1578" s="3" t="n">
        <v>25</v>
      </c>
      <c r="D1578" s="3" t="s">
        <v>1582</v>
      </c>
      <c r="E1578" s="4" t="n">
        <v>0</v>
      </c>
    </row>
    <row r="1579" customFormat="false" ht="15" hidden="false" customHeight="false" outlineLevel="0" collapsed="false">
      <c r="A1579" s="3" t="n">
        <v>2016</v>
      </c>
      <c r="B1579" s="3" t="n">
        <v>4</v>
      </c>
      <c r="C1579" s="3" t="n">
        <v>26</v>
      </c>
      <c r="D1579" s="3" t="s">
        <v>1583</v>
      </c>
      <c r="E1579" s="4" t="n">
        <v>32</v>
      </c>
    </row>
    <row r="1580" customFormat="false" ht="15" hidden="false" customHeight="false" outlineLevel="0" collapsed="false">
      <c r="A1580" s="3" t="n">
        <v>2016</v>
      </c>
      <c r="B1580" s="3" t="n">
        <v>4</v>
      </c>
      <c r="C1580" s="3" t="n">
        <v>27</v>
      </c>
      <c r="D1580" s="3" t="s">
        <v>1584</v>
      </c>
      <c r="E1580" s="4" t="n">
        <v>20</v>
      </c>
    </row>
    <row r="1581" customFormat="false" ht="15" hidden="false" customHeight="false" outlineLevel="0" collapsed="false">
      <c r="A1581" s="3" t="n">
        <v>2016</v>
      </c>
      <c r="B1581" s="3" t="n">
        <v>4</v>
      </c>
      <c r="C1581" s="3" t="n">
        <v>28</v>
      </c>
      <c r="D1581" s="3" t="s">
        <v>1585</v>
      </c>
      <c r="E1581" s="4" t="n">
        <v>0</v>
      </c>
    </row>
    <row r="1582" customFormat="false" ht="15" hidden="false" customHeight="false" outlineLevel="0" collapsed="false">
      <c r="A1582" s="3" t="n">
        <v>2016</v>
      </c>
      <c r="B1582" s="3" t="n">
        <v>4</v>
      </c>
      <c r="C1582" s="3" t="n">
        <v>29</v>
      </c>
      <c r="D1582" s="3" t="s">
        <v>1586</v>
      </c>
      <c r="E1582" s="4" t="n">
        <v>0</v>
      </c>
    </row>
    <row r="1583" customFormat="false" ht="15" hidden="false" customHeight="false" outlineLevel="0" collapsed="false">
      <c r="A1583" s="3" t="n">
        <v>2016</v>
      </c>
      <c r="B1583" s="3" t="n">
        <v>4</v>
      </c>
      <c r="C1583" s="3" t="n">
        <v>30</v>
      </c>
      <c r="D1583" s="3" t="s">
        <v>1587</v>
      </c>
      <c r="E1583" s="4" t="n">
        <v>0</v>
      </c>
    </row>
    <row r="1584" customFormat="false" ht="15" hidden="false" customHeight="false" outlineLevel="0" collapsed="false">
      <c r="A1584" s="3" t="n">
        <v>2016</v>
      </c>
      <c r="B1584" s="3" t="n">
        <v>5</v>
      </c>
      <c r="C1584" s="3" t="n">
        <v>1</v>
      </c>
      <c r="D1584" s="3" t="s">
        <v>1588</v>
      </c>
      <c r="E1584" s="4" t="n">
        <v>67</v>
      </c>
    </row>
    <row r="1585" customFormat="false" ht="15" hidden="false" customHeight="false" outlineLevel="0" collapsed="false">
      <c r="A1585" s="3" t="n">
        <v>2016</v>
      </c>
      <c r="B1585" s="3" t="n">
        <v>5</v>
      </c>
      <c r="C1585" s="3" t="n">
        <v>2</v>
      </c>
      <c r="D1585" s="3" t="s">
        <v>1589</v>
      </c>
      <c r="E1585" s="4" t="n">
        <v>0</v>
      </c>
    </row>
    <row r="1586" customFormat="false" ht="15" hidden="false" customHeight="false" outlineLevel="0" collapsed="false">
      <c r="A1586" s="3" t="n">
        <v>2016</v>
      </c>
      <c r="B1586" s="3" t="n">
        <v>5</v>
      </c>
      <c r="C1586" s="3" t="n">
        <v>3</v>
      </c>
      <c r="D1586" s="3" t="s">
        <v>1590</v>
      </c>
      <c r="E1586" s="4" t="n">
        <v>12</v>
      </c>
    </row>
    <row r="1587" customFormat="false" ht="15" hidden="false" customHeight="false" outlineLevel="0" collapsed="false">
      <c r="A1587" s="3" t="n">
        <v>2016</v>
      </c>
      <c r="B1587" s="3" t="n">
        <v>5</v>
      </c>
      <c r="C1587" s="3" t="n">
        <v>4</v>
      </c>
      <c r="D1587" s="3" t="s">
        <v>1591</v>
      </c>
      <c r="E1587" s="4" t="n">
        <v>34</v>
      </c>
    </row>
    <row r="1588" customFormat="false" ht="15" hidden="false" customHeight="false" outlineLevel="0" collapsed="false">
      <c r="A1588" s="3" t="n">
        <v>2016</v>
      </c>
      <c r="B1588" s="3" t="n">
        <v>5</v>
      </c>
      <c r="C1588" s="3" t="n">
        <v>5</v>
      </c>
      <c r="D1588" s="3" t="s">
        <v>1592</v>
      </c>
      <c r="E1588" s="4" t="n">
        <v>0</v>
      </c>
    </row>
    <row r="1589" customFormat="false" ht="15" hidden="false" customHeight="false" outlineLevel="0" collapsed="false">
      <c r="A1589" s="3" t="n">
        <v>2016</v>
      </c>
      <c r="B1589" s="3" t="n">
        <v>5</v>
      </c>
      <c r="C1589" s="3" t="n">
        <v>6</v>
      </c>
      <c r="D1589" s="3" t="s">
        <v>1593</v>
      </c>
      <c r="E1589" s="4" t="n">
        <v>14</v>
      </c>
    </row>
    <row r="1590" customFormat="false" ht="15" hidden="false" customHeight="false" outlineLevel="0" collapsed="false">
      <c r="A1590" s="3" t="n">
        <v>2016</v>
      </c>
      <c r="B1590" s="3" t="n">
        <v>5</v>
      </c>
      <c r="C1590" s="3" t="n">
        <v>7</v>
      </c>
      <c r="D1590" s="3" t="s">
        <v>1594</v>
      </c>
      <c r="E1590" s="4" t="n">
        <v>0</v>
      </c>
    </row>
    <row r="1591" customFormat="false" ht="15" hidden="false" customHeight="false" outlineLevel="0" collapsed="false">
      <c r="A1591" s="3" t="n">
        <v>2016</v>
      </c>
      <c r="B1591" s="3" t="n">
        <v>5</v>
      </c>
      <c r="C1591" s="3" t="n">
        <v>8</v>
      </c>
      <c r="D1591" s="3" t="s">
        <v>1595</v>
      </c>
      <c r="E1591" s="4" t="n">
        <v>0</v>
      </c>
    </row>
    <row r="1592" customFormat="false" ht="15" hidden="false" customHeight="false" outlineLevel="0" collapsed="false">
      <c r="A1592" s="3" t="n">
        <v>2016</v>
      </c>
      <c r="B1592" s="3" t="n">
        <v>5</v>
      </c>
      <c r="C1592" s="3" t="n">
        <v>9</v>
      </c>
      <c r="D1592" s="3" t="s">
        <v>1596</v>
      </c>
      <c r="E1592" s="4" t="n">
        <v>10</v>
      </c>
    </row>
    <row r="1593" customFormat="false" ht="15" hidden="false" customHeight="false" outlineLevel="0" collapsed="false">
      <c r="A1593" s="3" t="n">
        <v>2016</v>
      </c>
      <c r="B1593" s="3" t="n">
        <v>5</v>
      </c>
      <c r="C1593" s="3" t="n">
        <v>10</v>
      </c>
      <c r="D1593" s="3" t="s">
        <v>1597</v>
      </c>
      <c r="E1593" s="4" t="n">
        <v>32</v>
      </c>
    </row>
    <row r="1594" customFormat="false" ht="15" hidden="false" customHeight="false" outlineLevel="0" collapsed="false">
      <c r="A1594" s="3" t="n">
        <v>2016</v>
      </c>
      <c r="B1594" s="3" t="n">
        <v>5</v>
      </c>
      <c r="C1594" s="3" t="n">
        <v>11</v>
      </c>
      <c r="D1594" s="3" t="s">
        <v>1598</v>
      </c>
      <c r="E1594" s="4" t="n">
        <v>35</v>
      </c>
    </row>
    <row r="1595" customFormat="false" ht="15" hidden="false" customHeight="false" outlineLevel="0" collapsed="false">
      <c r="A1595" s="3" t="n">
        <v>2016</v>
      </c>
      <c r="B1595" s="3" t="n">
        <v>5</v>
      </c>
      <c r="C1595" s="3" t="n">
        <v>12</v>
      </c>
      <c r="D1595" s="3" t="s">
        <v>1599</v>
      </c>
      <c r="E1595" s="4" t="n">
        <v>29</v>
      </c>
    </row>
    <row r="1596" customFormat="false" ht="15" hidden="false" customHeight="false" outlineLevel="0" collapsed="false">
      <c r="A1596" s="3" t="n">
        <v>2016</v>
      </c>
      <c r="B1596" s="3" t="n">
        <v>5</v>
      </c>
      <c r="C1596" s="3" t="n">
        <v>13</v>
      </c>
      <c r="D1596" s="3" t="s">
        <v>1600</v>
      </c>
      <c r="E1596" s="4" t="n">
        <v>2</v>
      </c>
    </row>
    <row r="1597" customFormat="false" ht="15" hidden="false" customHeight="false" outlineLevel="0" collapsed="false">
      <c r="A1597" s="3" t="n">
        <v>2016</v>
      </c>
      <c r="B1597" s="3" t="n">
        <v>5</v>
      </c>
      <c r="C1597" s="3" t="n">
        <v>14</v>
      </c>
      <c r="D1597" s="3" t="s">
        <v>1601</v>
      </c>
      <c r="E1597" s="4" t="n">
        <v>40</v>
      </c>
    </row>
    <row r="1598" customFormat="false" ht="15" hidden="false" customHeight="false" outlineLevel="0" collapsed="false">
      <c r="A1598" s="3" t="n">
        <v>2016</v>
      </c>
      <c r="B1598" s="3" t="n">
        <v>5</v>
      </c>
      <c r="C1598" s="3" t="n">
        <v>15</v>
      </c>
      <c r="D1598" s="3" t="s">
        <v>1602</v>
      </c>
      <c r="E1598" s="4" t="n">
        <v>55</v>
      </c>
    </row>
    <row r="1599" customFormat="false" ht="15" hidden="false" customHeight="false" outlineLevel="0" collapsed="false">
      <c r="A1599" s="3" t="n">
        <v>2016</v>
      </c>
      <c r="B1599" s="3" t="n">
        <v>5</v>
      </c>
      <c r="C1599" s="3" t="n">
        <v>16</v>
      </c>
      <c r="D1599" s="3" t="s">
        <v>1603</v>
      </c>
      <c r="E1599" s="4" t="n">
        <v>28</v>
      </c>
    </row>
    <row r="1600" customFormat="false" ht="15" hidden="false" customHeight="false" outlineLevel="0" collapsed="false">
      <c r="A1600" s="3" t="n">
        <v>2016</v>
      </c>
      <c r="B1600" s="3" t="n">
        <v>5</v>
      </c>
      <c r="C1600" s="3" t="n">
        <v>17</v>
      </c>
      <c r="D1600" s="3" t="s">
        <v>1604</v>
      </c>
      <c r="E1600" s="4" t="n">
        <v>0</v>
      </c>
    </row>
    <row r="1601" customFormat="false" ht="15" hidden="false" customHeight="false" outlineLevel="0" collapsed="false">
      <c r="A1601" s="3" t="n">
        <v>2016</v>
      </c>
      <c r="B1601" s="3" t="n">
        <v>5</v>
      </c>
      <c r="C1601" s="3" t="n">
        <v>18</v>
      </c>
      <c r="D1601" s="3" t="s">
        <v>1605</v>
      </c>
      <c r="E1601" s="4" t="n">
        <v>35</v>
      </c>
    </row>
    <row r="1602" customFormat="false" ht="15" hidden="false" customHeight="false" outlineLevel="0" collapsed="false">
      <c r="A1602" s="3" t="n">
        <v>2016</v>
      </c>
      <c r="B1602" s="3" t="n">
        <v>5</v>
      </c>
      <c r="C1602" s="3" t="n">
        <v>19</v>
      </c>
      <c r="D1602" s="3" t="s">
        <v>1606</v>
      </c>
      <c r="E1602" s="4" t="n">
        <v>23</v>
      </c>
    </row>
    <row r="1603" customFormat="false" ht="15" hidden="false" customHeight="false" outlineLevel="0" collapsed="false">
      <c r="A1603" s="3" t="n">
        <v>2016</v>
      </c>
      <c r="B1603" s="3" t="n">
        <v>5</v>
      </c>
      <c r="C1603" s="3" t="n">
        <v>20</v>
      </c>
      <c r="D1603" s="3" t="s">
        <v>1607</v>
      </c>
      <c r="E1603" s="4" t="n">
        <v>12</v>
      </c>
    </row>
    <row r="1604" customFormat="false" ht="15" hidden="false" customHeight="false" outlineLevel="0" collapsed="false">
      <c r="A1604" s="3" t="n">
        <v>2016</v>
      </c>
      <c r="B1604" s="3" t="n">
        <v>5</v>
      </c>
      <c r="C1604" s="3" t="n">
        <v>21</v>
      </c>
      <c r="D1604" s="3" t="s">
        <v>1608</v>
      </c>
      <c r="E1604" s="4" t="n">
        <v>0</v>
      </c>
    </row>
    <row r="1605" customFormat="false" ht="15" hidden="false" customHeight="false" outlineLevel="0" collapsed="false">
      <c r="A1605" s="3" t="n">
        <v>2016</v>
      </c>
      <c r="B1605" s="3" t="n">
        <v>5</v>
      </c>
      <c r="C1605" s="3" t="n">
        <v>22</v>
      </c>
      <c r="D1605" s="3" t="s">
        <v>1609</v>
      </c>
      <c r="E1605" s="4" t="n">
        <v>7</v>
      </c>
    </row>
    <row r="1606" customFormat="false" ht="15" hidden="false" customHeight="false" outlineLevel="0" collapsed="false">
      <c r="A1606" s="3" t="n">
        <v>2016</v>
      </c>
      <c r="B1606" s="3" t="n">
        <v>5</v>
      </c>
      <c r="C1606" s="3" t="n">
        <v>23</v>
      </c>
      <c r="D1606" s="3" t="s">
        <v>1610</v>
      </c>
      <c r="E1606" s="4" t="n">
        <v>0</v>
      </c>
    </row>
    <row r="1607" customFormat="false" ht="15" hidden="false" customHeight="false" outlineLevel="0" collapsed="false">
      <c r="A1607" s="3" t="n">
        <v>2016</v>
      </c>
      <c r="B1607" s="3" t="n">
        <v>5</v>
      </c>
      <c r="C1607" s="3" t="n">
        <v>24</v>
      </c>
      <c r="D1607" s="3" t="s">
        <v>1611</v>
      </c>
      <c r="E1607" s="4" t="n">
        <v>0</v>
      </c>
    </row>
    <row r="1608" customFormat="false" ht="15" hidden="false" customHeight="false" outlineLevel="0" collapsed="false">
      <c r="A1608" s="3" t="n">
        <v>2016</v>
      </c>
      <c r="B1608" s="3" t="n">
        <v>5</v>
      </c>
      <c r="C1608" s="3" t="n">
        <v>25</v>
      </c>
      <c r="D1608" s="3" t="s">
        <v>1612</v>
      </c>
      <c r="E1608" s="4" t="n">
        <v>0</v>
      </c>
    </row>
    <row r="1609" customFormat="false" ht="15" hidden="false" customHeight="false" outlineLevel="0" collapsed="false">
      <c r="A1609" s="3" t="n">
        <v>2016</v>
      </c>
      <c r="B1609" s="3" t="n">
        <v>5</v>
      </c>
      <c r="C1609" s="3" t="n">
        <v>26</v>
      </c>
      <c r="D1609" s="3" t="s">
        <v>1613</v>
      </c>
      <c r="E1609" s="4" t="n">
        <v>36</v>
      </c>
    </row>
    <row r="1610" customFormat="false" ht="15" hidden="false" customHeight="false" outlineLevel="0" collapsed="false">
      <c r="A1610" s="3" t="n">
        <v>2016</v>
      </c>
      <c r="B1610" s="3" t="n">
        <v>5</v>
      </c>
      <c r="C1610" s="3" t="n">
        <v>27</v>
      </c>
      <c r="D1610" s="3" t="s">
        <v>1614</v>
      </c>
      <c r="E1610" s="4" t="n">
        <v>0</v>
      </c>
    </row>
    <row r="1611" customFormat="false" ht="15" hidden="false" customHeight="false" outlineLevel="0" collapsed="false">
      <c r="A1611" s="3" t="n">
        <v>2016</v>
      </c>
      <c r="B1611" s="3" t="n">
        <v>5</v>
      </c>
      <c r="C1611" s="3" t="n">
        <v>28</v>
      </c>
      <c r="D1611" s="3" t="s">
        <v>1615</v>
      </c>
      <c r="E1611" s="4" t="n">
        <v>11</v>
      </c>
    </row>
    <row r="1612" customFormat="false" ht="15" hidden="false" customHeight="false" outlineLevel="0" collapsed="false">
      <c r="A1612" s="3" t="n">
        <v>2016</v>
      </c>
      <c r="B1612" s="3" t="n">
        <v>5</v>
      </c>
      <c r="C1612" s="3" t="n">
        <v>29</v>
      </c>
      <c r="D1612" s="3" t="s">
        <v>1616</v>
      </c>
      <c r="E1612" s="4" t="n">
        <v>0</v>
      </c>
    </row>
    <row r="1613" customFormat="false" ht="15" hidden="false" customHeight="false" outlineLevel="0" collapsed="false">
      <c r="A1613" s="3" t="n">
        <v>2016</v>
      </c>
      <c r="B1613" s="3" t="n">
        <v>5</v>
      </c>
      <c r="C1613" s="3" t="n">
        <v>30</v>
      </c>
      <c r="D1613" s="3" t="s">
        <v>1617</v>
      </c>
      <c r="E1613" s="4" t="n">
        <v>0</v>
      </c>
    </row>
    <row r="1614" customFormat="false" ht="15" hidden="false" customHeight="false" outlineLevel="0" collapsed="false">
      <c r="A1614" s="3" t="n">
        <v>2016</v>
      </c>
      <c r="B1614" s="3" t="n">
        <v>5</v>
      </c>
      <c r="C1614" s="3" t="n">
        <v>31</v>
      </c>
      <c r="D1614" s="3" t="s">
        <v>1618</v>
      </c>
      <c r="E1614" s="4" t="n">
        <v>32</v>
      </c>
    </row>
    <row r="1615" customFormat="false" ht="15" hidden="false" customHeight="false" outlineLevel="0" collapsed="false">
      <c r="A1615" s="3" t="n">
        <v>2016</v>
      </c>
      <c r="B1615" s="3" t="n">
        <v>6</v>
      </c>
      <c r="C1615" s="3" t="n">
        <v>1</v>
      </c>
      <c r="D1615" s="3" t="s">
        <v>1619</v>
      </c>
      <c r="E1615" s="4" t="n">
        <v>0</v>
      </c>
    </row>
    <row r="1616" customFormat="false" ht="15" hidden="false" customHeight="false" outlineLevel="0" collapsed="false">
      <c r="A1616" s="3" t="n">
        <v>2016</v>
      </c>
      <c r="B1616" s="3" t="n">
        <v>6</v>
      </c>
      <c r="C1616" s="3" t="n">
        <v>2</v>
      </c>
      <c r="D1616" s="3" t="s">
        <v>1620</v>
      </c>
      <c r="E1616" s="4" t="n">
        <v>4</v>
      </c>
    </row>
    <row r="1617" customFormat="false" ht="15" hidden="false" customHeight="false" outlineLevel="0" collapsed="false">
      <c r="A1617" s="3" t="n">
        <v>2016</v>
      </c>
      <c r="B1617" s="3" t="n">
        <v>6</v>
      </c>
      <c r="C1617" s="3" t="n">
        <v>3</v>
      </c>
      <c r="D1617" s="3" t="s">
        <v>1621</v>
      </c>
      <c r="E1617" s="4" t="n">
        <v>0</v>
      </c>
    </row>
    <row r="1618" customFormat="false" ht="15" hidden="false" customHeight="false" outlineLevel="0" collapsed="false">
      <c r="A1618" s="3" t="n">
        <v>2016</v>
      </c>
      <c r="B1618" s="3" t="n">
        <v>6</v>
      </c>
      <c r="C1618" s="3" t="n">
        <v>4</v>
      </c>
      <c r="D1618" s="3" t="s">
        <v>1622</v>
      </c>
      <c r="E1618" s="4" t="n">
        <v>1</v>
      </c>
    </row>
    <row r="1619" customFormat="false" ht="15" hidden="false" customHeight="false" outlineLevel="0" collapsed="false">
      <c r="A1619" s="3" t="n">
        <v>2016</v>
      </c>
      <c r="B1619" s="3" t="n">
        <v>6</v>
      </c>
      <c r="C1619" s="3" t="n">
        <v>5</v>
      </c>
      <c r="D1619" s="3" t="s">
        <v>1623</v>
      </c>
      <c r="E1619" s="4" t="n">
        <v>0</v>
      </c>
    </row>
    <row r="1620" customFormat="false" ht="15" hidden="false" customHeight="false" outlineLevel="0" collapsed="false">
      <c r="A1620" s="3" t="n">
        <v>2016</v>
      </c>
      <c r="B1620" s="3" t="n">
        <v>6</v>
      </c>
      <c r="C1620" s="3" t="n">
        <v>6</v>
      </c>
      <c r="D1620" s="3" t="s">
        <v>1624</v>
      </c>
      <c r="E1620" s="4" t="n">
        <v>8</v>
      </c>
    </row>
    <row r="1621" customFormat="false" ht="15" hidden="false" customHeight="false" outlineLevel="0" collapsed="false">
      <c r="A1621" s="3" t="n">
        <v>2016</v>
      </c>
      <c r="B1621" s="3" t="n">
        <v>6</v>
      </c>
      <c r="C1621" s="3" t="n">
        <v>7</v>
      </c>
      <c r="D1621" s="3" t="s">
        <v>1625</v>
      </c>
      <c r="E1621" s="4" t="n">
        <v>0</v>
      </c>
    </row>
    <row r="1622" customFormat="false" ht="15" hidden="false" customHeight="false" outlineLevel="0" collapsed="false">
      <c r="A1622" s="3" t="n">
        <v>2016</v>
      </c>
      <c r="B1622" s="3" t="n">
        <v>6</v>
      </c>
      <c r="C1622" s="3" t="n">
        <v>8</v>
      </c>
      <c r="D1622" s="3" t="s">
        <v>1626</v>
      </c>
      <c r="E1622" s="4" t="n">
        <v>0</v>
      </c>
    </row>
    <row r="1623" customFormat="false" ht="15" hidden="false" customHeight="false" outlineLevel="0" collapsed="false">
      <c r="A1623" s="3" t="n">
        <v>2016</v>
      </c>
      <c r="B1623" s="3" t="n">
        <v>6</v>
      </c>
      <c r="C1623" s="3" t="n">
        <v>9</v>
      </c>
      <c r="D1623" s="3" t="s">
        <v>1627</v>
      </c>
      <c r="E1623" s="4" t="n">
        <v>0</v>
      </c>
    </row>
    <row r="1624" customFormat="false" ht="15" hidden="false" customHeight="false" outlineLevel="0" collapsed="false">
      <c r="A1624" s="3" t="n">
        <v>2016</v>
      </c>
      <c r="B1624" s="3" t="n">
        <v>6</v>
      </c>
      <c r="C1624" s="3" t="n">
        <v>10</v>
      </c>
      <c r="D1624" s="3" t="s">
        <v>1628</v>
      </c>
      <c r="E1624" s="4" t="n">
        <v>1</v>
      </c>
    </row>
    <row r="1625" customFormat="false" ht="15" hidden="false" customHeight="false" outlineLevel="0" collapsed="false">
      <c r="A1625" s="3" t="n">
        <v>2016</v>
      </c>
      <c r="B1625" s="3" t="n">
        <v>6</v>
      </c>
      <c r="C1625" s="3" t="n">
        <v>11</v>
      </c>
      <c r="D1625" s="3" t="s">
        <v>1629</v>
      </c>
      <c r="E1625" s="4" t="n">
        <v>86</v>
      </c>
    </row>
    <row r="1626" customFormat="false" ht="15" hidden="false" customHeight="false" outlineLevel="0" collapsed="false">
      <c r="A1626" s="3" t="n">
        <v>2016</v>
      </c>
      <c r="B1626" s="3" t="n">
        <v>6</v>
      </c>
      <c r="C1626" s="3" t="n">
        <v>12</v>
      </c>
      <c r="D1626" s="3" t="s">
        <v>1630</v>
      </c>
      <c r="E1626" s="4" t="n">
        <v>0</v>
      </c>
    </row>
    <row r="1627" customFormat="false" ht="15" hidden="false" customHeight="false" outlineLevel="0" collapsed="false">
      <c r="A1627" s="3" t="n">
        <v>2016</v>
      </c>
      <c r="B1627" s="3" t="n">
        <v>6</v>
      </c>
      <c r="C1627" s="3" t="n">
        <v>13</v>
      </c>
      <c r="D1627" s="3" t="s">
        <v>1631</v>
      </c>
      <c r="E1627" s="4" t="n">
        <v>0</v>
      </c>
    </row>
    <row r="1628" customFormat="false" ht="15" hidden="false" customHeight="false" outlineLevel="0" collapsed="false">
      <c r="A1628" s="3" t="n">
        <v>2016</v>
      </c>
      <c r="B1628" s="3" t="n">
        <v>6</v>
      </c>
      <c r="C1628" s="3" t="n">
        <v>14</v>
      </c>
      <c r="D1628" s="3" t="s">
        <v>1632</v>
      </c>
      <c r="E1628" s="4" t="n">
        <v>0</v>
      </c>
    </row>
    <row r="1629" customFormat="false" ht="15" hidden="false" customHeight="false" outlineLevel="0" collapsed="false">
      <c r="A1629" s="3" t="n">
        <v>2016</v>
      </c>
      <c r="B1629" s="3" t="n">
        <v>6</v>
      </c>
      <c r="C1629" s="3" t="n">
        <v>15</v>
      </c>
      <c r="D1629" s="3" t="s">
        <v>1633</v>
      </c>
      <c r="E1629" s="4" t="n">
        <v>33</v>
      </c>
    </row>
    <row r="1630" customFormat="false" ht="15" hidden="false" customHeight="false" outlineLevel="0" collapsed="false">
      <c r="A1630" s="3" t="n">
        <v>2016</v>
      </c>
      <c r="B1630" s="3" t="n">
        <v>6</v>
      </c>
      <c r="C1630" s="3" t="n">
        <v>16</v>
      </c>
      <c r="D1630" s="3" t="s">
        <v>1634</v>
      </c>
      <c r="E1630" s="4" t="n">
        <v>0</v>
      </c>
    </row>
    <row r="1631" customFormat="false" ht="15" hidden="false" customHeight="false" outlineLevel="0" collapsed="false">
      <c r="A1631" s="3" t="n">
        <v>2016</v>
      </c>
      <c r="B1631" s="3" t="n">
        <v>6</v>
      </c>
      <c r="C1631" s="3" t="n">
        <v>17</v>
      </c>
      <c r="D1631" s="3" t="s">
        <v>1635</v>
      </c>
      <c r="E1631" s="4" t="n">
        <v>21</v>
      </c>
    </row>
    <row r="1632" customFormat="false" ht="15" hidden="false" customHeight="false" outlineLevel="0" collapsed="false">
      <c r="A1632" s="3" t="n">
        <v>2016</v>
      </c>
      <c r="B1632" s="3" t="n">
        <v>6</v>
      </c>
      <c r="C1632" s="3" t="n">
        <v>18</v>
      </c>
      <c r="D1632" s="3" t="s">
        <v>1636</v>
      </c>
      <c r="E1632" s="4" t="n">
        <v>61</v>
      </c>
    </row>
    <row r="1633" customFormat="false" ht="15" hidden="false" customHeight="false" outlineLevel="0" collapsed="false">
      <c r="A1633" s="3" t="n">
        <v>2016</v>
      </c>
      <c r="B1633" s="3" t="n">
        <v>6</v>
      </c>
      <c r="C1633" s="3" t="n">
        <v>19</v>
      </c>
      <c r="D1633" s="3" t="s">
        <v>1637</v>
      </c>
      <c r="E1633" s="4" t="n">
        <v>29</v>
      </c>
    </row>
    <row r="1634" customFormat="false" ht="15" hidden="false" customHeight="false" outlineLevel="0" collapsed="false">
      <c r="A1634" s="3" t="n">
        <v>2016</v>
      </c>
      <c r="B1634" s="3" t="n">
        <v>6</v>
      </c>
      <c r="C1634" s="3" t="n">
        <v>20</v>
      </c>
      <c r="D1634" s="3" t="s">
        <v>1638</v>
      </c>
      <c r="E1634" s="4" t="n">
        <v>23</v>
      </c>
    </row>
    <row r="1635" customFormat="false" ht="15" hidden="false" customHeight="false" outlineLevel="0" collapsed="false">
      <c r="A1635" s="3" t="n">
        <v>2016</v>
      </c>
      <c r="B1635" s="3" t="n">
        <v>6</v>
      </c>
      <c r="C1635" s="3" t="n">
        <v>21</v>
      </c>
      <c r="D1635" s="3" t="s">
        <v>1639</v>
      </c>
      <c r="E1635" s="4" t="n">
        <v>0</v>
      </c>
    </row>
    <row r="1636" customFormat="false" ht="15" hidden="false" customHeight="false" outlineLevel="0" collapsed="false">
      <c r="A1636" s="3" t="n">
        <v>2016</v>
      </c>
      <c r="B1636" s="3" t="n">
        <v>6</v>
      </c>
      <c r="C1636" s="3" t="n">
        <v>22</v>
      </c>
      <c r="D1636" s="3" t="s">
        <v>1640</v>
      </c>
      <c r="E1636" s="4" t="n">
        <v>0</v>
      </c>
    </row>
    <row r="1637" customFormat="false" ht="15" hidden="false" customHeight="false" outlineLevel="0" collapsed="false">
      <c r="A1637" s="3" t="n">
        <v>2016</v>
      </c>
      <c r="B1637" s="3" t="n">
        <v>6</v>
      </c>
      <c r="C1637" s="3" t="n">
        <v>23</v>
      </c>
      <c r="D1637" s="3" t="s">
        <v>1641</v>
      </c>
      <c r="E1637" s="4" t="n">
        <v>0</v>
      </c>
    </row>
    <row r="1638" customFormat="false" ht="15" hidden="false" customHeight="false" outlineLevel="0" collapsed="false">
      <c r="A1638" s="3" t="n">
        <v>2016</v>
      </c>
      <c r="B1638" s="3" t="n">
        <v>6</v>
      </c>
      <c r="C1638" s="3" t="n">
        <v>24</v>
      </c>
      <c r="D1638" s="3" t="s">
        <v>1642</v>
      </c>
      <c r="E1638" s="4" t="n">
        <v>0</v>
      </c>
    </row>
    <row r="1639" customFormat="false" ht="15" hidden="false" customHeight="false" outlineLevel="0" collapsed="false">
      <c r="A1639" s="3" t="n">
        <v>2016</v>
      </c>
      <c r="B1639" s="3" t="n">
        <v>6</v>
      </c>
      <c r="C1639" s="3" t="n">
        <v>25</v>
      </c>
      <c r="D1639" s="3" t="s">
        <v>1643</v>
      </c>
      <c r="E1639" s="4" t="n">
        <v>4</v>
      </c>
    </row>
    <row r="1640" customFormat="false" ht="15" hidden="false" customHeight="false" outlineLevel="0" collapsed="false">
      <c r="A1640" s="3" t="n">
        <v>2016</v>
      </c>
      <c r="B1640" s="3" t="n">
        <v>6</v>
      </c>
      <c r="C1640" s="3" t="n">
        <v>26</v>
      </c>
      <c r="D1640" s="3" t="s">
        <v>1644</v>
      </c>
      <c r="E1640" s="4" t="n">
        <v>7</v>
      </c>
    </row>
    <row r="1641" customFormat="false" ht="15" hidden="false" customHeight="false" outlineLevel="0" collapsed="false">
      <c r="A1641" s="3" t="n">
        <v>2016</v>
      </c>
      <c r="B1641" s="3" t="n">
        <v>6</v>
      </c>
      <c r="C1641" s="3" t="n">
        <v>27</v>
      </c>
      <c r="D1641" s="3" t="s">
        <v>1645</v>
      </c>
      <c r="E1641" s="4" t="n">
        <v>0</v>
      </c>
    </row>
    <row r="1642" customFormat="false" ht="15" hidden="false" customHeight="false" outlineLevel="0" collapsed="false">
      <c r="A1642" s="3" t="n">
        <v>2016</v>
      </c>
      <c r="B1642" s="3" t="n">
        <v>6</v>
      </c>
      <c r="C1642" s="3" t="n">
        <v>28</v>
      </c>
      <c r="D1642" s="3" t="s">
        <v>1646</v>
      </c>
      <c r="E1642" s="4" t="n">
        <v>0</v>
      </c>
    </row>
    <row r="1643" customFormat="false" ht="15" hidden="false" customHeight="false" outlineLevel="0" collapsed="false">
      <c r="A1643" s="3" t="n">
        <v>2016</v>
      </c>
      <c r="B1643" s="3" t="n">
        <v>6</v>
      </c>
      <c r="C1643" s="3" t="n">
        <v>29</v>
      </c>
      <c r="D1643" s="3" t="s">
        <v>1647</v>
      </c>
      <c r="E1643" s="4" t="n">
        <v>1</v>
      </c>
    </row>
    <row r="1644" customFormat="false" ht="15" hidden="false" customHeight="false" outlineLevel="0" collapsed="false">
      <c r="A1644" s="3" t="n">
        <v>2016</v>
      </c>
      <c r="B1644" s="3" t="n">
        <v>6</v>
      </c>
      <c r="C1644" s="3" t="n">
        <v>30</v>
      </c>
      <c r="D1644" s="3" t="s">
        <v>1648</v>
      </c>
      <c r="E1644" s="4" t="n">
        <v>0</v>
      </c>
    </row>
    <row r="1645" customFormat="false" ht="15" hidden="false" customHeight="false" outlineLevel="0" collapsed="false">
      <c r="A1645" s="3" t="n">
        <v>2016</v>
      </c>
      <c r="B1645" s="3" t="n">
        <v>7</v>
      </c>
      <c r="C1645" s="3" t="n">
        <v>1</v>
      </c>
      <c r="D1645" s="3" t="s">
        <v>1649</v>
      </c>
      <c r="E1645" s="4" t="n">
        <v>0</v>
      </c>
    </row>
    <row r="1646" customFormat="false" ht="15" hidden="false" customHeight="false" outlineLevel="0" collapsed="false">
      <c r="A1646" s="3" t="n">
        <v>2016</v>
      </c>
      <c r="B1646" s="3" t="n">
        <v>7</v>
      </c>
      <c r="C1646" s="3" t="n">
        <v>2</v>
      </c>
      <c r="D1646" s="3" t="s">
        <v>1650</v>
      </c>
      <c r="E1646" s="4" t="n">
        <v>0</v>
      </c>
    </row>
    <row r="1647" customFormat="false" ht="15" hidden="false" customHeight="false" outlineLevel="0" collapsed="false">
      <c r="A1647" s="3" t="n">
        <v>2016</v>
      </c>
      <c r="B1647" s="3" t="n">
        <v>7</v>
      </c>
      <c r="C1647" s="3" t="n">
        <v>3</v>
      </c>
      <c r="D1647" s="3" t="s">
        <v>1651</v>
      </c>
      <c r="E1647" s="4" t="n">
        <v>0</v>
      </c>
    </row>
    <row r="1648" customFormat="false" ht="15" hidden="false" customHeight="false" outlineLevel="0" collapsed="false">
      <c r="A1648" s="3" t="n">
        <v>2016</v>
      </c>
      <c r="B1648" s="3" t="n">
        <v>7</v>
      </c>
      <c r="C1648" s="3" t="n">
        <v>4</v>
      </c>
      <c r="D1648" s="3" t="s">
        <v>1652</v>
      </c>
      <c r="E1648" s="4" t="n">
        <v>4</v>
      </c>
    </row>
    <row r="1649" customFormat="false" ht="15" hidden="false" customHeight="false" outlineLevel="0" collapsed="false">
      <c r="A1649" s="3" t="n">
        <v>2016</v>
      </c>
      <c r="B1649" s="3" t="n">
        <v>7</v>
      </c>
      <c r="C1649" s="3" t="n">
        <v>5</v>
      </c>
      <c r="D1649" s="3" t="s">
        <v>1653</v>
      </c>
      <c r="E1649" s="4" t="n">
        <v>0</v>
      </c>
    </row>
    <row r="1650" customFormat="false" ht="15" hidden="false" customHeight="false" outlineLevel="0" collapsed="false">
      <c r="A1650" s="3" t="n">
        <v>2016</v>
      </c>
      <c r="B1650" s="3" t="n">
        <v>7</v>
      </c>
      <c r="C1650" s="3" t="n">
        <v>6</v>
      </c>
      <c r="D1650" s="3" t="s">
        <v>1654</v>
      </c>
      <c r="E1650" s="4" t="n">
        <v>0</v>
      </c>
    </row>
    <row r="1651" customFormat="false" ht="15" hidden="false" customHeight="false" outlineLevel="0" collapsed="false">
      <c r="A1651" s="3" t="n">
        <v>2016</v>
      </c>
      <c r="B1651" s="3" t="n">
        <v>7</v>
      </c>
      <c r="C1651" s="3" t="n">
        <v>7</v>
      </c>
      <c r="D1651" s="3" t="s">
        <v>1655</v>
      </c>
      <c r="E1651" s="4" t="n">
        <v>0</v>
      </c>
    </row>
    <row r="1652" customFormat="false" ht="15" hidden="false" customHeight="false" outlineLevel="0" collapsed="false">
      <c r="A1652" s="3" t="n">
        <v>2016</v>
      </c>
      <c r="B1652" s="3" t="n">
        <v>7</v>
      </c>
      <c r="C1652" s="3" t="n">
        <v>8</v>
      </c>
      <c r="D1652" s="3" t="s">
        <v>1656</v>
      </c>
      <c r="E1652" s="4" t="n">
        <v>0</v>
      </c>
    </row>
    <row r="1653" customFormat="false" ht="15" hidden="false" customHeight="false" outlineLevel="0" collapsed="false">
      <c r="A1653" s="3" t="n">
        <v>2016</v>
      </c>
      <c r="B1653" s="3" t="n">
        <v>7</v>
      </c>
      <c r="C1653" s="3" t="n">
        <v>9</v>
      </c>
      <c r="D1653" s="3" t="s">
        <v>1657</v>
      </c>
      <c r="E1653" s="4" t="n">
        <v>0</v>
      </c>
    </row>
    <row r="1654" customFormat="false" ht="15" hidden="false" customHeight="false" outlineLevel="0" collapsed="false">
      <c r="A1654" s="3" t="n">
        <v>2016</v>
      </c>
      <c r="B1654" s="3" t="n">
        <v>7</v>
      </c>
      <c r="C1654" s="3" t="n">
        <v>10</v>
      </c>
      <c r="D1654" s="3" t="s">
        <v>1658</v>
      </c>
      <c r="E1654" s="4" t="n">
        <v>0</v>
      </c>
    </row>
    <row r="1655" customFormat="false" ht="15" hidden="false" customHeight="false" outlineLevel="0" collapsed="false">
      <c r="A1655" s="3" t="n">
        <v>2016</v>
      </c>
      <c r="B1655" s="3" t="n">
        <v>7</v>
      </c>
      <c r="C1655" s="3" t="n">
        <v>11</v>
      </c>
      <c r="D1655" s="3" t="s">
        <v>1659</v>
      </c>
      <c r="E1655" s="4" t="n">
        <v>0</v>
      </c>
    </row>
    <row r="1656" customFormat="false" ht="15" hidden="false" customHeight="false" outlineLevel="0" collapsed="false">
      <c r="A1656" s="3" t="n">
        <v>2016</v>
      </c>
      <c r="B1656" s="3" t="n">
        <v>7</v>
      </c>
      <c r="C1656" s="3" t="n">
        <v>12</v>
      </c>
      <c r="D1656" s="3" t="s">
        <v>1660</v>
      </c>
      <c r="E1656" s="4" t="n">
        <v>0</v>
      </c>
    </row>
    <row r="1657" customFormat="false" ht="15" hidden="false" customHeight="false" outlineLevel="0" collapsed="false">
      <c r="A1657" s="3" t="n">
        <v>2016</v>
      </c>
      <c r="B1657" s="3" t="n">
        <v>7</v>
      </c>
      <c r="C1657" s="3" t="n">
        <v>13</v>
      </c>
      <c r="D1657" s="3" t="s">
        <v>1661</v>
      </c>
      <c r="E1657" s="4" t="n">
        <v>20</v>
      </c>
    </row>
    <row r="1658" customFormat="false" ht="15" hidden="false" customHeight="false" outlineLevel="0" collapsed="false">
      <c r="A1658" s="3" t="n">
        <v>2016</v>
      </c>
      <c r="B1658" s="3" t="n">
        <v>7</v>
      </c>
      <c r="C1658" s="3" t="n">
        <v>14</v>
      </c>
      <c r="D1658" s="3" t="s">
        <v>1662</v>
      </c>
      <c r="E1658" s="4" t="n">
        <v>0</v>
      </c>
    </row>
    <row r="1659" customFormat="false" ht="15" hidden="false" customHeight="false" outlineLevel="0" collapsed="false">
      <c r="A1659" s="3" t="n">
        <v>2016</v>
      </c>
      <c r="B1659" s="3" t="n">
        <v>7</v>
      </c>
      <c r="C1659" s="3" t="n">
        <v>15</v>
      </c>
      <c r="D1659" s="3" t="s">
        <v>1663</v>
      </c>
      <c r="E1659" s="4" t="n">
        <v>21</v>
      </c>
    </row>
    <row r="1660" customFormat="false" ht="15" hidden="false" customHeight="false" outlineLevel="0" collapsed="false">
      <c r="A1660" s="3" t="n">
        <v>2016</v>
      </c>
      <c r="B1660" s="3" t="n">
        <v>7</v>
      </c>
      <c r="C1660" s="3" t="n">
        <v>16</v>
      </c>
      <c r="D1660" s="3" t="s">
        <v>1664</v>
      </c>
      <c r="E1660" s="4" t="n">
        <v>35</v>
      </c>
    </row>
    <row r="1661" customFormat="false" ht="15" hidden="false" customHeight="false" outlineLevel="0" collapsed="false">
      <c r="A1661" s="3" t="n">
        <v>2016</v>
      </c>
      <c r="B1661" s="3" t="n">
        <v>7</v>
      </c>
      <c r="C1661" s="3" t="n">
        <v>17</v>
      </c>
      <c r="D1661" s="3" t="s">
        <v>1665</v>
      </c>
      <c r="E1661" s="4" t="n">
        <v>2</v>
      </c>
    </row>
    <row r="1662" customFormat="false" ht="15" hidden="false" customHeight="false" outlineLevel="0" collapsed="false">
      <c r="A1662" s="3" t="n">
        <v>2016</v>
      </c>
      <c r="B1662" s="3" t="n">
        <v>7</v>
      </c>
      <c r="C1662" s="3" t="n">
        <v>18</v>
      </c>
      <c r="D1662" s="3" t="s">
        <v>1666</v>
      </c>
      <c r="E1662" s="4" t="n">
        <v>3</v>
      </c>
    </row>
    <row r="1663" customFormat="false" ht="15" hidden="false" customHeight="false" outlineLevel="0" collapsed="false">
      <c r="A1663" s="3" t="n">
        <v>2016</v>
      </c>
      <c r="B1663" s="3" t="n">
        <v>7</v>
      </c>
      <c r="C1663" s="3" t="n">
        <v>19</v>
      </c>
      <c r="D1663" s="3" t="s">
        <v>1667</v>
      </c>
      <c r="E1663" s="4" t="n">
        <v>0</v>
      </c>
    </row>
    <row r="1664" customFormat="false" ht="15" hidden="false" customHeight="false" outlineLevel="0" collapsed="false">
      <c r="A1664" s="3" t="n">
        <v>2016</v>
      </c>
      <c r="B1664" s="3" t="n">
        <v>7</v>
      </c>
      <c r="C1664" s="3" t="n">
        <v>20</v>
      </c>
      <c r="D1664" s="3" t="s">
        <v>1668</v>
      </c>
      <c r="E1664" s="4" t="n">
        <v>59</v>
      </c>
    </row>
    <row r="1665" customFormat="false" ht="15" hidden="false" customHeight="false" outlineLevel="0" collapsed="false">
      <c r="A1665" s="3" t="n">
        <v>2016</v>
      </c>
      <c r="B1665" s="3" t="n">
        <v>7</v>
      </c>
      <c r="C1665" s="3" t="n">
        <v>21</v>
      </c>
      <c r="D1665" s="3" t="s">
        <v>1669</v>
      </c>
      <c r="E1665" s="4" t="n">
        <v>0</v>
      </c>
    </row>
    <row r="1666" customFormat="false" ht="15" hidden="false" customHeight="false" outlineLevel="0" collapsed="false">
      <c r="A1666" s="3" t="n">
        <v>2016</v>
      </c>
      <c r="B1666" s="3" t="n">
        <v>7</v>
      </c>
      <c r="C1666" s="3" t="n">
        <v>22</v>
      </c>
      <c r="D1666" s="3" t="s">
        <v>1670</v>
      </c>
      <c r="E1666" s="4" t="n">
        <v>34</v>
      </c>
    </row>
    <row r="1667" customFormat="false" ht="15" hidden="false" customHeight="false" outlineLevel="0" collapsed="false">
      <c r="A1667" s="3" t="n">
        <v>2016</v>
      </c>
      <c r="B1667" s="3" t="n">
        <v>7</v>
      </c>
      <c r="C1667" s="3" t="n">
        <v>23</v>
      </c>
      <c r="D1667" s="3" t="s">
        <v>1671</v>
      </c>
      <c r="E1667" s="4" t="n">
        <v>0</v>
      </c>
    </row>
    <row r="1668" customFormat="false" ht="15" hidden="false" customHeight="false" outlineLevel="0" collapsed="false">
      <c r="A1668" s="3" t="n">
        <v>2016</v>
      </c>
      <c r="B1668" s="3" t="n">
        <v>7</v>
      </c>
      <c r="C1668" s="3" t="n">
        <v>24</v>
      </c>
      <c r="D1668" s="3" t="s">
        <v>1672</v>
      </c>
      <c r="E1668" s="4" t="n">
        <v>30</v>
      </c>
    </row>
    <row r="1669" customFormat="false" ht="15" hidden="false" customHeight="false" outlineLevel="0" collapsed="false">
      <c r="A1669" s="3" t="n">
        <v>2016</v>
      </c>
      <c r="B1669" s="3" t="n">
        <v>7</v>
      </c>
      <c r="C1669" s="3" t="n">
        <v>25</v>
      </c>
      <c r="D1669" s="3" t="s">
        <v>1673</v>
      </c>
      <c r="E1669" s="4" t="n">
        <v>29</v>
      </c>
    </row>
    <row r="1670" customFormat="false" ht="15" hidden="false" customHeight="false" outlineLevel="0" collapsed="false">
      <c r="A1670" s="3" t="n">
        <v>2016</v>
      </c>
      <c r="B1670" s="3" t="n">
        <v>7</v>
      </c>
      <c r="C1670" s="3" t="n">
        <v>26</v>
      </c>
      <c r="D1670" s="3" t="s">
        <v>1674</v>
      </c>
      <c r="E1670" s="4" t="n">
        <v>0</v>
      </c>
    </row>
    <row r="1671" customFormat="false" ht="15" hidden="false" customHeight="false" outlineLevel="0" collapsed="false">
      <c r="A1671" s="3" t="n">
        <v>2016</v>
      </c>
      <c r="B1671" s="3" t="n">
        <v>7</v>
      </c>
      <c r="C1671" s="3" t="n">
        <v>27</v>
      </c>
      <c r="D1671" s="3" t="s">
        <v>1675</v>
      </c>
      <c r="E1671" s="4" t="n">
        <v>0</v>
      </c>
    </row>
    <row r="1672" customFormat="false" ht="15" hidden="false" customHeight="false" outlineLevel="0" collapsed="false">
      <c r="A1672" s="3" t="n">
        <v>2016</v>
      </c>
      <c r="B1672" s="3" t="n">
        <v>7</v>
      </c>
      <c r="C1672" s="3" t="n">
        <v>28</v>
      </c>
      <c r="D1672" s="3" t="s">
        <v>1676</v>
      </c>
      <c r="E1672" s="4" t="n">
        <v>0</v>
      </c>
    </row>
    <row r="1673" customFormat="false" ht="15" hidden="false" customHeight="false" outlineLevel="0" collapsed="false">
      <c r="A1673" s="3" t="n">
        <v>2016</v>
      </c>
      <c r="B1673" s="3" t="n">
        <v>7</v>
      </c>
      <c r="C1673" s="3" t="n">
        <v>29</v>
      </c>
      <c r="D1673" s="3" t="s">
        <v>1677</v>
      </c>
      <c r="E1673" s="4" t="n">
        <v>0</v>
      </c>
    </row>
    <row r="1674" customFormat="false" ht="15" hidden="false" customHeight="false" outlineLevel="0" collapsed="false">
      <c r="A1674" s="3" t="n">
        <v>2016</v>
      </c>
      <c r="B1674" s="3" t="n">
        <v>7</v>
      </c>
      <c r="C1674" s="3" t="n">
        <v>30</v>
      </c>
      <c r="D1674" s="3" t="s">
        <v>1678</v>
      </c>
      <c r="E1674" s="4" t="n">
        <v>17</v>
      </c>
    </row>
    <row r="1675" customFormat="false" ht="15" hidden="false" customHeight="false" outlineLevel="0" collapsed="false">
      <c r="A1675" s="3" t="n">
        <v>2016</v>
      </c>
      <c r="B1675" s="3" t="n">
        <v>7</v>
      </c>
      <c r="C1675" s="3" t="n">
        <v>31</v>
      </c>
      <c r="D1675" s="3" t="s">
        <v>1679</v>
      </c>
      <c r="E1675" s="4" t="n">
        <v>0</v>
      </c>
    </row>
    <row r="1676" customFormat="false" ht="15" hidden="false" customHeight="false" outlineLevel="0" collapsed="false">
      <c r="A1676" s="3" t="n">
        <v>2016</v>
      </c>
      <c r="B1676" s="3" t="n">
        <v>8</v>
      </c>
      <c r="C1676" s="3" t="n">
        <v>1</v>
      </c>
      <c r="D1676" s="3" t="s">
        <v>1680</v>
      </c>
      <c r="E1676" s="4" t="n">
        <v>0</v>
      </c>
    </row>
    <row r="1677" customFormat="false" ht="15" hidden="false" customHeight="false" outlineLevel="0" collapsed="false">
      <c r="A1677" s="3" t="n">
        <v>2016</v>
      </c>
      <c r="B1677" s="3" t="n">
        <v>8</v>
      </c>
      <c r="C1677" s="3" t="n">
        <v>2</v>
      </c>
      <c r="D1677" s="3" t="s">
        <v>1681</v>
      </c>
      <c r="E1677" s="4" t="n">
        <v>0</v>
      </c>
    </row>
    <row r="1678" customFormat="false" ht="15" hidden="false" customHeight="false" outlineLevel="0" collapsed="false">
      <c r="A1678" s="3" t="n">
        <v>2016</v>
      </c>
      <c r="B1678" s="3" t="n">
        <v>8</v>
      </c>
      <c r="C1678" s="3" t="n">
        <v>3</v>
      </c>
      <c r="D1678" s="3" t="s">
        <v>1682</v>
      </c>
      <c r="E1678" s="4" t="n">
        <v>0</v>
      </c>
    </row>
    <row r="1679" customFormat="false" ht="15" hidden="false" customHeight="false" outlineLevel="0" collapsed="false">
      <c r="A1679" s="3" t="n">
        <v>2016</v>
      </c>
      <c r="B1679" s="3" t="n">
        <v>8</v>
      </c>
      <c r="C1679" s="3" t="n">
        <v>4</v>
      </c>
      <c r="D1679" s="3" t="s">
        <v>1683</v>
      </c>
      <c r="E1679" s="4" t="n">
        <v>0</v>
      </c>
    </row>
    <row r="1680" customFormat="false" ht="15" hidden="false" customHeight="false" outlineLevel="0" collapsed="false">
      <c r="A1680" s="3" t="n">
        <v>2016</v>
      </c>
      <c r="B1680" s="3" t="n">
        <v>8</v>
      </c>
      <c r="C1680" s="3" t="n">
        <v>5</v>
      </c>
      <c r="D1680" s="3" t="s">
        <v>1684</v>
      </c>
      <c r="E1680" s="4" t="n">
        <v>1</v>
      </c>
    </row>
    <row r="1681" customFormat="false" ht="15" hidden="false" customHeight="false" outlineLevel="0" collapsed="false">
      <c r="A1681" s="3" t="n">
        <v>2016</v>
      </c>
      <c r="B1681" s="3" t="n">
        <v>8</v>
      </c>
      <c r="C1681" s="3" t="n">
        <v>6</v>
      </c>
      <c r="D1681" s="3" t="s">
        <v>1685</v>
      </c>
      <c r="E1681" s="4" t="n">
        <v>0</v>
      </c>
    </row>
    <row r="1682" customFormat="false" ht="15" hidden="false" customHeight="false" outlineLevel="0" collapsed="false">
      <c r="A1682" s="3" t="n">
        <v>2016</v>
      </c>
      <c r="B1682" s="3" t="n">
        <v>8</v>
      </c>
      <c r="C1682" s="3" t="n">
        <v>7</v>
      </c>
      <c r="D1682" s="3" t="s">
        <v>1686</v>
      </c>
      <c r="E1682" s="4" t="n">
        <v>0</v>
      </c>
    </row>
    <row r="1683" customFormat="false" ht="15" hidden="false" customHeight="false" outlineLevel="0" collapsed="false">
      <c r="A1683" s="3" t="n">
        <v>2016</v>
      </c>
      <c r="B1683" s="3" t="n">
        <v>8</v>
      </c>
      <c r="C1683" s="3" t="n">
        <v>8</v>
      </c>
      <c r="D1683" s="3" t="s">
        <v>1687</v>
      </c>
      <c r="E1683" s="4" t="n">
        <v>0</v>
      </c>
    </row>
    <row r="1684" customFormat="false" ht="15" hidden="false" customHeight="false" outlineLevel="0" collapsed="false">
      <c r="A1684" s="3" t="n">
        <v>2016</v>
      </c>
      <c r="B1684" s="3" t="n">
        <v>8</v>
      </c>
      <c r="C1684" s="3" t="n">
        <v>9</v>
      </c>
      <c r="D1684" s="3" t="s">
        <v>1688</v>
      </c>
      <c r="E1684" s="4" t="n">
        <v>0</v>
      </c>
    </row>
    <row r="1685" customFormat="false" ht="15" hidden="false" customHeight="false" outlineLevel="0" collapsed="false">
      <c r="A1685" s="3" t="n">
        <v>2016</v>
      </c>
      <c r="B1685" s="3" t="n">
        <v>8</v>
      </c>
      <c r="C1685" s="3" t="n">
        <v>10</v>
      </c>
      <c r="D1685" s="3" t="s">
        <v>1689</v>
      </c>
      <c r="E1685" s="4" t="n">
        <v>0</v>
      </c>
    </row>
    <row r="1686" customFormat="false" ht="15" hidden="false" customHeight="false" outlineLevel="0" collapsed="false">
      <c r="A1686" s="3" t="n">
        <v>2016</v>
      </c>
      <c r="B1686" s="3" t="n">
        <v>8</v>
      </c>
      <c r="C1686" s="3" t="n">
        <v>11</v>
      </c>
      <c r="D1686" s="3" t="s">
        <v>1690</v>
      </c>
      <c r="E1686" s="4" t="n">
        <v>0</v>
      </c>
    </row>
    <row r="1687" customFormat="false" ht="15" hidden="false" customHeight="false" outlineLevel="0" collapsed="false">
      <c r="A1687" s="3" t="n">
        <v>2016</v>
      </c>
      <c r="B1687" s="3" t="n">
        <v>8</v>
      </c>
      <c r="C1687" s="3" t="n">
        <v>12</v>
      </c>
      <c r="D1687" s="3" t="s">
        <v>1691</v>
      </c>
      <c r="E1687" s="4" t="n">
        <v>0</v>
      </c>
    </row>
    <row r="1688" customFormat="false" ht="15" hidden="false" customHeight="false" outlineLevel="0" collapsed="false">
      <c r="A1688" s="3" t="n">
        <v>2016</v>
      </c>
      <c r="B1688" s="3" t="n">
        <v>8</v>
      </c>
      <c r="C1688" s="3" t="n">
        <v>13</v>
      </c>
      <c r="D1688" s="3" t="s">
        <v>1692</v>
      </c>
      <c r="E1688" s="4" t="n">
        <v>0</v>
      </c>
    </row>
    <row r="1689" customFormat="false" ht="15" hidden="false" customHeight="false" outlineLevel="0" collapsed="false">
      <c r="A1689" s="3" t="n">
        <v>2016</v>
      </c>
      <c r="B1689" s="3" t="n">
        <v>8</v>
      </c>
      <c r="C1689" s="3" t="n">
        <v>14</v>
      </c>
      <c r="D1689" s="3" t="s">
        <v>1693</v>
      </c>
      <c r="E1689" s="4" t="n">
        <v>0</v>
      </c>
    </row>
    <row r="1690" customFormat="false" ht="15" hidden="false" customHeight="false" outlineLevel="0" collapsed="false">
      <c r="A1690" s="3" t="n">
        <v>2016</v>
      </c>
      <c r="B1690" s="3" t="n">
        <v>8</v>
      </c>
      <c r="C1690" s="3" t="n">
        <v>15</v>
      </c>
      <c r="D1690" s="3" t="s">
        <v>1694</v>
      </c>
      <c r="E1690" s="4" t="n">
        <v>0</v>
      </c>
    </row>
    <row r="1691" customFormat="false" ht="15" hidden="false" customHeight="false" outlineLevel="0" collapsed="false">
      <c r="A1691" s="3" t="n">
        <v>2016</v>
      </c>
      <c r="B1691" s="3" t="n">
        <v>8</v>
      </c>
      <c r="C1691" s="3" t="n">
        <v>16</v>
      </c>
      <c r="D1691" s="3" t="s">
        <v>1695</v>
      </c>
      <c r="E1691" s="4" t="n">
        <v>0</v>
      </c>
    </row>
    <row r="1692" customFormat="false" ht="15" hidden="false" customHeight="false" outlineLevel="0" collapsed="false">
      <c r="A1692" s="3" t="n">
        <v>2016</v>
      </c>
      <c r="B1692" s="3" t="n">
        <v>8</v>
      </c>
      <c r="C1692" s="3" t="n">
        <v>17</v>
      </c>
      <c r="D1692" s="3" t="s">
        <v>1696</v>
      </c>
      <c r="E1692" s="4" t="n">
        <v>0</v>
      </c>
    </row>
    <row r="1693" customFormat="false" ht="15" hidden="false" customHeight="false" outlineLevel="0" collapsed="false">
      <c r="A1693" s="3" t="n">
        <v>2016</v>
      </c>
      <c r="B1693" s="3" t="n">
        <v>8</v>
      </c>
      <c r="C1693" s="3" t="n">
        <v>18</v>
      </c>
      <c r="D1693" s="3" t="s">
        <v>1697</v>
      </c>
      <c r="E1693" s="4" t="n">
        <v>0</v>
      </c>
    </row>
    <row r="1694" customFormat="false" ht="15" hidden="false" customHeight="false" outlineLevel="0" collapsed="false">
      <c r="A1694" s="3" t="n">
        <v>2016</v>
      </c>
      <c r="B1694" s="3" t="n">
        <v>8</v>
      </c>
      <c r="C1694" s="3" t="n">
        <v>19</v>
      </c>
      <c r="D1694" s="3" t="s">
        <v>1698</v>
      </c>
      <c r="E1694" s="4" t="n">
        <v>0</v>
      </c>
    </row>
    <row r="1695" customFormat="false" ht="15" hidden="false" customHeight="false" outlineLevel="0" collapsed="false">
      <c r="A1695" s="3" t="n">
        <v>2016</v>
      </c>
      <c r="B1695" s="3" t="n">
        <v>8</v>
      </c>
      <c r="C1695" s="3" t="n">
        <v>20</v>
      </c>
      <c r="D1695" s="3" t="s">
        <v>1699</v>
      </c>
      <c r="E1695" s="4" t="n">
        <v>0</v>
      </c>
    </row>
    <row r="1696" customFormat="false" ht="15" hidden="false" customHeight="false" outlineLevel="0" collapsed="false">
      <c r="A1696" s="3" t="n">
        <v>2016</v>
      </c>
      <c r="B1696" s="3" t="n">
        <v>8</v>
      </c>
      <c r="C1696" s="3" t="n">
        <v>21</v>
      </c>
      <c r="D1696" s="3" t="s">
        <v>1700</v>
      </c>
      <c r="E1696" s="4" t="n">
        <v>0</v>
      </c>
    </row>
    <row r="1697" customFormat="false" ht="15" hidden="false" customHeight="false" outlineLevel="0" collapsed="false">
      <c r="A1697" s="3" t="n">
        <v>2016</v>
      </c>
      <c r="B1697" s="3" t="n">
        <v>8</v>
      </c>
      <c r="C1697" s="3" t="n">
        <v>22</v>
      </c>
      <c r="D1697" s="3" t="s">
        <v>1701</v>
      </c>
      <c r="E1697" s="4" t="n">
        <v>0</v>
      </c>
    </row>
    <row r="1698" customFormat="false" ht="15" hidden="false" customHeight="false" outlineLevel="0" collapsed="false">
      <c r="A1698" s="3" t="n">
        <v>2016</v>
      </c>
      <c r="B1698" s="3" t="n">
        <v>8</v>
      </c>
      <c r="C1698" s="3" t="n">
        <v>23</v>
      </c>
      <c r="D1698" s="3" t="s">
        <v>1702</v>
      </c>
      <c r="E1698" s="4" t="n">
        <v>5</v>
      </c>
    </row>
    <row r="1699" customFormat="false" ht="15" hidden="false" customHeight="false" outlineLevel="0" collapsed="false">
      <c r="A1699" s="3" t="n">
        <v>2016</v>
      </c>
      <c r="B1699" s="3" t="n">
        <v>8</v>
      </c>
      <c r="C1699" s="3" t="n">
        <v>24</v>
      </c>
      <c r="D1699" s="3" t="s">
        <v>1703</v>
      </c>
      <c r="E1699" s="4" t="n">
        <v>0</v>
      </c>
    </row>
    <row r="1700" customFormat="false" ht="15" hidden="false" customHeight="false" outlineLevel="0" collapsed="false">
      <c r="A1700" s="3" t="n">
        <v>2016</v>
      </c>
      <c r="B1700" s="3" t="n">
        <v>8</v>
      </c>
      <c r="C1700" s="3" t="n">
        <v>25</v>
      </c>
      <c r="D1700" s="3" t="s">
        <v>1704</v>
      </c>
      <c r="E1700" s="4" t="n">
        <v>0</v>
      </c>
    </row>
    <row r="1701" customFormat="false" ht="15" hidden="false" customHeight="false" outlineLevel="0" collapsed="false">
      <c r="A1701" s="3" t="n">
        <v>2016</v>
      </c>
      <c r="B1701" s="3" t="n">
        <v>8</v>
      </c>
      <c r="C1701" s="3" t="n">
        <v>26</v>
      </c>
      <c r="D1701" s="3" t="s">
        <v>1705</v>
      </c>
      <c r="E1701" s="4" t="n">
        <v>1</v>
      </c>
    </row>
    <row r="1702" customFormat="false" ht="15" hidden="false" customHeight="false" outlineLevel="0" collapsed="false">
      <c r="A1702" s="3" t="n">
        <v>2016</v>
      </c>
      <c r="B1702" s="3" t="n">
        <v>8</v>
      </c>
      <c r="C1702" s="3" t="n">
        <v>27</v>
      </c>
      <c r="D1702" s="3" t="s">
        <v>1706</v>
      </c>
      <c r="E1702" s="4" t="n">
        <v>1</v>
      </c>
    </row>
    <row r="1703" customFormat="false" ht="15" hidden="false" customHeight="false" outlineLevel="0" collapsed="false">
      <c r="A1703" s="3" t="n">
        <v>2016</v>
      </c>
      <c r="B1703" s="3" t="n">
        <v>8</v>
      </c>
      <c r="C1703" s="3" t="n">
        <v>28</v>
      </c>
      <c r="D1703" s="3" t="s">
        <v>1707</v>
      </c>
      <c r="E1703" s="4" t="n">
        <v>3</v>
      </c>
    </row>
    <row r="1704" customFormat="false" ht="15" hidden="false" customHeight="false" outlineLevel="0" collapsed="false">
      <c r="A1704" s="3" t="n">
        <v>2016</v>
      </c>
      <c r="B1704" s="3" t="n">
        <v>8</v>
      </c>
      <c r="C1704" s="3" t="n">
        <v>29</v>
      </c>
      <c r="D1704" s="3" t="s">
        <v>1708</v>
      </c>
      <c r="E1704" s="4" t="n">
        <v>0</v>
      </c>
    </row>
    <row r="1705" customFormat="false" ht="15" hidden="false" customHeight="false" outlineLevel="0" collapsed="false">
      <c r="A1705" s="3" t="n">
        <v>2016</v>
      </c>
      <c r="B1705" s="3" t="n">
        <v>8</v>
      </c>
      <c r="C1705" s="3" t="n">
        <v>30</v>
      </c>
      <c r="D1705" s="3" t="s">
        <v>1709</v>
      </c>
      <c r="E1705" s="4" t="n">
        <v>0</v>
      </c>
    </row>
    <row r="1706" customFormat="false" ht="15" hidden="false" customHeight="false" outlineLevel="0" collapsed="false">
      <c r="A1706" s="3" t="n">
        <v>2016</v>
      </c>
      <c r="B1706" s="3" t="n">
        <v>8</v>
      </c>
      <c r="C1706" s="3" t="n">
        <v>31</v>
      </c>
      <c r="D1706" s="3" t="s">
        <v>1710</v>
      </c>
      <c r="E1706" s="4" t="n">
        <v>3</v>
      </c>
    </row>
    <row r="1707" customFormat="false" ht="15" hidden="false" customHeight="false" outlineLevel="0" collapsed="false">
      <c r="A1707" s="3" t="n">
        <v>2016</v>
      </c>
      <c r="B1707" s="3" t="n">
        <v>9</v>
      </c>
      <c r="C1707" s="3" t="n">
        <v>1</v>
      </c>
      <c r="D1707" s="3" t="s">
        <v>1711</v>
      </c>
      <c r="E1707" s="4" t="n">
        <v>1</v>
      </c>
    </row>
    <row r="1708" customFormat="false" ht="15" hidden="false" customHeight="false" outlineLevel="0" collapsed="false">
      <c r="A1708" s="3" t="n">
        <v>2016</v>
      </c>
      <c r="B1708" s="3" t="n">
        <v>9</v>
      </c>
      <c r="C1708" s="3" t="n">
        <v>2</v>
      </c>
      <c r="D1708" s="3" t="s">
        <v>1712</v>
      </c>
      <c r="E1708" s="4" t="n">
        <v>0</v>
      </c>
    </row>
    <row r="1709" customFormat="false" ht="15" hidden="false" customHeight="false" outlineLevel="0" collapsed="false">
      <c r="A1709" s="3" t="n">
        <v>2016</v>
      </c>
      <c r="B1709" s="3" t="n">
        <v>9</v>
      </c>
      <c r="C1709" s="3" t="n">
        <v>3</v>
      </c>
      <c r="D1709" s="3" t="s">
        <v>1713</v>
      </c>
      <c r="E1709" s="4" t="n">
        <v>33</v>
      </c>
    </row>
    <row r="1710" customFormat="false" ht="15" hidden="false" customHeight="false" outlineLevel="0" collapsed="false">
      <c r="A1710" s="3" t="n">
        <v>2016</v>
      </c>
      <c r="B1710" s="3" t="n">
        <v>9</v>
      </c>
      <c r="C1710" s="3" t="n">
        <v>4</v>
      </c>
      <c r="D1710" s="3" t="s">
        <v>1714</v>
      </c>
      <c r="E1710" s="4" t="n">
        <v>0</v>
      </c>
    </row>
    <row r="1711" customFormat="false" ht="15" hidden="false" customHeight="false" outlineLevel="0" collapsed="false">
      <c r="A1711" s="3" t="n">
        <v>2016</v>
      </c>
      <c r="B1711" s="3" t="n">
        <v>9</v>
      </c>
      <c r="C1711" s="3" t="n">
        <v>5</v>
      </c>
      <c r="D1711" s="3" t="s">
        <v>1715</v>
      </c>
      <c r="E1711" s="4" t="n">
        <v>0</v>
      </c>
    </row>
    <row r="1712" customFormat="false" ht="15" hidden="false" customHeight="false" outlineLevel="0" collapsed="false">
      <c r="A1712" s="3" t="n">
        <v>2016</v>
      </c>
      <c r="B1712" s="3" t="n">
        <v>9</v>
      </c>
      <c r="C1712" s="3" t="n">
        <v>6</v>
      </c>
      <c r="D1712" s="3" t="s">
        <v>1716</v>
      </c>
      <c r="E1712" s="4" t="n">
        <v>0</v>
      </c>
    </row>
    <row r="1713" customFormat="false" ht="15" hidden="false" customHeight="false" outlineLevel="0" collapsed="false">
      <c r="A1713" s="3" t="n">
        <v>2016</v>
      </c>
      <c r="B1713" s="3" t="n">
        <v>9</v>
      </c>
      <c r="C1713" s="3" t="n">
        <v>7</v>
      </c>
      <c r="D1713" s="3" t="s">
        <v>1717</v>
      </c>
      <c r="E1713" s="4" t="n">
        <v>52</v>
      </c>
    </row>
    <row r="1714" customFormat="false" ht="15" hidden="false" customHeight="false" outlineLevel="0" collapsed="false">
      <c r="A1714" s="3" t="n">
        <v>2016</v>
      </c>
      <c r="B1714" s="3" t="n">
        <v>9</v>
      </c>
      <c r="C1714" s="3" t="n">
        <v>8</v>
      </c>
      <c r="D1714" s="3" t="s">
        <v>1718</v>
      </c>
      <c r="E1714" s="4" t="n">
        <v>0</v>
      </c>
    </row>
    <row r="1715" customFormat="false" ht="15" hidden="false" customHeight="false" outlineLevel="0" collapsed="false">
      <c r="A1715" s="3" t="n">
        <v>2016</v>
      </c>
      <c r="B1715" s="3" t="n">
        <v>9</v>
      </c>
      <c r="C1715" s="3" t="n">
        <v>9</v>
      </c>
      <c r="D1715" s="3" t="s">
        <v>1719</v>
      </c>
      <c r="E1715" s="4" t="n">
        <v>5</v>
      </c>
    </row>
    <row r="1716" customFormat="false" ht="15" hidden="false" customHeight="false" outlineLevel="0" collapsed="false">
      <c r="A1716" s="3" t="n">
        <v>2016</v>
      </c>
      <c r="B1716" s="3" t="n">
        <v>9</v>
      </c>
      <c r="C1716" s="3" t="n">
        <v>10</v>
      </c>
      <c r="D1716" s="3" t="s">
        <v>1720</v>
      </c>
      <c r="E1716" s="4" t="n">
        <v>0</v>
      </c>
    </row>
    <row r="1717" customFormat="false" ht="15" hidden="false" customHeight="false" outlineLevel="0" collapsed="false">
      <c r="A1717" s="3" t="n">
        <v>2016</v>
      </c>
      <c r="B1717" s="3" t="n">
        <v>9</v>
      </c>
      <c r="C1717" s="3" t="n">
        <v>11</v>
      </c>
      <c r="D1717" s="3" t="s">
        <v>1721</v>
      </c>
      <c r="E1717" s="4" t="n">
        <v>0</v>
      </c>
    </row>
    <row r="1718" customFormat="false" ht="15" hidden="false" customHeight="false" outlineLevel="0" collapsed="false">
      <c r="A1718" s="3" t="n">
        <v>2016</v>
      </c>
      <c r="B1718" s="3" t="n">
        <v>9</v>
      </c>
      <c r="C1718" s="3" t="n">
        <v>12</v>
      </c>
      <c r="D1718" s="3" t="s">
        <v>1722</v>
      </c>
      <c r="E1718" s="4" t="n">
        <v>0</v>
      </c>
    </row>
    <row r="1719" customFormat="false" ht="15" hidden="false" customHeight="false" outlineLevel="0" collapsed="false">
      <c r="A1719" s="3" t="n">
        <v>2016</v>
      </c>
      <c r="B1719" s="3" t="n">
        <v>9</v>
      </c>
      <c r="C1719" s="3" t="n">
        <v>13</v>
      </c>
      <c r="D1719" s="3" t="s">
        <v>1723</v>
      </c>
      <c r="E1719" s="4" t="n">
        <v>0</v>
      </c>
    </row>
    <row r="1720" customFormat="false" ht="15" hidden="false" customHeight="false" outlineLevel="0" collapsed="false">
      <c r="A1720" s="3" t="n">
        <v>2016</v>
      </c>
      <c r="B1720" s="3" t="n">
        <v>9</v>
      </c>
      <c r="C1720" s="3" t="n">
        <v>14</v>
      </c>
      <c r="D1720" s="3" t="s">
        <v>1724</v>
      </c>
      <c r="E1720" s="4" t="n">
        <v>0</v>
      </c>
    </row>
    <row r="1721" customFormat="false" ht="15" hidden="false" customHeight="false" outlineLevel="0" collapsed="false">
      <c r="A1721" s="3" t="n">
        <v>2016</v>
      </c>
      <c r="B1721" s="3" t="n">
        <v>9</v>
      </c>
      <c r="C1721" s="3" t="n">
        <v>15</v>
      </c>
      <c r="D1721" s="3" t="s">
        <v>1725</v>
      </c>
      <c r="E1721" s="4" t="n">
        <v>0</v>
      </c>
    </row>
    <row r="1722" customFormat="false" ht="15" hidden="false" customHeight="false" outlineLevel="0" collapsed="false">
      <c r="A1722" s="3" t="n">
        <v>2016</v>
      </c>
      <c r="B1722" s="3" t="n">
        <v>9</v>
      </c>
      <c r="C1722" s="3" t="n">
        <v>16</v>
      </c>
      <c r="D1722" s="3" t="s">
        <v>1726</v>
      </c>
      <c r="E1722" s="4" t="n">
        <v>0</v>
      </c>
    </row>
    <row r="1723" customFormat="false" ht="15" hidden="false" customHeight="false" outlineLevel="0" collapsed="false">
      <c r="A1723" s="3" t="n">
        <v>2016</v>
      </c>
      <c r="B1723" s="3" t="n">
        <v>9</v>
      </c>
      <c r="C1723" s="3" t="n">
        <v>17</v>
      </c>
      <c r="D1723" s="3" t="s">
        <v>1727</v>
      </c>
      <c r="E1723" s="4" t="n">
        <v>1</v>
      </c>
    </row>
    <row r="1724" customFormat="false" ht="15" hidden="false" customHeight="false" outlineLevel="0" collapsed="false">
      <c r="A1724" s="3" t="n">
        <v>2016</v>
      </c>
      <c r="B1724" s="3" t="n">
        <v>9</v>
      </c>
      <c r="C1724" s="3" t="n">
        <v>18</v>
      </c>
      <c r="D1724" s="3" t="s">
        <v>1728</v>
      </c>
      <c r="E1724" s="4" t="n">
        <v>0</v>
      </c>
    </row>
    <row r="1725" customFormat="false" ht="15" hidden="false" customHeight="false" outlineLevel="0" collapsed="false">
      <c r="A1725" s="3" t="n">
        <v>2016</v>
      </c>
      <c r="B1725" s="3" t="n">
        <v>9</v>
      </c>
      <c r="C1725" s="3" t="n">
        <v>19</v>
      </c>
      <c r="D1725" s="3" t="s">
        <v>1729</v>
      </c>
      <c r="E1725" s="4" t="n">
        <v>0</v>
      </c>
    </row>
    <row r="1726" customFormat="false" ht="15" hidden="false" customHeight="false" outlineLevel="0" collapsed="false">
      <c r="A1726" s="3" t="n">
        <v>2016</v>
      </c>
      <c r="B1726" s="3" t="n">
        <v>9</v>
      </c>
      <c r="C1726" s="3" t="n">
        <v>20</v>
      </c>
      <c r="D1726" s="3" t="s">
        <v>1730</v>
      </c>
      <c r="E1726" s="4" t="n">
        <v>40</v>
      </c>
    </row>
    <row r="1727" customFormat="false" ht="15" hidden="false" customHeight="false" outlineLevel="0" collapsed="false">
      <c r="A1727" s="3" t="n">
        <v>2016</v>
      </c>
      <c r="B1727" s="3" t="n">
        <v>9</v>
      </c>
      <c r="C1727" s="3" t="n">
        <v>21</v>
      </c>
      <c r="D1727" s="3" t="s">
        <v>1731</v>
      </c>
      <c r="E1727" s="4" t="n">
        <v>18</v>
      </c>
    </row>
    <row r="1728" customFormat="false" ht="15" hidden="false" customHeight="false" outlineLevel="0" collapsed="false">
      <c r="A1728" s="3" t="n">
        <v>2016</v>
      </c>
      <c r="B1728" s="3" t="n">
        <v>9</v>
      </c>
      <c r="C1728" s="3" t="n">
        <v>22</v>
      </c>
      <c r="D1728" s="3" t="s">
        <v>1732</v>
      </c>
      <c r="E1728" s="4" t="n">
        <v>28</v>
      </c>
    </row>
    <row r="1729" customFormat="false" ht="15" hidden="false" customHeight="false" outlineLevel="0" collapsed="false">
      <c r="A1729" s="3" t="n">
        <v>2016</v>
      </c>
      <c r="B1729" s="3" t="n">
        <v>9</v>
      </c>
      <c r="C1729" s="3" t="n">
        <v>23</v>
      </c>
      <c r="D1729" s="3" t="s">
        <v>1733</v>
      </c>
      <c r="E1729" s="4" t="n">
        <v>7</v>
      </c>
    </row>
    <row r="1730" customFormat="false" ht="15" hidden="false" customHeight="false" outlineLevel="0" collapsed="false">
      <c r="A1730" s="3" t="n">
        <v>2016</v>
      </c>
      <c r="B1730" s="3" t="n">
        <v>9</v>
      </c>
      <c r="C1730" s="3" t="n">
        <v>24</v>
      </c>
      <c r="D1730" s="3" t="s">
        <v>1734</v>
      </c>
      <c r="E1730" s="4" t="n">
        <v>0</v>
      </c>
    </row>
    <row r="1731" customFormat="false" ht="15" hidden="false" customHeight="false" outlineLevel="0" collapsed="false">
      <c r="A1731" s="3" t="n">
        <v>2016</v>
      </c>
      <c r="B1731" s="3" t="n">
        <v>9</v>
      </c>
      <c r="C1731" s="3" t="n">
        <v>25</v>
      </c>
      <c r="D1731" s="3" t="s">
        <v>1735</v>
      </c>
      <c r="E1731" s="4" t="n">
        <v>0</v>
      </c>
    </row>
    <row r="1732" customFormat="false" ht="15" hidden="false" customHeight="false" outlineLevel="0" collapsed="false">
      <c r="A1732" s="3" t="n">
        <v>2016</v>
      </c>
      <c r="B1732" s="3" t="n">
        <v>9</v>
      </c>
      <c r="C1732" s="3" t="n">
        <v>26</v>
      </c>
      <c r="D1732" s="3" t="s">
        <v>1736</v>
      </c>
      <c r="E1732" s="4" t="n">
        <v>0</v>
      </c>
    </row>
    <row r="1733" customFormat="false" ht="15" hidden="false" customHeight="false" outlineLevel="0" collapsed="false">
      <c r="A1733" s="3" t="n">
        <v>2016</v>
      </c>
      <c r="B1733" s="3" t="n">
        <v>9</v>
      </c>
      <c r="C1733" s="3" t="n">
        <v>27</v>
      </c>
      <c r="D1733" s="3" t="s">
        <v>1737</v>
      </c>
      <c r="E1733" s="4" t="n">
        <v>15</v>
      </c>
    </row>
    <row r="1734" customFormat="false" ht="15" hidden="false" customHeight="false" outlineLevel="0" collapsed="false">
      <c r="A1734" s="3" t="n">
        <v>2016</v>
      </c>
      <c r="B1734" s="3" t="n">
        <v>9</v>
      </c>
      <c r="C1734" s="3" t="n">
        <v>28</v>
      </c>
      <c r="D1734" s="3" t="s">
        <v>1738</v>
      </c>
      <c r="E1734" s="4" t="n">
        <v>0</v>
      </c>
    </row>
    <row r="1735" customFormat="false" ht="15" hidden="false" customHeight="false" outlineLevel="0" collapsed="false">
      <c r="A1735" s="3" t="n">
        <v>2016</v>
      </c>
      <c r="B1735" s="3" t="n">
        <v>9</v>
      </c>
      <c r="C1735" s="3" t="n">
        <v>29</v>
      </c>
      <c r="D1735" s="3" t="s">
        <v>1739</v>
      </c>
      <c r="E1735" s="4" t="n">
        <v>0</v>
      </c>
    </row>
    <row r="1736" customFormat="false" ht="15" hidden="false" customHeight="false" outlineLevel="0" collapsed="false">
      <c r="A1736" s="3" t="n">
        <v>2016</v>
      </c>
      <c r="B1736" s="3" t="n">
        <v>9</v>
      </c>
      <c r="C1736" s="3" t="n">
        <v>30</v>
      </c>
      <c r="D1736" s="3" t="s">
        <v>1740</v>
      </c>
      <c r="E1736" s="4" t="n">
        <v>0</v>
      </c>
    </row>
    <row r="1737" customFormat="false" ht="15" hidden="false" customHeight="false" outlineLevel="0" collapsed="false">
      <c r="A1737" s="3" t="n">
        <v>2016</v>
      </c>
      <c r="B1737" s="3" t="n">
        <v>10</v>
      </c>
      <c r="C1737" s="3" t="n">
        <v>1</v>
      </c>
      <c r="D1737" s="3" t="s">
        <v>1741</v>
      </c>
      <c r="E1737" s="4" t="n">
        <v>0</v>
      </c>
    </row>
    <row r="1738" customFormat="false" ht="15" hidden="false" customHeight="false" outlineLevel="0" collapsed="false">
      <c r="A1738" s="3" t="n">
        <v>2016</v>
      </c>
      <c r="B1738" s="3" t="n">
        <v>10</v>
      </c>
      <c r="C1738" s="3" t="n">
        <v>2</v>
      </c>
      <c r="D1738" s="3" t="s">
        <v>1742</v>
      </c>
      <c r="E1738" s="4" t="n">
        <v>11</v>
      </c>
    </row>
    <row r="1739" customFormat="false" ht="15" hidden="false" customHeight="false" outlineLevel="0" collapsed="false">
      <c r="A1739" s="3" t="n">
        <v>2016</v>
      </c>
      <c r="B1739" s="3" t="n">
        <v>10</v>
      </c>
      <c r="C1739" s="3" t="n">
        <v>3</v>
      </c>
      <c r="D1739" s="3" t="s">
        <v>1743</v>
      </c>
      <c r="E1739" s="4" t="n">
        <v>0</v>
      </c>
    </row>
    <row r="1740" customFormat="false" ht="15" hidden="false" customHeight="false" outlineLevel="0" collapsed="false">
      <c r="A1740" s="3" t="n">
        <v>2016</v>
      </c>
      <c r="B1740" s="3" t="n">
        <v>10</v>
      </c>
      <c r="C1740" s="3" t="n">
        <v>4</v>
      </c>
      <c r="D1740" s="3" t="s">
        <v>1744</v>
      </c>
      <c r="E1740" s="4" t="n">
        <v>1</v>
      </c>
    </row>
    <row r="1741" customFormat="false" ht="15" hidden="false" customHeight="false" outlineLevel="0" collapsed="false">
      <c r="A1741" s="3" t="n">
        <v>2016</v>
      </c>
      <c r="B1741" s="3" t="n">
        <v>10</v>
      </c>
      <c r="C1741" s="3" t="n">
        <v>5</v>
      </c>
      <c r="D1741" s="3" t="s">
        <v>1745</v>
      </c>
      <c r="E1741" s="4" t="n">
        <v>0</v>
      </c>
    </row>
    <row r="1742" customFormat="false" ht="15" hidden="false" customHeight="false" outlineLevel="0" collapsed="false">
      <c r="A1742" s="3" t="n">
        <v>2016</v>
      </c>
      <c r="B1742" s="3" t="n">
        <v>10</v>
      </c>
      <c r="C1742" s="3" t="n">
        <v>6</v>
      </c>
      <c r="D1742" s="3" t="s">
        <v>1746</v>
      </c>
      <c r="E1742" s="4" t="n">
        <v>0</v>
      </c>
    </row>
    <row r="1743" customFormat="false" ht="15" hidden="false" customHeight="false" outlineLevel="0" collapsed="false">
      <c r="A1743" s="3" t="n">
        <v>2016</v>
      </c>
      <c r="B1743" s="3" t="n">
        <v>10</v>
      </c>
      <c r="C1743" s="3" t="n">
        <v>7</v>
      </c>
      <c r="D1743" s="3" t="s">
        <v>1747</v>
      </c>
      <c r="E1743" s="4" t="n">
        <v>0</v>
      </c>
    </row>
    <row r="1744" customFormat="false" ht="15" hidden="false" customHeight="false" outlineLevel="0" collapsed="false">
      <c r="A1744" s="3" t="n">
        <v>2016</v>
      </c>
      <c r="B1744" s="3" t="n">
        <v>10</v>
      </c>
      <c r="C1744" s="3" t="n">
        <v>8</v>
      </c>
      <c r="D1744" s="3" t="s">
        <v>1748</v>
      </c>
      <c r="E1744" s="4" t="n">
        <v>12</v>
      </c>
    </row>
    <row r="1745" customFormat="false" ht="15" hidden="false" customHeight="false" outlineLevel="0" collapsed="false">
      <c r="A1745" s="3" t="n">
        <v>2016</v>
      </c>
      <c r="B1745" s="3" t="n">
        <v>10</v>
      </c>
      <c r="C1745" s="3" t="n">
        <v>9</v>
      </c>
      <c r="D1745" s="3" t="s">
        <v>1749</v>
      </c>
      <c r="E1745" s="4" t="n">
        <v>50</v>
      </c>
    </row>
    <row r="1746" customFormat="false" ht="15" hidden="false" customHeight="false" outlineLevel="0" collapsed="false">
      <c r="A1746" s="3" t="n">
        <v>2016</v>
      </c>
      <c r="B1746" s="3" t="n">
        <v>10</v>
      </c>
      <c r="C1746" s="3" t="n">
        <v>10</v>
      </c>
      <c r="D1746" s="3" t="s">
        <v>1750</v>
      </c>
      <c r="E1746" s="4" t="n">
        <v>0</v>
      </c>
    </row>
    <row r="1747" customFormat="false" ht="15" hidden="false" customHeight="false" outlineLevel="0" collapsed="false">
      <c r="A1747" s="3" t="n">
        <v>2016</v>
      </c>
      <c r="B1747" s="3" t="n">
        <v>10</v>
      </c>
      <c r="C1747" s="3" t="n">
        <v>11</v>
      </c>
      <c r="D1747" s="3" t="s">
        <v>1751</v>
      </c>
      <c r="E1747" s="4" t="n">
        <v>0</v>
      </c>
    </row>
    <row r="1748" customFormat="false" ht="15" hidden="false" customHeight="false" outlineLevel="0" collapsed="false">
      <c r="A1748" s="3" t="n">
        <v>2016</v>
      </c>
      <c r="B1748" s="3" t="n">
        <v>10</v>
      </c>
      <c r="C1748" s="3" t="n">
        <v>12</v>
      </c>
      <c r="D1748" s="3" t="s">
        <v>1752</v>
      </c>
      <c r="E1748" s="4" t="n">
        <v>0</v>
      </c>
    </row>
    <row r="1749" customFormat="false" ht="15" hidden="false" customHeight="false" outlineLevel="0" collapsed="false">
      <c r="A1749" s="3" t="n">
        <v>2016</v>
      </c>
      <c r="B1749" s="3" t="n">
        <v>10</v>
      </c>
      <c r="C1749" s="3" t="n">
        <v>13</v>
      </c>
      <c r="D1749" s="3" t="s">
        <v>1753</v>
      </c>
      <c r="E1749" s="4" t="n">
        <v>0</v>
      </c>
    </row>
    <row r="1750" customFormat="false" ht="15" hidden="false" customHeight="false" outlineLevel="0" collapsed="false">
      <c r="A1750" s="3" t="n">
        <v>2016</v>
      </c>
      <c r="B1750" s="3" t="n">
        <v>10</v>
      </c>
      <c r="C1750" s="3" t="n">
        <v>14</v>
      </c>
      <c r="D1750" s="3" t="s">
        <v>1754</v>
      </c>
      <c r="E1750" s="4" t="n">
        <v>44</v>
      </c>
    </row>
    <row r="1751" customFormat="false" ht="15" hidden="false" customHeight="false" outlineLevel="0" collapsed="false">
      <c r="A1751" s="3" t="n">
        <v>2016</v>
      </c>
      <c r="B1751" s="3" t="n">
        <v>10</v>
      </c>
      <c r="C1751" s="3" t="n">
        <v>15</v>
      </c>
      <c r="D1751" s="3" t="s">
        <v>1755</v>
      </c>
      <c r="E1751" s="4" t="n">
        <v>0</v>
      </c>
    </row>
    <row r="1752" customFormat="false" ht="15" hidden="false" customHeight="false" outlineLevel="0" collapsed="false">
      <c r="A1752" s="3" t="n">
        <v>2016</v>
      </c>
      <c r="B1752" s="3" t="n">
        <v>10</v>
      </c>
      <c r="C1752" s="3" t="n">
        <v>16</v>
      </c>
      <c r="D1752" s="3" t="s">
        <v>1756</v>
      </c>
      <c r="E1752" s="4" t="n">
        <v>0</v>
      </c>
    </row>
    <row r="1753" customFormat="false" ht="15" hidden="false" customHeight="false" outlineLevel="0" collapsed="false">
      <c r="A1753" s="3" t="n">
        <v>2016</v>
      </c>
      <c r="B1753" s="3" t="n">
        <v>10</v>
      </c>
      <c r="C1753" s="3" t="n">
        <v>17</v>
      </c>
      <c r="D1753" s="3" t="s">
        <v>1757</v>
      </c>
      <c r="E1753" s="4" t="n">
        <v>0</v>
      </c>
    </row>
    <row r="1754" customFormat="false" ht="15" hidden="false" customHeight="false" outlineLevel="0" collapsed="false">
      <c r="A1754" s="3" t="n">
        <v>2016</v>
      </c>
      <c r="B1754" s="3" t="n">
        <v>10</v>
      </c>
      <c r="C1754" s="3" t="n">
        <v>18</v>
      </c>
      <c r="D1754" s="3" t="s">
        <v>1758</v>
      </c>
      <c r="E1754" s="4" t="n">
        <v>32</v>
      </c>
    </row>
    <row r="1755" customFormat="false" ht="15" hidden="false" customHeight="false" outlineLevel="0" collapsed="false">
      <c r="A1755" s="3" t="n">
        <v>2016</v>
      </c>
      <c r="B1755" s="3" t="n">
        <v>10</v>
      </c>
      <c r="C1755" s="3" t="n">
        <v>19</v>
      </c>
      <c r="D1755" s="3" t="s">
        <v>1759</v>
      </c>
      <c r="E1755" s="4" t="n">
        <v>0</v>
      </c>
    </row>
    <row r="1756" customFormat="false" ht="15" hidden="false" customHeight="false" outlineLevel="0" collapsed="false">
      <c r="A1756" s="3" t="n">
        <v>2016</v>
      </c>
      <c r="B1756" s="3" t="n">
        <v>10</v>
      </c>
      <c r="C1756" s="3" t="n">
        <v>20</v>
      </c>
      <c r="D1756" s="3" t="s">
        <v>1760</v>
      </c>
      <c r="E1756" s="4" t="n">
        <v>29</v>
      </c>
    </row>
    <row r="1757" customFormat="false" ht="15" hidden="false" customHeight="false" outlineLevel="0" collapsed="false">
      <c r="A1757" s="3" t="n">
        <v>2016</v>
      </c>
      <c r="B1757" s="3" t="n">
        <v>10</v>
      </c>
      <c r="C1757" s="3" t="n">
        <v>21</v>
      </c>
      <c r="D1757" s="3" t="s">
        <v>1761</v>
      </c>
      <c r="E1757" s="4" t="n">
        <v>0</v>
      </c>
    </row>
    <row r="1758" customFormat="false" ht="15" hidden="false" customHeight="false" outlineLevel="0" collapsed="false">
      <c r="A1758" s="3" t="n">
        <v>2016</v>
      </c>
      <c r="B1758" s="3" t="n">
        <v>10</v>
      </c>
      <c r="C1758" s="3" t="n">
        <v>22</v>
      </c>
      <c r="D1758" s="3" t="s">
        <v>1762</v>
      </c>
      <c r="E1758" s="4" t="n">
        <v>0</v>
      </c>
    </row>
    <row r="1759" customFormat="false" ht="15" hidden="false" customHeight="false" outlineLevel="0" collapsed="false">
      <c r="A1759" s="3" t="n">
        <v>2016</v>
      </c>
      <c r="B1759" s="3" t="n">
        <v>10</v>
      </c>
      <c r="C1759" s="3" t="n">
        <v>23</v>
      </c>
      <c r="D1759" s="3" t="s">
        <v>1763</v>
      </c>
      <c r="E1759" s="4" t="n">
        <v>25</v>
      </c>
    </row>
    <row r="1760" customFormat="false" ht="15" hidden="false" customHeight="false" outlineLevel="0" collapsed="false">
      <c r="A1760" s="3" t="n">
        <v>2016</v>
      </c>
      <c r="B1760" s="3" t="n">
        <v>10</v>
      </c>
      <c r="C1760" s="3" t="n">
        <v>24</v>
      </c>
      <c r="D1760" s="3" t="s">
        <v>1764</v>
      </c>
      <c r="E1760" s="4" t="n">
        <v>12</v>
      </c>
    </row>
    <row r="1761" customFormat="false" ht="15" hidden="false" customHeight="false" outlineLevel="0" collapsed="false">
      <c r="A1761" s="3" t="n">
        <v>2016</v>
      </c>
      <c r="B1761" s="3" t="n">
        <v>10</v>
      </c>
      <c r="C1761" s="3" t="n">
        <v>25</v>
      </c>
      <c r="D1761" s="3" t="s">
        <v>1765</v>
      </c>
      <c r="E1761" s="4" t="n">
        <v>0</v>
      </c>
    </row>
    <row r="1762" customFormat="false" ht="15" hidden="false" customHeight="false" outlineLevel="0" collapsed="false">
      <c r="A1762" s="3" t="n">
        <v>2016</v>
      </c>
      <c r="B1762" s="3" t="n">
        <v>10</v>
      </c>
      <c r="C1762" s="3" t="n">
        <v>26</v>
      </c>
      <c r="D1762" s="3" t="s">
        <v>1766</v>
      </c>
      <c r="E1762" s="4" t="n">
        <v>3</v>
      </c>
    </row>
    <row r="1763" customFormat="false" ht="15" hidden="false" customHeight="false" outlineLevel="0" collapsed="false">
      <c r="A1763" s="3" t="n">
        <v>2016</v>
      </c>
      <c r="B1763" s="3" t="n">
        <v>10</v>
      </c>
      <c r="C1763" s="3" t="n">
        <v>27</v>
      </c>
      <c r="D1763" s="3" t="s">
        <v>1767</v>
      </c>
      <c r="E1763" s="4" t="n">
        <v>0</v>
      </c>
    </row>
    <row r="1764" customFormat="false" ht="15" hidden="false" customHeight="false" outlineLevel="0" collapsed="false">
      <c r="A1764" s="3" t="n">
        <v>2016</v>
      </c>
      <c r="B1764" s="3" t="n">
        <v>10</v>
      </c>
      <c r="C1764" s="3" t="n">
        <v>28</v>
      </c>
      <c r="D1764" s="3" t="s">
        <v>1768</v>
      </c>
      <c r="E1764" s="4" t="n">
        <v>72</v>
      </c>
    </row>
    <row r="1765" customFormat="false" ht="15" hidden="false" customHeight="false" outlineLevel="0" collapsed="false">
      <c r="A1765" s="3" t="n">
        <v>2016</v>
      </c>
      <c r="B1765" s="3" t="n">
        <v>10</v>
      </c>
      <c r="C1765" s="3" t="n">
        <v>29</v>
      </c>
      <c r="D1765" s="3" t="s">
        <v>1769</v>
      </c>
      <c r="E1765" s="4" t="n">
        <v>3</v>
      </c>
    </row>
    <row r="1766" customFormat="false" ht="15" hidden="false" customHeight="false" outlineLevel="0" collapsed="false">
      <c r="A1766" s="3" t="n">
        <v>2016</v>
      </c>
      <c r="B1766" s="3" t="n">
        <v>10</v>
      </c>
      <c r="C1766" s="3" t="n">
        <v>30</v>
      </c>
      <c r="D1766" s="3" t="s">
        <v>1770</v>
      </c>
      <c r="E1766" s="4" t="n">
        <v>8</v>
      </c>
    </row>
    <row r="1767" customFormat="false" ht="15" hidden="false" customHeight="false" outlineLevel="0" collapsed="false">
      <c r="A1767" s="3" t="n">
        <v>2016</v>
      </c>
      <c r="B1767" s="3" t="n">
        <v>10</v>
      </c>
      <c r="C1767" s="3" t="n">
        <v>31</v>
      </c>
      <c r="D1767" s="3" t="s">
        <v>1771</v>
      </c>
      <c r="E1767" s="4" t="n">
        <v>0</v>
      </c>
    </row>
    <row r="1768" customFormat="false" ht="15" hidden="false" customHeight="false" outlineLevel="0" collapsed="false">
      <c r="A1768" s="3" t="n">
        <v>2016</v>
      </c>
      <c r="B1768" s="3" t="n">
        <v>11</v>
      </c>
      <c r="C1768" s="3" t="n">
        <v>1</v>
      </c>
      <c r="D1768" s="3" t="s">
        <v>1772</v>
      </c>
      <c r="E1768" s="4" t="n">
        <v>0</v>
      </c>
    </row>
    <row r="1769" customFormat="false" ht="15" hidden="false" customHeight="false" outlineLevel="0" collapsed="false">
      <c r="A1769" s="3" t="n">
        <v>2016</v>
      </c>
      <c r="B1769" s="3" t="n">
        <v>11</v>
      </c>
      <c r="C1769" s="3" t="n">
        <v>2</v>
      </c>
      <c r="D1769" s="3" t="s">
        <v>1773</v>
      </c>
      <c r="E1769" s="4" t="n">
        <v>23</v>
      </c>
    </row>
    <row r="1770" customFormat="false" ht="15" hidden="false" customHeight="false" outlineLevel="0" collapsed="false">
      <c r="A1770" s="3" t="n">
        <v>2016</v>
      </c>
      <c r="B1770" s="3" t="n">
        <v>11</v>
      </c>
      <c r="C1770" s="3" t="n">
        <v>3</v>
      </c>
      <c r="D1770" s="3" t="s">
        <v>1774</v>
      </c>
      <c r="E1770" s="4" t="n">
        <v>10</v>
      </c>
    </row>
    <row r="1771" customFormat="false" ht="15" hidden="false" customHeight="false" outlineLevel="0" collapsed="false">
      <c r="A1771" s="3" t="n">
        <v>2016</v>
      </c>
      <c r="B1771" s="3" t="n">
        <v>11</v>
      </c>
      <c r="C1771" s="3" t="n">
        <v>4</v>
      </c>
      <c r="D1771" s="3" t="s">
        <v>1775</v>
      </c>
      <c r="E1771" s="4" t="n">
        <v>0</v>
      </c>
    </row>
    <row r="1772" customFormat="false" ht="15" hidden="false" customHeight="false" outlineLevel="0" collapsed="false">
      <c r="A1772" s="3" t="n">
        <v>2016</v>
      </c>
      <c r="B1772" s="3" t="n">
        <v>11</v>
      </c>
      <c r="C1772" s="3" t="n">
        <v>5</v>
      </c>
      <c r="D1772" s="3" t="s">
        <v>1776</v>
      </c>
      <c r="E1772" s="4" t="n">
        <v>0</v>
      </c>
    </row>
    <row r="1773" customFormat="false" ht="15" hidden="false" customHeight="false" outlineLevel="0" collapsed="false">
      <c r="A1773" s="3" t="n">
        <v>2016</v>
      </c>
      <c r="B1773" s="3" t="n">
        <v>11</v>
      </c>
      <c r="C1773" s="3" t="n">
        <v>6</v>
      </c>
      <c r="D1773" s="3" t="s">
        <v>1777</v>
      </c>
      <c r="E1773" s="4" t="n">
        <v>42</v>
      </c>
    </row>
    <row r="1774" customFormat="false" ht="15" hidden="false" customHeight="false" outlineLevel="0" collapsed="false">
      <c r="A1774" s="3" t="n">
        <v>2016</v>
      </c>
      <c r="B1774" s="3" t="n">
        <v>11</v>
      </c>
      <c r="C1774" s="3" t="n">
        <v>7</v>
      </c>
      <c r="D1774" s="3" t="s">
        <v>1778</v>
      </c>
      <c r="E1774" s="4" t="n">
        <v>13</v>
      </c>
    </row>
    <row r="1775" customFormat="false" ht="15" hidden="false" customHeight="false" outlineLevel="0" collapsed="false">
      <c r="A1775" s="3" t="n">
        <v>2016</v>
      </c>
      <c r="B1775" s="3" t="n">
        <v>11</v>
      </c>
      <c r="C1775" s="3" t="n">
        <v>8</v>
      </c>
      <c r="D1775" s="3" t="s">
        <v>1779</v>
      </c>
      <c r="E1775" s="4" t="n">
        <v>0</v>
      </c>
    </row>
    <row r="1776" customFormat="false" ht="15" hidden="false" customHeight="false" outlineLevel="0" collapsed="false">
      <c r="A1776" s="3" t="n">
        <v>2016</v>
      </c>
      <c r="B1776" s="3" t="n">
        <v>11</v>
      </c>
      <c r="C1776" s="3" t="n">
        <v>9</v>
      </c>
      <c r="D1776" s="3" t="s">
        <v>1780</v>
      </c>
      <c r="E1776" s="4" t="n">
        <v>8</v>
      </c>
    </row>
    <row r="1777" customFormat="false" ht="15" hidden="false" customHeight="false" outlineLevel="0" collapsed="false">
      <c r="A1777" s="3" t="n">
        <v>2016</v>
      </c>
      <c r="B1777" s="3" t="n">
        <v>11</v>
      </c>
      <c r="C1777" s="3" t="n">
        <v>10</v>
      </c>
      <c r="D1777" s="3" t="s">
        <v>1781</v>
      </c>
      <c r="E1777" s="4" t="n">
        <v>6</v>
      </c>
    </row>
    <row r="1778" customFormat="false" ht="15" hidden="false" customHeight="false" outlineLevel="0" collapsed="false">
      <c r="A1778" s="3" t="n">
        <v>2016</v>
      </c>
      <c r="B1778" s="3" t="n">
        <v>11</v>
      </c>
      <c r="C1778" s="3" t="n">
        <v>11</v>
      </c>
      <c r="D1778" s="3" t="s">
        <v>1782</v>
      </c>
      <c r="E1778" s="4" t="n">
        <v>44</v>
      </c>
    </row>
    <row r="1779" customFormat="false" ht="15" hidden="false" customHeight="false" outlineLevel="0" collapsed="false">
      <c r="A1779" s="3" t="n">
        <v>2016</v>
      </c>
      <c r="B1779" s="3" t="n">
        <v>11</v>
      </c>
      <c r="C1779" s="3" t="n">
        <v>12</v>
      </c>
      <c r="D1779" s="3" t="s">
        <v>1783</v>
      </c>
      <c r="E1779" s="4" t="n">
        <v>1</v>
      </c>
    </row>
    <row r="1780" customFormat="false" ht="15" hidden="false" customHeight="false" outlineLevel="0" collapsed="false">
      <c r="A1780" s="3" t="n">
        <v>2016</v>
      </c>
      <c r="B1780" s="3" t="n">
        <v>11</v>
      </c>
      <c r="C1780" s="3" t="n">
        <v>13</v>
      </c>
      <c r="D1780" s="3" t="s">
        <v>1784</v>
      </c>
      <c r="E1780" s="4" t="n">
        <v>0</v>
      </c>
    </row>
    <row r="1781" customFormat="false" ht="15" hidden="false" customHeight="false" outlineLevel="0" collapsed="false">
      <c r="A1781" s="3" t="n">
        <v>2016</v>
      </c>
      <c r="B1781" s="3" t="n">
        <v>11</v>
      </c>
      <c r="C1781" s="3" t="n">
        <v>14</v>
      </c>
      <c r="D1781" s="3" t="s">
        <v>1785</v>
      </c>
      <c r="E1781" s="4" t="n">
        <v>0</v>
      </c>
    </row>
    <row r="1782" customFormat="false" ht="15" hidden="false" customHeight="false" outlineLevel="0" collapsed="false">
      <c r="A1782" s="3" t="n">
        <v>2016</v>
      </c>
      <c r="B1782" s="3" t="n">
        <v>11</v>
      </c>
      <c r="C1782" s="3" t="n">
        <v>15</v>
      </c>
      <c r="D1782" s="3" t="s">
        <v>1786</v>
      </c>
      <c r="E1782" s="4" t="n">
        <v>14</v>
      </c>
    </row>
    <row r="1783" customFormat="false" ht="15" hidden="false" customHeight="false" outlineLevel="0" collapsed="false">
      <c r="A1783" s="3" t="n">
        <v>2016</v>
      </c>
      <c r="B1783" s="3" t="n">
        <v>11</v>
      </c>
      <c r="C1783" s="3" t="n">
        <v>16</v>
      </c>
      <c r="D1783" s="3" t="s">
        <v>1787</v>
      </c>
      <c r="E1783" s="4" t="n">
        <v>0</v>
      </c>
    </row>
    <row r="1784" customFormat="false" ht="15" hidden="false" customHeight="false" outlineLevel="0" collapsed="false">
      <c r="A1784" s="3" t="n">
        <v>2016</v>
      </c>
      <c r="B1784" s="3" t="n">
        <v>11</v>
      </c>
      <c r="C1784" s="3" t="n">
        <v>17</v>
      </c>
      <c r="D1784" s="3" t="s">
        <v>1788</v>
      </c>
      <c r="E1784" s="4" t="n">
        <v>0</v>
      </c>
    </row>
    <row r="1785" customFormat="false" ht="15" hidden="false" customHeight="false" outlineLevel="0" collapsed="false">
      <c r="A1785" s="3" t="n">
        <v>2016</v>
      </c>
      <c r="B1785" s="3" t="n">
        <v>11</v>
      </c>
      <c r="C1785" s="3" t="n">
        <v>18</v>
      </c>
      <c r="D1785" s="3" t="s">
        <v>1789</v>
      </c>
      <c r="E1785" s="4" t="n">
        <v>16</v>
      </c>
    </row>
    <row r="1786" customFormat="false" ht="15" hidden="false" customHeight="false" outlineLevel="0" collapsed="false">
      <c r="A1786" s="3" t="n">
        <v>2016</v>
      </c>
      <c r="B1786" s="3" t="n">
        <v>11</v>
      </c>
      <c r="C1786" s="3" t="n">
        <v>19</v>
      </c>
      <c r="D1786" s="3" t="s">
        <v>1790</v>
      </c>
      <c r="E1786" s="4" t="n">
        <v>10</v>
      </c>
    </row>
    <row r="1787" customFormat="false" ht="15" hidden="false" customHeight="false" outlineLevel="0" collapsed="false">
      <c r="A1787" s="3" t="n">
        <v>2016</v>
      </c>
      <c r="B1787" s="3" t="n">
        <v>11</v>
      </c>
      <c r="C1787" s="3" t="n">
        <v>20</v>
      </c>
      <c r="D1787" s="3" t="s">
        <v>1791</v>
      </c>
      <c r="E1787" s="4" t="n">
        <v>0</v>
      </c>
    </row>
    <row r="1788" customFormat="false" ht="15" hidden="false" customHeight="false" outlineLevel="0" collapsed="false">
      <c r="A1788" s="3" t="n">
        <v>2016</v>
      </c>
      <c r="B1788" s="3" t="n">
        <v>11</v>
      </c>
      <c r="C1788" s="3" t="n">
        <v>21</v>
      </c>
      <c r="D1788" s="3" t="s">
        <v>1792</v>
      </c>
      <c r="E1788" s="4" t="n">
        <v>0</v>
      </c>
    </row>
    <row r="1789" customFormat="false" ht="15" hidden="false" customHeight="false" outlineLevel="0" collapsed="false">
      <c r="A1789" s="3" t="n">
        <v>2016</v>
      </c>
      <c r="B1789" s="3" t="n">
        <v>11</v>
      </c>
      <c r="C1789" s="3" t="n">
        <v>22</v>
      </c>
      <c r="D1789" s="3" t="s">
        <v>1793</v>
      </c>
      <c r="E1789" s="4" t="n">
        <v>35</v>
      </c>
    </row>
    <row r="1790" customFormat="false" ht="15" hidden="false" customHeight="false" outlineLevel="0" collapsed="false">
      <c r="A1790" s="3" t="n">
        <v>2016</v>
      </c>
      <c r="B1790" s="3" t="n">
        <v>11</v>
      </c>
      <c r="C1790" s="3" t="n">
        <v>23</v>
      </c>
      <c r="D1790" s="3" t="s">
        <v>1794</v>
      </c>
      <c r="E1790" s="4" t="n">
        <v>0</v>
      </c>
    </row>
    <row r="1791" customFormat="false" ht="15" hidden="false" customHeight="false" outlineLevel="0" collapsed="false">
      <c r="A1791" s="3" t="n">
        <v>2016</v>
      </c>
      <c r="B1791" s="3" t="n">
        <v>11</v>
      </c>
      <c r="C1791" s="3" t="n">
        <v>24</v>
      </c>
      <c r="D1791" s="3" t="s">
        <v>1795</v>
      </c>
      <c r="E1791" s="4" t="n">
        <v>0</v>
      </c>
    </row>
    <row r="1792" customFormat="false" ht="15" hidden="false" customHeight="false" outlineLevel="0" collapsed="false">
      <c r="A1792" s="3" t="n">
        <v>2016</v>
      </c>
      <c r="B1792" s="3" t="n">
        <v>11</v>
      </c>
      <c r="C1792" s="3" t="n">
        <v>25</v>
      </c>
      <c r="D1792" s="3" t="s">
        <v>1796</v>
      </c>
      <c r="E1792" s="4" t="n">
        <v>0</v>
      </c>
    </row>
    <row r="1793" customFormat="false" ht="15" hidden="false" customHeight="false" outlineLevel="0" collapsed="false">
      <c r="A1793" s="3" t="n">
        <v>2016</v>
      </c>
      <c r="B1793" s="3" t="n">
        <v>11</v>
      </c>
      <c r="C1793" s="3" t="n">
        <v>26</v>
      </c>
      <c r="D1793" s="3" t="s">
        <v>1797</v>
      </c>
      <c r="E1793" s="4" t="n">
        <v>0</v>
      </c>
    </row>
    <row r="1794" customFormat="false" ht="15" hidden="false" customHeight="false" outlineLevel="0" collapsed="false">
      <c r="A1794" s="3" t="n">
        <v>2016</v>
      </c>
      <c r="B1794" s="3" t="n">
        <v>11</v>
      </c>
      <c r="C1794" s="3" t="n">
        <v>27</v>
      </c>
      <c r="D1794" s="3" t="s">
        <v>1798</v>
      </c>
      <c r="E1794" s="4" t="n">
        <v>0</v>
      </c>
    </row>
    <row r="1795" customFormat="false" ht="15" hidden="false" customHeight="false" outlineLevel="0" collapsed="false">
      <c r="A1795" s="3" t="n">
        <v>2016</v>
      </c>
      <c r="B1795" s="3" t="n">
        <v>11</v>
      </c>
      <c r="C1795" s="3" t="n">
        <v>28</v>
      </c>
      <c r="D1795" s="3" t="s">
        <v>1799</v>
      </c>
      <c r="E1795" s="4" t="n">
        <v>2</v>
      </c>
    </row>
    <row r="1796" customFormat="false" ht="15" hidden="false" customHeight="false" outlineLevel="0" collapsed="false">
      <c r="A1796" s="3" t="n">
        <v>2016</v>
      </c>
      <c r="B1796" s="3" t="n">
        <v>11</v>
      </c>
      <c r="C1796" s="3" t="n">
        <v>29</v>
      </c>
      <c r="D1796" s="3" t="s">
        <v>1800</v>
      </c>
      <c r="E1796" s="4" t="n">
        <v>0</v>
      </c>
    </row>
    <row r="1797" customFormat="false" ht="15" hidden="false" customHeight="false" outlineLevel="0" collapsed="false">
      <c r="A1797" s="3" t="n">
        <v>2016</v>
      </c>
      <c r="B1797" s="3" t="n">
        <v>11</v>
      </c>
      <c r="C1797" s="3" t="n">
        <v>30</v>
      </c>
      <c r="D1797" s="3" t="s">
        <v>1801</v>
      </c>
      <c r="E1797" s="4" t="n">
        <v>32</v>
      </c>
    </row>
    <row r="1798" customFormat="false" ht="15" hidden="false" customHeight="false" outlineLevel="0" collapsed="false">
      <c r="A1798" s="3" t="n">
        <v>2016</v>
      </c>
      <c r="B1798" s="3" t="n">
        <v>12</v>
      </c>
      <c r="C1798" s="3" t="n">
        <v>1</v>
      </c>
      <c r="D1798" s="3" t="s">
        <v>1802</v>
      </c>
      <c r="E1798" s="4" t="n">
        <v>32</v>
      </c>
    </row>
    <row r="1799" customFormat="false" ht="15" hidden="false" customHeight="false" outlineLevel="0" collapsed="false">
      <c r="A1799" s="3" t="n">
        <v>2016</v>
      </c>
      <c r="B1799" s="3" t="n">
        <v>12</v>
      </c>
      <c r="C1799" s="3" t="n">
        <v>2</v>
      </c>
      <c r="D1799" s="3" t="s">
        <v>1803</v>
      </c>
      <c r="E1799" s="4" t="n">
        <v>52</v>
      </c>
    </row>
    <row r="1800" customFormat="false" ht="15" hidden="false" customHeight="false" outlineLevel="0" collapsed="false">
      <c r="A1800" s="3" t="n">
        <v>2016</v>
      </c>
      <c r="B1800" s="3" t="n">
        <v>12</v>
      </c>
      <c r="C1800" s="3" t="n">
        <v>3</v>
      </c>
      <c r="D1800" s="3" t="s">
        <v>1804</v>
      </c>
      <c r="E1800" s="4" t="n">
        <v>0</v>
      </c>
    </row>
    <row r="1801" customFormat="false" ht="15" hidden="false" customHeight="false" outlineLevel="0" collapsed="false">
      <c r="A1801" s="3" t="n">
        <v>2016</v>
      </c>
      <c r="B1801" s="3" t="n">
        <v>12</v>
      </c>
      <c r="C1801" s="3" t="n">
        <v>4</v>
      </c>
      <c r="D1801" s="3" t="s">
        <v>1805</v>
      </c>
      <c r="E1801" s="4" t="n">
        <v>0</v>
      </c>
    </row>
    <row r="1802" customFormat="false" ht="15" hidden="false" customHeight="false" outlineLevel="0" collapsed="false">
      <c r="A1802" s="3" t="n">
        <v>2016</v>
      </c>
      <c r="B1802" s="3" t="n">
        <v>12</v>
      </c>
      <c r="C1802" s="3" t="n">
        <v>5</v>
      </c>
      <c r="D1802" s="3" t="s">
        <v>1806</v>
      </c>
      <c r="E1802" s="4" t="n">
        <v>33</v>
      </c>
    </row>
    <row r="1803" customFormat="false" ht="15" hidden="false" customHeight="false" outlineLevel="0" collapsed="false">
      <c r="A1803" s="3" t="n">
        <v>2016</v>
      </c>
      <c r="B1803" s="3" t="n">
        <v>12</v>
      </c>
      <c r="C1803" s="3" t="n">
        <v>6</v>
      </c>
      <c r="D1803" s="3" t="s">
        <v>1807</v>
      </c>
      <c r="E1803" s="4" t="n">
        <v>0</v>
      </c>
    </row>
    <row r="1804" customFormat="false" ht="15" hidden="false" customHeight="false" outlineLevel="0" collapsed="false">
      <c r="A1804" s="3" t="n">
        <v>2016</v>
      </c>
      <c r="B1804" s="3" t="n">
        <v>12</v>
      </c>
      <c r="C1804" s="3" t="n">
        <v>7</v>
      </c>
      <c r="D1804" s="3" t="s">
        <v>1808</v>
      </c>
      <c r="E1804" s="4" t="n">
        <v>0</v>
      </c>
    </row>
    <row r="1805" customFormat="false" ht="15" hidden="false" customHeight="false" outlineLevel="0" collapsed="false">
      <c r="A1805" s="3" t="n">
        <v>2016</v>
      </c>
      <c r="B1805" s="3" t="n">
        <v>12</v>
      </c>
      <c r="C1805" s="3" t="n">
        <v>8</v>
      </c>
      <c r="D1805" s="3" t="s">
        <v>1809</v>
      </c>
      <c r="E1805" s="4" t="n">
        <v>4</v>
      </c>
    </row>
    <row r="1806" customFormat="false" ht="15" hidden="false" customHeight="false" outlineLevel="0" collapsed="false">
      <c r="A1806" s="3" t="n">
        <v>2016</v>
      </c>
      <c r="B1806" s="3" t="n">
        <v>12</v>
      </c>
      <c r="C1806" s="3" t="n">
        <v>9</v>
      </c>
      <c r="D1806" s="3" t="s">
        <v>1810</v>
      </c>
      <c r="E1806" s="4" t="n">
        <v>6</v>
      </c>
    </row>
    <row r="1807" customFormat="false" ht="15" hidden="false" customHeight="false" outlineLevel="0" collapsed="false">
      <c r="A1807" s="3" t="n">
        <v>2016</v>
      </c>
      <c r="B1807" s="3" t="n">
        <v>12</v>
      </c>
      <c r="C1807" s="3" t="n">
        <v>10</v>
      </c>
      <c r="D1807" s="3" t="s">
        <v>1811</v>
      </c>
      <c r="E1807" s="4" t="n">
        <v>30</v>
      </c>
    </row>
    <row r="1808" customFormat="false" ht="15" hidden="false" customHeight="false" outlineLevel="0" collapsed="false">
      <c r="A1808" s="3" t="n">
        <v>2016</v>
      </c>
      <c r="B1808" s="3" t="n">
        <v>12</v>
      </c>
      <c r="C1808" s="3" t="n">
        <v>11</v>
      </c>
      <c r="D1808" s="3" t="s">
        <v>1812</v>
      </c>
      <c r="E1808" s="4" t="n">
        <v>31</v>
      </c>
    </row>
    <row r="1809" customFormat="false" ht="15" hidden="false" customHeight="false" outlineLevel="0" collapsed="false">
      <c r="A1809" s="3" t="n">
        <v>2016</v>
      </c>
      <c r="B1809" s="3" t="n">
        <v>12</v>
      </c>
      <c r="C1809" s="3" t="n">
        <v>12</v>
      </c>
      <c r="D1809" s="3" t="s">
        <v>1813</v>
      </c>
      <c r="E1809" s="4" t="n">
        <v>0</v>
      </c>
    </row>
    <row r="1810" customFormat="false" ht="15" hidden="false" customHeight="false" outlineLevel="0" collapsed="false">
      <c r="A1810" s="3" t="n">
        <v>2016</v>
      </c>
      <c r="B1810" s="3" t="n">
        <v>12</v>
      </c>
      <c r="C1810" s="3" t="n">
        <v>13</v>
      </c>
      <c r="D1810" s="3" t="s">
        <v>1814</v>
      </c>
      <c r="E1810" s="4" t="n">
        <v>0</v>
      </c>
    </row>
    <row r="1811" customFormat="false" ht="15" hidden="false" customHeight="false" outlineLevel="0" collapsed="false">
      <c r="A1811" s="3" t="n">
        <v>2016</v>
      </c>
      <c r="B1811" s="3" t="n">
        <v>12</v>
      </c>
      <c r="C1811" s="3" t="n">
        <v>14</v>
      </c>
      <c r="D1811" s="3" t="s">
        <v>1815</v>
      </c>
      <c r="E1811" s="4" t="n">
        <v>0</v>
      </c>
    </row>
    <row r="1812" customFormat="false" ht="15" hidden="false" customHeight="false" outlineLevel="0" collapsed="false">
      <c r="A1812" s="3" t="n">
        <v>2016</v>
      </c>
      <c r="B1812" s="3" t="n">
        <v>12</v>
      </c>
      <c r="C1812" s="3" t="n">
        <v>15</v>
      </c>
      <c r="D1812" s="3" t="s">
        <v>1816</v>
      </c>
      <c r="E1812" s="4" t="n">
        <v>0</v>
      </c>
    </row>
    <row r="1813" customFormat="false" ht="15" hidden="false" customHeight="false" outlineLevel="0" collapsed="false">
      <c r="A1813" s="3" t="n">
        <v>2016</v>
      </c>
      <c r="B1813" s="3" t="n">
        <v>12</v>
      </c>
      <c r="C1813" s="3" t="n">
        <v>16</v>
      </c>
      <c r="D1813" s="3" t="s">
        <v>1817</v>
      </c>
      <c r="E1813" s="4" t="n">
        <v>0</v>
      </c>
    </row>
    <row r="1814" customFormat="false" ht="15" hidden="false" customHeight="false" outlineLevel="0" collapsed="false">
      <c r="A1814" s="3" t="n">
        <v>2016</v>
      </c>
      <c r="B1814" s="3" t="n">
        <v>12</v>
      </c>
      <c r="C1814" s="3" t="n">
        <v>17</v>
      </c>
      <c r="D1814" s="3" t="s">
        <v>1818</v>
      </c>
      <c r="E1814" s="4" t="n">
        <v>0</v>
      </c>
    </row>
    <row r="1815" customFormat="false" ht="15" hidden="false" customHeight="false" outlineLevel="0" collapsed="false">
      <c r="A1815" s="3" t="n">
        <v>2016</v>
      </c>
      <c r="B1815" s="3" t="n">
        <v>12</v>
      </c>
      <c r="C1815" s="3" t="n">
        <v>18</v>
      </c>
      <c r="D1815" s="3" t="s">
        <v>1819</v>
      </c>
      <c r="E1815" s="4" t="n">
        <v>0</v>
      </c>
    </row>
    <row r="1816" customFormat="false" ht="15" hidden="false" customHeight="false" outlineLevel="0" collapsed="false">
      <c r="A1816" s="3" t="n">
        <v>2016</v>
      </c>
      <c r="B1816" s="3" t="n">
        <v>12</v>
      </c>
      <c r="C1816" s="3" t="n">
        <v>19</v>
      </c>
      <c r="D1816" s="3" t="s">
        <v>1820</v>
      </c>
      <c r="E1816" s="4" t="n">
        <v>0</v>
      </c>
    </row>
    <row r="1817" customFormat="false" ht="15" hidden="false" customHeight="false" outlineLevel="0" collapsed="false">
      <c r="A1817" s="3" t="n">
        <v>2016</v>
      </c>
      <c r="B1817" s="3" t="n">
        <v>12</v>
      </c>
      <c r="C1817" s="3" t="n">
        <v>20</v>
      </c>
      <c r="D1817" s="3" t="s">
        <v>1821</v>
      </c>
      <c r="E1817" s="4" t="n">
        <v>24</v>
      </c>
    </row>
    <row r="1818" customFormat="false" ht="15" hidden="false" customHeight="false" outlineLevel="0" collapsed="false">
      <c r="A1818" s="3" t="n">
        <v>2016</v>
      </c>
      <c r="B1818" s="3" t="n">
        <v>12</v>
      </c>
      <c r="C1818" s="3" t="n">
        <v>21</v>
      </c>
      <c r="D1818" s="3" t="s">
        <v>1822</v>
      </c>
      <c r="E1818" s="4" t="n">
        <v>0</v>
      </c>
    </row>
    <row r="1819" customFormat="false" ht="15" hidden="false" customHeight="false" outlineLevel="0" collapsed="false">
      <c r="A1819" s="3" t="n">
        <v>2016</v>
      </c>
      <c r="B1819" s="3" t="n">
        <v>12</v>
      </c>
      <c r="C1819" s="3" t="n">
        <v>22</v>
      </c>
      <c r="D1819" s="3" t="s">
        <v>1823</v>
      </c>
      <c r="E1819" s="4" t="n">
        <v>0</v>
      </c>
    </row>
    <row r="1820" customFormat="false" ht="15" hidden="false" customHeight="false" outlineLevel="0" collapsed="false">
      <c r="A1820" s="3" t="n">
        <v>2016</v>
      </c>
      <c r="B1820" s="3" t="n">
        <v>12</v>
      </c>
      <c r="C1820" s="3" t="n">
        <v>23</v>
      </c>
      <c r="D1820" s="3" t="s">
        <v>1824</v>
      </c>
      <c r="E1820" s="4" t="n">
        <v>5</v>
      </c>
    </row>
    <row r="1821" customFormat="false" ht="15" hidden="false" customHeight="false" outlineLevel="0" collapsed="false">
      <c r="A1821" s="3" t="n">
        <v>2016</v>
      </c>
      <c r="B1821" s="3" t="n">
        <v>12</v>
      </c>
      <c r="C1821" s="3" t="n">
        <v>24</v>
      </c>
      <c r="D1821" s="3" t="s">
        <v>1825</v>
      </c>
      <c r="E1821" s="4" t="n">
        <v>0</v>
      </c>
    </row>
    <row r="1822" customFormat="false" ht="15" hidden="false" customHeight="false" outlineLevel="0" collapsed="false">
      <c r="A1822" s="3" t="n">
        <v>2016</v>
      </c>
      <c r="B1822" s="3" t="n">
        <v>12</v>
      </c>
      <c r="C1822" s="3" t="n">
        <v>25</v>
      </c>
      <c r="D1822" s="3" t="s">
        <v>1826</v>
      </c>
      <c r="E1822" s="4" t="n">
        <v>18</v>
      </c>
    </row>
    <row r="1823" customFormat="false" ht="15" hidden="false" customHeight="false" outlineLevel="0" collapsed="false">
      <c r="A1823" s="3" t="n">
        <v>2016</v>
      </c>
      <c r="B1823" s="3" t="n">
        <v>12</v>
      </c>
      <c r="C1823" s="3" t="n">
        <v>26</v>
      </c>
      <c r="D1823" s="3" t="s">
        <v>1827</v>
      </c>
      <c r="E1823" s="4" t="n">
        <v>26</v>
      </c>
    </row>
    <row r="1824" customFormat="false" ht="15" hidden="false" customHeight="false" outlineLevel="0" collapsed="false">
      <c r="A1824" s="3" t="n">
        <v>2016</v>
      </c>
      <c r="B1824" s="3" t="n">
        <v>12</v>
      </c>
      <c r="C1824" s="3" t="n">
        <v>27</v>
      </c>
      <c r="D1824" s="3" t="s">
        <v>1828</v>
      </c>
      <c r="E1824" s="4" t="n">
        <v>3</v>
      </c>
    </row>
    <row r="1825" customFormat="false" ht="15" hidden="false" customHeight="false" outlineLevel="0" collapsed="false">
      <c r="A1825" s="3" t="n">
        <v>2016</v>
      </c>
      <c r="B1825" s="3" t="n">
        <v>12</v>
      </c>
      <c r="C1825" s="3" t="n">
        <v>28</v>
      </c>
      <c r="D1825" s="3" t="s">
        <v>1829</v>
      </c>
      <c r="E1825" s="4" t="n">
        <v>24</v>
      </c>
    </row>
    <row r="1826" customFormat="false" ht="15" hidden="false" customHeight="false" outlineLevel="0" collapsed="false">
      <c r="A1826" s="3" t="n">
        <v>2016</v>
      </c>
      <c r="B1826" s="3" t="n">
        <v>12</v>
      </c>
      <c r="C1826" s="3" t="n">
        <v>29</v>
      </c>
      <c r="D1826" s="3" t="s">
        <v>1830</v>
      </c>
      <c r="E1826" s="4" t="n">
        <v>17</v>
      </c>
    </row>
    <row r="1827" customFormat="false" ht="15" hidden="false" customHeight="false" outlineLevel="0" collapsed="false">
      <c r="A1827" s="3" t="n">
        <v>2016</v>
      </c>
      <c r="B1827" s="3" t="n">
        <v>12</v>
      </c>
      <c r="C1827" s="3" t="n">
        <v>30</v>
      </c>
      <c r="D1827" s="3" t="s">
        <v>1831</v>
      </c>
      <c r="E1827" s="4" t="n">
        <v>0</v>
      </c>
    </row>
    <row r="1828" customFormat="false" ht="15" hidden="false" customHeight="false" outlineLevel="0" collapsed="false">
      <c r="A1828" s="3" t="n">
        <v>2016</v>
      </c>
      <c r="B1828" s="3" t="n">
        <v>12</v>
      </c>
      <c r="C1828" s="3" t="n">
        <v>31</v>
      </c>
      <c r="D1828" s="3" t="s">
        <v>1832</v>
      </c>
      <c r="E1828" s="4" t="n">
        <v>0</v>
      </c>
    </row>
    <row r="1829" customFormat="false" ht="15" hidden="false" customHeight="false" outlineLevel="0" collapsed="false">
      <c r="A1829" s="3" t="n">
        <v>2017</v>
      </c>
      <c r="B1829" s="3" t="n">
        <v>1</v>
      </c>
      <c r="C1829" s="3" t="n">
        <v>1</v>
      </c>
      <c r="D1829" s="3" t="s">
        <v>1833</v>
      </c>
      <c r="E1829" s="4" t="n">
        <v>8</v>
      </c>
    </row>
    <row r="1830" customFormat="false" ht="15" hidden="false" customHeight="false" outlineLevel="0" collapsed="false">
      <c r="A1830" s="3" t="n">
        <v>2017</v>
      </c>
      <c r="B1830" s="3" t="n">
        <v>1</v>
      </c>
      <c r="C1830" s="3" t="n">
        <v>2</v>
      </c>
      <c r="D1830" s="3" t="s">
        <v>1834</v>
      </c>
      <c r="E1830" s="4" t="n">
        <v>0</v>
      </c>
    </row>
    <row r="1831" customFormat="false" ht="15" hidden="false" customHeight="false" outlineLevel="0" collapsed="false">
      <c r="A1831" s="3" t="n">
        <v>2017</v>
      </c>
      <c r="B1831" s="3" t="n">
        <v>1</v>
      </c>
      <c r="C1831" s="3" t="n">
        <v>3</v>
      </c>
      <c r="D1831" s="3" t="s">
        <v>1835</v>
      </c>
      <c r="E1831" s="4" t="n">
        <v>0</v>
      </c>
    </row>
    <row r="1832" customFormat="false" ht="15" hidden="false" customHeight="false" outlineLevel="0" collapsed="false">
      <c r="A1832" s="3" t="n">
        <v>2017</v>
      </c>
      <c r="B1832" s="3" t="n">
        <v>1</v>
      </c>
      <c r="C1832" s="3" t="n">
        <v>4</v>
      </c>
      <c r="D1832" s="3" t="s">
        <v>1836</v>
      </c>
      <c r="E1832" s="4" t="n">
        <v>0</v>
      </c>
    </row>
    <row r="1833" customFormat="false" ht="15" hidden="false" customHeight="false" outlineLevel="0" collapsed="false">
      <c r="A1833" s="3" t="n">
        <v>2017</v>
      </c>
      <c r="B1833" s="3" t="n">
        <v>1</v>
      </c>
      <c r="C1833" s="3" t="n">
        <v>5</v>
      </c>
      <c r="D1833" s="3" t="s">
        <v>1837</v>
      </c>
      <c r="E1833" s="4" t="n">
        <v>0</v>
      </c>
    </row>
    <row r="1834" customFormat="false" ht="15" hidden="false" customHeight="false" outlineLevel="0" collapsed="false">
      <c r="A1834" s="3" t="n">
        <v>2017</v>
      </c>
      <c r="B1834" s="3" t="n">
        <v>1</v>
      </c>
      <c r="C1834" s="3" t="n">
        <v>6</v>
      </c>
      <c r="D1834" s="3" t="s">
        <v>1838</v>
      </c>
      <c r="E1834" s="4" t="n">
        <v>0</v>
      </c>
    </row>
    <row r="1835" customFormat="false" ht="15" hidden="false" customHeight="false" outlineLevel="0" collapsed="false">
      <c r="A1835" s="3" t="n">
        <v>2017</v>
      </c>
      <c r="B1835" s="3" t="n">
        <v>1</v>
      </c>
      <c r="C1835" s="3" t="n">
        <v>7</v>
      </c>
      <c r="D1835" s="3" t="s">
        <v>1839</v>
      </c>
      <c r="E1835" s="4" t="n">
        <v>0</v>
      </c>
    </row>
    <row r="1836" customFormat="false" ht="15" hidden="false" customHeight="false" outlineLevel="0" collapsed="false">
      <c r="A1836" s="3" t="n">
        <v>2017</v>
      </c>
      <c r="B1836" s="3" t="n">
        <v>1</v>
      </c>
      <c r="C1836" s="3" t="n">
        <v>8</v>
      </c>
      <c r="D1836" s="3" t="s">
        <v>1840</v>
      </c>
      <c r="E1836" s="4" t="n">
        <v>0</v>
      </c>
    </row>
    <row r="1837" customFormat="false" ht="15" hidden="false" customHeight="false" outlineLevel="0" collapsed="false">
      <c r="A1837" s="3" t="n">
        <v>2017</v>
      </c>
      <c r="B1837" s="3" t="n">
        <v>1</v>
      </c>
      <c r="C1837" s="3" t="n">
        <v>9</v>
      </c>
      <c r="D1837" s="3" t="s">
        <v>1841</v>
      </c>
      <c r="E1837" s="4" t="n">
        <v>0</v>
      </c>
    </row>
    <row r="1838" customFormat="false" ht="15" hidden="false" customHeight="false" outlineLevel="0" collapsed="false">
      <c r="A1838" s="3" t="n">
        <v>2017</v>
      </c>
      <c r="B1838" s="3" t="n">
        <v>1</v>
      </c>
      <c r="C1838" s="3" t="n">
        <v>10</v>
      </c>
      <c r="D1838" s="3" t="s">
        <v>1842</v>
      </c>
      <c r="E1838" s="4" t="n">
        <v>0</v>
      </c>
    </row>
    <row r="1839" customFormat="false" ht="15" hidden="false" customHeight="false" outlineLevel="0" collapsed="false">
      <c r="A1839" s="3" t="n">
        <v>2017</v>
      </c>
      <c r="B1839" s="3" t="n">
        <v>1</v>
      </c>
      <c r="C1839" s="3" t="n">
        <v>11</v>
      </c>
      <c r="D1839" s="3" t="s">
        <v>1843</v>
      </c>
      <c r="E1839" s="4" t="n">
        <v>0</v>
      </c>
    </row>
    <row r="1840" customFormat="false" ht="15" hidden="false" customHeight="false" outlineLevel="0" collapsed="false">
      <c r="A1840" s="3" t="n">
        <v>2017</v>
      </c>
      <c r="B1840" s="3" t="n">
        <v>1</v>
      </c>
      <c r="C1840" s="3" t="n">
        <v>12</v>
      </c>
      <c r="D1840" s="3" t="s">
        <v>1844</v>
      </c>
      <c r="E1840" s="4" t="n">
        <v>0</v>
      </c>
    </row>
    <row r="1841" customFormat="false" ht="15" hidden="false" customHeight="false" outlineLevel="0" collapsed="false">
      <c r="A1841" s="3" t="n">
        <v>2017</v>
      </c>
      <c r="B1841" s="3" t="n">
        <v>1</v>
      </c>
      <c r="C1841" s="3" t="n">
        <v>13</v>
      </c>
      <c r="D1841" s="3" t="s">
        <v>1845</v>
      </c>
      <c r="E1841" s="4" t="n">
        <v>13</v>
      </c>
    </row>
    <row r="1842" customFormat="false" ht="15" hidden="false" customHeight="false" outlineLevel="0" collapsed="false">
      <c r="A1842" s="3" t="n">
        <v>2017</v>
      </c>
      <c r="B1842" s="3" t="n">
        <v>1</v>
      </c>
      <c r="C1842" s="3" t="n">
        <v>14</v>
      </c>
      <c r="D1842" s="3" t="s">
        <v>1846</v>
      </c>
      <c r="E1842" s="4" t="n">
        <v>2</v>
      </c>
    </row>
    <row r="1843" customFormat="false" ht="15" hidden="false" customHeight="false" outlineLevel="0" collapsed="false">
      <c r="A1843" s="3" t="n">
        <v>2017</v>
      </c>
      <c r="B1843" s="3" t="n">
        <v>1</v>
      </c>
      <c r="C1843" s="3" t="n">
        <v>15</v>
      </c>
      <c r="D1843" s="3" t="s">
        <v>1847</v>
      </c>
      <c r="E1843" s="4" t="n">
        <v>0</v>
      </c>
    </row>
    <row r="1844" customFormat="false" ht="15" hidden="false" customHeight="false" outlineLevel="0" collapsed="false">
      <c r="A1844" s="3" t="n">
        <v>2017</v>
      </c>
      <c r="B1844" s="3" t="n">
        <v>1</v>
      </c>
      <c r="C1844" s="3" t="n">
        <v>16</v>
      </c>
      <c r="D1844" s="3" t="s">
        <v>1848</v>
      </c>
      <c r="E1844" s="4" t="n">
        <v>0</v>
      </c>
    </row>
    <row r="1845" customFormat="false" ht="15" hidden="false" customHeight="false" outlineLevel="0" collapsed="false">
      <c r="A1845" s="3" t="n">
        <v>2017</v>
      </c>
      <c r="B1845" s="3" t="n">
        <v>1</v>
      </c>
      <c r="C1845" s="3" t="n">
        <v>17</v>
      </c>
      <c r="D1845" s="3" t="s">
        <v>1849</v>
      </c>
      <c r="E1845" s="4" t="n">
        <v>0</v>
      </c>
    </row>
    <row r="1846" customFormat="false" ht="15" hidden="false" customHeight="false" outlineLevel="0" collapsed="false">
      <c r="A1846" s="3" t="n">
        <v>2017</v>
      </c>
      <c r="B1846" s="3" t="n">
        <v>1</v>
      </c>
      <c r="C1846" s="3" t="n">
        <v>18</v>
      </c>
      <c r="D1846" s="3" t="s">
        <v>1850</v>
      </c>
      <c r="E1846" s="4" t="n">
        <v>0</v>
      </c>
    </row>
    <row r="1847" customFormat="false" ht="15" hidden="false" customHeight="false" outlineLevel="0" collapsed="false">
      <c r="A1847" s="3" t="n">
        <v>2017</v>
      </c>
      <c r="B1847" s="3" t="n">
        <v>1</v>
      </c>
      <c r="C1847" s="3" t="n">
        <v>19</v>
      </c>
      <c r="D1847" s="3" t="s">
        <v>1851</v>
      </c>
      <c r="E1847" s="4" t="n">
        <v>0</v>
      </c>
    </row>
    <row r="1848" customFormat="false" ht="15" hidden="false" customHeight="false" outlineLevel="0" collapsed="false">
      <c r="A1848" s="3" t="n">
        <v>2017</v>
      </c>
      <c r="B1848" s="3" t="n">
        <v>1</v>
      </c>
      <c r="C1848" s="3" t="n">
        <v>20</v>
      </c>
      <c r="D1848" s="3" t="s">
        <v>1852</v>
      </c>
      <c r="E1848" s="4" t="n">
        <v>0</v>
      </c>
    </row>
    <row r="1849" customFormat="false" ht="15" hidden="false" customHeight="false" outlineLevel="0" collapsed="false">
      <c r="A1849" s="3" t="n">
        <v>2017</v>
      </c>
      <c r="B1849" s="3" t="n">
        <v>1</v>
      </c>
      <c r="C1849" s="3" t="n">
        <v>21</v>
      </c>
      <c r="D1849" s="3" t="s">
        <v>1853</v>
      </c>
      <c r="E1849" s="4" t="n">
        <v>10</v>
      </c>
    </row>
    <row r="1850" customFormat="false" ht="15" hidden="false" customHeight="false" outlineLevel="0" collapsed="false">
      <c r="A1850" s="3" t="n">
        <v>2017</v>
      </c>
      <c r="B1850" s="3" t="n">
        <v>1</v>
      </c>
      <c r="C1850" s="3" t="n">
        <v>22</v>
      </c>
      <c r="D1850" s="3" t="s">
        <v>1854</v>
      </c>
      <c r="E1850" s="4" t="n">
        <v>1</v>
      </c>
    </row>
    <row r="1851" customFormat="false" ht="15" hidden="false" customHeight="false" outlineLevel="0" collapsed="false">
      <c r="A1851" s="3" t="n">
        <v>2017</v>
      </c>
      <c r="B1851" s="3" t="n">
        <v>1</v>
      </c>
      <c r="C1851" s="3" t="n">
        <v>23</v>
      </c>
      <c r="D1851" s="3" t="s">
        <v>1855</v>
      </c>
      <c r="E1851" s="4" t="n">
        <v>0</v>
      </c>
    </row>
    <row r="1852" customFormat="false" ht="15" hidden="false" customHeight="false" outlineLevel="0" collapsed="false">
      <c r="A1852" s="3" t="n">
        <v>2017</v>
      </c>
      <c r="B1852" s="3" t="n">
        <v>1</v>
      </c>
      <c r="C1852" s="3" t="n">
        <v>24</v>
      </c>
      <c r="D1852" s="3" t="s">
        <v>1856</v>
      </c>
      <c r="E1852" s="4" t="n">
        <v>19</v>
      </c>
    </row>
    <row r="1853" customFormat="false" ht="15" hidden="false" customHeight="false" outlineLevel="0" collapsed="false">
      <c r="A1853" s="3" t="n">
        <v>2017</v>
      </c>
      <c r="B1853" s="3" t="n">
        <v>1</v>
      </c>
      <c r="C1853" s="3" t="n">
        <v>25</v>
      </c>
      <c r="D1853" s="3" t="s">
        <v>1857</v>
      </c>
      <c r="E1853" s="4" t="n">
        <v>23</v>
      </c>
    </row>
    <row r="1854" customFormat="false" ht="15" hidden="false" customHeight="false" outlineLevel="0" collapsed="false">
      <c r="A1854" s="3" t="n">
        <v>2017</v>
      </c>
      <c r="B1854" s="3" t="n">
        <v>1</v>
      </c>
      <c r="C1854" s="3" t="n">
        <v>26</v>
      </c>
      <c r="D1854" s="3" t="s">
        <v>1858</v>
      </c>
      <c r="E1854" s="4" t="n">
        <v>34</v>
      </c>
    </row>
    <row r="1855" customFormat="false" ht="15" hidden="false" customHeight="false" outlineLevel="0" collapsed="false">
      <c r="A1855" s="3" t="n">
        <v>2017</v>
      </c>
      <c r="B1855" s="3" t="n">
        <v>1</v>
      </c>
      <c r="C1855" s="3" t="n">
        <v>27</v>
      </c>
      <c r="D1855" s="3" t="s">
        <v>1859</v>
      </c>
      <c r="E1855" s="4" t="n">
        <v>24</v>
      </c>
    </row>
    <row r="1856" customFormat="false" ht="15" hidden="false" customHeight="false" outlineLevel="0" collapsed="false">
      <c r="A1856" s="3" t="n">
        <v>2017</v>
      </c>
      <c r="B1856" s="3" t="n">
        <v>1</v>
      </c>
      <c r="C1856" s="3" t="n">
        <v>28</v>
      </c>
      <c r="D1856" s="3" t="s">
        <v>1860</v>
      </c>
      <c r="E1856" s="4" t="n">
        <v>8</v>
      </c>
    </row>
    <row r="1857" customFormat="false" ht="15" hidden="false" customHeight="false" outlineLevel="0" collapsed="false">
      <c r="A1857" s="3" t="n">
        <v>2017</v>
      </c>
      <c r="B1857" s="3" t="n">
        <v>1</v>
      </c>
      <c r="C1857" s="3" t="n">
        <v>29</v>
      </c>
      <c r="D1857" s="3" t="s">
        <v>1861</v>
      </c>
      <c r="E1857" s="4" t="n">
        <v>36</v>
      </c>
    </row>
    <row r="1858" customFormat="false" ht="15" hidden="false" customHeight="false" outlineLevel="0" collapsed="false">
      <c r="A1858" s="3" t="n">
        <v>2017</v>
      </c>
      <c r="B1858" s="3" t="n">
        <v>1</v>
      </c>
      <c r="C1858" s="3" t="n">
        <v>30</v>
      </c>
      <c r="D1858" s="3" t="s">
        <v>1862</v>
      </c>
      <c r="E1858" s="4" t="n">
        <v>34</v>
      </c>
    </row>
    <row r="1859" customFormat="false" ht="15" hidden="false" customHeight="false" outlineLevel="0" collapsed="false">
      <c r="A1859" s="3" t="n">
        <v>2017</v>
      </c>
      <c r="B1859" s="3" t="n">
        <v>1</v>
      </c>
      <c r="C1859" s="3" t="n">
        <v>31</v>
      </c>
      <c r="D1859" s="3" t="s">
        <v>1863</v>
      </c>
      <c r="E1859" s="4" t="n">
        <v>0</v>
      </c>
    </row>
    <row r="1860" customFormat="false" ht="15" hidden="false" customHeight="false" outlineLevel="0" collapsed="false">
      <c r="A1860" s="3" t="n">
        <v>2017</v>
      </c>
      <c r="B1860" s="3" t="n">
        <v>2</v>
      </c>
      <c r="C1860" s="3" t="n">
        <v>1</v>
      </c>
      <c r="D1860" s="3" t="s">
        <v>1864</v>
      </c>
      <c r="E1860" s="4" t="n">
        <v>0</v>
      </c>
    </row>
    <row r="1861" customFormat="false" ht="15" hidden="false" customHeight="false" outlineLevel="0" collapsed="false">
      <c r="A1861" s="3" t="n">
        <v>2017</v>
      </c>
      <c r="B1861" s="3" t="n">
        <v>2</v>
      </c>
      <c r="C1861" s="3" t="n">
        <v>2</v>
      </c>
      <c r="D1861" s="3" t="s">
        <v>1865</v>
      </c>
      <c r="E1861" s="4" t="n">
        <v>27</v>
      </c>
    </row>
    <row r="1862" customFormat="false" ht="15" hidden="false" customHeight="false" outlineLevel="0" collapsed="false">
      <c r="A1862" s="3" t="n">
        <v>2017</v>
      </c>
      <c r="B1862" s="3" t="n">
        <v>2</v>
      </c>
      <c r="C1862" s="3" t="n">
        <v>3</v>
      </c>
      <c r="D1862" s="3" t="s">
        <v>1866</v>
      </c>
      <c r="E1862" s="4" t="n">
        <v>21</v>
      </c>
    </row>
    <row r="1863" customFormat="false" ht="15" hidden="false" customHeight="false" outlineLevel="0" collapsed="false">
      <c r="A1863" s="3" t="n">
        <v>2017</v>
      </c>
      <c r="B1863" s="3" t="n">
        <v>2</v>
      </c>
      <c r="C1863" s="3" t="n">
        <v>4</v>
      </c>
      <c r="D1863" s="3" t="s">
        <v>1867</v>
      </c>
      <c r="E1863" s="4" t="n">
        <v>0</v>
      </c>
    </row>
    <row r="1864" customFormat="false" ht="15" hidden="false" customHeight="false" outlineLevel="0" collapsed="false">
      <c r="A1864" s="3" t="n">
        <v>2017</v>
      </c>
      <c r="B1864" s="3" t="n">
        <v>2</v>
      </c>
      <c r="C1864" s="3" t="n">
        <v>5</v>
      </c>
      <c r="D1864" s="3" t="s">
        <v>1868</v>
      </c>
      <c r="E1864" s="4" t="n">
        <v>0</v>
      </c>
    </row>
    <row r="1865" customFormat="false" ht="15" hidden="false" customHeight="false" outlineLevel="0" collapsed="false">
      <c r="A1865" s="3" t="n">
        <v>2017</v>
      </c>
      <c r="B1865" s="3" t="n">
        <v>2</v>
      </c>
      <c r="C1865" s="3" t="n">
        <v>6</v>
      </c>
      <c r="D1865" s="3" t="s">
        <v>1869</v>
      </c>
      <c r="E1865" s="4" t="n">
        <v>0</v>
      </c>
    </row>
    <row r="1866" customFormat="false" ht="15" hidden="false" customHeight="false" outlineLevel="0" collapsed="false">
      <c r="A1866" s="3" t="n">
        <v>2017</v>
      </c>
      <c r="B1866" s="3" t="n">
        <v>2</v>
      </c>
      <c r="C1866" s="3" t="n">
        <v>7</v>
      </c>
      <c r="D1866" s="3" t="s">
        <v>1870</v>
      </c>
      <c r="E1866" s="4" t="n">
        <v>0</v>
      </c>
    </row>
    <row r="1867" customFormat="false" ht="15" hidden="false" customHeight="false" outlineLevel="0" collapsed="false">
      <c r="A1867" s="3" t="n">
        <v>2017</v>
      </c>
      <c r="B1867" s="3" t="n">
        <v>2</v>
      </c>
      <c r="C1867" s="3" t="n">
        <v>8</v>
      </c>
      <c r="D1867" s="3" t="s">
        <v>1871</v>
      </c>
      <c r="E1867" s="4" t="n">
        <v>0</v>
      </c>
    </row>
    <row r="1868" customFormat="false" ht="15" hidden="false" customHeight="false" outlineLevel="0" collapsed="false">
      <c r="A1868" s="3" t="n">
        <v>2017</v>
      </c>
      <c r="B1868" s="3" t="n">
        <v>2</v>
      </c>
      <c r="C1868" s="3" t="n">
        <v>9</v>
      </c>
      <c r="D1868" s="3" t="s">
        <v>1872</v>
      </c>
      <c r="E1868" s="4" t="n">
        <v>0</v>
      </c>
    </row>
    <row r="1869" customFormat="false" ht="15" hidden="false" customHeight="false" outlineLevel="0" collapsed="false">
      <c r="A1869" s="3" t="n">
        <v>2017</v>
      </c>
      <c r="B1869" s="3" t="n">
        <v>2</v>
      </c>
      <c r="C1869" s="3" t="n">
        <v>10</v>
      </c>
      <c r="D1869" s="3" t="s">
        <v>1873</v>
      </c>
      <c r="E1869" s="4" t="n">
        <v>0</v>
      </c>
    </row>
    <row r="1870" customFormat="false" ht="15" hidden="false" customHeight="false" outlineLevel="0" collapsed="false">
      <c r="A1870" s="3" t="n">
        <v>2017</v>
      </c>
      <c r="B1870" s="3" t="n">
        <v>2</v>
      </c>
      <c r="C1870" s="3" t="n">
        <v>11</v>
      </c>
      <c r="D1870" s="3" t="s">
        <v>1874</v>
      </c>
      <c r="E1870" s="4" t="n">
        <v>0</v>
      </c>
    </row>
    <row r="1871" customFormat="false" ht="15" hidden="false" customHeight="false" outlineLevel="0" collapsed="false">
      <c r="A1871" s="3" t="n">
        <v>2017</v>
      </c>
      <c r="B1871" s="3" t="n">
        <v>2</v>
      </c>
      <c r="C1871" s="3" t="n">
        <v>12</v>
      </c>
      <c r="D1871" s="3" t="s">
        <v>1875</v>
      </c>
      <c r="E1871" s="4" t="n">
        <v>0</v>
      </c>
    </row>
    <row r="1872" customFormat="false" ht="15" hidden="false" customHeight="false" outlineLevel="0" collapsed="false">
      <c r="A1872" s="3" t="n">
        <v>2017</v>
      </c>
      <c r="B1872" s="3" t="n">
        <v>2</v>
      </c>
      <c r="C1872" s="3" t="n">
        <v>13</v>
      </c>
      <c r="D1872" s="3" t="s">
        <v>1876</v>
      </c>
      <c r="E1872" s="4" t="n">
        <v>0</v>
      </c>
    </row>
    <row r="1873" customFormat="false" ht="15" hidden="false" customHeight="false" outlineLevel="0" collapsed="false">
      <c r="A1873" s="3" t="n">
        <v>2017</v>
      </c>
      <c r="B1873" s="3" t="n">
        <v>2</v>
      </c>
      <c r="C1873" s="3" t="n">
        <v>14</v>
      </c>
      <c r="D1873" s="3" t="s">
        <v>1877</v>
      </c>
      <c r="E1873" s="4" t="n">
        <v>17</v>
      </c>
    </row>
    <row r="1874" customFormat="false" ht="15" hidden="false" customHeight="false" outlineLevel="0" collapsed="false">
      <c r="A1874" s="3" t="n">
        <v>2017</v>
      </c>
      <c r="B1874" s="3" t="n">
        <v>2</v>
      </c>
      <c r="C1874" s="3" t="n">
        <v>15</v>
      </c>
      <c r="D1874" s="3" t="s">
        <v>1878</v>
      </c>
      <c r="E1874" s="4" t="n">
        <v>14</v>
      </c>
    </row>
    <row r="1875" customFormat="false" ht="15" hidden="false" customHeight="false" outlineLevel="0" collapsed="false">
      <c r="A1875" s="3" t="n">
        <v>2017</v>
      </c>
      <c r="B1875" s="3" t="n">
        <v>2</v>
      </c>
      <c r="C1875" s="3" t="n">
        <v>16</v>
      </c>
      <c r="D1875" s="3" t="s">
        <v>1879</v>
      </c>
      <c r="E1875" s="4" t="n">
        <v>36</v>
      </c>
    </row>
    <row r="1876" customFormat="false" ht="15" hidden="false" customHeight="false" outlineLevel="0" collapsed="false">
      <c r="A1876" s="3" t="n">
        <v>2017</v>
      </c>
      <c r="B1876" s="3" t="n">
        <v>2</v>
      </c>
      <c r="C1876" s="3" t="n">
        <v>17</v>
      </c>
      <c r="D1876" s="3" t="s">
        <v>1880</v>
      </c>
      <c r="E1876" s="4" t="n">
        <v>0</v>
      </c>
    </row>
    <row r="1877" customFormat="false" ht="15" hidden="false" customHeight="false" outlineLevel="0" collapsed="false">
      <c r="A1877" s="3" t="n">
        <v>2017</v>
      </c>
      <c r="B1877" s="3" t="n">
        <v>2</v>
      </c>
      <c r="C1877" s="3" t="n">
        <v>18</v>
      </c>
      <c r="D1877" s="3" t="s">
        <v>1881</v>
      </c>
      <c r="E1877" s="4" t="n">
        <v>7</v>
      </c>
    </row>
    <row r="1878" customFormat="false" ht="15" hidden="false" customHeight="false" outlineLevel="0" collapsed="false">
      <c r="A1878" s="3" t="n">
        <v>2017</v>
      </c>
      <c r="B1878" s="3" t="n">
        <v>2</v>
      </c>
      <c r="C1878" s="3" t="n">
        <v>19</v>
      </c>
      <c r="D1878" s="3" t="s">
        <v>1882</v>
      </c>
      <c r="E1878" s="4" t="n">
        <v>0</v>
      </c>
    </row>
    <row r="1879" customFormat="false" ht="15" hidden="false" customHeight="false" outlineLevel="0" collapsed="false">
      <c r="A1879" s="3" t="n">
        <v>2017</v>
      </c>
      <c r="B1879" s="3" t="n">
        <v>2</v>
      </c>
      <c r="C1879" s="3" t="n">
        <v>20</v>
      </c>
      <c r="D1879" s="3" t="s">
        <v>1883</v>
      </c>
      <c r="E1879" s="4" t="n">
        <v>6</v>
      </c>
    </row>
    <row r="1880" customFormat="false" ht="15" hidden="false" customHeight="false" outlineLevel="0" collapsed="false">
      <c r="A1880" s="3" t="n">
        <v>2017</v>
      </c>
      <c r="B1880" s="3" t="n">
        <v>2</v>
      </c>
      <c r="C1880" s="3" t="n">
        <v>21</v>
      </c>
      <c r="D1880" s="3" t="s">
        <v>1884</v>
      </c>
      <c r="E1880" s="4" t="n">
        <v>4</v>
      </c>
    </row>
    <row r="1881" customFormat="false" ht="15" hidden="false" customHeight="false" outlineLevel="0" collapsed="false">
      <c r="A1881" s="3" t="n">
        <v>2017</v>
      </c>
      <c r="B1881" s="3" t="n">
        <v>2</v>
      </c>
      <c r="C1881" s="3" t="n">
        <v>22</v>
      </c>
      <c r="D1881" s="3" t="s">
        <v>1885</v>
      </c>
      <c r="E1881" s="4" t="n">
        <v>0</v>
      </c>
    </row>
    <row r="1882" customFormat="false" ht="15" hidden="false" customHeight="false" outlineLevel="0" collapsed="false">
      <c r="A1882" s="3" t="n">
        <v>2017</v>
      </c>
      <c r="B1882" s="3" t="n">
        <v>2</v>
      </c>
      <c r="C1882" s="3" t="n">
        <v>23</v>
      </c>
      <c r="D1882" s="3" t="s">
        <v>1886</v>
      </c>
      <c r="E1882" s="4" t="n">
        <v>11</v>
      </c>
    </row>
    <row r="1883" customFormat="false" ht="15" hidden="false" customHeight="false" outlineLevel="0" collapsed="false">
      <c r="A1883" s="3" t="n">
        <v>2017</v>
      </c>
      <c r="B1883" s="3" t="n">
        <v>2</v>
      </c>
      <c r="C1883" s="3" t="n">
        <v>24</v>
      </c>
      <c r="D1883" s="3" t="s">
        <v>1887</v>
      </c>
      <c r="E1883" s="4" t="n">
        <v>16</v>
      </c>
    </row>
    <row r="1884" customFormat="false" ht="15" hidden="false" customHeight="false" outlineLevel="0" collapsed="false">
      <c r="A1884" s="3" t="n">
        <v>2017</v>
      </c>
      <c r="B1884" s="3" t="n">
        <v>2</v>
      </c>
      <c r="C1884" s="3" t="n">
        <v>25</v>
      </c>
      <c r="D1884" s="3" t="s">
        <v>1888</v>
      </c>
      <c r="E1884" s="4" t="n">
        <v>1</v>
      </c>
    </row>
    <row r="1885" customFormat="false" ht="15" hidden="false" customHeight="false" outlineLevel="0" collapsed="false">
      <c r="A1885" s="3" t="n">
        <v>2017</v>
      </c>
      <c r="B1885" s="3" t="n">
        <v>2</v>
      </c>
      <c r="C1885" s="3" t="n">
        <v>26</v>
      </c>
      <c r="D1885" s="3" t="s">
        <v>1889</v>
      </c>
      <c r="E1885" s="4" t="n">
        <v>0</v>
      </c>
    </row>
    <row r="1886" customFormat="false" ht="15" hidden="false" customHeight="false" outlineLevel="0" collapsed="false">
      <c r="A1886" s="3" t="n">
        <v>2017</v>
      </c>
      <c r="B1886" s="3" t="n">
        <v>2</v>
      </c>
      <c r="C1886" s="3" t="n">
        <v>27</v>
      </c>
      <c r="D1886" s="3" t="s">
        <v>1890</v>
      </c>
      <c r="E1886" s="4" t="n">
        <v>31</v>
      </c>
    </row>
    <row r="1887" customFormat="false" ht="15" hidden="false" customHeight="false" outlineLevel="0" collapsed="false">
      <c r="A1887" s="3" t="n">
        <v>2017</v>
      </c>
      <c r="B1887" s="3" t="n">
        <v>2</v>
      </c>
      <c r="C1887" s="3" t="n">
        <v>28</v>
      </c>
      <c r="D1887" s="3" t="s">
        <v>1891</v>
      </c>
      <c r="E1887" s="4" t="n">
        <v>7</v>
      </c>
    </row>
    <row r="1888" customFormat="false" ht="15" hidden="false" customHeight="false" outlineLevel="0" collapsed="false">
      <c r="A1888" s="3" t="n">
        <v>2017</v>
      </c>
      <c r="B1888" s="3" t="n">
        <v>3</v>
      </c>
      <c r="C1888" s="3" t="n">
        <v>1</v>
      </c>
      <c r="D1888" s="3" t="s">
        <v>1892</v>
      </c>
      <c r="E1888" s="4" t="n">
        <v>3</v>
      </c>
    </row>
    <row r="1889" customFormat="false" ht="15" hidden="false" customHeight="false" outlineLevel="0" collapsed="false">
      <c r="A1889" s="3" t="n">
        <v>2017</v>
      </c>
      <c r="B1889" s="3" t="n">
        <v>3</v>
      </c>
      <c r="C1889" s="3" t="n">
        <v>2</v>
      </c>
      <c r="D1889" s="3" t="s">
        <v>1893</v>
      </c>
      <c r="E1889" s="4" t="n">
        <v>13</v>
      </c>
    </row>
    <row r="1890" customFormat="false" ht="15" hidden="false" customHeight="false" outlineLevel="0" collapsed="false">
      <c r="A1890" s="3" t="n">
        <v>2017</v>
      </c>
      <c r="B1890" s="3" t="n">
        <v>3</v>
      </c>
      <c r="C1890" s="3" t="n">
        <v>3</v>
      </c>
      <c r="D1890" s="3" t="s">
        <v>1894</v>
      </c>
      <c r="E1890" s="4" t="n">
        <v>0</v>
      </c>
    </row>
    <row r="1891" customFormat="false" ht="15" hidden="false" customHeight="false" outlineLevel="0" collapsed="false">
      <c r="A1891" s="3" t="n">
        <v>2017</v>
      </c>
      <c r="B1891" s="3" t="n">
        <v>3</v>
      </c>
      <c r="C1891" s="3" t="n">
        <v>4</v>
      </c>
      <c r="D1891" s="3" t="s">
        <v>1895</v>
      </c>
      <c r="E1891" s="4" t="n">
        <v>0</v>
      </c>
    </row>
    <row r="1892" customFormat="false" ht="15" hidden="false" customHeight="false" outlineLevel="0" collapsed="false">
      <c r="A1892" s="3" t="n">
        <v>2017</v>
      </c>
      <c r="B1892" s="3" t="n">
        <v>3</v>
      </c>
      <c r="C1892" s="3" t="n">
        <v>5</v>
      </c>
      <c r="D1892" s="3" t="s">
        <v>1896</v>
      </c>
      <c r="E1892" s="4" t="n">
        <v>5</v>
      </c>
    </row>
    <row r="1893" customFormat="false" ht="15" hidden="false" customHeight="false" outlineLevel="0" collapsed="false">
      <c r="A1893" s="3" t="n">
        <v>2017</v>
      </c>
      <c r="B1893" s="3" t="n">
        <v>3</v>
      </c>
      <c r="C1893" s="3" t="n">
        <v>6</v>
      </c>
      <c r="D1893" s="3" t="s">
        <v>1897</v>
      </c>
      <c r="E1893" s="4" t="n">
        <v>8</v>
      </c>
    </row>
    <row r="1894" customFormat="false" ht="15" hidden="false" customHeight="false" outlineLevel="0" collapsed="false">
      <c r="A1894" s="3" t="n">
        <v>2017</v>
      </c>
      <c r="B1894" s="3" t="n">
        <v>3</v>
      </c>
      <c r="C1894" s="3" t="n">
        <v>7</v>
      </c>
      <c r="D1894" s="3" t="s">
        <v>1898</v>
      </c>
      <c r="E1894" s="4" t="n">
        <v>0</v>
      </c>
    </row>
    <row r="1895" customFormat="false" ht="15" hidden="false" customHeight="false" outlineLevel="0" collapsed="false">
      <c r="A1895" s="3" t="n">
        <v>2017</v>
      </c>
      <c r="B1895" s="3" t="n">
        <v>3</v>
      </c>
      <c r="C1895" s="3" t="n">
        <v>8</v>
      </c>
      <c r="D1895" s="3" t="s">
        <v>1899</v>
      </c>
      <c r="E1895" s="4" t="n">
        <v>0</v>
      </c>
    </row>
    <row r="1896" customFormat="false" ht="15" hidden="false" customHeight="false" outlineLevel="0" collapsed="false">
      <c r="A1896" s="3" t="n">
        <v>2017</v>
      </c>
      <c r="B1896" s="3" t="n">
        <v>3</v>
      </c>
      <c r="C1896" s="3" t="n">
        <v>9</v>
      </c>
      <c r="D1896" s="3" t="s">
        <v>1900</v>
      </c>
      <c r="E1896" s="4" t="n">
        <v>0</v>
      </c>
    </row>
    <row r="1897" customFormat="false" ht="15" hidden="false" customHeight="false" outlineLevel="0" collapsed="false">
      <c r="A1897" s="3" t="n">
        <v>2017</v>
      </c>
      <c r="B1897" s="3" t="n">
        <v>3</v>
      </c>
      <c r="C1897" s="3" t="n">
        <v>10</v>
      </c>
      <c r="D1897" s="3" t="s">
        <v>1901</v>
      </c>
      <c r="E1897" s="4" t="n">
        <v>8</v>
      </c>
    </row>
    <row r="1898" customFormat="false" ht="15" hidden="false" customHeight="false" outlineLevel="0" collapsed="false">
      <c r="A1898" s="3" t="n">
        <v>2017</v>
      </c>
      <c r="B1898" s="3" t="n">
        <v>3</v>
      </c>
      <c r="C1898" s="3" t="n">
        <v>11</v>
      </c>
      <c r="D1898" s="3" t="s">
        <v>1902</v>
      </c>
      <c r="E1898" s="4" t="n">
        <v>15</v>
      </c>
    </row>
    <row r="1899" customFormat="false" ht="15" hidden="false" customHeight="false" outlineLevel="0" collapsed="false">
      <c r="A1899" s="3" t="n">
        <v>2017</v>
      </c>
      <c r="B1899" s="3" t="n">
        <v>3</v>
      </c>
      <c r="C1899" s="3" t="n">
        <v>12</v>
      </c>
      <c r="D1899" s="3" t="s">
        <v>1903</v>
      </c>
      <c r="E1899" s="4" t="n">
        <v>41</v>
      </c>
    </row>
    <row r="1900" customFormat="false" ht="15" hidden="false" customHeight="false" outlineLevel="0" collapsed="false">
      <c r="A1900" s="3" t="n">
        <v>2017</v>
      </c>
      <c r="B1900" s="3" t="n">
        <v>3</v>
      </c>
      <c r="C1900" s="3" t="n">
        <v>13</v>
      </c>
      <c r="D1900" s="3" t="s">
        <v>1904</v>
      </c>
      <c r="E1900" s="4" t="n">
        <v>16</v>
      </c>
    </row>
    <row r="1901" customFormat="false" ht="15" hidden="false" customHeight="false" outlineLevel="0" collapsed="false">
      <c r="A1901" s="3" t="n">
        <v>2017</v>
      </c>
      <c r="B1901" s="3" t="n">
        <v>3</v>
      </c>
      <c r="C1901" s="3" t="n">
        <v>14</v>
      </c>
      <c r="D1901" s="3" t="s">
        <v>1905</v>
      </c>
      <c r="E1901" s="4" t="n">
        <v>0</v>
      </c>
    </row>
    <row r="1902" customFormat="false" ht="15" hidden="false" customHeight="false" outlineLevel="0" collapsed="false">
      <c r="A1902" s="3" t="n">
        <v>2017</v>
      </c>
      <c r="B1902" s="3" t="n">
        <v>3</v>
      </c>
      <c r="C1902" s="3" t="n">
        <v>15</v>
      </c>
      <c r="D1902" s="3" t="s">
        <v>1906</v>
      </c>
      <c r="E1902" s="4" t="n">
        <v>0</v>
      </c>
    </row>
    <row r="1903" customFormat="false" ht="15" hidden="false" customHeight="false" outlineLevel="0" collapsed="false">
      <c r="A1903" s="3" t="n">
        <v>2017</v>
      </c>
      <c r="B1903" s="3" t="n">
        <v>3</v>
      </c>
      <c r="C1903" s="3" t="n">
        <v>16</v>
      </c>
      <c r="D1903" s="3" t="s">
        <v>1907</v>
      </c>
      <c r="E1903" s="4" t="n">
        <v>11</v>
      </c>
    </row>
    <row r="1904" customFormat="false" ht="15" hidden="false" customHeight="false" outlineLevel="0" collapsed="false">
      <c r="A1904" s="3" t="n">
        <v>2017</v>
      </c>
      <c r="B1904" s="3" t="n">
        <v>3</v>
      </c>
      <c r="C1904" s="3" t="n">
        <v>17</v>
      </c>
      <c r="D1904" s="3" t="s">
        <v>1908</v>
      </c>
      <c r="E1904" s="4" t="n">
        <v>4</v>
      </c>
    </row>
    <row r="1905" customFormat="false" ht="15" hidden="false" customHeight="false" outlineLevel="0" collapsed="false">
      <c r="A1905" s="3" t="n">
        <v>2017</v>
      </c>
      <c r="B1905" s="3" t="n">
        <v>3</v>
      </c>
      <c r="C1905" s="3" t="n">
        <v>18</v>
      </c>
      <c r="D1905" s="3" t="s">
        <v>1909</v>
      </c>
      <c r="E1905" s="4" t="n">
        <v>2</v>
      </c>
    </row>
    <row r="1906" customFormat="false" ht="15" hidden="false" customHeight="false" outlineLevel="0" collapsed="false">
      <c r="A1906" s="3" t="n">
        <v>2017</v>
      </c>
      <c r="B1906" s="3" t="n">
        <v>3</v>
      </c>
      <c r="C1906" s="3" t="n">
        <v>19</v>
      </c>
      <c r="D1906" s="3" t="s">
        <v>1910</v>
      </c>
      <c r="E1906" s="4" t="n">
        <v>14</v>
      </c>
    </row>
    <row r="1907" customFormat="false" ht="15" hidden="false" customHeight="false" outlineLevel="0" collapsed="false">
      <c r="A1907" s="3" t="n">
        <v>2017</v>
      </c>
      <c r="B1907" s="3" t="n">
        <v>3</v>
      </c>
      <c r="C1907" s="3" t="n">
        <v>20</v>
      </c>
      <c r="D1907" s="3" t="s">
        <v>1911</v>
      </c>
      <c r="E1907" s="4" t="n">
        <v>0</v>
      </c>
    </row>
    <row r="1908" customFormat="false" ht="15" hidden="false" customHeight="false" outlineLevel="0" collapsed="false">
      <c r="A1908" s="3" t="n">
        <v>2017</v>
      </c>
      <c r="B1908" s="3" t="n">
        <v>3</v>
      </c>
      <c r="C1908" s="3" t="n">
        <v>21</v>
      </c>
      <c r="D1908" s="3" t="s">
        <v>1912</v>
      </c>
      <c r="E1908" s="4" t="n">
        <v>13</v>
      </c>
    </row>
    <row r="1909" customFormat="false" ht="15" hidden="false" customHeight="false" outlineLevel="0" collapsed="false">
      <c r="A1909" s="3" t="n">
        <v>2017</v>
      </c>
      <c r="B1909" s="3" t="n">
        <v>3</v>
      </c>
      <c r="C1909" s="3" t="n">
        <v>22</v>
      </c>
      <c r="D1909" s="3" t="s">
        <v>1913</v>
      </c>
      <c r="E1909" s="4" t="n">
        <v>11</v>
      </c>
    </row>
    <row r="1910" customFormat="false" ht="15" hidden="false" customHeight="false" outlineLevel="0" collapsed="false">
      <c r="A1910" s="3" t="n">
        <v>2017</v>
      </c>
      <c r="B1910" s="3" t="n">
        <v>3</v>
      </c>
      <c r="C1910" s="3" t="n">
        <v>23</v>
      </c>
      <c r="D1910" s="3" t="s">
        <v>1914</v>
      </c>
      <c r="E1910" s="4" t="n">
        <v>2</v>
      </c>
    </row>
    <row r="1911" customFormat="false" ht="15" hidden="false" customHeight="false" outlineLevel="0" collapsed="false">
      <c r="A1911" s="3" t="n">
        <v>2017</v>
      </c>
      <c r="B1911" s="3" t="n">
        <v>3</v>
      </c>
      <c r="C1911" s="3" t="n">
        <v>24</v>
      </c>
      <c r="D1911" s="3" t="s">
        <v>1915</v>
      </c>
      <c r="E1911" s="4" t="n">
        <v>0</v>
      </c>
    </row>
    <row r="1912" customFormat="false" ht="15" hidden="false" customHeight="false" outlineLevel="0" collapsed="false">
      <c r="A1912" s="3" t="n">
        <v>2017</v>
      </c>
      <c r="B1912" s="3" t="n">
        <v>3</v>
      </c>
      <c r="C1912" s="3" t="n">
        <v>25</v>
      </c>
      <c r="D1912" s="3" t="s">
        <v>1916</v>
      </c>
      <c r="E1912" s="4" t="n">
        <v>0</v>
      </c>
    </row>
    <row r="1913" customFormat="false" ht="15" hidden="false" customHeight="false" outlineLevel="0" collapsed="false">
      <c r="A1913" s="3" t="n">
        <v>2017</v>
      </c>
      <c r="B1913" s="3" t="n">
        <v>3</v>
      </c>
      <c r="C1913" s="3" t="n">
        <v>26</v>
      </c>
      <c r="D1913" s="3" t="s">
        <v>1917</v>
      </c>
      <c r="E1913" s="4" t="n">
        <v>0</v>
      </c>
    </row>
    <row r="1914" customFormat="false" ht="15" hidden="false" customHeight="false" outlineLevel="0" collapsed="false">
      <c r="A1914" s="3" t="n">
        <v>2017</v>
      </c>
      <c r="B1914" s="3" t="n">
        <v>3</v>
      </c>
      <c r="C1914" s="3" t="n">
        <v>27</v>
      </c>
      <c r="D1914" s="3" t="s">
        <v>1918</v>
      </c>
      <c r="E1914" s="4" t="n">
        <v>44</v>
      </c>
    </row>
    <row r="1915" customFormat="false" ht="15" hidden="false" customHeight="false" outlineLevel="0" collapsed="false">
      <c r="A1915" s="3" t="n">
        <v>2017</v>
      </c>
      <c r="B1915" s="3" t="n">
        <v>3</v>
      </c>
      <c r="C1915" s="3" t="n">
        <v>28</v>
      </c>
      <c r="D1915" s="3" t="s">
        <v>1919</v>
      </c>
      <c r="E1915" s="4" t="n">
        <v>68</v>
      </c>
    </row>
    <row r="1916" customFormat="false" ht="15" hidden="false" customHeight="false" outlineLevel="0" collapsed="false">
      <c r="A1916" s="3" t="n">
        <v>2017</v>
      </c>
      <c r="B1916" s="3" t="n">
        <v>3</v>
      </c>
      <c r="C1916" s="3" t="n">
        <v>29</v>
      </c>
      <c r="D1916" s="3" t="s">
        <v>1920</v>
      </c>
      <c r="E1916" s="4" t="n">
        <v>0</v>
      </c>
    </row>
    <row r="1917" customFormat="false" ht="15" hidden="false" customHeight="false" outlineLevel="0" collapsed="false">
      <c r="A1917" s="3" t="n">
        <v>2017</v>
      </c>
      <c r="B1917" s="3" t="n">
        <v>3</v>
      </c>
      <c r="C1917" s="3" t="n">
        <v>30</v>
      </c>
      <c r="D1917" s="3" t="s">
        <v>1921</v>
      </c>
      <c r="E1917" s="4" t="n">
        <v>0</v>
      </c>
    </row>
    <row r="1918" customFormat="false" ht="15" hidden="false" customHeight="false" outlineLevel="0" collapsed="false">
      <c r="A1918" s="3" t="n">
        <v>2017</v>
      </c>
      <c r="B1918" s="3" t="n">
        <v>3</v>
      </c>
      <c r="C1918" s="3" t="n">
        <v>31</v>
      </c>
      <c r="D1918" s="3" t="s">
        <v>1922</v>
      </c>
      <c r="E1918" s="4" t="n">
        <v>32</v>
      </c>
    </row>
    <row r="1919" customFormat="false" ht="15" hidden="false" customHeight="false" outlineLevel="0" collapsed="false">
      <c r="A1919" s="3" t="n">
        <v>2017</v>
      </c>
      <c r="B1919" s="3" t="n">
        <v>4</v>
      </c>
      <c r="C1919" s="3" t="n">
        <v>1</v>
      </c>
      <c r="D1919" s="3" t="s">
        <v>1923</v>
      </c>
      <c r="E1919" s="4" t="n">
        <v>0</v>
      </c>
    </row>
    <row r="1920" customFormat="false" ht="15" hidden="false" customHeight="false" outlineLevel="0" collapsed="false">
      <c r="A1920" s="3" t="n">
        <v>2017</v>
      </c>
      <c r="B1920" s="3" t="n">
        <v>4</v>
      </c>
      <c r="C1920" s="3" t="n">
        <v>2</v>
      </c>
      <c r="D1920" s="3" t="s">
        <v>1924</v>
      </c>
      <c r="E1920" s="4" t="n">
        <v>0</v>
      </c>
    </row>
    <row r="1921" customFormat="false" ht="15" hidden="false" customHeight="false" outlineLevel="0" collapsed="false">
      <c r="A1921" s="3" t="n">
        <v>2017</v>
      </c>
      <c r="B1921" s="3" t="n">
        <v>4</v>
      </c>
      <c r="C1921" s="3" t="n">
        <v>3</v>
      </c>
      <c r="D1921" s="3" t="s">
        <v>1925</v>
      </c>
      <c r="E1921" s="4" t="n">
        <v>45</v>
      </c>
    </row>
    <row r="1922" customFormat="false" ht="15" hidden="false" customHeight="false" outlineLevel="0" collapsed="false">
      <c r="A1922" s="3" t="n">
        <v>2017</v>
      </c>
      <c r="B1922" s="3" t="n">
        <v>4</v>
      </c>
      <c r="C1922" s="3" t="n">
        <v>4</v>
      </c>
      <c r="D1922" s="3" t="s">
        <v>1926</v>
      </c>
      <c r="E1922" s="4" t="n">
        <v>0</v>
      </c>
    </row>
    <row r="1923" customFormat="false" ht="15" hidden="false" customHeight="false" outlineLevel="0" collapsed="false">
      <c r="A1923" s="3" t="n">
        <v>2017</v>
      </c>
      <c r="B1923" s="3" t="n">
        <v>4</v>
      </c>
      <c r="C1923" s="3" t="n">
        <v>5</v>
      </c>
      <c r="D1923" s="3" t="s">
        <v>1927</v>
      </c>
      <c r="E1923" s="4" t="n">
        <v>0</v>
      </c>
    </row>
    <row r="1924" customFormat="false" ht="15" hidden="false" customHeight="false" outlineLevel="0" collapsed="false">
      <c r="A1924" s="3" t="n">
        <v>2017</v>
      </c>
      <c r="B1924" s="3" t="n">
        <v>4</v>
      </c>
      <c r="C1924" s="3" t="n">
        <v>6</v>
      </c>
      <c r="D1924" s="3" t="s">
        <v>1928</v>
      </c>
      <c r="E1924" s="4" t="n">
        <v>0</v>
      </c>
    </row>
    <row r="1925" customFormat="false" ht="15" hidden="false" customHeight="false" outlineLevel="0" collapsed="false">
      <c r="A1925" s="3" t="n">
        <v>2017</v>
      </c>
      <c r="B1925" s="3" t="n">
        <v>4</v>
      </c>
      <c r="C1925" s="3" t="n">
        <v>7</v>
      </c>
      <c r="D1925" s="3" t="s">
        <v>1929</v>
      </c>
      <c r="E1925" s="4" t="n">
        <v>0</v>
      </c>
    </row>
    <row r="1926" customFormat="false" ht="15" hidden="false" customHeight="false" outlineLevel="0" collapsed="false">
      <c r="A1926" s="3" t="n">
        <v>2017</v>
      </c>
      <c r="B1926" s="3" t="n">
        <v>4</v>
      </c>
      <c r="C1926" s="3" t="n">
        <v>8</v>
      </c>
      <c r="D1926" s="3" t="s">
        <v>1930</v>
      </c>
      <c r="E1926" s="4" t="n">
        <v>0</v>
      </c>
    </row>
    <row r="1927" customFormat="false" ht="15" hidden="false" customHeight="false" outlineLevel="0" collapsed="false">
      <c r="A1927" s="3" t="n">
        <v>2017</v>
      </c>
      <c r="B1927" s="3" t="n">
        <v>4</v>
      </c>
      <c r="C1927" s="3" t="n">
        <v>9</v>
      </c>
      <c r="D1927" s="3" t="s">
        <v>1931</v>
      </c>
      <c r="E1927" s="4" t="n">
        <v>0</v>
      </c>
    </row>
    <row r="1928" customFormat="false" ht="15" hidden="false" customHeight="false" outlineLevel="0" collapsed="false">
      <c r="A1928" s="3" t="n">
        <v>2017</v>
      </c>
      <c r="B1928" s="3" t="n">
        <v>4</v>
      </c>
      <c r="C1928" s="3" t="n">
        <v>10</v>
      </c>
      <c r="D1928" s="3" t="s">
        <v>1932</v>
      </c>
      <c r="E1928" s="4" t="n">
        <v>1</v>
      </c>
    </row>
    <row r="1929" customFormat="false" ht="15" hidden="false" customHeight="false" outlineLevel="0" collapsed="false">
      <c r="A1929" s="3" t="n">
        <v>2017</v>
      </c>
      <c r="B1929" s="3" t="n">
        <v>4</v>
      </c>
      <c r="C1929" s="3" t="n">
        <v>11</v>
      </c>
      <c r="D1929" s="3" t="s">
        <v>1933</v>
      </c>
      <c r="E1929" s="4" t="n">
        <v>0</v>
      </c>
    </row>
    <row r="1930" customFormat="false" ht="15" hidden="false" customHeight="false" outlineLevel="0" collapsed="false">
      <c r="A1930" s="3" t="n">
        <v>2017</v>
      </c>
      <c r="B1930" s="3" t="n">
        <v>4</v>
      </c>
      <c r="C1930" s="3" t="n">
        <v>12</v>
      </c>
      <c r="D1930" s="3" t="s">
        <v>1934</v>
      </c>
      <c r="E1930" s="4" t="n">
        <v>0</v>
      </c>
    </row>
    <row r="1931" customFormat="false" ht="15" hidden="false" customHeight="false" outlineLevel="0" collapsed="false">
      <c r="A1931" s="3" t="n">
        <v>2017</v>
      </c>
      <c r="B1931" s="3" t="n">
        <v>4</v>
      </c>
      <c r="C1931" s="3" t="n">
        <v>13</v>
      </c>
      <c r="D1931" s="3" t="s">
        <v>1935</v>
      </c>
      <c r="E1931" s="4" t="n">
        <v>0</v>
      </c>
    </row>
    <row r="1932" customFormat="false" ht="15" hidden="false" customHeight="false" outlineLevel="0" collapsed="false">
      <c r="A1932" s="3" t="n">
        <v>2017</v>
      </c>
      <c r="B1932" s="3" t="n">
        <v>4</v>
      </c>
      <c r="C1932" s="3" t="n">
        <v>14</v>
      </c>
      <c r="D1932" s="3" t="s">
        <v>1936</v>
      </c>
      <c r="E1932" s="4" t="n">
        <v>0</v>
      </c>
    </row>
    <row r="1933" customFormat="false" ht="15" hidden="false" customHeight="false" outlineLevel="0" collapsed="false">
      <c r="A1933" s="3" t="n">
        <v>2017</v>
      </c>
      <c r="B1933" s="3" t="n">
        <v>4</v>
      </c>
      <c r="C1933" s="3" t="n">
        <v>15</v>
      </c>
      <c r="D1933" s="3" t="s">
        <v>1937</v>
      </c>
      <c r="E1933" s="4" t="n">
        <v>1</v>
      </c>
    </row>
    <row r="1934" customFormat="false" ht="15" hidden="false" customHeight="false" outlineLevel="0" collapsed="false">
      <c r="A1934" s="3" t="n">
        <v>2017</v>
      </c>
      <c r="B1934" s="3" t="n">
        <v>4</v>
      </c>
      <c r="C1934" s="3" t="n">
        <v>16</v>
      </c>
      <c r="D1934" s="3" t="s">
        <v>1938</v>
      </c>
      <c r="E1934" s="4" t="n">
        <v>17</v>
      </c>
    </row>
    <row r="1935" customFormat="false" ht="15" hidden="false" customHeight="false" outlineLevel="0" collapsed="false">
      <c r="A1935" s="3" t="n">
        <v>2017</v>
      </c>
      <c r="B1935" s="3" t="n">
        <v>4</v>
      </c>
      <c r="C1935" s="3" t="n">
        <v>17</v>
      </c>
      <c r="D1935" s="3" t="s">
        <v>1939</v>
      </c>
      <c r="E1935" s="4" t="n">
        <v>14</v>
      </c>
    </row>
    <row r="1936" customFormat="false" ht="15" hidden="false" customHeight="false" outlineLevel="0" collapsed="false">
      <c r="A1936" s="3" t="n">
        <v>2017</v>
      </c>
      <c r="B1936" s="3" t="n">
        <v>4</v>
      </c>
      <c r="C1936" s="3" t="n">
        <v>18</v>
      </c>
      <c r="D1936" s="3" t="s">
        <v>1940</v>
      </c>
      <c r="E1936" s="4" t="n">
        <v>0</v>
      </c>
    </row>
    <row r="1937" customFormat="false" ht="15" hidden="false" customHeight="false" outlineLevel="0" collapsed="false">
      <c r="A1937" s="3" t="n">
        <v>2017</v>
      </c>
      <c r="B1937" s="3" t="n">
        <v>4</v>
      </c>
      <c r="C1937" s="3" t="n">
        <v>19</v>
      </c>
      <c r="D1937" s="3" t="s">
        <v>1941</v>
      </c>
      <c r="E1937" s="4" t="n">
        <v>3</v>
      </c>
    </row>
    <row r="1938" customFormat="false" ht="15" hidden="false" customHeight="false" outlineLevel="0" collapsed="false">
      <c r="A1938" s="3" t="n">
        <v>2017</v>
      </c>
      <c r="B1938" s="3" t="n">
        <v>4</v>
      </c>
      <c r="C1938" s="3" t="n">
        <v>20</v>
      </c>
      <c r="D1938" s="3" t="s">
        <v>1942</v>
      </c>
      <c r="E1938" s="4" t="n">
        <v>0</v>
      </c>
    </row>
    <row r="1939" customFormat="false" ht="15" hidden="false" customHeight="false" outlineLevel="0" collapsed="false">
      <c r="A1939" s="3" t="n">
        <v>2017</v>
      </c>
      <c r="B1939" s="3" t="n">
        <v>4</v>
      </c>
      <c r="C1939" s="3" t="n">
        <v>21</v>
      </c>
      <c r="D1939" s="3" t="s">
        <v>1943</v>
      </c>
      <c r="E1939" s="4" t="n">
        <v>0</v>
      </c>
    </row>
    <row r="1940" customFormat="false" ht="15" hidden="false" customHeight="false" outlineLevel="0" collapsed="false">
      <c r="A1940" s="3" t="n">
        <v>2017</v>
      </c>
      <c r="B1940" s="3" t="n">
        <v>4</v>
      </c>
      <c r="C1940" s="3" t="n">
        <v>22</v>
      </c>
      <c r="D1940" s="3" t="s">
        <v>1944</v>
      </c>
      <c r="E1940" s="4" t="n">
        <v>0</v>
      </c>
    </row>
    <row r="1941" customFormat="false" ht="15" hidden="false" customHeight="false" outlineLevel="0" collapsed="false">
      <c r="A1941" s="3" t="n">
        <v>2017</v>
      </c>
      <c r="B1941" s="3" t="n">
        <v>4</v>
      </c>
      <c r="C1941" s="3" t="n">
        <v>23</v>
      </c>
      <c r="D1941" s="3" t="s">
        <v>1945</v>
      </c>
      <c r="E1941" s="4" t="n">
        <v>63</v>
      </c>
    </row>
    <row r="1942" customFormat="false" ht="15" hidden="false" customHeight="false" outlineLevel="0" collapsed="false">
      <c r="A1942" s="3" t="n">
        <v>2017</v>
      </c>
      <c r="B1942" s="3" t="n">
        <v>4</v>
      </c>
      <c r="C1942" s="3" t="n">
        <v>24</v>
      </c>
      <c r="D1942" s="3" t="s">
        <v>1946</v>
      </c>
      <c r="E1942" s="4" t="n">
        <v>0</v>
      </c>
    </row>
    <row r="1943" customFormat="false" ht="15" hidden="false" customHeight="false" outlineLevel="0" collapsed="false">
      <c r="A1943" s="3" t="n">
        <v>2017</v>
      </c>
      <c r="B1943" s="3" t="n">
        <v>4</v>
      </c>
      <c r="C1943" s="3" t="n">
        <v>25</v>
      </c>
      <c r="D1943" s="3" t="s">
        <v>1947</v>
      </c>
      <c r="E1943" s="4" t="n">
        <v>0</v>
      </c>
    </row>
    <row r="1944" customFormat="false" ht="15" hidden="false" customHeight="false" outlineLevel="0" collapsed="false">
      <c r="A1944" s="3" t="n">
        <v>2017</v>
      </c>
      <c r="B1944" s="3" t="n">
        <v>4</v>
      </c>
      <c r="C1944" s="3" t="n">
        <v>26</v>
      </c>
      <c r="D1944" s="3" t="s">
        <v>1948</v>
      </c>
      <c r="E1944" s="4" t="n">
        <v>0</v>
      </c>
    </row>
    <row r="1945" customFormat="false" ht="15" hidden="false" customHeight="false" outlineLevel="0" collapsed="false">
      <c r="A1945" s="3" t="n">
        <v>2017</v>
      </c>
      <c r="B1945" s="3" t="n">
        <v>4</v>
      </c>
      <c r="C1945" s="3" t="n">
        <v>27</v>
      </c>
      <c r="D1945" s="3" t="s">
        <v>1949</v>
      </c>
      <c r="E1945" s="4" t="n">
        <v>0</v>
      </c>
    </row>
    <row r="1946" customFormat="false" ht="15" hidden="false" customHeight="false" outlineLevel="0" collapsed="false">
      <c r="A1946" s="3" t="n">
        <v>2017</v>
      </c>
      <c r="B1946" s="3" t="n">
        <v>4</v>
      </c>
      <c r="C1946" s="3" t="n">
        <v>28</v>
      </c>
      <c r="D1946" s="3" t="s">
        <v>1950</v>
      </c>
      <c r="E1946" s="4" t="n">
        <v>40</v>
      </c>
    </row>
    <row r="1947" customFormat="false" ht="15" hidden="false" customHeight="false" outlineLevel="0" collapsed="false">
      <c r="A1947" s="3" t="n">
        <v>2017</v>
      </c>
      <c r="B1947" s="3" t="n">
        <v>4</v>
      </c>
      <c r="C1947" s="3" t="n">
        <v>29</v>
      </c>
      <c r="D1947" s="3" t="s">
        <v>1951</v>
      </c>
      <c r="E1947" s="4" t="n">
        <v>30</v>
      </c>
    </row>
    <row r="1948" customFormat="false" ht="15" hidden="false" customHeight="false" outlineLevel="0" collapsed="false">
      <c r="A1948" s="3" t="n">
        <v>2017</v>
      </c>
      <c r="B1948" s="3" t="n">
        <v>4</v>
      </c>
      <c r="C1948" s="3" t="n">
        <v>30</v>
      </c>
      <c r="D1948" s="3" t="s">
        <v>1952</v>
      </c>
      <c r="E1948" s="4" t="n">
        <v>2</v>
      </c>
    </row>
    <row r="1949" customFormat="false" ht="15" hidden="false" customHeight="false" outlineLevel="0" collapsed="false">
      <c r="A1949" s="3" t="n">
        <v>2017</v>
      </c>
      <c r="B1949" s="3" t="n">
        <v>5</v>
      </c>
      <c r="C1949" s="3" t="n">
        <v>1</v>
      </c>
      <c r="D1949" s="3" t="s">
        <v>1953</v>
      </c>
      <c r="E1949" s="4" t="n">
        <v>0</v>
      </c>
    </row>
    <row r="1950" customFormat="false" ht="15" hidden="false" customHeight="false" outlineLevel="0" collapsed="false">
      <c r="A1950" s="3" t="n">
        <v>2017</v>
      </c>
      <c r="B1950" s="3" t="n">
        <v>5</v>
      </c>
      <c r="C1950" s="3" t="n">
        <v>2</v>
      </c>
      <c r="D1950" s="3" t="s">
        <v>1954</v>
      </c>
      <c r="E1950" s="4" t="n">
        <v>6</v>
      </c>
    </row>
    <row r="1951" customFormat="false" ht="15" hidden="false" customHeight="false" outlineLevel="0" collapsed="false">
      <c r="A1951" s="3" t="n">
        <v>2017</v>
      </c>
      <c r="B1951" s="3" t="n">
        <v>5</v>
      </c>
      <c r="C1951" s="3" t="n">
        <v>3</v>
      </c>
      <c r="D1951" s="3" t="s">
        <v>1955</v>
      </c>
      <c r="E1951" s="4" t="n">
        <v>6</v>
      </c>
    </row>
    <row r="1952" customFormat="false" ht="15" hidden="false" customHeight="false" outlineLevel="0" collapsed="false">
      <c r="A1952" s="3" t="n">
        <v>2017</v>
      </c>
      <c r="B1952" s="3" t="n">
        <v>5</v>
      </c>
      <c r="C1952" s="3" t="n">
        <v>4</v>
      </c>
      <c r="D1952" s="3" t="s">
        <v>1956</v>
      </c>
      <c r="E1952" s="4" t="n">
        <v>0</v>
      </c>
    </row>
    <row r="1953" customFormat="false" ht="15" hidden="false" customHeight="false" outlineLevel="0" collapsed="false">
      <c r="A1953" s="3" t="n">
        <v>2017</v>
      </c>
      <c r="B1953" s="3" t="n">
        <v>5</v>
      </c>
      <c r="C1953" s="3" t="n">
        <v>5</v>
      </c>
      <c r="D1953" s="3" t="s">
        <v>1957</v>
      </c>
      <c r="E1953" s="4" t="n">
        <v>59</v>
      </c>
    </row>
    <row r="1954" customFormat="false" ht="15" hidden="false" customHeight="false" outlineLevel="0" collapsed="false">
      <c r="A1954" s="3" t="n">
        <v>2017</v>
      </c>
      <c r="B1954" s="3" t="n">
        <v>5</v>
      </c>
      <c r="C1954" s="3" t="n">
        <v>6</v>
      </c>
      <c r="D1954" s="3" t="s">
        <v>1958</v>
      </c>
      <c r="E1954" s="4" t="n">
        <v>8</v>
      </c>
    </row>
    <row r="1955" customFormat="false" ht="15" hidden="false" customHeight="false" outlineLevel="0" collapsed="false">
      <c r="A1955" s="3" t="n">
        <v>2017</v>
      </c>
      <c r="B1955" s="3" t="n">
        <v>5</v>
      </c>
      <c r="C1955" s="3" t="n">
        <v>7</v>
      </c>
      <c r="D1955" s="3" t="s">
        <v>1959</v>
      </c>
      <c r="E1955" s="4" t="n">
        <v>0</v>
      </c>
    </row>
    <row r="1956" customFormat="false" ht="15" hidden="false" customHeight="false" outlineLevel="0" collapsed="false">
      <c r="A1956" s="3" t="n">
        <v>2017</v>
      </c>
      <c r="B1956" s="3" t="n">
        <v>5</v>
      </c>
      <c r="C1956" s="3" t="n">
        <v>8</v>
      </c>
      <c r="D1956" s="3" t="s">
        <v>1960</v>
      </c>
      <c r="E1956" s="4" t="n">
        <v>2</v>
      </c>
    </row>
    <row r="1957" customFormat="false" ht="15" hidden="false" customHeight="false" outlineLevel="0" collapsed="false">
      <c r="A1957" s="3" t="n">
        <v>2017</v>
      </c>
      <c r="B1957" s="3" t="n">
        <v>5</v>
      </c>
      <c r="C1957" s="3" t="n">
        <v>9</v>
      </c>
      <c r="D1957" s="3" t="s">
        <v>1961</v>
      </c>
      <c r="E1957" s="4" t="n">
        <v>9</v>
      </c>
    </row>
    <row r="1958" customFormat="false" ht="15" hidden="false" customHeight="false" outlineLevel="0" collapsed="false">
      <c r="A1958" s="3" t="n">
        <v>2017</v>
      </c>
      <c r="B1958" s="3" t="n">
        <v>5</v>
      </c>
      <c r="C1958" s="3" t="n">
        <v>10</v>
      </c>
      <c r="D1958" s="3" t="s">
        <v>1962</v>
      </c>
      <c r="E1958" s="4" t="n">
        <v>0</v>
      </c>
    </row>
    <row r="1959" customFormat="false" ht="15" hidden="false" customHeight="false" outlineLevel="0" collapsed="false">
      <c r="A1959" s="3" t="n">
        <v>2017</v>
      </c>
      <c r="B1959" s="3" t="n">
        <v>5</v>
      </c>
      <c r="C1959" s="3" t="n">
        <v>11</v>
      </c>
      <c r="D1959" s="3" t="s">
        <v>1963</v>
      </c>
      <c r="E1959" s="4" t="n">
        <v>64</v>
      </c>
    </row>
    <row r="1960" customFormat="false" ht="15" hidden="false" customHeight="false" outlineLevel="0" collapsed="false">
      <c r="A1960" s="3" t="n">
        <v>2017</v>
      </c>
      <c r="B1960" s="3" t="n">
        <v>5</v>
      </c>
      <c r="C1960" s="3" t="n">
        <v>12</v>
      </c>
      <c r="D1960" s="3" t="s">
        <v>1964</v>
      </c>
      <c r="E1960" s="4" t="n">
        <v>18</v>
      </c>
    </row>
    <row r="1961" customFormat="false" ht="15" hidden="false" customHeight="false" outlineLevel="0" collapsed="false">
      <c r="A1961" s="3" t="n">
        <v>2017</v>
      </c>
      <c r="B1961" s="3" t="n">
        <v>5</v>
      </c>
      <c r="C1961" s="3" t="n">
        <v>13</v>
      </c>
      <c r="D1961" s="3" t="s">
        <v>1965</v>
      </c>
      <c r="E1961" s="4" t="n">
        <v>3</v>
      </c>
    </row>
    <row r="1962" customFormat="false" ht="15" hidden="false" customHeight="false" outlineLevel="0" collapsed="false">
      <c r="A1962" s="3" t="n">
        <v>2017</v>
      </c>
      <c r="B1962" s="3" t="n">
        <v>5</v>
      </c>
      <c r="C1962" s="3" t="n">
        <v>14</v>
      </c>
      <c r="D1962" s="3" t="s">
        <v>1966</v>
      </c>
      <c r="E1962" s="4" t="n">
        <v>0</v>
      </c>
    </row>
    <row r="1963" customFormat="false" ht="15" hidden="false" customHeight="false" outlineLevel="0" collapsed="false">
      <c r="A1963" s="3" t="n">
        <v>2017</v>
      </c>
      <c r="B1963" s="3" t="n">
        <v>5</v>
      </c>
      <c r="C1963" s="3" t="n">
        <v>15</v>
      </c>
      <c r="D1963" s="3" t="s">
        <v>1967</v>
      </c>
      <c r="E1963" s="4" t="n">
        <v>0</v>
      </c>
    </row>
    <row r="1964" customFormat="false" ht="15" hidden="false" customHeight="false" outlineLevel="0" collapsed="false">
      <c r="A1964" s="3" t="n">
        <v>2017</v>
      </c>
      <c r="B1964" s="3" t="n">
        <v>5</v>
      </c>
      <c r="C1964" s="3" t="n">
        <v>16</v>
      </c>
      <c r="D1964" s="3" t="s">
        <v>1968</v>
      </c>
      <c r="E1964" s="4" t="n">
        <v>0</v>
      </c>
    </row>
    <row r="1965" customFormat="false" ht="15" hidden="false" customHeight="false" outlineLevel="0" collapsed="false">
      <c r="A1965" s="3" t="n">
        <v>2017</v>
      </c>
      <c r="B1965" s="3" t="n">
        <v>5</v>
      </c>
      <c r="C1965" s="3" t="n">
        <v>17</v>
      </c>
      <c r="D1965" s="3" t="s">
        <v>1969</v>
      </c>
      <c r="E1965" s="4" t="n">
        <v>3</v>
      </c>
    </row>
    <row r="1966" customFormat="false" ht="15" hidden="false" customHeight="false" outlineLevel="0" collapsed="false">
      <c r="A1966" s="3" t="n">
        <v>2017</v>
      </c>
      <c r="B1966" s="3" t="n">
        <v>5</v>
      </c>
      <c r="C1966" s="3" t="n">
        <v>18</v>
      </c>
      <c r="D1966" s="3" t="s">
        <v>1970</v>
      </c>
      <c r="E1966" s="4" t="n">
        <v>0</v>
      </c>
    </row>
    <row r="1967" customFormat="false" ht="15" hidden="false" customHeight="false" outlineLevel="0" collapsed="false">
      <c r="A1967" s="3" t="n">
        <v>2017</v>
      </c>
      <c r="B1967" s="3" t="n">
        <v>5</v>
      </c>
      <c r="C1967" s="3" t="n">
        <v>19</v>
      </c>
      <c r="D1967" s="3" t="s">
        <v>1971</v>
      </c>
      <c r="E1967" s="4" t="n">
        <v>12</v>
      </c>
    </row>
    <row r="1968" customFormat="false" ht="15" hidden="false" customHeight="false" outlineLevel="0" collapsed="false">
      <c r="A1968" s="3" t="n">
        <v>2017</v>
      </c>
      <c r="B1968" s="3" t="n">
        <v>5</v>
      </c>
      <c r="C1968" s="3" t="n">
        <v>20</v>
      </c>
      <c r="D1968" s="3" t="s">
        <v>1972</v>
      </c>
      <c r="E1968" s="4" t="n">
        <v>16</v>
      </c>
    </row>
    <row r="1969" customFormat="false" ht="15" hidden="false" customHeight="false" outlineLevel="0" collapsed="false">
      <c r="A1969" s="3" t="n">
        <v>2017</v>
      </c>
      <c r="B1969" s="3" t="n">
        <v>5</v>
      </c>
      <c r="C1969" s="3" t="n">
        <v>21</v>
      </c>
      <c r="D1969" s="3" t="s">
        <v>1973</v>
      </c>
      <c r="E1969" s="4" t="n">
        <v>0</v>
      </c>
    </row>
    <row r="1970" customFormat="false" ht="15" hidden="false" customHeight="false" outlineLevel="0" collapsed="false">
      <c r="A1970" s="3" t="n">
        <v>2017</v>
      </c>
      <c r="B1970" s="3" t="n">
        <v>5</v>
      </c>
      <c r="C1970" s="3" t="n">
        <v>22</v>
      </c>
      <c r="D1970" s="3" t="s">
        <v>1974</v>
      </c>
      <c r="E1970" s="4" t="n">
        <v>0</v>
      </c>
    </row>
    <row r="1971" customFormat="false" ht="15" hidden="false" customHeight="false" outlineLevel="0" collapsed="false">
      <c r="A1971" s="3" t="n">
        <v>2017</v>
      </c>
      <c r="B1971" s="3" t="n">
        <v>5</v>
      </c>
      <c r="C1971" s="3" t="n">
        <v>23</v>
      </c>
      <c r="D1971" s="3" t="s">
        <v>1975</v>
      </c>
      <c r="E1971" s="4" t="n">
        <v>0</v>
      </c>
    </row>
    <row r="1972" customFormat="false" ht="15" hidden="false" customHeight="false" outlineLevel="0" collapsed="false">
      <c r="A1972" s="3" t="n">
        <v>2017</v>
      </c>
      <c r="B1972" s="3" t="n">
        <v>5</v>
      </c>
      <c r="C1972" s="3" t="n">
        <v>24</v>
      </c>
      <c r="D1972" s="3" t="s">
        <v>1976</v>
      </c>
      <c r="E1972" s="4" t="n">
        <v>0</v>
      </c>
    </row>
    <row r="1973" customFormat="false" ht="15" hidden="false" customHeight="false" outlineLevel="0" collapsed="false">
      <c r="A1973" s="3" t="n">
        <v>2017</v>
      </c>
      <c r="B1973" s="3" t="n">
        <v>5</v>
      </c>
      <c r="C1973" s="3" t="n">
        <v>25</v>
      </c>
      <c r="D1973" s="3" t="s">
        <v>1977</v>
      </c>
      <c r="E1973" s="4" t="n">
        <v>0</v>
      </c>
    </row>
    <row r="1974" customFormat="false" ht="15" hidden="false" customHeight="false" outlineLevel="0" collapsed="false">
      <c r="A1974" s="3" t="n">
        <v>2017</v>
      </c>
      <c r="B1974" s="3" t="n">
        <v>5</v>
      </c>
      <c r="C1974" s="3" t="n">
        <v>26</v>
      </c>
      <c r="D1974" s="3" t="s">
        <v>1978</v>
      </c>
      <c r="E1974" s="4" t="n">
        <v>0</v>
      </c>
    </row>
    <row r="1975" customFormat="false" ht="15" hidden="false" customHeight="false" outlineLevel="0" collapsed="false">
      <c r="A1975" s="3" t="n">
        <v>2017</v>
      </c>
      <c r="B1975" s="3" t="n">
        <v>5</v>
      </c>
      <c r="C1975" s="3" t="n">
        <v>27</v>
      </c>
      <c r="D1975" s="3" t="s">
        <v>1979</v>
      </c>
      <c r="E1975" s="4" t="n">
        <v>86</v>
      </c>
    </row>
    <row r="1976" customFormat="false" ht="15" hidden="false" customHeight="false" outlineLevel="0" collapsed="false">
      <c r="A1976" s="3" t="n">
        <v>2017</v>
      </c>
      <c r="B1976" s="3" t="n">
        <v>5</v>
      </c>
      <c r="C1976" s="3" t="n">
        <v>28</v>
      </c>
      <c r="D1976" s="3" t="s">
        <v>1980</v>
      </c>
      <c r="E1976" s="4" t="n">
        <v>8</v>
      </c>
    </row>
    <row r="1977" customFormat="false" ht="15" hidden="false" customHeight="false" outlineLevel="0" collapsed="false">
      <c r="A1977" s="3" t="n">
        <v>2017</v>
      </c>
      <c r="B1977" s="3" t="n">
        <v>5</v>
      </c>
      <c r="C1977" s="3" t="n">
        <v>29</v>
      </c>
      <c r="D1977" s="3" t="s">
        <v>1981</v>
      </c>
      <c r="E1977" s="4" t="n">
        <v>12</v>
      </c>
    </row>
    <row r="1978" customFormat="false" ht="15" hidden="false" customHeight="false" outlineLevel="0" collapsed="false">
      <c r="A1978" s="3" t="n">
        <v>2017</v>
      </c>
      <c r="B1978" s="3" t="n">
        <v>5</v>
      </c>
      <c r="C1978" s="3" t="n">
        <v>30</v>
      </c>
      <c r="D1978" s="3" t="s">
        <v>1982</v>
      </c>
      <c r="E1978" s="4" t="n">
        <v>2</v>
      </c>
    </row>
    <row r="1979" customFormat="false" ht="15" hidden="false" customHeight="false" outlineLevel="0" collapsed="false">
      <c r="A1979" s="3" t="n">
        <v>2017</v>
      </c>
      <c r="B1979" s="3" t="n">
        <v>5</v>
      </c>
      <c r="C1979" s="3" t="n">
        <v>31</v>
      </c>
      <c r="D1979" s="3" t="s">
        <v>1983</v>
      </c>
      <c r="E1979" s="4" t="n">
        <v>0</v>
      </c>
    </row>
    <row r="1980" customFormat="false" ht="15" hidden="false" customHeight="false" outlineLevel="0" collapsed="false">
      <c r="A1980" s="3" t="n">
        <v>2017</v>
      </c>
      <c r="B1980" s="3" t="n">
        <v>6</v>
      </c>
      <c r="C1980" s="3" t="n">
        <v>1</v>
      </c>
      <c r="D1980" s="3" t="s">
        <v>1984</v>
      </c>
      <c r="E1980" s="4" t="n">
        <v>60</v>
      </c>
    </row>
    <row r="1981" customFormat="false" ht="15" hidden="false" customHeight="false" outlineLevel="0" collapsed="false">
      <c r="A1981" s="3" t="n">
        <v>2017</v>
      </c>
      <c r="B1981" s="3" t="n">
        <v>6</v>
      </c>
      <c r="C1981" s="3" t="n">
        <v>2</v>
      </c>
      <c r="D1981" s="3" t="s">
        <v>1985</v>
      </c>
      <c r="E1981" s="4" t="n">
        <v>36</v>
      </c>
    </row>
    <row r="1982" customFormat="false" ht="15" hidden="false" customHeight="false" outlineLevel="0" collapsed="false">
      <c r="A1982" s="3" t="n">
        <v>2017</v>
      </c>
      <c r="B1982" s="3" t="n">
        <v>6</v>
      </c>
      <c r="C1982" s="3" t="n">
        <v>3</v>
      </c>
      <c r="D1982" s="3" t="s">
        <v>1986</v>
      </c>
      <c r="E1982" s="4" t="n">
        <v>0</v>
      </c>
    </row>
    <row r="1983" customFormat="false" ht="15" hidden="false" customHeight="false" outlineLevel="0" collapsed="false">
      <c r="A1983" s="3" t="n">
        <v>2017</v>
      </c>
      <c r="B1983" s="3" t="n">
        <v>6</v>
      </c>
      <c r="C1983" s="3" t="n">
        <v>4</v>
      </c>
      <c r="D1983" s="3" t="s">
        <v>1987</v>
      </c>
      <c r="E1983" s="4" t="n">
        <v>0</v>
      </c>
    </row>
    <row r="1984" customFormat="false" ht="15" hidden="false" customHeight="false" outlineLevel="0" collapsed="false">
      <c r="A1984" s="3" t="n">
        <v>2017</v>
      </c>
      <c r="B1984" s="3" t="n">
        <v>6</v>
      </c>
      <c r="C1984" s="3" t="n">
        <v>5</v>
      </c>
      <c r="D1984" s="3" t="s">
        <v>1988</v>
      </c>
      <c r="E1984" s="4" t="n">
        <v>0</v>
      </c>
    </row>
    <row r="1985" customFormat="false" ht="15" hidden="false" customHeight="false" outlineLevel="0" collapsed="false">
      <c r="A1985" s="3" t="n">
        <v>2017</v>
      </c>
      <c r="B1985" s="3" t="n">
        <v>6</v>
      </c>
      <c r="C1985" s="3" t="n">
        <v>6</v>
      </c>
      <c r="D1985" s="3" t="s">
        <v>1989</v>
      </c>
      <c r="E1985" s="4" t="n">
        <v>0</v>
      </c>
    </row>
    <row r="1986" customFormat="false" ht="15" hidden="false" customHeight="false" outlineLevel="0" collapsed="false">
      <c r="A1986" s="3" t="n">
        <v>2017</v>
      </c>
      <c r="B1986" s="3" t="n">
        <v>6</v>
      </c>
      <c r="C1986" s="3" t="n">
        <v>7</v>
      </c>
      <c r="D1986" s="3" t="s">
        <v>1990</v>
      </c>
      <c r="E1986" s="4" t="n">
        <v>5</v>
      </c>
    </row>
    <row r="1987" customFormat="false" ht="15" hidden="false" customHeight="false" outlineLevel="0" collapsed="false">
      <c r="A1987" s="3" t="n">
        <v>2017</v>
      </c>
      <c r="B1987" s="3" t="n">
        <v>6</v>
      </c>
      <c r="C1987" s="3" t="n">
        <v>8</v>
      </c>
      <c r="D1987" s="3" t="s">
        <v>1991</v>
      </c>
      <c r="E1987" s="4" t="n">
        <v>0</v>
      </c>
    </row>
    <row r="1988" customFormat="false" ht="15" hidden="false" customHeight="false" outlineLevel="0" collapsed="false">
      <c r="A1988" s="3" t="n">
        <v>2017</v>
      </c>
      <c r="B1988" s="3" t="n">
        <v>6</v>
      </c>
      <c r="C1988" s="3" t="n">
        <v>9</v>
      </c>
      <c r="D1988" s="3" t="s">
        <v>1992</v>
      </c>
      <c r="E1988" s="4" t="n">
        <v>0</v>
      </c>
    </row>
    <row r="1989" customFormat="false" ht="15" hidden="false" customHeight="false" outlineLevel="0" collapsed="false">
      <c r="A1989" s="3" t="n">
        <v>2017</v>
      </c>
      <c r="B1989" s="3" t="n">
        <v>6</v>
      </c>
      <c r="C1989" s="3" t="n">
        <v>10</v>
      </c>
      <c r="D1989" s="3" t="s">
        <v>1993</v>
      </c>
      <c r="E1989" s="4" t="n">
        <v>8</v>
      </c>
    </row>
    <row r="1990" customFormat="false" ht="15" hidden="false" customHeight="false" outlineLevel="0" collapsed="false">
      <c r="A1990" s="3" t="n">
        <v>2017</v>
      </c>
      <c r="B1990" s="3" t="n">
        <v>6</v>
      </c>
      <c r="C1990" s="3" t="n">
        <v>11</v>
      </c>
      <c r="D1990" s="3" t="s">
        <v>1994</v>
      </c>
      <c r="E1990" s="4" t="n">
        <v>0</v>
      </c>
    </row>
    <row r="1991" customFormat="false" ht="15" hidden="false" customHeight="false" outlineLevel="0" collapsed="false">
      <c r="A1991" s="3" t="n">
        <v>2017</v>
      </c>
      <c r="B1991" s="3" t="n">
        <v>6</v>
      </c>
      <c r="C1991" s="3" t="n">
        <v>12</v>
      </c>
      <c r="D1991" s="3" t="s">
        <v>1995</v>
      </c>
      <c r="E1991" s="4" t="n">
        <v>0</v>
      </c>
    </row>
    <row r="1992" customFormat="false" ht="15" hidden="false" customHeight="false" outlineLevel="0" collapsed="false">
      <c r="A1992" s="3" t="n">
        <v>2017</v>
      </c>
      <c r="B1992" s="3" t="n">
        <v>6</v>
      </c>
      <c r="C1992" s="3" t="n">
        <v>13</v>
      </c>
      <c r="D1992" s="3" t="s">
        <v>1996</v>
      </c>
      <c r="E1992" s="4" t="n">
        <v>0</v>
      </c>
    </row>
    <row r="1993" customFormat="false" ht="15" hidden="false" customHeight="false" outlineLevel="0" collapsed="false">
      <c r="A1993" s="3" t="n">
        <v>2017</v>
      </c>
      <c r="B1993" s="3" t="n">
        <v>6</v>
      </c>
      <c r="C1993" s="3" t="n">
        <v>14</v>
      </c>
      <c r="D1993" s="3" t="s">
        <v>1997</v>
      </c>
      <c r="E1993" s="4" t="n">
        <v>1</v>
      </c>
    </row>
    <row r="1994" customFormat="false" ht="15" hidden="false" customHeight="false" outlineLevel="0" collapsed="false">
      <c r="A1994" s="3" t="n">
        <v>2017</v>
      </c>
      <c r="B1994" s="3" t="n">
        <v>6</v>
      </c>
      <c r="C1994" s="3" t="n">
        <v>15</v>
      </c>
      <c r="D1994" s="3" t="s">
        <v>1998</v>
      </c>
      <c r="E1994" s="4" t="n">
        <v>25</v>
      </c>
    </row>
    <row r="1995" customFormat="false" ht="15" hidden="false" customHeight="false" outlineLevel="0" collapsed="false">
      <c r="A1995" s="3" t="n">
        <v>2017</v>
      </c>
      <c r="B1995" s="3" t="n">
        <v>6</v>
      </c>
      <c r="C1995" s="3" t="n">
        <v>16</v>
      </c>
      <c r="D1995" s="3" t="s">
        <v>1999</v>
      </c>
      <c r="E1995" s="4" t="n">
        <v>29</v>
      </c>
    </row>
    <row r="1996" customFormat="false" ht="15" hidden="false" customHeight="false" outlineLevel="0" collapsed="false">
      <c r="A1996" s="3" t="n">
        <v>2017</v>
      </c>
      <c r="B1996" s="3" t="n">
        <v>6</v>
      </c>
      <c r="C1996" s="3" t="n">
        <v>17</v>
      </c>
      <c r="D1996" s="3" t="s">
        <v>2000</v>
      </c>
      <c r="E1996" s="4" t="n">
        <v>0</v>
      </c>
    </row>
    <row r="1997" customFormat="false" ht="15" hidden="false" customHeight="false" outlineLevel="0" collapsed="false">
      <c r="A1997" s="3" t="n">
        <v>2017</v>
      </c>
      <c r="B1997" s="3" t="n">
        <v>6</v>
      </c>
      <c r="C1997" s="3" t="n">
        <v>18</v>
      </c>
      <c r="D1997" s="3" t="s">
        <v>2001</v>
      </c>
      <c r="E1997" s="4" t="n">
        <v>0</v>
      </c>
    </row>
    <row r="1998" customFormat="false" ht="15" hidden="false" customHeight="false" outlineLevel="0" collapsed="false">
      <c r="A1998" s="3" t="n">
        <v>2017</v>
      </c>
      <c r="B1998" s="3" t="n">
        <v>6</v>
      </c>
      <c r="C1998" s="3" t="n">
        <v>19</v>
      </c>
      <c r="D1998" s="3" t="s">
        <v>2002</v>
      </c>
      <c r="E1998" s="4" t="n">
        <v>13</v>
      </c>
    </row>
    <row r="1999" customFormat="false" ht="15" hidden="false" customHeight="false" outlineLevel="0" collapsed="false">
      <c r="A1999" s="3" t="n">
        <v>2017</v>
      </c>
      <c r="B1999" s="3" t="n">
        <v>6</v>
      </c>
      <c r="C1999" s="3" t="n">
        <v>20</v>
      </c>
      <c r="D1999" s="3" t="s">
        <v>2003</v>
      </c>
      <c r="E1999" s="4" t="n">
        <v>0</v>
      </c>
    </row>
    <row r="2000" customFormat="false" ht="15" hidden="false" customHeight="false" outlineLevel="0" collapsed="false">
      <c r="A2000" s="3" t="n">
        <v>2017</v>
      </c>
      <c r="B2000" s="3" t="n">
        <v>6</v>
      </c>
      <c r="C2000" s="3" t="n">
        <v>21</v>
      </c>
      <c r="D2000" s="3" t="s">
        <v>2004</v>
      </c>
      <c r="E2000" s="4" t="n">
        <v>1</v>
      </c>
    </row>
    <row r="2001" customFormat="false" ht="15" hidden="false" customHeight="false" outlineLevel="0" collapsed="false">
      <c r="A2001" s="3" t="n">
        <v>2017</v>
      </c>
      <c r="B2001" s="3" t="n">
        <v>6</v>
      </c>
      <c r="C2001" s="3" t="n">
        <v>22</v>
      </c>
      <c r="D2001" s="3" t="s">
        <v>2005</v>
      </c>
      <c r="E2001" s="4" t="n">
        <v>0</v>
      </c>
    </row>
    <row r="2002" customFormat="false" ht="15" hidden="false" customHeight="false" outlineLevel="0" collapsed="false">
      <c r="A2002" s="3" t="n">
        <v>2017</v>
      </c>
      <c r="B2002" s="3" t="n">
        <v>6</v>
      </c>
      <c r="C2002" s="3" t="n">
        <v>23</v>
      </c>
      <c r="D2002" s="3" t="s">
        <v>2006</v>
      </c>
      <c r="E2002" s="4" t="n">
        <v>0</v>
      </c>
    </row>
    <row r="2003" customFormat="false" ht="15" hidden="false" customHeight="false" outlineLevel="0" collapsed="false">
      <c r="A2003" s="3" t="n">
        <v>2017</v>
      </c>
      <c r="B2003" s="3" t="n">
        <v>6</v>
      </c>
      <c r="C2003" s="3" t="n">
        <v>24</v>
      </c>
      <c r="D2003" s="3" t="s">
        <v>2007</v>
      </c>
      <c r="E2003" s="4" t="n">
        <v>33</v>
      </c>
    </row>
    <row r="2004" customFormat="false" ht="15" hidden="false" customHeight="false" outlineLevel="0" collapsed="false">
      <c r="A2004" s="3" t="n">
        <v>2017</v>
      </c>
      <c r="B2004" s="3" t="n">
        <v>6</v>
      </c>
      <c r="C2004" s="3" t="n">
        <v>25</v>
      </c>
      <c r="D2004" s="3" t="s">
        <v>2008</v>
      </c>
      <c r="E2004" s="4" t="n">
        <v>0</v>
      </c>
    </row>
    <row r="2005" customFormat="false" ht="15" hidden="false" customHeight="false" outlineLevel="0" collapsed="false">
      <c r="A2005" s="3" t="n">
        <v>2017</v>
      </c>
      <c r="B2005" s="3" t="n">
        <v>6</v>
      </c>
      <c r="C2005" s="3" t="n">
        <v>26</v>
      </c>
      <c r="D2005" s="3" t="s">
        <v>2009</v>
      </c>
      <c r="E2005" s="4" t="n">
        <v>10</v>
      </c>
    </row>
    <row r="2006" customFormat="false" ht="15" hidden="false" customHeight="false" outlineLevel="0" collapsed="false">
      <c r="A2006" s="3" t="n">
        <v>2017</v>
      </c>
      <c r="B2006" s="3" t="n">
        <v>6</v>
      </c>
      <c r="C2006" s="3" t="n">
        <v>27</v>
      </c>
      <c r="D2006" s="3" t="s">
        <v>2010</v>
      </c>
      <c r="E2006" s="4" t="n">
        <v>25</v>
      </c>
    </row>
    <row r="2007" customFormat="false" ht="15" hidden="false" customHeight="false" outlineLevel="0" collapsed="false">
      <c r="A2007" s="3" t="n">
        <v>2017</v>
      </c>
      <c r="B2007" s="3" t="n">
        <v>6</v>
      </c>
      <c r="C2007" s="3" t="n">
        <v>28</v>
      </c>
      <c r="D2007" s="3" t="s">
        <v>2011</v>
      </c>
      <c r="E2007" s="4" t="n">
        <v>2</v>
      </c>
    </row>
    <row r="2008" customFormat="false" ht="15" hidden="false" customHeight="false" outlineLevel="0" collapsed="false">
      <c r="A2008" s="3" t="n">
        <v>2017</v>
      </c>
      <c r="B2008" s="3" t="n">
        <v>6</v>
      </c>
      <c r="C2008" s="3" t="n">
        <v>29</v>
      </c>
      <c r="D2008" s="3" t="s">
        <v>2012</v>
      </c>
      <c r="E2008" s="4" t="n">
        <v>0</v>
      </c>
    </row>
    <row r="2009" customFormat="false" ht="15" hidden="false" customHeight="false" outlineLevel="0" collapsed="false">
      <c r="A2009" s="3" t="n">
        <v>2017</v>
      </c>
      <c r="B2009" s="3" t="n">
        <v>6</v>
      </c>
      <c r="C2009" s="3" t="n">
        <v>30</v>
      </c>
      <c r="D2009" s="3" t="s">
        <v>2013</v>
      </c>
      <c r="E2009" s="4" t="n">
        <v>0</v>
      </c>
    </row>
    <row r="2010" customFormat="false" ht="15" hidden="false" customHeight="false" outlineLevel="0" collapsed="false">
      <c r="A2010" s="3" t="n">
        <v>2017</v>
      </c>
      <c r="B2010" s="3" t="n">
        <v>7</v>
      </c>
      <c r="C2010" s="3" t="n">
        <v>1</v>
      </c>
      <c r="D2010" s="3" t="s">
        <v>2014</v>
      </c>
      <c r="E2010" s="4" t="n">
        <v>39</v>
      </c>
    </row>
    <row r="2011" customFormat="false" ht="15" hidden="false" customHeight="false" outlineLevel="0" collapsed="false">
      <c r="A2011" s="3" t="n">
        <v>2017</v>
      </c>
      <c r="B2011" s="3" t="n">
        <v>7</v>
      </c>
      <c r="C2011" s="3" t="n">
        <v>2</v>
      </c>
      <c r="D2011" s="3" t="s">
        <v>2015</v>
      </c>
      <c r="E2011" s="4" t="n">
        <v>0</v>
      </c>
    </row>
    <row r="2012" customFormat="false" ht="15" hidden="false" customHeight="false" outlineLevel="0" collapsed="false">
      <c r="A2012" s="3" t="n">
        <v>2017</v>
      </c>
      <c r="B2012" s="3" t="n">
        <v>7</v>
      </c>
      <c r="C2012" s="3" t="n">
        <v>3</v>
      </c>
      <c r="D2012" s="3" t="s">
        <v>2016</v>
      </c>
      <c r="E2012" s="4" t="n">
        <v>0</v>
      </c>
    </row>
    <row r="2013" customFormat="false" ht="15" hidden="false" customHeight="false" outlineLevel="0" collapsed="false">
      <c r="A2013" s="3" t="n">
        <v>2017</v>
      </c>
      <c r="B2013" s="3" t="n">
        <v>7</v>
      </c>
      <c r="C2013" s="3" t="n">
        <v>4</v>
      </c>
      <c r="D2013" s="3" t="s">
        <v>2017</v>
      </c>
      <c r="E2013" s="4" t="n">
        <v>0</v>
      </c>
    </row>
    <row r="2014" customFormat="false" ht="15" hidden="false" customHeight="false" outlineLevel="0" collapsed="false">
      <c r="A2014" s="3" t="n">
        <v>2017</v>
      </c>
      <c r="B2014" s="3" t="n">
        <v>7</v>
      </c>
      <c r="C2014" s="3" t="n">
        <v>5</v>
      </c>
      <c r="D2014" s="3" t="s">
        <v>2018</v>
      </c>
      <c r="E2014" s="4" t="n">
        <v>0</v>
      </c>
    </row>
    <row r="2015" customFormat="false" ht="15" hidden="false" customHeight="false" outlineLevel="0" collapsed="false">
      <c r="A2015" s="3" t="n">
        <v>2017</v>
      </c>
      <c r="B2015" s="3" t="n">
        <v>7</v>
      </c>
      <c r="C2015" s="3" t="n">
        <v>6</v>
      </c>
      <c r="D2015" s="3" t="s">
        <v>2019</v>
      </c>
      <c r="E2015" s="4" t="n">
        <v>37</v>
      </c>
    </row>
    <row r="2016" customFormat="false" ht="15" hidden="false" customHeight="false" outlineLevel="0" collapsed="false">
      <c r="A2016" s="3" t="n">
        <v>2017</v>
      </c>
      <c r="B2016" s="3" t="n">
        <v>7</v>
      </c>
      <c r="C2016" s="3" t="n">
        <v>7</v>
      </c>
      <c r="D2016" s="3" t="s">
        <v>2020</v>
      </c>
      <c r="E2016" s="4" t="n">
        <v>0</v>
      </c>
    </row>
    <row r="2017" customFormat="false" ht="15" hidden="false" customHeight="false" outlineLevel="0" collapsed="false">
      <c r="A2017" s="3" t="n">
        <v>2017</v>
      </c>
      <c r="B2017" s="3" t="n">
        <v>7</v>
      </c>
      <c r="C2017" s="3" t="n">
        <v>8</v>
      </c>
      <c r="D2017" s="3" t="s">
        <v>2021</v>
      </c>
      <c r="E2017" s="4" t="n">
        <v>0</v>
      </c>
    </row>
    <row r="2018" customFormat="false" ht="15" hidden="false" customHeight="false" outlineLevel="0" collapsed="false">
      <c r="A2018" s="3" t="n">
        <v>2017</v>
      </c>
      <c r="B2018" s="3" t="n">
        <v>7</v>
      </c>
      <c r="C2018" s="3" t="n">
        <v>9</v>
      </c>
      <c r="D2018" s="3" t="s">
        <v>2022</v>
      </c>
      <c r="E2018" s="4" t="n">
        <v>63</v>
      </c>
    </row>
    <row r="2019" customFormat="false" ht="15" hidden="false" customHeight="false" outlineLevel="0" collapsed="false">
      <c r="A2019" s="3" t="n">
        <v>2017</v>
      </c>
      <c r="B2019" s="3" t="n">
        <v>7</v>
      </c>
      <c r="C2019" s="3" t="n">
        <v>10</v>
      </c>
      <c r="D2019" s="3" t="s">
        <v>2023</v>
      </c>
      <c r="E2019" s="4" t="n">
        <v>24</v>
      </c>
    </row>
    <row r="2020" customFormat="false" ht="15" hidden="false" customHeight="false" outlineLevel="0" collapsed="false">
      <c r="A2020" s="3" t="n">
        <v>2017</v>
      </c>
      <c r="B2020" s="3" t="n">
        <v>7</v>
      </c>
      <c r="C2020" s="3" t="n">
        <v>11</v>
      </c>
      <c r="D2020" s="3" t="s">
        <v>2024</v>
      </c>
      <c r="E2020" s="4" t="n">
        <v>12</v>
      </c>
    </row>
    <row r="2021" customFormat="false" ht="15" hidden="false" customHeight="false" outlineLevel="0" collapsed="false">
      <c r="A2021" s="3" t="n">
        <v>2017</v>
      </c>
      <c r="B2021" s="3" t="n">
        <v>7</v>
      </c>
      <c r="C2021" s="3" t="n">
        <v>12</v>
      </c>
      <c r="D2021" s="3" t="s">
        <v>2025</v>
      </c>
      <c r="E2021" s="4" t="n">
        <v>32</v>
      </c>
    </row>
    <row r="2022" customFormat="false" ht="15" hidden="false" customHeight="false" outlineLevel="0" collapsed="false">
      <c r="A2022" s="3" t="n">
        <v>2017</v>
      </c>
      <c r="B2022" s="3" t="n">
        <v>7</v>
      </c>
      <c r="C2022" s="3" t="n">
        <v>13</v>
      </c>
      <c r="D2022" s="3" t="s">
        <v>2026</v>
      </c>
      <c r="E2022" s="4" t="n">
        <v>20</v>
      </c>
    </row>
    <row r="2023" customFormat="false" ht="15" hidden="false" customHeight="false" outlineLevel="0" collapsed="false">
      <c r="A2023" s="3" t="n">
        <v>2017</v>
      </c>
      <c r="B2023" s="3" t="n">
        <v>7</v>
      </c>
      <c r="C2023" s="3" t="n">
        <v>14</v>
      </c>
      <c r="D2023" s="3" t="s">
        <v>2027</v>
      </c>
      <c r="E2023" s="4" t="n">
        <v>1</v>
      </c>
    </row>
    <row r="2024" customFormat="false" ht="15" hidden="false" customHeight="false" outlineLevel="0" collapsed="false">
      <c r="A2024" s="3" t="n">
        <v>2017</v>
      </c>
      <c r="B2024" s="3" t="n">
        <v>7</v>
      </c>
      <c r="C2024" s="3" t="n">
        <v>15</v>
      </c>
      <c r="D2024" s="3" t="s">
        <v>2028</v>
      </c>
      <c r="E2024" s="4" t="n">
        <v>0</v>
      </c>
    </row>
    <row r="2025" customFormat="false" ht="15" hidden="false" customHeight="false" outlineLevel="0" collapsed="false">
      <c r="A2025" s="3" t="n">
        <v>2017</v>
      </c>
      <c r="B2025" s="3" t="n">
        <v>7</v>
      </c>
      <c r="C2025" s="3" t="n">
        <v>16</v>
      </c>
      <c r="D2025" s="3" t="s">
        <v>2029</v>
      </c>
      <c r="E2025" s="4" t="n">
        <v>14</v>
      </c>
    </row>
    <row r="2026" customFormat="false" ht="15" hidden="false" customHeight="false" outlineLevel="0" collapsed="false">
      <c r="A2026" s="3" t="n">
        <v>2017</v>
      </c>
      <c r="B2026" s="3" t="n">
        <v>7</v>
      </c>
      <c r="C2026" s="3" t="n">
        <v>17</v>
      </c>
      <c r="D2026" s="3" t="s">
        <v>2030</v>
      </c>
      <c r="E2026" s="4" t="n">
        <v>0</v>
      </c>
    </row>
    <row r="2027" customFormat="false" ht="15" hidden="false" customHeight="false" outlineLevel="0" collapsed="false">
      <c r="A2027" s="3" t="n">
        <v>2017</v>
      </c>
      <c r="B2027" s="3" t="n">
        <v>7</v>
      </c>
      <c r="C2027" s="3" t="n">
        <v>18</v>
      </c>
      <c r="D2027" s="3" t="s">
        <v>2031</v>
      </c>
      <c r="E2027" s="4" t="n">
        <v>17</v>
      </c>
    </row>
    <row r="2028" customFormat="false" ht="15" hidden="false" customHeight="false" outlineLevel="0" collapsed="false">
      <c r="A2028" s="3" t="n">
        <v>2017</v>
      </c>
      <c r="B2028" s="3" t="n">
        <v>7</v>
      </c>
      <c r="C2028" s="3" t="n">
        <v>19</v>
      </c>
      <c r="D2028" s="3" t="s">
        <v>2032</v>
      </c>
      <c r="E2028" s="4" t="n">
        <v>0</v>
      </c>
    </row>
    <row r="2029" customFormat="false" ht="15" hidden="false" customHeight="false" outlineLevel="0" collapsed="false">
      <c r="A2029" s="3" t="n">
        <v>2017</v>
      </c>
      <c r="B2029" s="3" t="n">
        <v>7</v>
      </c>
      <c r="C2029" s="3" t="n">
        <v>20</v>
      </c>
      <c r="D2029" s="3" t="s">
        <v>2033</v>
      </c>
      <c r="E2029" s="4" t="n">
        <v>0</v>
      </c>
    </row>
    <row r="2030" customFormat="false" ht="15" hidden="false" customHeight="false" outlineLevel="0" collapsed="false">
      <c r="A2030" s="3" t="n">
        <v>2017</v>
      </c>
      <c r="B2030" s="3" t="n">
        <v>7</v>
      </c>
      <c r="C2030" s="3" t="n">
        <v>21</v>
      </c>
      <c r="D2030" s="3" t="s">
        <v>2034</v>
      </c>
      <c r="E2030" s="4" t="n">
        <v>0</v>
      </c>
    </row>
    <row r="2031" customFormat="false" ht="15" hidden="false" customHeight="false" outlineLevel="0" collapsed="false">
      <c r="A2031" s="3" t="n">
        <v>2017</v>
      </c>
      <c r="B2031" s="3" t="n">
        <v>7</v>
      </c>
      <c r="C2031" s="3" t="n">
        <v>22</v>
      </c>
      <c r="D2031" s="3" t="s">
        <v>2035</v>
      </c>
      <c r="E2031" s="4" t="n">
        <v>0</v>
      </c>
    </row>
    <row r="2032" customFormat="false" ht="15" hidden="false" customHeight="false" outlineLevel="0" collapsed="false">
      <c r="A2032" s="3" t="n">
        <v>2017</v>
      </c>
      <c r="B2032" s="3" t="n">
        <v>7</v>
      </c>
      <c r="C2032" s="3" t="n">
        <v>23</v>
      </c>
      <c r="D2032" s="3" t="s">
        <v>2036</v>
      </c>
      <c r="E2032" s="4" t="n">
        <v>20</v>
      </c>
    </row>
    <row r="2033" customFormat="false" ht="15" hidden="false" customHeight="false" outlineLevel="0" collapsed="false">
      <c r="A2033" s="3" t="n">
        <v>2017</v>
      </c>
      <c r="B2033" s="3" t="n">
        <v>7</v>
      </c>
      <c r="C2033" s="3" t="n">
        <v>24</v>
      </c>
      <c r="D2033" s="3" t="s">
        <v>2037</v>
      </c>
      <c r="E2033" s="4" t="n">
        <v>0</v>
      </c>
    </row>
    <row r="2034" customFormat="false" ht="15" hidden="false" customHeight="false" outlineLevel="0" collapsed="false">
      <c r="A2034" s="3" t="n">
        <v>2017</v>
      </c>
      <c r="B2034" s="3" t="n">
        <v>7</v>
      </c>
      <c r="C2034" s="3" t="n">
        <v>25</v>
      </c>
      <c r="D2034" s="3" t="s">
        <v>2038</v>
      </c>
      <c r="E2034" s="4" t="n">
        <v>0</v>
      </c>
    </row>
    <row r="2035" customFormat="false" ht="15" hidden="false" customHeight="false" outlineLevel="0" collapsed="false">
      <c r="A2035" s="3" t="n">
        <v>2017</v>
      </c>
      <c r="B2035" s="3" t="n">
        <v>7</v>
      </c>
      <c r="C2035" s="3" t="n">
        <v>26</v>
      </c>
      <c r="D2035" s="3" t="s">
        <v>2039</v>
      </c>
      <c r="E2035" s="4" t="n">
        <v>0</v>
      </c>
    </row>
    <row r="2036" customFormat="false" ht="15" hidden="false" customHeight="false" outlineLevel="0" collapsed="false">
      <c r="A2036" s="3" t="n">
        <v>2017</v>
      </c>
      <c r="B2036" s="3" t="n">
        <v>7</v>
      </c>
      <c r="C2036" s="3" t="n">
        <v>27</v>
      </c>
      <c r="D2036" s="3" t="s">
        <v>2040</v>
      </c>
      <c r="E2036" s="4" t="n">
        <v>0</v>
      </c>
    </row>
    <row r="2037" customFormat="false" ht="15" hidden="false" customHeight="false" outlineLevel="0" collapsed="false">
      <c r="A2037" s="3" t="n">
        <v>2017</v>
      </c>
      <c r="B2037" s="3" t="n">
        <v>7</v>
      </c>
      <c r="C2037" s="3" t="n">
        <v>28</v>
      </c>
      <c r="D2037" s="3" t="s">
        <v>2041</v>
      </c>
      <c r="E2037" s="4" t="n">
        <v>0</v>
      </c>
    </row>
    <row r="2038" customFormat="false" ht="15" hidden="false" customHeight="false" outlineLevel="0" collapsed="false">
      <c r="A2038" s="3" t="n">
        <v>2017</v>
      </c>
      <c r="B2038" s="3" t="n">
        <v>7</v>
      </c>
      <c r="C2038" s="3" t="n">
        <v>29</v>
      </c>
      <c r="D2038" s="3" t="s">
        <v>2042</v>
      </c>
      <c r="E2038" s="4" t="n">
        <v>0</v>
      </c>
    </row>
    <row r="2039" customFormat="false" ht="15" hidden="false" customHeight="false" outlineLevel="0" collapsed="false">
      <c r="A2039" s="3" t="n">
        <v>2017</v>
      </c>
      <c r="B2039" s="3" t="n">
        <v>7</v>
      </c>
      <c r="C2039" s="3" t="n">
        <v>30</v>
      </c>
      <c r="D2039" s="3" t="s">
        <v>2043</v>
      </c>
      <c r="E2039" s="4" t="n">
        <v>0</v>
      </c>
    </row>
    <row r="2040" customFormat="false" ht="15" hidden="false" customHeight="false" outlineLevel="0" collapsed="false">
      <c r="A2040" s="3" t="n">
        <v>2017</v>
      </c>
      <c r="B2040" s="3" t="n">
        <v>7</v>
      </c>
      <c r="C2040" s="3" t="n">
        <v>31</v>
      </c>
      <c r="D2040" s="3" t="s">
        <v>2044</v>
      </c>
      <c r="E2040" s="4" t="n">
        <v>0</v>
      </c>
    </row>
    <row r="2041" customFormat="false" ht="15" hidden="false" customHeight="false" outlineLevel="0" collapsed="false">
      <c r="A2041" s="3" t="n">
        <v>2017</v>
      </c>
      <c r="B2041" s="3" t="n">
        <v>8</v>
      </c>
      <c r="C2041" s="3" t="n">
        <v>1</v>
      </c>
      <c r="D2041" s="3" t="s">
        <v>2045</v>
      </c>
      <c r="E2041" s="4" t="n">
        <v>0</v>
      </c>
    </row>
    <row r="2042" customFormat="false" ht="15" hidden="false" customHeight="false" outlineLevel="0" collapsed="false">
      <c r="A2042" s="3" t="n">
        <v>2017</v>
      </c>
      <c r="B2042" s="3" t="n">
        <v>8</v>
      </c>
      <c r="C2042" s="3" t="n">
        <v>2</v>
      </c>
      <c r="D2042" s="3" t="s">
        <v>2046</v>
      </c>
      <c r="E2042" s="4" t="n">
        <v>0</v>
      </c>
    </row>
    <row r="2043" customFormat="false" ht="15" hidden="false" customHeight="false" outlineLevel="0" collapsed="false">
      <c r="A2043" s="3" t="n">
        <v>2017</v>
      </c>
      <c r="B2043" s="3" t="n">
        <v>8</v>
      </c>
      <c r="C2043" s="3" t="n">
        <v>3</v>
      </c>
      <c r="D2043" s="3" t="s">
        <v>2047</v>
      </c>
      <c r="E2043" s="4" t="n">
        <v>0</v>
      </c>
    </row>
    <row r="2044" customFormat="false" ht="15" hidden="false" customHeight="false" outlineLevel="0" collapsed="false">
      <c r="A2044" s="3" t="n">
        <v>2017</v>
      </c>
      <c r="B2044" s="3" t="n">
        <v>8</v>
      </c>
      <c r="C2044" s="3" t="n">
        <v>4</v>
      </c>
      <c r="D2044" s="3" t="s">
        <v>2048</v>
      </c>
      <c r="E2044" s="4" t="n">
        <v>0</v>
      </c>
    </row>
    <row r="2045" customFormat="false" ht="15" hidden="false" customHeight="false" outlineLevel="0" collapsed="false">
      <c r="A2045" s="3" t="n">
        <v>2017</v>
      </c>
      <c r="B2045" s="3" t="n">
        <v>8</v>
      </c>
      <c r="C2045" s="3" t="n">
        <v>5</v>
      </c>
      <c r="D2045" s="3" t="s">
        <v>2049</v>
      </c>
      <c r="E2045" s="4" t="n">
        <v>0</v>
      </c>
    </row>
    <row r="2046" customFormat="false" ht="15" hidden="false" customHeight="false" outlineLevel="0" collapsed="false">
      <c r="A2046" s="3" t="n">
        <v>2017</v>
      </c>
      <c r="B2046" s="3" t="n">
        <v>8</v>
      </c>
      <c r="C2046" s="3" t="n">
        <v>6</v>
      </c>
      <c r="D2046" s="3" t="s">
        <v>2050</v>
      </c>
      <c r="E2046" s="4" t="n">
        <v>0</v>
      </c>
    </row>
    <row r="2047" customFormat="false" ht="15" hidden="false" customHeight="false" outlineLevel="0" collapsed="false">
      <c r="A2047" s="3" t="n">
        <v>2017</v>
      </c>
      <c r="B2047" s="3" t="n">
        <v>8</v>
      </c>
      <c r="C2047" s="3" t="n">
        <v>7</v>
      </c>
      <c r="D2047" s="3" t="s">
        <v>2051</v>
      </c>
      <c r="E2047" s="4" t="n">
        <v>47</v>
      </c>
    </row>
    <row r="2048" customFormat="false" ht="15" hidden="false" customHeight="false" outlineLevel="0" collapsed="false">
      <c r="A2048" s="3" t="n">
        <v>2017</v>
      </c>
      <c r="B2048" s="3" t="n">
        <v>8</v>
      </c>
      <c r="C2048" s="3" t="n">
        <v>8</v>
      </c>
      <c r="D2048" s="3" t="s">
        <v>2052</v>
      </c>
      <c r="E2048" s="4" t="n">
        <v>1</v>
      </c>
    </row>
    <row r="2049" customFormat="false" ht="15" hidden="false" customHeight="false" outlineLevel="0" collapsed="false">
      <c r="A2049" s="3" t="n">
        <v>2017</v>
      </c>
      <c r="B2049" s="3" t="n">
        <v>8</v>
      </c>
      <c r="C2049" s="3" t="n">
        <v>9</v>
      </c>
      <c r="D2049" s="3" t="s">
        <v>2053</v>
      </c>
      <c r="E2049" s="4" t="n">
        <v>0</v>
      </c>
    </row>
    <row r="2050" customFormat="false" ht="15" hidden="false" customHeight="false" outlineLevel="0" collapsed="false">
      <c r="A2050" s="3" t="n">
        <v>2017</v>
      </c>
      <c r="B2050" s="3" t="n">
        <v>8</v>
      </c>
      <c r="C2050" s="3" t="n">
        <v>10</v>
      </c>
      <c r="D2050" s="3" t="s">
        <v>2054</v>
      </c>
      <c r="E2050" s="4" t="n">
        <v>59</v>
      </c>
    </row>
    <row r="2051" customFormat="false" ht="15" hidden="false" customHeight="false" outlineLevel="0" collapsed="false">
      <c r="A2051" s="3" t="n">
        <v>2017</v>
      </c>
      <c r="B2051" s="3" t="n">
        <v>8</v>
      </c>
      <c r="C2051" s="3" t="n">
        <v>11</v>
      </c>
      <c r="D2051" s="3" t="s">
        <v>2055</v>
      </c>
      <c r="E2051" s="4" t="n">
        <v>34</v>
      </c>
    </row>
    <row r="2052" customFormat="false" ht="15" hidden="false" customHeight="false" outlineLevel="0" collapsed="false">
      <c r="A2052" s="3" t="n">
        <v>2017</v>
      </c>
      <c r="B2052" s="3" t="n">
        <v>8</v>
      </c>
      <c r="C2052" s="3" t="n">
        <v>12</v>
      </c>
      <c r="D2052" s="3" t="s">
        <v>2056</v>
      </c>
      <c r="E2052" s="4" t="n">
        <v>0</v>
      </c>
    </row>
    <row r="2053" customFormat="false" ht="15" hidden="false" customHeight="false" outlineLevel="0" collapsed="false">
      <c r="A2053" s="3" t="n">
        <v>2017</v>
      </c>
      <c r="B2053" s="3" t="n">
        <v>8</v>
      </c>
      <c r="C2053" s="3" t="n">
        <v>13</v>
      </c>
      <c r="D2053" s="3" t="s">
        <v>2057</v>
      </c>
      <c r="E2053" s="4" t="n">
        <v>13</v>
      </c>
    </row>
    <row r="2054" customFormat="false" ht="15" hidden="false" customHeight="false" outlineLevel="0" collapsed="false">
      <c r="A2054" s="3" t="n">
        <v>2017</v>
      </c>
      <c r="B2054" s="3" t="n">
        <v>8</v>
      </c>
      <c r="C2054" s="3" t="n">
        <v>14</v>
      </c>
      <c r="D2054" s="3" t="s">
        <v>2058</v>
      </c>
      <c r="E2054" s="4" t="n">
        <v>66</v>
      </c>
    </row>
    <row r="2055" customFormat="false" ht="15" hidden="false" customHeight="false" outlineLevel="0" collapsed="false">
      <c r="A2055" s="3" t="n">
        <v>2017</v>
      </c>
      <c r="B2055" s="3" t="n">
        <v>8</v>
      </c>
      <c r="C2055" s="3" t="n">
        <v>15</v>
      </c>
      <c r="D2055" s="3" t="s">
        <v>2059</v>
      </c>
      <c r="E2055" s="4" t="n">
        <v>0</v>
      </c>
    </row>
    <row r="2056" customFormat="false" ht="15" hidden="false" customHeight="false" outlineLevel="0" collapsed="false">
      <c r="A2056" s="3" t="n">
        <v>2017</v>
      </c>
      <c r="B2056" s="3" t="n">
        <v>8</v>
      </c>
      <c r="C2056" s="3" t="n">
        <v>16</v>
      </c>
      <c r="D2056" s="3" t="s">
        <v>2060</v>
      </c>
      <c r="E2056" s="4" t="n">
        <v>1</v>
      </c>
    </row>
    <row r="2057" customFormat="false" ht="15" hidden="false" customHeight="false" outlineLevel="0" collapsed="false">
      <c r="A2057" s="3" t="n">
        <v>2017</v>
      </c>
      <c r="B2057" s="3" t="n">
        <v>8</v>
      </c>
      <c r="C2057" s="3" t="n">
        <v>17</v>
      </c>
      <c r="D2057" s="3" t="s">
        <v>2061</v>
      </c>
      <c r="E2057" s="4" t="n">
        <v>0</v>
      </c>
    </row>
    <row r="2058" customFormat="false" ht="15" hidden="false" customHeight="false" outlineLevel="0" collapsed="false">
      <c r="A2058" s="3" t="n">
        <v>2017</v>
      </c>
      <c r="B2058" s="3" t="n">
        <v>8</v>
      </c>
      <c r="C2058" s="3" t="n">
        <v>18</v>
      </c>
      <c r="D2058" s="3" t="s">
        <v>2062</v>
      </c>
      <c r="E2058" s="4" t="n">
        <v>0</v>
      </c>
    </row>
    <row r="2059" customFormat="false" ht="15" hidden="false" customHeight="false" outlineLevel="0" collapsed="false">
      <c r="A2059" s="3" t="n">
        <v>2017</v>
      </c>
      <c r="B2059" s="3" t="n">
        <v>8</v>
      </c>
      <c r="C2059" s="3" t="n">
        <v>19</v>
      </c>
      <c r="D2059" s="3" t="s">
        <v>2063</v>
      </c>
      <c r="E2059" s="4" t="n">
        <v>0</v>
      </c>
    </row>
    <row r="2060" customFormat="false" ht="15" hidden="false" customHeight="false" outlineLevel="0" collapsed="false">
      <c r="A2060" s="3" t="n">
        <v>2017</v>
      </c>
      <c r="B2060" s="3" t="n">
        <v>8</v>
      </c>
      <c r="C2060" s="3" t="n">
        <v>20</v>
      </c>
      <c r="D2060" s="3" t="s">
        <v>2064</v>
      </c>
      <c r="E2060" s="4" t="n">
        <v>1</v>
      </c>
    </row>
    <row r="2061" customFormat="false" ht="15" hidden="false" customHeight="false" outlineLevel="0" collapsed="false">
      <c r="A2061" s="3" t="n">
        <v>2017</v>
      </c>
      <c r="B2061" s="3" t="n">
        <v>8</v>
      </c>
      <c r="C2061" s="3" t="n">
        <v>21</v>
      </c>
      <c r="D2061" s="3" t="s">
        <v>2065</v>
      </c>
      <c r="E2061" s="4" t="n">
        <v>10</v>
      </c>
    </row>
    <row r="2062" customFormat="false" ht="15" hidden="false" customHeight="false" outlineLevel="0" collapsed="false">
      <c r="A2062" s="3" t="n">
        <v>2017</v>
      </c>
      <c r="B2062" s="3" t="n">
        <v>8</v>
      </c>
      <c r="C2062" s="3" t="n">
        <v>22</v>
      </c>
      <c r="D2062" s="3" t="s">
        <v>2066</v>
      </c>
      <c r="E2062" s="4" t="n">
        <v>5</v>
      </c>
    </row>
    <row r="2063" customFormat="false" ht="15" hidden="false" customHeight="false" outlineLevel="0" collapsed="false">
      <c r="A2063" s="3" t="n">
        <v>2017</v>
      </c>
      <c r="B2063" s="3" t="n">
        <v>8</v>
      </c>
      <c r="C2063" s="3" t="n">
        <v>23</v>
      </c>
      <c r="D2063" s="3" t="s">
        <v>2067</v>
      </c>
      <c r="E2063" s="4" t="n">
        <v>18</v>
      </c>
    </row>
    <row r="2064" customFormat="false" ht="15" hidden="false" customHeight="false" outlineLevel="0" collapsed="false">
      <c r="A2064" s="3" t="n">
        <v>2017</v>
      </c>
      <c r="B2064" s="3" t="n">
        <v>8</v>
      </c>
      <c r="C2064" s="3" t="n">
        <v>24</v>
      </c>
      <c r="D2064" s="3" t="s">
        <v>2068</v>
      </c>
      <c r="E2064" s="4" t="n">
        <v>0</v>
      </c>
    </row>
    <row r="2065" customFormat="false" ht="15" hidden="false" customHeight="false" outlineLevel="0" collapsed="false">
      <c r="A2065" s="3" t="n">
        <v>2017</v>
      </c>
      <c r="B2065" s="3" t="n">
        <v>8</v>
      </c>
      <c r="C2065" s="3" t="n">
        <v>25</v>
      </c>
      <c r="D2065" s="3" t="s">
        <v>2069</v>
      </c>
      <c r="E2065" s="4" t="n">
        <v>9</v>
      </c>
    </row>
    <row r="2066" customFormat="false" ht="15" hidden="false" customHeight="false" outlineLevel="0" collapsed="false">
      <c r="A2066" s="3" t="n">
        <v>2017</v>
      </c>
      <c r="B2066" s="3" t="n">
        <v>8</v>
      </c>
      <c r="C2066" s="3" t="n">
        <v>26</v>
      </c>
      <c r="D2066" s="3" t="s">
        <v>2070</v>
      </c>
      <c r="E2066" s="4" t="n">
        <v>9</v>
      </c>
    </row>
    <row r="2067" customFormat="false" ht="15" hidden="false" customHeight="false" outlineLevel="0" collapsed="false">
      <c r="A2067" s="3" t="n">
        <v>2017</v>
      </c>
      <c r="B2067" s="3" t="n">
        <v>8</v>
      </c>
      <c r="C2067" s="3" t="n">
        <v>27</v>
      </c>
      <c r="D2067" s="3" t="s">
        <v>2071</v>
      </c>
      <c r="E2067" s="4" t="n">
        <v>0</v>
      </c>
    </row>
    <row r="2068" customFormat="false" ht="15" hidden="false" customHeight="false" outlineLevel="0" collapsed="false">
      <c r="A2068" s="3" t="n">
        <v>2017</v>
      </c>
      <c r="B2068" s="3" t="n">
        <v>8</v>
      </c>
      <c r="C2068" s="3" t="n">
        <v>28</v>
      </c>
      <c r="D2068" s="3" t="s">
        <v>2072</v>
      </c>
      <c r="E2068" s="4" t="n">
        <v>23</v>
      </c>
    </row>
    <row r="2069" customFormat="false" ht="15" hidden="false" customHeight="false" outlineLevel="0" collapsed="false">
      <c r="A2069" s="3" t="n">
        <v>2017</v>
      </c>
      <c r="B2069" s="3" t="n">
        <v>8</v>
      </c>
      <c r="C2069" s="3" t="n">
        <v>29</v>
      </c>
      <c r="D2069" s="3" t="s">
        <v>2073</v>
      </c>
      <c r="E2069" s="4" t="n">
        <v>22</v>
      </c>
    </row>
    <row r="2070" customFormat="false" ht="15" hidden="false" customHeight="false" outlineLevel="0" collapsed="false">
      <c r="A2070" s="3" t="n">
        <v>2017</v>
      </c>
      <c r="B2070" s="3" t="n">
        <v>8</v>
      </c>
      <c r="C2070" s="3" t="n">
        <v>30</v>
      </c>
      <c r="D2070" s="3" t="s">
        <v>2074</v>
      </c>
      <c r="E2070" s="4" t="n">
        <v>3</v>
      </c>
    </row>
    <row r="2071" customFormat="false" ht="15" hidden="false" customHeight="false" outlineLevel="0" collapsed="false">
      <c r="A2071" s="3" t="n">
        <v>2017</v>
      </c>
      <c r="B2071" s="3" t="n">
        <v>8</v>
      </c>
      <c r="C2071" s="3" t="n">
        <v>31</v>
      </c>
      <c r="D2071" s="3" t="s">
        <v>2075</v>
      </c>
      <c r="E2071" s="4" t="n">
        <v>0</v>
      </c>
    </row>
    <row r="2072" customFormat="false" ht="15" hidden="false" customHeight="false" outlineLevel="0" collapsed="false">
      <c r="A2072" s="3" t="n">
        <v>2017</v>
      </c>
      <c r="B2072" s="3" t="n">
        <v>9</v>
      </c>
      <c r="C2072" s="3" t="n">
        <v>1</v>
      </c>
      <c r="D2072" s="3" t="s">
        <v>2076</v>
      </c>
      <c r="E2072" s="4" t="n">
        <v>0</v>
      </c>
    </row>
    <row r="2073" customFormat="false" ht="15" hidden="false" customHeight="false" outlineLevel="0" collapsed="false">
      <c r="A2073" s="3" t="n">
        <v>2017</v>
      </c>
      <c r="B2073" s="3" t="n">
        <v>9</v>
      </c>
      <c r="C2073" s="3" t="n">
        <v>2</v>
      </c>
      <c r="D2073" s="3" t="s">
        <v>2077</v>
      </c>
      <c r="E2073" s="4" t="n">
        <v>0</v>
      </c>
    </row>
    <row r="2074" customFormat="false" ht="15" hidden="false" customHeight="false" outlineLevel="0" collapsed="false">
      <c r="A2074" s="3" t="n">
        <v>2017</v>
      </c>
      <c r="B2074" s="3" t="n">
        <v>9</v>
      </c>
      <c r="C2074" s="3" t="n">
        <v>3</v>
      </c>
      <c r="D2074" s="3" t="s">
        <v>2078</v>
      </c>
      <c r="E2074" s="4" t="n">
        <v>0</v>
      </c>
    </row>
    <row r="2075" customFormat="false" ht="15" hidden="false" customHeight="false" outlineLevel="0" collapsed="false">
      <c r="A2075" s="3" t="n">
        <v>2017</v>
      </c>
      <c r="B2075" s="3" t="n">
        <v>9</v>
      </c>
      <c r="C2075" s="3" t="n">
        <v>4</v>
      </c>
      <c r="D2075" s="3" t="s">
        <v>2079</v>
      </c>
      <c r="E2075" s="4" t="n">
        <v>15</v>
      </c>
    </row>
    <row r="2076" customFormat="false" ht="15" hidden="false" customHeight="false" outlineLevel="0" collapsed="false">
      <c r="A2076" s="3" t="n">
        <v>2017</v>
      </c>
      <c r="B2076" s="3" t="n">
        <v>9</v>
      </c>
      <c r="C2076" s="3" t="n">
        <v>5</v>
      </c>
      <c r="D2076" s="3" t="s">
        <v>2080</v>
      </c>
      <c r="E2076" s="4" t="n">
        <v>0</v>
      </c>
    </row>
    <row r="2077" customFormat="false" ht="15" hidden="false" customHeight="false" outlineLevel="0" collapsed="false">
      <c r="A2077" s="3" t="n">
        <v>2017</v>
      </c>
      <c r="B2077" s="3" t="n">
        <v>9</v>
      </c>
      <c r="C2077" s="3" t="n">
        <v>6</v>
      </c>
      <c r="D2077" s="3" t="s">
        <v>2081</v>
      </c>
      <c r="E2077" s="4" t="n">
        <v>17</v>
      </c>
    </row>
    <row r="2078" customFormat="false" ht="15" hidden="false" customHeight="false" outlineLevel="0" collapsed="false">
      <c r="A2078" s="3" t="n">
        <v>2017</v>
      </c>
      <c r="B2078" s="3" t="n">
        <v>9</v>
      </c>
      <c r="C2078" s="3" t="n">
        <v>7</v>
      </c>
      <c r="D2078" s="3" t="s">
        <v>2082</v>
      </c>
      <c r="E2078" s="4" t="n">
        <v>14</v>
      </c>
    </row>
    <row r="2079" customFormat="false" ht="15" hidden="false" customHeight="false" outlineLevel="0" collapsed="false">
      <c r="A2079" s="3" t="n">
        <v>2017</v>
      </c>
      <c r="B2079" s="3" t="n">
        <v>9</v>
      </c>
      <c r="C2079" s="3" t="n">
        <v>8</v>
      </c>
      <c r="D2079" s="3" t="s">
        <v>2083</v>
      </c>
      <c r="E2079" s="4" t="n">
        <v>5</v>
      </c>
    </row>
    <row r="2080" customFormat="false" ht="15" hidden="false" customHeight="false" outlineLevel="0" collapsed="false">
      <c r="A2080" s="3" t="n">
        <v>2017</v>
      </c>
      <c r="B2080" s="3" t="n">
        <v>9</v>
      </c>
      <c r="C2080" s="3" t="n">
        <v>9</v>
      </c>
      <c r="D2080" s="3" t="s">
        <v>2084</v>
      </c>
      <c r="E2080" s="4" t="n">
        <v>11</v>
      </c>
    </row>
    <row r="2081" customFormat="false" ht="15" hidden="false" customHeight="false" outlineLevel="0" collapsed="false">
      <c r="A2081" s="3" t="n">
        <v>2017</v>
      </c>
      <c r="B2081" s="3" t="n">
        <v>9</v>
      </c>
      <c r="C2081" s="3" t="n">
        <v>10</v>
      </c>
      <c r="D2081" s="3" t="s">
        <v>2085</v>
      </c>
      <c r="E2081" s="4" t="n">
        <v>10</v>
      </c>
    </row>
    <row r="2082" customFormat="false" ht="15" hidden="false" customHeight="false" outlineLevel="0" collapsed="false">
      <c r="A2082" s="3" t="n">
        <v>2017</v>
      </c>
      <c r="B2082" s="3" t="n">
        <v>9</v>
      </c>
      <c r="C2082" s="3" t="n">
        <v>11</v>
      </c>
      <c r="D2082" s="3" t="s">
        <v>2086</v>
      </c>
      <c r="E2082" s="4" t="n">
        <v>12</v>
      </c>
    </row>
    <row r="2083" customFormat="false" ht="15" hidden="false" customHeight="false" outlineLevel="0" collapsed="false">
      <c r="A2083" s="3" t="n">
        <v>2017</v>
      </c>
      <c r="B2083" s="3" t="n">
        <v>9</v>
      </c>
      <c r="C2083" s="3" t="n">
        <v>12</v>
      </c>
      <c r="D2083" s="3" t="s">
        <v>2087</v>
      </c>
      <c r="E2083" s="4" t="n">
        <v>4</v>
      </c>
    </row>
    <row r="2084" customFormat="false" ht="15" hidden="false" customHeight="false" outlineLevel="0" collapsed="false">
      <c r="A2084" s="3" t="n">
        <v>2017</v>
      </c>
      <c r="B2084" s="3" t="n">
        <v>9</v>
      </c>
      <c r="C2084" s="3" t="n">
        <v>13</v>
      </c>
      <c r="D2084" s="3" t="s">
        <v>2088</v>
      </c>
      <c r="E2084" s="4" t="n">
        <v>0</v>
      </c>
    </row>
    <row r="2085" customFormat="false" ht="15" hidden="false" customHeight="false" outlineLevel="0" collapsed="false">
      <c r="A2085" s="3" t="n">
        <v>2017</v>
      </c>
      <c r="B2085" s="3" t="n">
        <v>9</v>
      </c>
      <c r="C2085" s="3" t="n">
        <v>14</v>
      </c>
      <c r="D2085" s="3" t="s">
        <v>2089</v>
      </c>
      <c r="E2085" s="4" t="n">
        <v>0</v>
      </c>
    </row>
    <row r="2086" customFormat="false" ht="15" hidden="false" customHeight="false" outlineLevel="0" collapsed="false">
      <c r="A2086" s="3" t="n">
        <v>2017</v>
      </c>
      <c r="B2086" s="3" t="n">
        <v>9</v>
      </c>
      <c r="C2086" s="3" t="n">
        <v>15</v>
      </c>
      <c r="D2086" s="3" t="s">
        <v>2090</v>
      </c>
      <c r="E2086" s="4" t="n">
        <v>0</v>
      </c>
    </row>
    <row r="2087" customFormat="false" ht="15" hidden="false" customHeight="false" outlineLevel="0" collapsed="false">
      <c r="A2087" s="3" t="n">
        <v>2017</v>
      </c>
      <c r="B2087" s="3" t="n">
        <v>9</v>
      </c>
      <c r="C2087" s="3" t="n">
        <v>16</v>
      </c>
      <c r="D2087" s="3" t="s">
        <v>2091</v>
      </c>
      <c r="E2087" s="4" t="n">
        <v>0</v>
      </c>
    </row>
    <row r="2088" customFormat="false" ht="15" hidden="false" customHeight="false" outlineLevel="0" collapsed="false">
      <c r="A2088" s="3" t="n">
        <v>2017</v>
      </c>
      <c r="B2088" s="3" t="n">
        <v>9</v>
      </c>
      <c r="C2088" s="3" t="n">
        <v>17</v>
      </c>
      <c r="D2088" s="3" t="s">
        <v>2092</v>
      </c>
      <c r="E2088" s="4" t="n">
        <v>0</v>
      </c>
    </row>
    <row r="2089" customFormat="false" ht="15" hidden="false" customHeight="false" outlineLevel="0" collapsed="false">
      <c r="A2089" s="3" t="n">
        <v>2017</v>
      </c>
      <c r="B2089" s="3" t="n">
        <v>9</v>
      </c>
      <c r="C2089" s="3" t="n">
        <v>18</v>
      </c>
      <c r="D2089" s="3" t="s">
        <v>2093</v>
      </c>
      <c r="E2089" s="4" t="n">
        <v>18</v>
      </c>
    </row>
    <row r="2090" customFormat="false" ht="15" hidden="false" customHeight="false" outlineLevel="0" collapsed="false">
      <c r="A2090" s="3" t="n">
        <v>2017</v>
      </c>
      <c r="B2090" s="3" t="n">
        <v>9</v>
      </c>
      <c r="C2090" s="3" t="n">
        <v>19</v>
      </c>
      <c r="D2090" s="3" t="s">
        <v>2094</v>
      </c>
      <c r="E2090" s="4" t="n">
        <v>4</v>
      </c>
    </row>
    <row r="2091" customFormat="false" ht="15" hidden="false" customHeight="false" outlineLevel="0" collapsed="false">
      <c r="A2091" s="3" t="n">
        <v>2017</v>
      </c>
      <c r="B2091" s="3" t="n">
        <v>9</v>
      </c>
      <c r="C2091" s="3" t="n">
        <v>20</v>
      </c>
      <c r="D2091" s="3" t="s">
        <v>2095</v>
      </c>
      <c r="E2091" s="4" t="n">
        <v>9</v>
      </c>
    </row>
    <row r="2092" customFormat="false" ht="15" hidden="false" customHeight="false" outlineLevel="0" collapsed="false">
      <c r="A2092" s="3" t="n">
        <v>2017</v>
      </c>
      <c r="B2092" s="3" t="n">
        <v>9</v>
      </c>
      <c r="C2092" s="3" t="n">
        <v>21</v>
      </c>
      <c r="D2092" s="3" t="s">
        <v>2096</v>
      </c>
      <c r="E2092" s="4" t="n">
        <v>0</v>
      </c>
    </row>
    <row r="2093" customFormat="false" ht="15" hidden="false" customHeight="false" outlineLevel="0" collapsed="false">
      <c r="A2093" s="3" t="n">
        <v>2017</v>
      </c>
      <c r="B2093" s="3" t="n">
        <v>9</v>
      </c>
      <c r="C2093" s="3" t="n">
        <v>22</v>
      </c>
      <c r="D2093" s="3" t="s">
        <v>2097</v>
      </c>
      <c r="E2093" s="4" t="n">
        <v>0</v>
      </c>
    </row>
    <row r="2094" customFormat="false" ht="15" hidden="false" customHeight="false" outlineLevel="0" collapsed="false">
      <c r="A2094" s="3" t="n">
        <v>2017</v>
      </c>
      <c r="B2094" s="3" t="n">
        <v>9</v>
      </c>
      <c r="C2094" s="3" t="n">
        <v>23</v>
      </c>
      <c r="D2094" s="3" t="s">
        <v>2098</v>
      </c>
      <c r="E2094" s="4" t="n">
        <v>0</v>
      </c>
    </row>
    <row r="2095" customFormat="false" ht="15" hidden="false" customHeight="false" outlineLevel="0" collapsed="false">
      <c r="A2095" s="3" t="n">
        <v>2017</v>
      </c>
      <c r="B2095" s="3" t="n">
        <v>9</v>
      </c>
      <c r="C2095" s="3" t="n">
        <v>24</v>
      </c>
      <c r="D2095" s="3" t="s">
        <v>2099</v>
      </c>
      <c r="E2095" s="4" t="n">
        <v>0</v>
      </c>
    </row>
    <row r="2096" customFormat="false" ht="15" hidden="false" customHeight="false" outlineLevel="0" collapsed="false">
      <c r="A2096" s="3" t="n">
        <v>2017</v>
      </c>
      <c r="B2096" s="3" t="n">
        <v>9</v>
      </c>
      <c r="C2096" s="3" t="n">
        <v>25</v>
      </c>
      <c r="D2096" s="3" t="s">
        <v>2100</v>
      </c>
      <c r="E2096" s="4" t="n">
        <v>0</v>
      </c>
    </row>
    <row r="2097" customFormat="false" ht="15" hidden="false" customHeight="false" outlineLevel="0" collapsed="false">
      <c r="A2097" s="3" t="n">
        <v>2017</v>
      </c>
      <c r="B2097" s="3" t="n">
        <v>9</v>
      </c>
      <c r="C2097" s="3" t="n">
        <v>26</v>
      </c>
      <c r="D2097" s="3" t="s">
        <v>2101</v>
      </c>
      <c r="E2097" s="4" t="n">
        <v>0</v>
      </c>
    </row>
    <row r="2098" customFormat="false" ht="15" hidden="false" customHeight="false" outlineLevel="0" collapsed="false">
      <c r="A2098" s="3" t="n">
        <v>2017</v>
      </c>
      <c r="B2098" s="3" t="n">
        <v>9</v>
      </c>
      <c r="C2098" s="3" t="n">
        <v>27</v>
      </c>
      <c r="D2098" s="3" t="s">
        <v>2102</v>
      </c>
      <c r="E2098" s="4" t="n">
        <v>0</v>
      </c>
    </row>
    <row r="2099" customFormat="false" ht="15" hidden="false" customHeight="false" outlineLevel="0" collapsed="false">
      <c r="A2099" s="3" t="n">
        <v>2017</v>
      </c>
      <c r="B2099" s="3" t="n">
        <v>9</v>
      </c>
      <c r="C2099" s="3" t="n">
        <v>28</v>
      </c>
      <c r="D2099" s="3" t="s">
        <v>2103</v>
      </c>
      <c r="E2099" s="4" t="n">
        <v>0</v>
      </c>
    </row>
    <row r="2100" customFormat="false" ht="15" hidden="false" customHeight="false" outlineLevel="0" collapsed="false">
      <c r="A2100" s="3" t="n">
        <v>2017</v>
      </c>
      <c r="B2100" s="3" t="n">
        <v>9</v>
      </c>
      <c r="C2100" s="3" t="n">
        <v>29</v>
      </c>
      <c r="D2100" s="3" t="s">
        <v>2104</v>
      </c>
      <c r="E2100" s="4" t="n">
        <v>3</v>
      </c>
    </row>
    <row r="2101" customFormat="false" ht="15" hidden="false" customHeight="false" outlineLevel="0" collapsed="false">
      <c r="A2101" s="3" t="n">
        <v>2017</v>
      </c>
      <c r="B2101" s="3" t="n">
        <v>9</v>
      </c>
      <c r="C2101" s="3" t="n">
        <v>30</v>
      </c>
      <c r="D2101" s="3" t="s">
        <v>2105</v>
      </c>
      <c r="E2101" s="4" t="n">
        <v>0</v>
      </c>
    </row>
    <row r="2102" customFormat="false" ht="15" hidden="false" customHeight="false" outlineLevel="0" collapsed="false">
      <c r="A2102" s="3" t="n">
        <v>2017</v>
      </c>
      <c r="B2102" s="3" t="n">
        <v>10</v>
      </c>
      <c r="C2102" s="3" t="n">
        <v>1</v>
      </c>
      <c r="D2102" s="3" t="s">
        <v>2106</v>
      </c>
      <c r="E2102" s="4" t="n">
        <v>32</v>
      </c>
    </row>
    <row r="2103" customFormat="false" ht="15" hidden="false" customHeight="false" outlineLevel="0" collapsed="false">
      <c r="A2103" s="3" t="n">
        <v>2017</v>
      </c>
      <c r="B2103" s="3" t="n">
        <v>10</v>
      </c>
      <c r="C2103" s="3" t="n">
        <v>2</v>
      </c>
      <c r="D2103" s="3" t="s">
        <v>2107</v>
      </c>
      <c r="E2103" s="4" t="n">
        <v>3</v>
      </c>
    </row>
    <row r="2104" customFormat="false" ht="15" hidden="false" customHeight="false" outlineLevel="0" collapsed="false">
      <c r="A2104" s="3" t="n">
        <v>2017</v>
      </c>
      <c r="B2104" s="3" t="n">
        <v>10</v>
      </c>
      <c r="C2104" s="3" t="n">
        <v>3</v>
      </c>
      <c r="D2104" s="3" t="s">
        <v>2108</v>
      </c>
      <c r="E2104" s="4" t="n">
        <v>5</v>
      </c>
    </row>
    <row r="2105" customFormat="false" ht="15" hidden="false" customHeight="false" outlineLevel="0" collapsed="false">
      <c r="A2105" s="3" t="n">
        <v>2017</v>
      </c>
      <c r="B2105" s="3" t="n">
        <v>10</v>
      </c>
      <c r="C2105" s="3" t="n">
        <v>4</v>
      </c>
      <c r="D2105" s="3" t="s">
        <v>2109</v>
      </c>
      <c r="E2105" s="4" t="n">
        <v>16</v>
      </c>
    </row>
    <row r="2106" customFormat="false" ht="15" hidden="false" customHeight="false" outlineLevel="0" collapsed="false">
      <c r="A2106" s="3" t="n">
        <v>2017</v>
      </c>
      <c r="B2106" s="3" t="n">
        <v>10</v>
      </c>
      <c r="C2106" s="3" t="n">
        <v>5</v>
      </c>
      <c r="D2106" s="3" t="s">
        <v>2110</v>
      </c>
      <c r="E2106" s="4" t="n">
        <v>3</v>
      </c>
    </row>
    <row r="2107" customFormat="false" ht="15" hidden="false" customHeight="false" outlineLevel="0" collapsed="false">
      <c r="A2107" s="3" t="n">
        <v>2017</v>
      </c>
      <c r="B2107" s="3" t="n">
        <v>10</v>
      </c>
      <c r="C2107" s="3" t="n">
        <v>6</v>
      </c>
      <c r="D2107" s="3" t="s">
        <v>2111</v>
      </c>
      <c r="E2107" s="4" t="n">
        <v>0</v>
      </c>
    </row>
    <row r="2108" customFormat="false" ht="15" hidden="false" customHeight="false" outlineLevel="0" collapsed="false">
      <c r="A2108" s="3" t="n">
        <v>2017</v>
      </c>
      <c r="B2108" s="3" t="n">
        <v>10</v>
      </c>
      <c r="C2108" s="3" t="n">
        <v>7</v>
      </c>
      <c r="D2108" s="3" t="s">
        <v>2112</v>
      </c>
      <c r="E2108" s="4" t="n">
        <v>0</v>
      </c>
    </row>
    <row r="2109" customFormat="false" ht="15" hidden="false" customHeight="false" outlineLevel="0" collapsed="false">
      <c r="A2109" s="3" t="n">
        <v>2017</v>
      </c>
      <c r="B2109" s="3" t="n">
        <v>10</v>
      </c>
      <c r="C2109" s="3" t="n">
        <v>8</v>
      </c>
      <c r="D2109" s="3" t="s">
        <v>2113</v>
      </c>
      <c r="E2109" s="4" t="n">
        <v>0</v>
      </c>
    </row>
    <row r="2110" customFormat="false" ht="15" hidden="false" customHeight="false" outlineLevel="0" collapsed="false">
      <c r="A2110" s="3" t="n">
        <v>2017</v>
      </c>
      <c r="B2110" s="3" t="n">
        <v>10</v>
      </c>
      <c r="C2110" s="3" t="n">
        <v>9</v>
      </c>
      <c r="D2110" s="3" t="s">
        <v>2114</v>
      </c>
      <c r="E2110" s="4" t="n">
        <v>15</v>
      </c>
    </row>
    <row r="2111" customFormat="false" ht="15" hidden="false" customHeight="false" outlineLevel="0" collapsed="false">
      <c r="A2111" s="3" t="n">
        <v>2017</v>
      </c>
      <c r="B2111" s="3" t="n">
        <v>10</v>
      </c>
      <c r="C2111" s="3" t="n">
        <v>10</v>
      </c>
      <c r="D2111" s="3" t="s">
        <v>2115</v>
      </c>
      <c r="E2111" s="4" t="n">
        <v>6</v>
      </c>
    </row>
    <row r="2112" customFormat="false" ht="15" hidden="false" customHeight="false" outlineLevel="0" collapsed="false">
      <c r="A2112" s="3" t="n">
        <v>2017</v>
      </c>
      <c r="B2112" s="3" t="n">
        <v>10</v>
      </c>
      <c r="C2112" s="3" t="n">
        <v>11</v>
      </c>
      <c r="D2112" s="3" t="s">
        <v>2116</v>
      </c>
      <c r="E2112" s="4" t="n">
        <v>0</v>
      </c>
    </row>
    <row r="2113" customFormat="false" ht="15" hidden="false" customHeight="false" outlineLevel="0" collapsed="false">
      <c r="A2113" s="3" t="n">
        <v>2017</v>
      </c>
      <c r="B2113" s="3" t="n">
        <v>10</v>
      </c>
      <c r="C2113" s="3" t="n">
        <v>12</v>
      </c>
      <c r="D2113" s="3" t="s">
        <v>2117</v>
      </c>
      <c r="E2113" s="4" t="n">
        <v>12</v>
      </c>
    </row>
    <row r="2114" customFormat="false" ht="15" hidden="false" customHeight="false" outlineLevel="0" collapsed="false">
      <c r="A2114" s="3" t="n">
        <v>2017</v>
      </c>
      <c r="B2114" s="3" t="n">
        <v>10</v>
      </c>
      <c r="C2114" s="3" t="n">
        <v>13</v>
      </c>
      <c r="D2114" s="3" t="s">
        <v>2118</v>
      </c>
      <c r="E2114" s="4" t="n">
        <v>0</v>
      </c>
    </row>
    <row r="2115" customFormat="false" ht="15" hidden="false" customHeight="false" outlineLevel="0" collapsed="false">
      <c r="A2115" s="3" t="n">
        <v>2017</v>
      </c>
      <c r="B2115" s="3" t="n">
        <v>10</v>
      </c>
      <c r="C2115" s="3" t="n">
        <v>14</v>
      </c>
      <c r="D2115" s="3" t="s">
        <v>2119</v>
      </c>
      <c r="E2115" s="4" t="n">
        <v>1</v>
      </c>
    </row>
    <row r="2116" customFormat="false" ht="15" hidden="false" customHeight="false" outlineLevel="0" collapsed="false">
      <c r="A2116" s="3" t="n">
        <v>2017</v>
      </c>
      <c r="B2116" s="3" t="n">
        <v>10</v>
      </c>
      <c r="C2116" s="3" t="n">
        <v>15</v>
      </c>
      <c r="D2116" s="3" t="s">
        <v>2120</v>
      </c>
      <c r="E2116" s="4" t="n">
        <v>0</v>
      </c>
    </row>
    <row r="2117" customFormat="false" ht="15" hidden="false" customHeight="false" outlineLevel="0" collapsed="false">
      <c r="A2117" s="3" t="n">
        <v>2017</v>
      </c>
      <c r="B2117" s="3" t="n">
        <v>10</v>
      </c>
      <c r="C2117" s="3" t="n">
        <v>16</v>
      </c>
      <c r="D2117" s="3" t="s">
        <v>2121</v>
      </c>
      <c r="E2117" s="4" t="n">
        <v>0</v>
      </c>
    </row>
    <row r="2118" customFormat="false" ht="15" hidden="false" customHeight="false" outlineLevel="0" collapsed="false">
      <c r="A2118" s="3" t="n">
        <v>2017</v>
      </c>
      <c r="B2118" s="3" t="n">
        <v>10</v>
      </c>
      <c r="C2118" s="3" t="n">
        <v>17</v>
      </c>
      <c r="D2118" s="3" t="s">
        <v>2122</v>
      </c>
      <c r="E2118" s="4" t="n">
        <v>7</v>
      </c>
    </row>
    <row r="2119" customFormat="false" ht="15" hidden="false" customHeight="false" outlineLevel="0" collapsed="false">
      <c r="A2119" s="3" t="n">
        <v>2017</v>
      </c>
      <c r="B2119" s="3" t="n">
        <v>10</v>
      </c>
      <c r="C2119" s="3" t="n">
        <v>18</v>
      </c>
      <c r="D2119" s="3" t="s">
        <v>2123</v>
      </c>
      <c r="E2119" s="4" t="n">
        <v>0</v>
      </c>
    </row>
    <row r="2120" customFormat="false" ht="15" hidden="false" customHeight="false" outlineLevel="0" collapsed="false">
      <c r="A2120" s="3" t="n">
        <v>2017</v>
      </c>
      <c r="B2120" s="3" t="n">
        <v>10</v>
      </c>
      <c r="C2120" s="3" t="n">
        <v>19</v>
      </c>
      <c r="D2120" s="3" t="s">
        <v>2124</v>
      </c>
      <c r="E2120" s="4" t="n">
        <v>0</v>
      </c>
    </row>
    <row r="2121" customFormat="false" ht="15" hidden="false" customHeight="false" outlineLevel="0" collapsed="false">
      <c r="A2121" s="3" t="n">
        <v>2017</v>
      </c>
      <c r="B2121" s="3" t="n">
        <v>10</v>
      </c>
      <c r="C2121" s="3" t="n">
        <v>20</v>
      </c>
      <c r="D2121" s="3" t="s">
        <v>2125</v>
      </c>
      <c r="E2121" s="4" t="n">
        <v>0</v>
      </c>
    </row>
    <row r="2122" customFormat="false" ht="15" hidden="false" customHeight="false" outlineLevel="0" collapsed="false">
      <c r="A2122" s="3" t="n">
        <v>2017</v>
      </c>
      <c r="B2122" s="3" t="n">
        <v>10</v>
      </c>
      <c r="C2122" s="3" t="n">
        <v>21</v>
      </c>
      <c r="D2122" s="3" t="s">
        <v>2126</v>
      </c>
      <c r="E2122" s="4" t="n">
        <v>0</v>
      </c>
    </row>
    <row r="2123" customFormat="false" ht="15" hidden="false" customHeight="false" outlineLevel="0" collapsed="false">
      <c r="A2123" s="3" t="n">
        <v>2017</v>
      </c>
      <c r="B2123" s="3" t="n">
        <v>10</v>
      </c>
      <c r="C2123" s="3" t="n">
        <v>22</v>
      </c>
      <c r="D2123" s="3" t="s">
        <v>2127</v>
      </c>
      <c r="E2123" s="4" t="n">
        <v>0</v>
      </c>
    </row>
    <row r="2124" customFormat="false" ht="15" hidden="false" customHeight="false" outlineLevel="0" collapsed="false">
      <c r="A2124" s="3" t="n">
        <v>2017</v>
      </c>
      <c r="B2124" s="3" t="n">
        <v>10</v>
      </c>
      <c r="C2124" s="3" t="n">
        <v>23</v>
      </c>
      <c r="D2124" s="3" t="s">
        <v>2128</v>
      </c>
      <c r="E2124" s="4" t="n">
        <v>0</v>
      </c>
    </row>
    <row r="2125" customFormat="false" ht="15" hidden="false" customHeight="false" outlineLevel="0" collapsed="false">
      <c r="A2125" s="3" t="n">
        <v>2017</v>
      </c>
      <c r="B2125" s="3" t="n">
        <v>10</v>
      </c>
      <c r="C2125" s="3" t="n">
        <v>24</v>
      </c>
      <c r="D2125" s="3" t="s">
        <v>2129</v>
      </c>
      <c r="E2125" s="4" t="n">
        <v>0</v>
      </c>
    </row>
    <row r="2126" customFormat="false" ht="15" hidden="false" customHeight="false" outlineLevel="0" collapsed="false">
      <c r="A2126" s="3" t="n">
        <v>2017</v>
      </c>
      <c r="B2126" s="3" t="n">
        <v>10</v>
      </c>
      <c r="C2126" s="3" t="n">
        <v>25</v>
      </c>
      <c r="D2126" s="3" t="s">
        <v>2130</v>
      </c>
      <c r="E2126" s="4" t="n">
        <v>0</v>
      </c>
    </row>
    <row r="2127" customFormat="false" ht="15" hidden="false" customHeight="false" outlineLevel="0" collapsed="false">
      <c r="A2127" s="3" t="n">
        <v>2017</v>
      </c>
      <c r="B2127" s="3" t="n">
        <v>10</v>
      </c>
      <c r="C2127" s="3" t="n">
        <v>26</v>
      </c>
      <c r="D2127" s="3" t="s">
        <v>2131</v>
      </c>
      <c r="E2127" s="4" t="n">
        <v>0</v>
      </c>
    </row>
    <row r="2128" customFormat="false" ht="15" hidden="false" customHeight="false" outlineLevel="0" collapsed="false">
      <c r="A2128" s="3" t="n">
        <v>2017</v>
      </c>
      <c r="B2128" s="3" t="n">
        <v>10</v>
      </c>
      <c r="C2128" s="3" t="n">
        <v>27</v>
      </c>
      <c r="D2128" s="3" t="s">
        <v>2132</v>
      </c>
      <c r="E2128" s="4" t="n">
        <v>0</v>
      </c>
    </row>
    <row r="2129" customFormat="false" ht="15" hidden="false" customHeight="false" outlineLevel="0" collapsed="false">
      <c r="A2129" s="3" t="n">
        <v>2017</v>
      </c>
      <c r="B2129" s="3" t="n">
        <v>10</v>
      </c>
      <c r="C2129" s="3" t="n">
        <v>28</v>
      </c>
      <c r="D2129" s="3" t="s">
        <v>2133</v>
      </c>
      <c r="E2129" s="4" t="n">
        <v>3</v>
      </c>
    </row>
    <row r="2130" customFormat="false" ht="15" hidden="false" customHeight="false" outlineLevel="0" collapsed="false">
      <c r="A2130" s="3" t="n">
        <v>2017</v>
      </c>
      <c r="B2130" s="3" t="n">
        <v>10</v>
      </c>
      <c r="C2130" s="3" t="n">
        <v>29</v>
      </c>
      <c r="D2130" s="3" t="s">
        <v>2134</v>
      </c>
      <c r="E2130" s="4" t="n">
        <v>0</v>
      </c>
    </row>
    <row r="2131" customFormat="false" ht="15" hidden="false" customHeight="false" outlineLevel="0" collapsed="false">
      <c r="A2131" s="3" t="n">
        <v>2017</v>
      </c>
      <c r="B2131" s="3" t="n">
        <v>10</v>
      </c>
      <c r="C2131" s="3" t="n">
        <v>30</v>
      </c>
      <c r="D2131" s="3" t="s">
        <v>2135</v>
      </c>
      <c r="E2131" s="4" t="n">
        <v>4</v>
      </c>
    </row>
    <row r="2132" customFormat="false" ht="15" hidden="false" customHeight="false" outlineLevel="0" collapsed="false">
      <c r="A2132" s="3" t="n">
        <v>2017</v>
      </c>
      <c r="B2132" s="3" t="n">
        <v>10</v>
      </c>
      <c r="C2132" s="3" t="n">
        <v>31</v>
      </c>
      <c r="D2132" s="3" t="s">
        <v>2136</v>
      </c>
      <c r="E2132" s="4" t="n">
        <v>0</v>
      </c>
    </row>
    <row r="2133" customFormat="false" ht="15" hidden="false" customHeight="false" outlineLevel="0" collapsed="false">
      <c r="A2133" s="3" t="n">
        <v>2017</v>
      </c>
      <c r="B2133" s="3" t="n">
        <v>11</v>
      </c>
      <c r="C2133" s="3" t="n">
        <v>1</v>
      </c>
      <c r="D2133" s="3" t="s">
        <v>2137</v>
      </c>
      <c r="E2133" s="4" t="n">
        <v>12</v>
      </c>
    </row>
    <row r="2134" customFormat="false" ht="15" hidden="false" customHeight="false" outlineLevel="0" collapsed="false">
      <c r="A2134" s="3" t="n">
        <v>2017</v>
      </c>
      <c r="B2134" s="3" t="n">
        <v>11</v>
      </c>
      <c r="C2134" s="3" t="n">
        <v>2</v>
      </c>
      <c r="D2134" s="3" t="s">
        <v>2138</v>
      </c>
      <c r="E2134" s="4" t="n">
        <v>9</v>
      </c>
    </row>
    <row r="2135" customFormat="false" ht="15" hidden="false" customHeight="false" outlineLevel="0" collapsed="false">
      <c r="A2135" s="3" t="n">
        <v>2017</v>
      </c>
      <c r="B2135" s="3" t="n">
        <v>11</v>
      </c>
      <c r="C2135" s="3" t="n">
        <v>3</v>
      </c>
      <c r="D2135" s="3" t="s">
        <v>2139</v>
      </c>
      <c r="E2135" s="4" t="n">
        <v>1</v>
      </c>
    </row>
    <row r="2136" customFormat="false" ht="15" hidden="false" customHeight="false" outlineLevel="0" collapsed="false">
      <c r="A2136" s="3" t="n">
        <v>2017</v>
      </c>
      <c r="B2136" s="3" t="n">
        <v>11</v>
      </c>
      <c r="C2136" s="3" t="n">
        <v>4</v>
      </c>
      <c r="D2136" s="3" t="s">
        <v>2140</v>
      </c>
      <c r="E2136" s="4" t="n">
        <v>4</v>
      </c>
    </row>
    <row r="2137" customFormat="false" ht="15" hidden="false" customHeight="false" outlineLevel="0" collapsed="false">
      <c r="A2137" s="3" t="n">
        <v>2017</v>
      </c>
      <c r="B2137" s="3" t="n">
        <v>11</v>
      </c>
      <c r="C2137" s="3" t="n">
        <v>5</v>
      </c>
      <c r="D2137" s="3" t="s">
        <v>2141</v>
      </c>
      <c r="E2137" s="4" t="n">
        <v>12</v>
      </c>
    </row>
    <row r="2138" customFormat="false" ht="15" hidden="false" customHeight="false" outlineLevel="0" collapsed="false">
      <c r="A2138" s="3" t="n">
        <v>2017</v>
      </c>
      <c r="B2138" s="3" t="n">
        <v>11</v>
      </c>
      <c r="C2138" s="3" t="n">
        <v>6</v>
      </c>
      <c r="D2138" s="3" t="s">
        <v>2142</v>
      </c>
      <c r="E2138" s="4" t="n">
        <v>1</v>
      </c>
    </row>
    <row r="2139" customFormat="false" ht="15" hidden="false" customHeight="false" outlineLevel="0" collapsed="false">
      <c r="A2139" s="3" t="n">
        <v>2017</v>
      </c>
      <c r="B2139" s="3" t="n">
        <v>11</v>
      </c>
      <c r="C2139" s="3" t="n">
        <v>7</v>
      </c>
      <c r="D2139" s="3" t="s">
        <v>2143</v>
      </c>
      <c r="E2139" s="4" t="n">
        <v>1</v>
      </c>
    </row>
    <row r="2140" customFormat="false" ht="15" hidden="false" customHeight="false" outlineLevel="0" collapsed="false">
      <c r="A2140" s="3" t="n">
        <v>2017</v>
      </c>
      <c r="B2140" s="3" t="n">
        <v>11</v>
      </c>
      <c r="C2140" s="3" t="n">
        <v>8</v>
      </c>
      <c r="D2140" s="3" t="s">
        <v>2144</v>
      </c>
      <c r="E2140" s="4" t="n">
        <v>7</v>
      </c>
    </row>
    <row r="2141" customFormat="false" ht="15" hidden="false" customHeight="false" outlineLevel="0" collapsed="false">
      <c r="A2141" s="3" t="n">
        <v>2017</v>
      </c>
      <c r="B2141" s="3" t="n">
        <v>11</v>
      </c>
      <c r="C2141" s="3" t="n">
        <v>9</v>
      </c>
      <c r="D2141" s="3" t="s">
        <v>2145</v>
      </c>
      <c r="E2141" s="4" t="n">
        <v>19</v>
      </c>
    </row>
    <row r="2142" customFormat="false" ht="15" hidden="false" customHeight="false" outlineLevel="0" collapsed="false">
      <c r="A2142" s="3" t="n">
        <v>2017</v>
      </c>
      <c r="B2142" s="3" t="n">
        <v>11</v>
      </c>
      <c r="C2142" s="3" t="n">
        <v>10</v>
      </c>
      <c r="D2142" s="3" t="s">
        <v>2146</v>
      </c>
      <c r="E2142" s="4" t="n">
        <v>0</v>
      </c>
    </row>
    <row r="2143" customFormat="false" ht="15" hidden="false" customHeight="false" outlineLevel="0" collapsed="false">
      <c r="A2143" s="3" t="n">
        <v>2017</v>
      </c>
      <c r="B2143" s="3" t="n">
        <v>11</v>
      </c>
      <c r="C2143" s="3" t="n">
        <v>11</v>
      </c>
      <c r="D2143" s="3" t="s">
        <v>2147</v>
      </c>
      <c r="E2143" s="4" t="n">
        <v>2</v>
      </c>
    </row>
    <row r="2144" customFormat="false" ht="15" hidden="false" customHeight="false" outlineLevel="0" collapsed="false">
      <c r="A2144" s="3" t="n">
        <v>2017</v>
      </c>
      <c r="B2144" s="3" t="n">
        <v>11</v>
      </c>
      <c r="C2144" s="3" t="n">
        <v>12</v>
      </c>
      <c r="D2144" s="3" t="s">
        <v>2148</v>
      </c>
      <c r="E2144" s="4" t="n">
        <v>14</v>
      </c>
    </row>
    <row r="2145" customFormat="false" ht="15" hidden="false" customHeight="false" outlineLevel="0" collapsed="false">
      <c r="A2145" s="3" t="n">
        <v>2017</v>
      </c>
      <c r="B2145" s="3" t="n">
        <v>11</v>
      </c>
      <c r="C2145" s="3" t="n">
        <v>13</v>
      </c>
      <c r="D2145" s="3" t="s">
        <v>2149</v>
      </c>
      <c r="E2145" s="4" t="n">
        <v>2</v>
      </c>
    </row>
    <row r="2146" customFormat="false" ht="15" hidden="false" customHeight="false" outlineLevel="0" collapsed="false">
      <c r="A2146" s="3" t="n">
        <v>2017</v>
      </c>
      <c r="B2146" s="3" t="n">
        <v>11</v>
      </c>
      <c r="C2146" s="3" t="n">
        <v>14</v>
      </c>
      <c r="D2146" s="3" t="s">
        <v>2150</v>
      </c>
      <c r="E2146" s="4" t="n">
        <v>0</v>
      </c>
    </row>
    <row r="2147" customFormat="false" ht="15" hidden="false" customHeight="false" outlineLevel="0" collapsed="false">
      <c r="A2147" s="3" t="n">
        <v>2017</v>
      </c>
      <c r="B2147" s="3" t="n">
        <v>11</v>
      </c>
      <c r="C2147" s="3" t="n">
        <v>15</v>
      </c>
      <c r="D2147" s="3" t="s">
        <v>2151</v>
      </c>
      <c r="E2147" s="4" t="n">
        <v>34</v>
      </c>
    </row>
    <row r="2148" customFormat="false" ht="15" hidden="false" customHeight="false" outlineLevel="0" collapsed="false">
      <c r="A2148" s="3" t="n">
        <v>2017</v>
      </c>
      <c r="B2148" s="3" t="n">
        <v>11</v>
      </c>
      <c r="C2148" s="3" t="n">
        <v>16</v>
      </c>
      <c r="D2148" s="3" t="s">
        <v>2152</v>
      </c>
      <c r="E2148" s="4" t="n">
        <v>10</v>
      </c>
    </row>
    <row r="2149" customFormat="false" ht="15" hidden="false" customHeight="false" outlineLevel="0" collapsed="false">
      <c r="A2149" s="3" t="n">
        <v>2017</v>
      </c>
      <c r="B2149" s="3" t="n">
        <v>11</v>
      </c>
      <c r="C2149" s="3" t="n">
        <v>17</v>
      </c>
      <c r="D2149" s="3" t="s">
        <v>2153</v>
      </c>
      <c r="E2149" s="4" t="n">
        <v>0</v>
      </c>
    </row>
    <row r="2150" customFormat="false" ht="15" hidden="false" customHeight="false" outlineLevel="0" collapsed="false">
      <c r="A2150" s="3" t="n">
        <v>2017</v>
      </c>
      <c r="B2150" s="3" t="n">
        <v>11</v>
      </c>
      <c r="C2150" s="3" t="n">
        <v>18</v>
      </c>
      <c r="D2150" s="3" t="s">
        <v>2154</v>
      </c>
      <c r="E2150" s="4" t="n">
        <v>0</v>
      </c>
    </row>
    <row r="2151" customFormat="false" ht="15" hidden="false" customHeight="false" outlineLevel="0" collapsed="false">
      <c r="A2151" s="3" t="n">
        <v>2017</v>
      </c>
      <c r="B2151" s="3" t="n">
        <v>11</v>
      </c>
      <c r="C2151" s="3" t="n">
        <v>19</v>
      </c>
      <c r="D2151" s="3" t="s">
        <v>2155</v>
      </c>
      <c r="E2151" s="4"/>
    </row>
    <row r="2152" customFormat="false" ht="15" hidden="false" customHeight="false" outlineLevel="0" collapsed="false">
      <c r="A2152" s="3" t="n">
        <v>2017</v>
      </c>
      <c r="B2152" s="3" t="n">
        <v>11</v>
      </c>
      <c r="C2152" s="3" t="n">
        <v>20</v>
      </c>
      <c r="D2152" s="3" t="s">
        <v>2156</v>
      </c>
      <c r="E2152" s="4" t="n">
        <v>0</v>
      </c>
    </row>
    <row r="2153" customFormat="false" ht="15" hidden="false" customHeight="false" outlineLevel="0" collapsed="false">
      <c r="A2153" s="3" t="n">
        <v>2017</v>
      </c>
      <c r="B2153" s="3" t="n">
        <v>11</v>
      </c>
      <c r="C2153" s="3" t="n">
        <v>21</v>
      </c>
      <c r="D2153" s="3" t="s">
        <v>2157</v>
      </c>
      <c r="E2153" s="4" t="n">
        <v>14</v>
      </c>
    </row>
    <row r="2154" customFormat="false" ht="15" hidden="false" customHeight="false" outlineLevel="0" collapsed="false">
      <c r="A2154" s="3" t="n">
        <v>2017</v>
      </c>
      <c r="B2154" s="3" t="n">
        <v>11</v>
      </c>
      <c r="C2154" s="3" t="n">
        <v>22</v>
      </c>
      <c r="D2154" s="3" t="s">
        <v>2158</v>
      </c>
      <c r="E2154" s="4" t="n">
        <v>0</v>
      </c>
    </row>
    <row r="2155" customFormat="false" ht="15" hidden="false" customHeight="false" outlineLevel="0" collapsed="false">
      <c r="A2155" s="3" t="n">
        <v>2017</v>
      </c>
      <c r="B2155" s="3" t="n">
        <v>11</v>
      </c>
      <c r="C2155" s="3" t="n">
        <v>23</v>
      </c>
      <c r="D2155" s="3" t="s">
        <v>2159</v>
      </c>
      <c r="E2155" s="4" t="n">
        <v>0</v>
      </c>
    </row>
    <row r="2156" customFormat="false" ht="15" hidden="false" customHeight="false" outlineLevel="0" collapsed="false">
      <c r="A2156" s="3" t="n">
        <v>2017</v>
      </c>
      <c r="B2156" s="3" t="n">
        <v>11</v>
      </c>
      <c r="C2156" s="3" t="n">
        <v>24</v>
      </c>
      <c r="D2156" s="3" t="s">
        <v>2160</v>
      </c>
      <c r="E2156" s="4" t="n">
        <v>8</v>
      </c>
    </row>
    <row r="2157" customFormat="false" ht="15" hidden="false" customHeight="false" outlineLevel="0" collapsed="false">
      <c r="A2157" s="3" t="n">
        <v>2017</v>
      </c>
      <c r="B2157" s="3" t="n">
        <v>11</v>
      </c>
      <c r="C2157" s="3" t="n">
        <v>25</v>
      </c>
      <c r="D2157" s="3" t="s">
        <v>2161</v>
      </c>
      <c r="E2157" s="4" t="n">
        <v>15</v>
      </c>
    </row>
    <row r="2158" customFormat="false" ht="15" hidden="false" customHeight="false" outlineLevel="0" collapsed="false">
      <c r="A2158" s="3" t="n">
        <v>2017</v>
      </c>
      <c r="B2158" s="3" t="n">
        <v>11</v>
      </c>
      <c r="C2158" s="3" t="n">
        <v>26</v>
      </c>
      <c r="D2158" s="3" t="s">
        <v>2162</v>
      </c>
      <c r="E2158" s="4" t="n">
        <v>0</v>
      </c>
    </row>
    <row r="2159" customFormat="false" ht="15" hidden="false" customHeight="false" outlineLevel="0" collapsed="false">
      <c r="A2159" s="3" t="n">
        <v>2017</v>
      </c>
      <c r="B2159" s="3" t="n">
        <v>11</v>
      </c>
      <c r="C2159" s="3" t="n">
        <v>27</v>
      </c>
      <c r="D2159" s="3" t="s">
        <v>2163</v>
      </c>
      <c r="E2159" s="4" t="n">
        <v>8</v>
      </c>
    </row>
    <row r="2160" customFormat="false" ht="15" hidden="false" customHeight="false" outlineLevel="0" collapsed="false">
      <c r="A2160" s="3" t="n">
        <v>2017</v>
      </c>
      <c r="B2160" s="3" t="n">
        <v>11</v>
      </c>
      <c r="C2160" s="3" t="n">
        <v>28</v>
      </c>
      <c r="D2160" s="3" t="s">
        <v>2164</v>
      </c>
      <c r="E2160" s="4" t="n">
        <v>0</v>
      </c>
    </row>
    <row r="2161" customFormat="false" ht="15" hidden="false" customHeight="false" outlineLevel="0" collapsed="false">
      <c r="A2161" s="3" t="n">
        <v>2017</v>
      </c>
      <c r="B2161" s="3" t="n">
        <v>11</v>
      </c>
      <c r="C2161" s="3" t="n">
        <v>29</v>
      </c>
      <c r="D2161" s="3" t="s">
        <v>2165</v>
      </c>
      <c r="E2161" s="4" t="n">
        <v>0</v>
      </c>
    </row>
    <row r="2162" customFormat="false" ht="15" hidden="false" customHeight="false" outlineLevel="0" collapsed="false">
      <c r="A2162" s="3" t="n">
        <v>2017</v>
      </c>
      <c r="B2162" s="3" t="n">
        <v>11</v>
      </c>
      <c r="C2162" s="3" t="n">
        <v>30</v>
      </c>
      <c r="D2162" s="3" t="s">
        <v>2166</v>
      </c>
      <c r="E2162" s="4" t="n">
        <v>11</v>
      </c>
    </row>
    <row r="2163" customFormat="false" ht="15" hidden="false" customHeight="false" outlineLevel="0" collapsed="false">
      <c r="A2163" s="3" t="n">
        <v>2017</v>
      </c>
      <c r="B2163" s="3" t="n">
        <v>12</v>
      </c>
      <c r="C2163" s="3" t="n">
        <v>1</v>
      </c>
      <c r="D2163" s="3" t="s">
        <v>2167</v>
      </c>
      <c r="E2163" s="4" t="n">
        <v>8</v>
      </c>
    </row>
    <row r="2164" customFormat="false" ht="15" hidden="false" customHeight="false" outlineLevel="0" collapsed="false">
      <c r="A2164" s="3" t="n">
        <v>2017</v>
      </c>
      <c r="B2164" s="3" t="n">
        <v>12</v>
      </c>
      <c r="C2164" s="3" t="n">
        <v>2</v>
      </c>
      <c r="D2164" s="3" t="s">
        <v>2168</v>
      </c>
      <c r="E2164" s="4" t="n">
        <v>0</v>
      </c>
    </row>
    <row r="2165" customFormat="false" ht="15" hidden="false" customHeight="false" outlineLevel="0" collapsed="false">
      <c r="A2165" s="3" t="n">
        <v>2017</v>
      </c>
      <c r="B2165" s="3" t="n">
        <v>12</v>
      </c>
      <c r="C2165" s="3" t="n">
        <v>3</v>
      </c>
      <c r="D2165" s="3" t="s">
        <v>2169</v>
      </c>
      <c r="E2165" s="4" t="n">
        <v>0</v>
      </c>
    </row>
    <row r="2166" customFormat="false" ht="15" hidden="false" customHeight="false" outlineLevel="0" collapsed="false">
      <c r="A2166" s="3" t="n">
        <v>2017</v>
      </c>
      <c r="B2166" s="3" t="n">
        <v>12</v>
      </c>
      <c r="C2166" s="3" t="n">
        <v>4</v>
      </c>
      <c r="D2166" s="3" t="s">
        <v>2170</v>
      </c>
      <c r="E2166" s="4" t="n">
        <v>0</v>
      </c>
    </row>
    <row r="2167" customFormat="false" ht="15" hidden="false" customHeight="false" outlineLevel="0" collapsed="false">
      <c r="A2167" s="3" t="n">
        <v>2017</v>
      </c>
      <c r="B2167" s="3" t="n">
        <v>12</v>
      </c>
      <c r="C2167" s="3" t="n">
        <v>5</v>
      </c>
      <c r="D2167" s="3" t="s">
        <v>2171</v>
      </c>
      <c r="E2167" s="4" t="n">
        <v>0</v>
      </c>
    </row>
    <row r="2168" customFormat="false" ht="15" hidden="false" customHeight="false" outlineLevel="0" collapsed="false">
      <c r="A2168" s="3" t="n">
        <v>2017</v>
      </c>
      <c r="B2168" s="3" t="n">
        <v>12</v>
      </c>
      <c r="C2168" s="3" t="n">
        <v>6</v>
      </c>
      <c r="D2168" s="3" t="s">
        <v>2172</v>
      </c>
      <c r="E2168" s="4" t="n">
        <v>5</v>
      </c>
    </row>
    <row r="2169" customFormat="false" ht="15" hidden="false" customHeight="false" outlineLevel="0" collapsed="false">
      <c r="A2169" s="3" t="n">
        <v>2017</v>
      </c>
      <c r="B2169" s="3" t="n">
        <v>12</v>
      </c>
      <c r="C2169" s="3" t="n">
        <v>7</v>
      </c>
      <c r="D2169" s="3" t="s">
        <v>2173</v>
      </c>
      <c r="E2169" s="4" t="n">
        <v>15</v>
      </c>
    </row>
    <row r="2170" customFormat="false" ht="15" hidden="false" customHeight="false" outlineLevel="0" collapsed="false">
      <c r="A2170" s="3" t="n">
        <v>2017</v>
      </c>
      <c r="B2170" s="3" t="n">
        <v>12</v>
      </c>
      <c r="C2170" s="3" t="n">
        <v>8</v>
      </c>
      <c r="D2170" s="3" t="s">
        <v>2174</v>
      </c>
      <c r="E2170" s="4" t="n">
        <v>1</v>
      </c>
    </row>
    <row r="2171" customFormat="false" ht="15" hidden="false" customHeight="false" outlineLevel="0" collapsed="false">
      <c r="A2171" s="3" t="n">
        <v>2017</v>
      </c>
      <c r="B2171" s="3" t="n">
        <v>12</v>
      </c>
      <c r="C2171" s="3" t="n">
        <v>9</v>
      </c>
      <c r="D2171" s="3" t="s">
        <v>2175</v>
      </c>
      <c r="E2171" s="4" t="n">
        <v>44</v>
      </c>
    </row>
    <row r="2172" customFormat="false" ht="15" hidden="false" customHeight="false" outlineLevel="0" collapsed="false">
      <c r="A2172" s="3" t="n">
        <v>2017</v>
      </c>
      <c r="B2172" s="3" t="n">
        <v>12</v>
      </c>
      <c r="C2172" s="3" t="n">
        <v>10</v>
      </c>
      <c r="D2172" s="3" t="s">
        <v>2176</v>
      </c>
      <c r="E2172" s="4" t="n">
        <v>0</v>
      </c>
    </row>
    <row r="2173" customFormat="false" ht="15" hidden="false" customHeight="false" outlineLevel="0" collapsed="false">
      <c r="A2173" s="3" t="n">
        <v>2017</v>
      </c>
      <c r="B2173" s="3" t="n">
        <v>12</v>
      </c>
      <c r="C2173" s="3" t="n">
        <v>11</v>
      </c>
      <c r="D2173" s="3" t="s">
        <v>2177</v>
      </c>
      <c r="E2173" s="4" t="n">
        <v>1</v>
      </c>
    </row>
    <row r="2174" customFormat="false" ht="15" hidden="false" customHeight="false" outlineLevel="0" collapsed="false">
      <c r="A2174" s="3" t="n">
        <v>2017</v>
      </c>
      <c r="B2174" s="3" t="n">
        <v>12</v>
      </c>
      <c r="C2174" s="3" t="n">
        <v>12</v>
      </c>
      <c r="D2174" s="3" t="s">
        <v>2178</v>
      </c>
      <c r="E2174" s="4" t="n">
        <v>5</v>
      </c>
    </row>
    <row r="2175" customFormat="false" ht="15" hidden="false" customHeight="false" outlineLevel="0" collapsed="false">
      <c r="A2175" s="3" t="n">
        <v>2017</v>
      </c>
      <c r="B2175" s="3" t="n">
        <v>12</v>
      </c>
      <c r="C2175" s="3" t="n">
        <v>13</v>
      </c>
      <c r="D2175" s="3" t="s">
        <v>2179</v>
      </c>
      <c r="E2175" s="4" t="n">
        <v>2</v>
      </c>
    </row>
    <row r="2176" customFormat="false" ht="15" hidden="false" customHeight="false" outlineLevel="0" collapsed="false">
      <c r="A2176" s="3" t="n">
        <v>2017</v>
      </c>
      <c r="B2176" s="3" t="n">
        <v>12</v>
      </c>
      <c r="C2176" s="3" t="n">
        <v>14</v>
      </c>
      <c r="D2176" s="3" t="s">
        <v>2180</v>
      </c>
      <c r="E2176" s="4" t="n">
        <v>7</v>
      </c>
    </row>
    <row r="2177" customFormat="false" ht="15" hidden="false" customHeight="false" outlineLevel="0" collapsed="false">
      <c r="A2177" s="3" t="n">
        <v>2017</v>
      </c>
      <c r="B2177" s="3" t="n">
        <v>12</v>
      </c>
      <c r="C2177" s="3" t="n">
        <v>15</v>
      </c>
      <c r="D2177" s="3" t="s">
        <v>2181</v>
      </c>
      <c r="E2177" s="4" t="n">
        <v>0</v>
      </c>
    </row>
    <row r="2178" customFormat="false" ht="15" hidden="false" customHeight="false" outlineLevel="0" collapsed="false">
      <c r="A2178" s="3" t="n">
        <v>2017</v>
      </c>
      <c r="B2178" s="3" t="n">
        <v>12</v>
      </c>
      <c r="C2178" s="3" t="n">
        <v>16</v>
      </c>
      <c r="D2178" s="3" t="s">
        <v>2182</v>
      </c>
      <c r="E2178" s="4" t="n">
        <v>0</v>
      </c>
    </row>
    <row r="2179" customFormat="false" ht="15" hidden="false" customHeight="false" outlineLevel="0" collapsed="false">
      <c r="A2179" s="3" t="n">
        <v>2017</v>
      </c>
      <c r="B2179" s="3" t="n">
        <v>12</v>
      </c>
      <c r="C2179" s="3" t="n">
        <v>17</v>
      </c>
      <c r="D2179" s="3" t="s">
        <v>2183</v>
      </c>
      <c r="E2179" s="4" t="n">
        <v>2</v>
      </c>
    </row>
    <row r="2180" customFormat="false" ht="15" hidden="false" customHeight="false" outlineLevel="0" collapsed="false">
      <c r="A2180" s="3" t="n">
        <v>2017</v>
      </c>
      <c r="B2180" s="3" t="n">
        <v>12</v>
      </c>
      <c r="C2180" s="3" t="n">
        <v>18</v>
      </c>
      <c r="D2180" s="3" t="s">
        <v>2184</v>
      </c>
      <c r="E2180" s="4" t="n">
        <v>1</v>
      </c>
    </row>
    <row r="2181" customFormat="false" ht="15" hidden="false" customHeight="false" outlineLevel="0" collapsed="false">
      <c r="A2181" s="3" t="n">
        <v>2017</v>
      </c>
      <c r="B2181" s="3" t="n">
        <v>12</v>
      </c>
      <c r="C2181" s="3" t="n">
        <v>19</v>
      </c>
      <c r="D2181" s="3" t="s">
        <v>2185</v>
      </c>
      <c r="E2181" s="4" t="n">
        <v>0</v>
      </c>
    </row>
    <row r="2182" customFormat="false" ht="15" hidden="false" customHeight="false" outlineLevel="0" collapsed="false">
      <c r="A2182" s="3" t="n">
        <v>2017</v>
      </c>
      <c r="B2182" s="3" t="n">
        <v>12</v>
      </c>
      <c r="C2182" s="3" t="n">
        <v>20</v>
      </c>
      <c r="D2182" s="3" t="s">
        <v>2186</v>
      </c>
      <c r="E2182" s="4" t="n">
        <v>5</v>
      </c>
    </row>
    <row r="2183" customFormat="false" ht="15" hidden="false" customHeight="false" outlineLevel="0" collapsed="false">
      <c r="A2183" s="3" t="n">
        <v>2017</v>
      </c>
      <c r="B2183" s="3" t="n">
        <v>12</v>
      </c>
      <c r="C2183" s="3" t="n">
        <v>21</v>
      </c>
      <c r="D2183" s="3" t="s">
        <v>2187</v>
      </c>
      <c r="E2183" s="4" t="n">
        <v>0</v>
      </c>
    </row>
    <row r="2184" customFormat="false" ht="15" hidden="false" customHeight="false" outlineLevel="0" collapsed="false">
      <c r="A2184" s="3" t="n">
        <v>2017</v>
      </c>
      <c r="B2184" s="3" t="n">
        <v>12</v>
      </c>
      <c r="C2184" s="3" t="n">
        <v>22</v>
      </c>
      <c r="D2184" s="3" t="s">
        <v>2188</v>
      </c>
      <c r="E2184" s="4" t="n">
        <v>0</v>
      </c>
    </row>
    <row r="2185" customFormat="false" ht="15" hidden="false" customHeight="false" outlineLevel="0" collapsed="false">
      <c r="A2185" s="3" t="n">
        <v>2017</v>
      </c>
      <c r="B2185" s="3" t="n">
        <v>12</v>
      </c>
      <c r="C2185" s="3" t="n">
        <v>23</v>
      </c>
      <c r="D2185" s="3" t="s">
        <v>2189</v>
      </c>
      <c r="E2185" s="4" t="n">
        <v>0</v>
      </c>
    </row>
    <row r="2186" customFormat="false" ht="15" hidden="false" customHeight="false" outlineLevel="0" collapsed="false">
      <c r="A2186" s="3" t="n">
        <v>2017</v>
      </c>
      <c r="B2186" s="3" t="n">
        <v>12</v>
      </c>
      <c r="C2186" s="3" t="n">
        <v>24</v>
      </c>
      <c r="D2186" s="3" t="s">
        <v>2190</v>
      </c>
      <c r="E2186" s="4" t="n">
        <v>0</v>
      </c>
    </row>
    <row r="2187" customFormat="false" ht="15" hidden="false" customHeight="false" outlineLevel="0" collapsed="false">
      <c r="A2187" s="3" t="n">
        <v>2017</v>
      </c>
      <c r="B2187" s="3" t="n">
        <v>12</v>
      </c>
      <c r="C2187" s="3" t="n">
        <v>25</v>
      </c>
      <c r="D2187" s="3" t="s">
        <v>2191</v>
      </c>
      <c r="E2187" s="4" t="n">
        <v>15</v>
      </c>
    </row>
    <row r="2188" customFormat="false" ht="15" hidden="false" customHeight="false" outlineLevel="0" collapsed="false">
      <c r="A2188" s="3" t="n">
        <v>2017</v>
      </c>
      <c r="B2188" s="3" t="n">
        <v>12</v>
      </c>
      <c r="C2188" s="3" t="n">
        <v>26</v>
      </c>
      <c r="D2188" s="3" t="s">
        <v>2192</v>
      </c>
      <c r="E2188" s="4" t="n">
        <v>4</v>
      </c>
    </row>
    <row r="2189" customFormat="false" ht="15" hidden="false" customHeight="false" outlineLevel="0" collapsed="false">
      <c r="A2189" s="3" t="n">
        <v>2017</v>
      </c>
      <c r="B2189" s="3" t="n">
        <v>12</v>
      </c>
      <c r="C2189" s="3" t="n">
        <v>27</v>
      </c>
      <c r="D2189" s="3" t="s">
        <v>2193</v>
      </c>
      <c r="E2189" s="4" t="n">
        <v>0</v>
      </c>
    </row>
    <row r="2190" customFormat="false" ht="15" hidden="false" customHeight="false" outlineLevel="0" collapsed="false">
      <c r="A2190" s="3" t="n">
        <v>2017</v>
      </c>
      <c r="B2190" s="3" t="n">
        <v>12</v>
      </c>
      <c r="C2190" s="3" t="n">
        <v>28</v>
      </c>
      <c r="D2190" s="3" t="s">
        <v>2194</v>
      </c>
      <c r="E2190" s="4" t="n">
        <v>0</v>
      </c>
    </row>
    <row r="2191" customFormat="false" ht="15" hidden="false" customHeight="false" outlineLevel="0" collapsed="false">
      <c r="A2191" s="3" t="n">
        <v>2017</v>
      </c>
      <c r="B2191" s="3" t="n">
        <v>12</v>
      </c>
      <c r="C2191" s="3" t="n">
        <v>29</v>
      </c>
      <c r="D2191" s="3" t="s">
        <v>2195</v>
      </c>
      <c r="E2191" s="4" t="n">
        <v>0</v>
      </c>
    </row>
    <row r="2192" customFormat="false" ht="15" hidden="false" customHeight="false" outlineLevel="0" collapsed="false">
      <c r="A2192" s="3" t="n">
        <v>2017</v>
      </c>
      <c r="B2192" s="3" t="n">
        <v>12</v>
      </c>
      <c r="C2192" s="3" t="n">
        <v>30</v>
      </c>
      <c r="D2192" s="3" t="s">
        <v>2196</v>
      </c>
      <c r="E2192" s="4" t="n">
        <v>2</v>
      </c>
    </row>
    <row r="2193" customFormat="false" ht="15" hidden="false" customHeight="false" outlineLevel="0" collapsed="false">
      <c r="A2193" s="3" t="n">
        <v>2017</v>
      </c>
      <c r="B2193" s="3" t="n">
        <v>12</v>
      </c>
      <c r="C2193" s="3" t="n">
        <v>31</v>
      </c>
      <c r="D2193" s="3" t="s">
        <v>2197</v>
      </c>
      <c r="E2193" s="4" t="n">
        <v>3</v>
      </c>
    </row>
    <row r="2194" customFormat="false" ht="15" hidden="false" customHeight="false" outlineLevel="0" collapsed="false">
      <c r="A2194" s="3" t="n">
        <v>2018</v>
      </c>
      <c r="B2194" s="3" t="n">
        <v>1</v>
      </c>
      <c r="C2194" s="3" t="n">
        <v>1</v>
      </c>
      <c r="D2194" s="3" t="s">
        <v>2198</v>
      </c>
      <c r="E2194" s="4" t="n">
        <v>3</v>
      </c>
    </row>
    <row r="2195" customFormat="false" ht="15" hidden="false" customHeight="false" outlineLevel="0" collapsed="false">
      <c r="A2195" s="3" t="n">
        <v>2018</v>
      </c>
      <c r="B2195" s="3" t="n">
        <v>1</v>
      </c>
      <c r="C2195" s="3" t="n">
        <v>2</v>
      </c>
      <c r="D2195" s="3" t="s">
        <v>2199</v>
      </c>
      <c r="E2195" s="4" t="n">
        <v>1</v>
      </c>
    </row>
    <row r="2196" customFormat="false" ht="15" hidden="false" customHeight="false" outlineLevel="0" collapsed="false">
      <c r="A2196" s="3" t="n">
        <v>2018</v>
      </c>
      <c r="B2196" s="3" t="n">
        <v>1</v>
      </c>
      <c r="C2196" s="3" t="n">
        <v>3</v>
      </c>
      <c r="D2196" s="3" t="s">
        <v>2200</v>
      </c>
      <c r="E2196" s="4" t="n">
        <v>8</v>
      </c>
    </row>
    <row r="2197" customFormat="false" ht="15" hidden="false" customHeight="false" outlineLevel="0" collapsed="false">
      <c r="A2197" s="3" t="n">
        <v>2018</v>
      </c>
      <c r="B2197" s="3" t="n">
        <v>1</v>
      </c>
      <c r="C2197" s="3" t="n">
        <v>4</v>
      </c>
      <c r="D2197" s="3" t="s">
        <v>2201</v>
      </c>
      <c r="E2197" s="4" t="n">
        <v>3</v>
      </c>
    </row>
    <row r="2198" customFormat="false" ht="15" hidden="false" customHeight="false" outlineLevel="0" collapsed="false">
      <c r="A2198" s="3" t="n">
        <v>2018</v>
      </c>
      <c r="B2198" s="3" t="n">
        <v>1</v>
      </c>
      <c r="C2198" s="3" t="n">
        <v>5</v>
      </c>
      <c r="D2198" s="3" t="s">
        <v>2202</v>
      </c>
      <c r="E2198" s="4" t="n">
        <v>11</v>
      </c>
    </row>
    <row r="2199" customFormat="false" ht="15" hidden="false" customHeight="false" outlineLevel="0" collapsed="false">
      <c r="A2199" s="3" t="n">
        <v>2018</v>
      </c>
      <c r="B2199" s="3" t="n">
        <v>1</v>
      </c>
      <c r="C2199" s="3" t="n">
        <v>6</v>
      </c>
      <c r="D2199" s="3" t="s">
        <v>2203</v>
      </c>
      <c r="E2199" s="4" t="n">
        <v>0</v>
      </c>
    </row>
    <row r="2200" customFormat="false" ht="15" hidden="false" customHeight="false" outlineLevel="0" collapsed="false">
      <c r="A2200" s="3" t="n">
        <v>2018</v>
      </c>
      <c r="B2200" s="3" t="n">
        <v>1</v>
      </c>
      <c r="C2200" s="3" t="n">
        <v>7</v>
      </c>
      <c r="D2200" s="3" t="s">
        <v>2204</v>
      </c>
      <c r="E2200" s="4" t="n">
        <v>8</v>
      </c>
    </row>
    <row r="2201" customFormat="false" ht="15" hidden="false" customHeight="false" outlineLevel="0" collapsed="false">
      <c r="A2201" s="3" t="n">
        <v>2018</v>
      </c>
      <c r="B2201" s="3" t="n">
        <v>1</v>
      </c>
      <c r="C2201" s="3" t="n">
        <v>8</v>
      </c>
      <c r="D2201" s="3" t="s">
        <v>2205</v>
      </c>
      <c r="E2201" s="4" t="n">
        <v>0</v>
      </c>
    </row>
    <row r="2202" customFormat="false" ht="15" hidden="false" customHeight="false" outlineLevel="0" collapsed="false">
      <c r="A2202" s="3" t="n">
        <v>2018</v>
      </c>
      <c r="B2202" s="3" t="n">
        <v>1</v>
      </c>
      <c r="C2202" s="3" t="n">
        <v>9</v>
      </c>
      <c r="D2202" s="3" t="s">
        <v>2206</v>
      </c>
      <c r="E2202" s="4" t="n">
        <v>0</v>
      </c>
    </row>
    <row r="2203" customFormat="false" ht="15" hidden="false" customHeight="false" outlineLevel="0" collapsed="false">
      <c r="A2203" s="3" t="n">
        <v>2018</v>
      </c>
      <c r="B2203" s="3" t="n">
        <v>1</v>
      </c>
      <c r="C2203" s="3" t="n">
        <v>10</v>
      </c>
      <c r="D2203" s="3" t="s">
        <v>2207</v>
      </c>
      <c r="E2203" s="4" t="n">
        <v>1</v>
      </c>
    </row>
    <row r="2204" customFormat="false" ht="15" hidden="false" customHeight="false" outlineLevel="0" collapsed="false">
      <c r="A2204" s="3" t="n">
        <v>2018</v>
      </c>
      <c r="B2204" s="3" t="n">
        <v>1</v>
      </c>
      <c r="C2204" s="3" t="n">
        <v>11</v>
      </c>
      <c r="D2204" s="3" t="s">
        <v>2208</v>
      </c>
      <c r="E2204" s="4" t="n">
        <v>8</v>
      </c>
    </row>
    <row r="2205" customFormat="false" ht="15" hidden="false" customHeight="false" outlineLevel="0" collapsed="false">
      <c r="A2205" s="3" t="n">
        <v>2018</v>
      </c>
      <c r="B2205" s="3" t="n">
        <v>1</v>
      </c>
      <c r="C2205" s="3" t="n">
        <v>12</v>
      </c>
      <c r="D2205" s="3" t="s">
        <v>2209</v>
      </c>
      <c r="E2205" s="4" t="n">
        <v>60</v>
      </c>
    </row>
    <row r="2206" customFormat="false" ht="15" hidden="false" customHeight="false" outlineLevel="0" collapsed="false">
      <c r="A2206" s="3" t="n">
        <v>2018</v>
      </c>
      <c r="B2206" s="3" t="n">
        <v>1</v>
      </c>
      <c r="C2206" s="3" t="n">
        <v>13</v>
      </c>
      <c r="D2206" s="3" t="s">
        <v>2210</v>
      </c>
      <c r="E2206" s="4" t="n">
        <v>62</v>
      </c>
    </row>
    <row r="2207" customFormat="false" ht="15" hidden="false" customHeight="false" outlineLevel="0" collapsed="false">
      <c r="A2207" s="3" t="n">
        <v>2018</v>
      </c>
      <c r="B2207" s="3" t="n">
        <v>1</v>
      </c>
      <c r="C2207" s="3" t="n">
        <v>14</v>
      </c>
      <c r="D2207" s="3" t="s">
        <v>2211</v>
      </c>
      <c r="E2207" s="4" t="n">
        <v>39</v>
      </c>
    </row>
    <row r="2208" customFormat="false" ht="15" hidden="false" customHeight="false" outlineLevel="0" collapsed="false">
      <c r="A2208" s="3" t="n">
        <v>2018</v>
      </c>
      <c r="B2208" s="3" t="n">
        <v>1</v>
      </c>
      <c r="C2208" s="3" t="n">
        <v>15</v>
      </c>
      <c r="D2208" s="3" t="s">
        <v>2212</v>
      </c>
      <c r="E2208" s="4" t="n">
        <v>2</v>
      </c>
    </row>
    <row r="2209" customFormat="false" ht="15" hidden="false" customHeight="false" outlineLevel="0" collapsed="false">
      <c r="A2209" s="3" t="n">
        <v>2018</v>
      </c>
      <c r="B2209" s="3" t="n">
        <v>1</v>
      </c>
      <c r="C2209" s="3" t="n">
        <v>16</v>
      </c>
      <c r="D2209" s="3" t="s">
        <v>2213</v>
      </c>
      <c r="E2209" s="4" t="n">
        <v>1</v>
      </c>
    </row>
    <row r="2210" customFormat="false" ht="15" hidden="false" customHeight="false" outlineLevel="0" collapsed="false">
      <c r="A2210" s="3" t="n">
        <v>2018</v>
      </c>
      <c r="B2210" s="3" t="n">
        <v>1</v>
      </c>
      <c r="C2210" s="3" t="n">
        <v>17</v>
      </c>
      <c r="D2210" s="3" t="s">
        <v>2214</v>
      </c>
      <c r="E2210" s="4" t="n">
        <v>0</v>
      </c>
    </row>
    <row r="2211" customFormat="false" ht="15" hidden="false" customHeight="false" outlineLevel="0" collapsed="false">
      <c r="A2211" s="3" t="n">
        <v>2018</v>
      </c>
      <c r="B2211" s="3" t="n">
        <v>1</v>
      </c>
      <c r="C2211" s="3" t="n">
        <v>18</v>
      </c>
      <c r="D2211" s="3" t="s">
        <v>2215</v>
      </c>
      <c r="E2211" s="4" t="n">
        <v>0</v>
      </c>
    </row>
    <row r="2212" customFormat="false" ht="15" hidden="false" customHeight="false" outlineLevel="0" collapsed="false">
      <c r="A2212" s="3" t="n">
        <v>2018</v>
      </c>
      <c r="B2212" s="3" t="n">
        <v>1</v>
      </c>
      <c r="C2212" s="3" t="n">
        <v>19</v>
      </c>
      <c r="D2212" s="3" t="s">
        <v>2216</v>
      </c>
      <c r="E2212" s="4" t="n">
        <v>0</v>
      </c>
    </row>
    <row r="2213" customFormat="false" ht="15" hidden="false" customHeight="false" outlineLevel="0" collapsed="false">
      <c r="A2213" s="3" t="n">
        <v>2018</v>
      </c>
      <c r="B2213" s="3" t="n">
        <v>1</v>
      </c>
      <c r="C2213" s="3" t="n">
        <v>20</v>
      </c>
      <c r="D2213" s="3" t="s">
        <v>2217</v>
      </c>
      <c r="E2213" s="4" t="n">
        <v>1</v>
      </c>
    </row>
    <row r="2214" customFormat="false" ht="15" hidden="false" customHeight="false" outlineLevel="0" collapsed="false">
      <c r="A2214" s="3" t="n">
        <v>2018</v>
      </c>
      <c r="B2214" s="3" t="n">
        <v>1</v>
      </c>
      <c r="C2214" s="3" t="n">
        <v>21</v>
      </c>
      <c r="D2214" s="3" t="s">
        <v>2218</v>
      </c>
      <c r="E2214" s="4" t="n">
        <v>0</v>
      </c>
    </row>
    <row r="2215" customFormat="false" ht="15" hidden="false" customHeight="false" outlineLevel="0" collapsed="false">
      <c r="A2215" s="3" t="n">
        <v>2018</v>
      </c>
      <c r="B2215" s="3" t="n">
        <v>1</v>
      </c>
      <c r="C2215" s="3" t="n">
        <v>22</v>
      </c>
      <c r="D2215" s="3" t="s">
        <v>2219</v>
      </c>
      <c r="E2215" s="4" t="n">
        <v>0</v>
      </c>
    </row>
    <row r="2216" customFormat="false" ht="15" hidden="false" customHeight="false" outlineLevel="0" collapsed="false">
      <c r="A2216" s="3" t="n">
        <v>2018</v>
      </c>
      <c r="B2216" s="3" t="n">
        <v>1</v>
      </c>
      <c r="C2216" s="3" t="n">
        <v>23</v>
      </c>
      <c r="D2216" s="3" t="s">
        <v>2220</v>
      </c>
      <c r="E2216" s="4" t="n">
        <v>0</v>
      </c>
    </row>
    <row r="2217" customFormat="false" ht="15" hidden="false" customHeight="false" outlineLevel="0" collapsed="false">
      <c r="A2217" s="3" t="n">
        <v>2018</v>
      </c>
      <c r="B2217" s="3" t="n">
        <v>1</v>
      </c>
      <c r="C2217" s="3" t="n">
        <v>24</v>
      </c>
      <c r="D2217" s="3" t="s">
        <v>2221</v>
      </c>
      <c r="E2217" s="4" t="n">
        <v>0</v>
      </c>
    </row>
    <row r="2218" customFormat="false" ht="15" hidden="false" customHeight="false" outlineLevel="0" collapsed="false">
      <c r="A2218" s="3" t="n">
        <v>2018</v>
      </c>
      <c r="B2218" s="3" t="n">
        <v>1</v>
      </c>
      <c r="C2218" s="3" t="n">
        <v>25</v>
      </c>
      <c r="D2218" s="3" t="s">
        <v>2222</v>
      </c>
      <c r="E2218" s="4" t="n">
        <v>3</v>
      </c>
    </row>
    <row r="2219" customFormat="false" ht="15" hidden="false" customHeight="false" outlineLevel="0" collapsed="false">
      <c r="A2219" s="3" t="n">
        <v>2018</v>
      </c>
      <c r="B2219" s="3" t="n">
        <v>1</v>
      </c>
      <c r="C2219" s="3" t="n">
        <v>26</v>
      </c>
      <c r="D2219" s="3" t="s">
        <v>2223</v>
      </c>
      <c r="E2219" s="4" t="n">
        <v>5</v>
      </c>
    </row>
    <row r="2220" customFormat="false" ht="15" hidden="false" customHeight="false" outlineLevel="0" collapsed="false">
      <c r="A2220" s="3" t="n">
        <v>2018</v>
      </c>
      <c r="B2220" s="3" t="n">
        <v>1</v>
      </c>
      <c r="C2220" s="3" t="n">
        <v>27</v>
      </c>
      <c r="D2220" s="3" t="s">
        <v>2224</v>
      </c>
      <c r="E2220" s="4" t="n">
        <v>0</v>
      </c>
    </row>
    <row r="2221" customFormat="false" ht="15" hidden="false" customHeight="false" outlineLevel="0" collapsed="false">
      <c r="A2221" s="3" t="n">
        <v>2018</v>
      </c>
      <c r="B2221" s="3" t="n">
        <v>1</v>
      </c>
      <c r="C2221" s="3" t="n">
        <v>28</v>
      </c>
      <c r="D2221" s="3" t="s">
        <v>2225</v>
      </c>
      <c r="E2221" s="4" t="n">
        <v>0</v>
      </c>
    </row>
    <row r="2222" customFormat="false" ht="15" hidden="false" customHeight="false" outlineLevel="0" collapsed="false">
      <c r="A2222" s="3" t="n">
        <v>2018</v>
      </c>
      <c r="B2222" s="3" t="n">
        <v>1</v>
      </c>
      <c r="C2222" s="3" t="n">
        <v>29</v>
      </c>
      <c r="D2222" s="3" t="s">
        <v>2226</v>
      </c>
      <c r="E2222" s="4" t="n">
        <v>0</v>
      </c>
    </row>
    <row r="2223" customFormat="false" ht="15" hidden="false" customHeight="false" outlineLevel="0" collapsed="false">
      <c r="A2223" s="3" t="n">
        <v>2018</v>
      </c>
      <c r="B2223" s="3" t="n">
        <v>1</v>
      </c>
      <c r="C2223" s="3" t="n">
        <v>30</v>
      </c>
      <c r="D2223" s="3" t="s">
        <v>2227</v>
      </c>
      <c r="E2223" s="4" t="n">
        <v>4</v>
      </c>
    </row>
    <row r="2224" customFormat="false" ht="15" hidden="false" customHeight="false" outlineLevel="0" collapsed="false">
      <c r="A2224" s="3" t="n">
        <v>2018</v>
      </c>
      <c r="B2224" s="3" t="n">
        <v>1</v>
      </c>
      <c r="C2224" s="3" t="n">
        <v>31</v>
      </c>
      <c r="D2224" s="3" t="s">
        <v>2228</v>
      </c>
      <c r="E2224" s="4" t="n">
        <v>0</v>
      </c>
    </row>
    <row r="2225" customFormat="false" ht="15" hidden="false" customHeight="false" outlineLevel="0" collapsed="false">
      <c r="A2225" s="3" t="n">
        <v>2018</v>
      </c>
      <c r="B2225" s="3" t="n">
        <v>2</v>
      </c>
      <c r="C2225" s="3" t="n">
        <v>1</v>
      </c>
      <c r="D2225" s="3" t="s">
        <v>2229</v>
      </c>
      <c r="E2225" s="4" t="n">
        <v>0</v>
      </c>
    </row>
    <row r="2226" customFormat="false" ht="15" hidden="false" customHeight="false" outlineLevel="0" collapsed="false">
      <c r="A2226" s="3" t="n">
        <v>2018</v>
      </c>
      <c r="B2226" s="3" t="n">
        <v>2</v>
      </c>
      <c r="C2226" s="3" t="n">
        <v>2</v>
      </c>
      <c r="D2226" s="3" t="s">
        <v>2230</v>
      </c>
      <c r="E2226" s="4" t="n">
        <v>0</v>
      </c>
    </row>
    <row r="2227" customFormat="false" ht="15" hidden="false" customHeight="false" outlineLevel="0" collapsed="false">
      <c r="A2227" s="3" t="n">
        <v>2018</v>
      </c>
      <c r="B2227" s="3" t="n">
        <v>2</v>
      </c>
      <c r="C2227" s="3" t="n">
        <v>3</v>
      </c>
      <c r="D2227" s="3" t="s">
        <v>2231</v>
      </c>
      <c r="E2227" s="4" t="n">
        <v>11</v>
      </c>
    </row>
    <row r="2228" customFormat="false" ht="15" hidden="false" customHeight="false" outlineLevel="0" collapsed="false">
      <c r="A2228" s="3" t="n">
        <v>2018</v>
      </c>
      <c r="B2228" s="3" t="n">
        <v>2</v>
      </c>
      <c r="C2228" s="3" t="n">
        <v>4</v>
      </c>
      <c r="D2228" s="3" t="s">
        <v>2232</v>
      </c>
      <c r="E2228" s="4" t="n">
        <v>8</v>
      </c>
    </row>
    <row r="2229" customFormat="false" ht="15" hidden="false" customHeight="false" outlineLevel="0" collapsed="false">
      <c r="A2229" s="3" t="n">
        <v>2018</v>
      </c>
      <c r="B2229" s="3" t="n">
        <v>2</v>
      </c>
      <c r="C2229" s="3" t="n">
        <v>5</v>
      </c>
      <c r="D2229" s="3" t="s">
        <v>2233</v>
      </c>
      <c r="E2229" s="4" t="n">
        <v>8</v>
      </c>
    </row>
    <row r="2230" customFormat="false" ht="15" hidden="false" customHeight="false" outlineLevel="0" collapsed="false">
      <c r="A2230" s="3" t="n">
        <v>2018</v>
      </c>
      <c r="B2230" s="3" t="n">
        <v>2</v>
      </c>
      <c r="C2230" s="3" t="n">
        <v>6</v>
      </c>
      <c r="D2230" s="3" t="s">
        <v>2234</v>
      </c>
      <c r="E2230" s="4" t="n">
        <v>8</v>
      </c>
    </row>
    <row r="2231" customFormat="false" ht="15" hidden="false" customHeight="false" outlineLevel="0" collapsed="false">
      <c r="A2231" s="3" t="n">
        <v>2018</v>
      </c>
      <c r="B2231" s="3" t="n">
        <v>2</v>
      </c>
      <c r="C2231" s="3" t="n">
        <v>7</v>
      </c>
      <c r="D2231" s="3" t="s">
        <v>2235</v>
      </c>
      <c r="E2231" s="4" t="n">
        <v>1</v>
      </c>
    </row>
    <row r="2232" customFormat="false" ht="15" hidden="false" customHeight="false" outlineLevel="0" collapsed="false">
      <c r="A2232" s="3" t="n">
        <v>2018</v>
      </c>
      <c r="B2232" s="3" t="n">
        <v>2</v>
      </c>
      <c r="C2232" s="3" t="n">
        <v>8</v>
      </c>
      <c r="D2232" s="3" t="s">
        <v>2236</v>
      </c>
      <c r="E2232" s="4" t="n">
        <v>0</v>
      </c>
    </row>
    <row r="2233" customFormat="false" ht="15" hidden="false" customHeight="false" outlineLevel="0" collapsed="false">
      <c r="A2233" s="3" t="n">
        <v>2018</v>
      </c>
      <c r="B2233" s="3" t="n">
        <v>2</v>
      </c>
      <c r="C2233" s="3" t="n">
        <v>9</v>
      </c>
      <c r="D2233" s="3" t="s">
        <v>2237</v>
      </c>
      <c r="E2233" s="4" t="n">
        <v>0</v>
      </c>
    </row>
    <row r="2234" customFormat="false" ht="15" hidden="false" customHeight="false" outlineLevel="0" collapsed="false">
      <c r="A2234" s="3" t="n">
        <v>2018</v>
      </c>
      <c r="B2234" s="3" t="n">
        <v>2</v>
      </c>
      <c r="C2234" s="3" t="n">
        <v>10</v>
      </c>
      <c r="D2234" s="3" t="s">
        <v>2238</v>
      </c>
      <c r="E2234" s="4" t="n">
        <v>0</v>
      </c>
    </row>
    <row r="2235" customFormat="false" ht="15" hidden="false" customHeight="false" outlineLevel="0" collapsed="false">
      <c r="A2235" s="3" t="n">
        <v>2018</v>
      </c>
      <c r="B2235" s="3" t="n">
        <v>2</v>
      </c>
      <c r="C2235" s="3" t="n">
        <v>11</v>
      </c>
      <c r="D2235" s="3" t="s">
        <v>2239</v>
      </c>
      <c r="E2235" s="4" t="n">
        <v>0</v>
      </c>
    </row>
    <row r="2236" customFormat="false" ht="15" hidden="false" customHeight="false" outlineLevel="0" collapsed="false">
      <c r="A2236" s="3" t="n">
        <v>2018</v>
      </c>
      <c r="B2236" s="3" t="n">
        <v>2</v>
      </c>
      <c r="C2236" s="3" t="n">
        <v>12</v>
      </c>
      <c r="D2236" s="3" t="s">
        <v>2240</v>
      </c>
      <c r="E2236" s="4" t="n">
        <v>0</v>
      </c>
    </row>
    <row r="2237" customFormat="false" ht="15" hidden="false" customHeight="false" outlineLevel="0" collapsed="false">
      <c r="A2237" s="3" t="n">
        <v>2018</v>
      </c>
      <c r="B2237" s="3" t="n">
        <v>2</v>
      </c>
      <c r="C2237" s="3" t="n">
        <v>13</v>
      </c>
      <c r="D2237" s="3" t="s">
        <v>2241</v>
      </c>
      <c r="E2237" s="4" t="n">
        <v>0</v>
      </c>
    </row>
    <row r="2238" customFormat="false" ht="15" hidden="false" customHeight="false" outlineLevel="0" collapsed="false">
      <c r="A2238" s="3" t="n">
        <v>2018</v>
      </c>
      <c r="B2238" s="3" t="n">
        <v>2</v>
      </c>
      <c r="C2238" s="3" t="n">
        <v>14</v>
      </c>
      <c r="D2238" s="3" t="s">
        <v>2242</v>
      </c>
      <c r="E2238" s="4" t="n">
        <v>0</v>
      </c>
    </row>
    <row r="2239" customFormat="false" ht="15" hidden="false" customHeight="false" outlineLevel="0" collapsed="false">
      <c r="A2239" s="3" t="n">
        <v>2018</v>
      </c>
      <c r="B2239" s="3" t="n">
        <v>2</v>
      </c>
      <c r="C2239" s="3" t="n">
        <v>15</v>
      </c>
      <c r="D2239" s="3" t="s">
        <v>2243</v>
      </c>
      <c r="E2239" s="4" t="n">
        <v>0</v>
      </c>
    </row>
    <row r="2240" customFormat="false" ht="15" hidden="false" customHeight="false" outlineLevel="0" collapsed="false">
      <c r="A2240" s="3" t="n">
        <v>2018</v>
      </c>
      <c r="B2240" s="3" t="n">
        <v>2</v>
      </c>
      <c r="C2240" s="3" t="n">
        <v>16</v>
      </c>
      <c r="D2240" s="3" t="s">
        <v>2244</v>
      </c>
      <c r="E2240" s="4" t="n">
        <v>0</v>
      </c>
    </row>
    <row r="2241" customFormat="false" ht="15" hidden="false" customHeight="false" outlineLevel="0" collapsed="false">
      <c r="A2241" s="3" t="n">
        <v>2018</v>
      </c>
      <c r="B2241" s="3" t="n">
        <v>2</v>
      </c>
      <c r="C2241" s="3" t="n">
        <v>17</v>
      </c>
      <c r="D2241" s="3" t="s">
        <v>2245</v>
      </c>
      <c r="E2241" s="4" t="n">
        <v>0</v>
      </c>
    </row>
    <row r="2242" customFormat="false" ht="15" hidden="false" customHeight="false" outlineLevel="0" collapsed="false">
      <c r="A2242" s="3" t="n">
        <v>2018</v>
      </c>
      <c r="B2242" s="3" t="n">
        <v>2</v>
      </c>
      <c r="C2242" s="3" t="n">
        <v>18</v>
      </c>
      <c r="D2242" s="3" t="s">
        <v>2246</v>
      </c>
      <c r="E2242" s="4" t="n">
        <v>0</v>
      </c>
    </row>
    <row r="2243" customFormat="false" ht="15" hidden="false" customHeight="false" outlineLevel="0" collapsed="false">
      <c r="A2243" s="3" t="n">
        <v>2018</v>
      </c>
      <c r="B2243" s="3" t="n">
        <v>2</v>
      </c>
      <c r="C2243" s="3" t="n">
        <v>19</v>
      </c>
      <c r="D2243" s="3" t="s">
        <v>2247</v>
      </c>
      <c r="E2243" s="4" t="n">
        <v>0</v>
      </c>
    </row>
    <row r="2244" customFormat="false" ht="15" hidden="false" customHeight="false" outlineLevel="0" collapsed="false">
      <c r="A2244" s="3" t="n">
        <v>2018</v>
      </c>
      <c r="B2244" s="3" t="n">
        <v>2</v>
      </c>
      <c r="C2244" s="3" t="n">
        <v>20</v>
      </c>
      <c r="D2244" s="3" t="s">
        <v>2248</v>
      </c>
      <c r="E2244" s="4" t="n">
        <v>0</v>
      </c>
    </row>
    <row r="2245" customFormat="false" ht="15" hidden="false" customHeight="false" outlineLevel="0" collapsed="false">
      <c r="A2245" s="3" t="n">
        <v>2018</v>
      </c>
      <c r="B2245" s="3" t="n">
        <v>2</v>
      </c>
      <c r="C2245" s="3" t="n">
        <v>21</v>
      </c>
      <c r="D2245" s="3" t="s">
        <v>2249</v>
      </c>
      <c r="E2245" s="4" t="n">
        <v>0</v>
      </c>
    </row>
    <row r="2246" customFormat="false" ht="15" hidden="false" customHeight="false" outlineLevel="0" collapsed="false">
      <c r="A2246" s="3" t="n">
        <v>2018</v>
      </c>
      <c r="B2246" s="3" t="n">
        <v>2</v>
      </c>
      <c r="C2246" s="3" t="n">
        <v>22</v>
      </c>
      <c r="D2246" s="3" t="s">
        <v>2250</v>
      </c>
      <c r="E2246" s="4" t="n">
        <v>0</v>
      </c>
    </row>
    <row r="2247" customFormat="false" ht="15" hidden="false" customHeight="false" outlineLevel="0" collapsed="false">
      <c r="A2247" s="3" t="n">
        <v>2018</v>
      </c>
      <c r="B2247" s="3" t="n">
        <v>2</v>
      </c>
      <c r="C2247" s="3" t="n">
        <v>23</v>
      </c>
      <c r="D2247" s="3" t="s">
        <v>2251</v>
      </c>
      <c r="E2247" s="4" t="n">
        <v>15</v>
      </c>
    </row>
    <row r="2248" customFormat="false" ht="15" hidden="false" customHeight="false" outlineLevel="0" collapsed="false">
      <c r="A2248" s="3" t="n">
        <v>2018</v>
      </c>
      <c r="B2248" s="3" t="n">
        <v>2</v>
      </c>
      <c r="C2248" s="3" t="n">
        <v>24</v>
      </c>
      <c r="D2248" s="3" t="s">
        <v>2252</v>
      </c>
      <c r="E2248" s="4" t="n">
        <v>16</v>
      </c>
    </row>
    <row r="2249" customFormat="false" ht="15" hidden="false" customHeight="false" outlineLevel="0" collapsed="false">
      <c r="A2249" s="3" t="n">
        <v>2018</v>
      </c>
      <c r="B2249" s="3" t="n">
        <v>2</v>
      </c>
      <c r="C2249" s="3" t="n">
        <v>25</v>
      </c>
      <c r="D2249" s="3" t="s">
        <v>2253</v>
      </c>
      <c r="E2249" s="4" t="n">
        <v>3</v>
      </c>
    </row>
    <row r="2250" customFormat="false" ht="15" hidden="false" customHeight="false" outlineLevel="0" collapsed="false">
      <c r="A2250" s="3" t="n">
        <v>2018</v>
      </c>
      <c r="B2250" s="3" t="n">
        <v>2</v>
      </c>
      <c r="C2250" s="3" t="n">
        <v>26</v>
      </c>
      <c r="D2250" s="3" t="s">
        <v>2254</v>
      </c>
      <c r="E2250" s="4" t="n">
        <v>7</v>
      </c>
    </row>
    <row r="2251" customFormat="false" ht="15" hidden="false" customHeight="false" outlineLevel="0" collapsed="false">
      <c r="A2251" s="3" t="n">
        <v>2018</v>
      </c>
      <c r="B2251" s="3" t="n">
        <v>2</v>
      </c>
      <c r="C2251" s="3" t="n">
        <v>27</v>
      </c>
      <c r="D2251" s="3" t="s">
        <v>2255</v>
      </c>
      <c r="E2251" s="4" t="n">
        <v>0</v>
      </c>
    </row>
    <row r="2252" customFormat="false" ht="15" hidden="false" customHeight="false" outlineLevel="0" collapsed="false">
      <c r="A2252" s="3" t="n">
        <v>2018</v>
      </c>
      <c r="B2252" s="3" t="n">
        <v>2</v>
      </c>
      <c r="C2252" s="3" t="n">
        <v>28</v>
      </c>
      <c r="D2252" s="3" t="s">
        <v>2256</v>
      </c>
      <c r="E2252" s="4" t="n">
        <v>16</v>
      </c>
    </row>
    <row r="2253" customFormat="false" ht="15" hidden="false" customHeight="false" outlineLevel="0" collapsed="false">
      <c r="A2253" s="3" t="n">
        <v>2018</v>
      </c>
      <c r="B2253" s="3" t="n">
        <v>3</v>
      </c>
      <c r="C2253" s="3" t="n">
        <v>1</v>
      </c>
      <c r="D2253" s="3" t="s">
        <v>2257</v>
      </c>
      <c r="E2253" s="4" t="n">
        <v>0</v>
      </c>
    </row>
    <row r="2254" customFormat="false" ht="15" hidden="false" customHeight="false" outlineLevel="0" collapsed="false">
      <c r="A2254" s="3" t="n">
        <v>2018</v>
      </c>
      <c r="B2254" s="3" t="n">
        <v>3</v>
      </c>
      <c r="C2254" s="3" t="n">
        <v>2</v>
      </c>
      <c r="D2254" s="3" t="s">
        <v>2258</v>
      </c>
      <c r="E2254" s="4" t="n">
        <v>7</v>
      </c>
    </row>
    <row r="2255" customFormat="false" ht="15" hidden="false" customHeight="false" outlineLevel="0" collapsed="false">
      <c r="A2255" s="3" t="n">
        <v>2018</v>
      </c>
      <c r="B2255" s="3" t="n">
        <v>3</v>
      </c>
      <c r="C2255" s="3" t="n">
        <v>3</v>
      </c>
      <c r="D2255" s="3" t="s">
        <v>2259</v>
      </c>
      <c r="E2255" s="4" t="n">
        <v>0</v>
      </c>
    </row>
    <row r="2256" customFormat="false" ht="15" hidden="false" customHeight="false" outlineLevel="0" collapsed="false">
      <c r="A2256" s="3" t="n">
        <v>2018</v>
      </c>
      <c r="B2256" s="3" t="n">
        <v>3</v>
      </c>
      <c r="C2256" s="3" t="n">
        <v>4</v>
      </c>
      <c r="D2256" s="3" t="s">
        <v>2260</v>
      </c>
      <c r="E2256" s="4" t="n">
        <v>0</v>
      </c>
    </row>
    <row r="2257" customFormat="false" ht="15" hidden="false" customHeight="false" outlineLevel="0" collapsed="false">
      <c r="A2257" s="3" t="n">
        <v>2018</v>
      </c>
      <c r="B2257" s="3" t="n">
        <v>3</v>
      </c>
      <c r="C2257" s="3" t="n">
        <v>5</v>
      </c>
      <c r="D2257" s="3" t="s">
        <v>2261</v>
      </c>
      <c r="E2257" s="4" t="n">
        <v>0</v>
      </c>
    </row>
    <row r="2258" customFormat="false" ht="15" hidden="false" customHeight="false" outlineLevel="0" collapsed="false">
      <c r="A2258" s="3" t="n">
        <v>2018</v>
      </c>
      <c r="B2258" s="3" t="n">
        <v>3</v>
      </c>
      <c r="C2258" s="3" t="n">
        <v>6</v>
      </c>
      <c r="D2258" s="3" t="s">
        <v>2262</v>
      </c>
      <c r="E2258" s="4" t="n">
        <v>0</v>
      </c>
    </row>
    <row r="2259" customFormat="false" ht="15" hidden="false" customHeight="false" outlineLevel="0" collapsed="false">
      <c r="A2259" s="3" t="n">
        <v>2018</v>
      </c>
      <c r="B2259" s="3" t="n">
        <v>3</v>
      </c>
      <c r="C2259" s="3" t="n">
        <v>7</v>
      </c>
      <c r="D2259" s="3" t="s">
        <v>2263</v>
      </c>
      <c r="E2259" s="4" t="n">
        <v>33</v>
      </c>
    </row>
    <row r="2260" customFormat="false" ht="15" hidden="false" customHeight="false" outlineLevel="0" collapsed="false">
      <c r="A2260" s="3" t="n">
        <v>2018</v>
      </c>
      <c r="B2260" s="3" t="n">
        <v>3</v>
      </c>
      <c r="C2260" s="3" t="n">
        <v>8</v>
      </c>
      <c r="D2260" s="3" t="s">
        <v>2264</v>
      </c>
      <c r="E2260" s="4" t="n">
        <v>14</v>
      </c>
    </row>
    <row r="2261" customFormat="false" ht="15" hidden="false" customHeight="false" outlineLevel="0" collapsed="false">
      <c r="A2261" s="3" t="n">
        <v>2018</v>
      </c>
      <c r="B2261" s="3" t="n">
        <v>3</v>
      </c>
      <c r="C2261" s="3" t="n">
        <v>9</v>
      </c>
      <c r="D2261" s="3" t="s">
        <v>2265</v>
      </c>
      <c r="E2261" s="4" t="n">
        <v>1</v>
      </c>
    </row>
    <row r="2262" customFormat="false" ht="15" hidden="false" customHeight="false" outlineLevel="0" collapsed="false">
      <c r="A2262" s="3" t="n">
        <v>2018</v>
      </c>
      <c r="B2262" s="3" t="n">
        <v>3</v>
      </c>
      <c r="C2262" s="3" t="n">
        <v>10</v>
      </c>
      <c r="D2262" s="3" t="s">
        <v>2266</v>
      </c>
      <c r="E2262" s="4" t="n">
        <v>5</v>
      </c>
    </row>
    <row r="2263" customFormat="false" ht="15" hidden="false" customHeight="false" outlineLevel="0" collapsed="false">
      <c r="A2263" s="3" t="n">
        <v>2018</v>
      </c>
      <c r="B2263" s="3" t="n">
        <v>3</v>
      </c>
      <c r="C2263" s="3" t="n">
        <v>11</v>
      </c>
      <c r="D2263" s="3" t="s">
        <v>2267</v>
      </c>
      <c r="E2263" s="4" t="n">
        <v>21</v>
      </c>
    </row>
    <row r="2264" customFormat="false" ht="15" hidden="false" customHeight="false" outlineLevel="0" collapsed="false">
      <c r="A2264" s="3" t="n">
        <v>2018</v>
      </c>
      <c r="B2264" s="3" t="n">
        <v>3</v>
      </c>
      <c r="C2264" s="3" t="n">
        <v>12</v>
      </c>
      <c r="D2264" s="3" t="s">
        <v>2268</v>
      </c>
      <c r="E2264" s="4" t="n">
        <v>28</v>
      </c>
    </row>
    <row r="2265" customFormat="false" ht="15" hidden="false" customHeight="false" outlineLevel="0" collapsed="false">
      <c r="A2265" s="3" t="n">
        <v>2018</v>
      </c>
      <c r="B2265" s="3" t="n">
        <v>3</v>
      </c>
      <c r="C2265" s="3" t="n">
        <v>13</v>
      </c>
      <c r="D2265" s="3" t="s">
        <v>2269</v>
      </c>
      <c r="E2265" s="4" t="n">
        <v>0</v>
      </c>
    </row>
    <row r="2266" customFormat="false" ht="15" hidden="false" customHeight="false" outlineLevel="0" collapsed="false">
      <c r="A2266" s="3" t="n">
        <v>2018</v>
      </c>
      <c r="B2266" s="3" t="n">
        <v>3</v>
      </c>
      <c r="C2266" s="3" t="n">
        <v>14</v>
      </c>
      <c r="D2266" s="3" t="s">
        <v>2270</v>
      </c>
      <c r="E2266" s="4" t="n">
        <v>0</v>
      </c>
    </row>
    <row r="2267" customFormat="false" ht="15" hidden="false" customHeight="false" outlineLevel="0" collapsed="false">
      <c r="A2267" s="3" t="n">
        <v>2018</v>
      </c>
      <c r="B2267" s="3" t="n">
        <v>3</v>
      </c>
      <c r="C2267" s="3" t="n">
        <v>15</v>
      </c>
      <c r="D2267" s="3" t="s">
        <v>2271</v>
      </c>
      <c r="E2267" s="4" t="n">
        <v>0</v>
      </c>
    </row>
    <row r="2268" customFormat="false" ht="15" hidden="false" customHeight="false" outlineLevel="0" collapsed="false">
      <c r="A2268" s="3" t="n">
        <v>2018</v>
      </c>
      <c r="B2268" s="3" t="n">
        <v>3</v>
      </c>
      <c r="C2268" s="3" t="n">
        <v>16</v>
      </c>
      <c r="D2268" s="3" t="s">
        <v>2272</v>
      </c>
      <c r="E2268" s="4" t="n">
        <v>0</v>
      </c>
    </row>
    <row r="2269" customFormat="false" ht="15" hidden="false" customHeight="false" outlineLevel="0" collapsed="false">
      <c r="A2269" s="3" t="n">
        <v>2018</v>
      </c>
      <c r="B2269" s="3" t="n">
        <v>3</v>
      </c>
      <c r="C2269" s="3" t="n">
        <v>17</v>
      </c>
      <c r="D2269" s="3" t="s">
        <v>2273</v>
      </c>
      <c r="E2269" s="4" t="n">
        <v>0</v>
      </c>
    </row>
    <row r="2270" customFormat="false" ht="15" hidden="false" customHeight="false" outlineLevel="0" collapsed="false">
      <c r="A2270" s="3" t="n">
        <v>2018</v>
      </c>
      <c r="B2270" s="3" t="n">
        <v>3</v>
      </c>
      <c r="C2270" s="3" t="n">
        <v>18</v>
      </c>
      <c r="D2270" s="3" t="s">
        <v>2274</v>
      </c>
      <c r="E2270" s="4" t="n">
        <v>0</v>
      </c>
    </row>
    <row r="2271" customFormat="false" ht="15" hidden="false" customHeight="false" outlineLevel="0" collapsed="false">
      <c r="A2271" s="3" t="n">
        <v>2018</v>
      </c>
      <c r="B2271" s="3" t="n">
        <v>3</v>
      </c>
      <c r="C2271" s="3" t="n">
        <v>19</v>
      </c>
      <c r="D2271" s="3" t="s">
        <v>2275</v>
      </c>
      <c r="E2271" s="4" t="n">
        <v>4</v>
      </c>
    </row>
    <row r="2272" customFormat="false" ht="15" hidden="false" customHeight="false" outlineLevel="0" collapsed="false">
      <c r="A2272" s="3" t="n">
        <v>2018</v>
      </c>
      <c r="B2272" s="3" t="n">
        <v>3</v>
      </c>
      <c r="C2272" s="3" t="n">
        <v>20</v>
      </c>
      <c r="D2272" s="3" t="s">
        <v>2276</v>
      </c>
      <c r="E2272" s="4" t="n">
        <v>4</v>
      </c>
    </row>
    <row r="2273" customFormat="false" ht="15" hidden="false" customHeight="false" outlineLevel="0" collapsed="false">
      <c r="A2273" s="3" t="n">
        <v>2018</v>
      </c>
      <c r="B2273" s="3" t="n">
        <v>3</v>
      </c>
      <c r="C2273" s="3" t="n">
        <v>21</v>
      </c>
      <c r="D2273" s="3" t="s">
        <v>2277</v>
      </c>
      <c r="E2273" s="4" t="n">
        <v>0</v>
      </c>
    </row>
    <row r="2274" customFormat="false" ht="15" hidden="false" customHeight="false" outlineLevel="0" collapsed="false">
      <c r="A2274" s="3" t="n">
        <v>2018</v>
      </c>
      <c r="B2274" s="3" t="n">
        <v>3</v>
      </c>
      <c r="C2274" s="3" t="n">
        <v>22</v>
      </c>
      <c r="D2274" s="3" t="s">
        <v>2278</v>
      </c>
      <c r="E2274" s="4" t="n">
        <v>0</v>
      </c>
    </row>
    <row r="2275" customFormat="false" ht="15" hidden="false" customHeight="false" outlineLevel="0" collapsed="false">
      <c r="A2275" s="3" t="n">
        <v>2018</v>
      </c>
      <c r="B2275" s="3" t="n">
        <v>3</v>
      </c>
      <c r="C2275" s="3" t="n">
        <v>23</v>
      </c>
      <c r="D2275" s="3" t="s">
        <v>2279</v>
      </c>
      <c r="E2275" s="4" t="n">
        <v>0</v>
      </c>
    </row>
    <row r="2276" customFormat="false" ht="15" hidden="false" customHeight="false" outlineLevel="0" collapsed="false">
      <c r="A2276" s="3" t="n">
        <v>2018</v>
      </c>
      <c r="B2276" s="3" t="n">
        <v>3</v>
      </c>
      <c r="C2276" s="3" t="n">
        <v>24</v>
      </c>
      <c r="D2276" s="3" t="s">
        <v>2280</v>
      </c>
      <c r="E2276" s="4" t="n">
        <v>11</v>
      </c>
    </row>
    <row r="2277" customFormat="false" ht="15" hidden="false" customHeight="false" outlineLevel="0" collapsed="false">
      <c r="A2277" s="3" t="n">
        <v>2018</v>
      </c>
      <c r="B2277" s="3" t="n">
        <v>3</v>
      </c>
      <c r="C2277" s="3" t="n">
        <v>25</v>
      </c>
      <c r="D2277" s="3" t="s">
        <v>2281</v>
      </c>
      <c r="E2277" s="4" t="n">
        <v>3</v>
      </c>
    </row>
    <row r="2278" customFormat="false" ht="15" hidden="false" customHeight="false" outlineLevel="0" collapsed="false">
      <c r="A2278" s="3" t="n">
        <v>2018</v>
      </c>
      <c r="B2278" s="3" t="n">
        <v>3</v>
      </c>
      <c r="C2278" s="3" t="n">
        <v>26</v>
      </c>
      <c r="D2278" s="3" t="s">
        <v>2282</v>
      </c>
      <c r="E2278" s="4" t="n">
        <v>0</v>
      </c>
    </row>
    <row r="2279" customFormat="false" ht="15" hidden="false" customHeight="false" outlineLevel="0" collapsed="false">
      <c r="A2279" s="3" t="n">
        <v>2018</v>
      </c>
      <c r="B2279" s="3" t="n">
        <v>3</v>
      </c>
      <c r="C2279" s="3" t="n">
        <v>27</v>
      </c>
      <c r="D2279" s="3" t="s">
        <v>2283</v>
      </c>
      <c r="E2279" s="4" t="n">
        <v>17</v>
      </c>
    </row>
    <row r="2280" customFormat="false" ht="15" hidden="false" customHeight="false" outlineLevel="0" collapsed="false">
      <c r="A2280" s="3" t="n">
        <v>2018</v>
      </c>
      <c r="B2280" s="3" t="n">
        <v>3</v>
      </c>
      <c r="C2280" s="3" t="n">
        <v>28</v>
      </c>
      <c r="D2280" s="3" t="s">
        <v>2284</v>
      </c>
      <c r="E2280" s="4" t="n">
        <v>14</v>
      </c>
    </row>
    <row r="2281" customFormat="false" ht="15" hidden="false" customHeight="false" outlineLevel="0" collapsed="false">
      <c r="A2281" s="3" t="n">
        <v>2018</v>
      </c>
      <c r="B2281" s="3" t="n">
        <v>3</v>
      </c>
      <c r="C2281" s="3" t="n">
        <v>29</v>
      </c>
      <c r="D2281" s="3" t="s">
        <v>2285</v>
      </c>
      <c r="E2281" s="4" t="n">
        <v>0</v>
      </c>
    </row>
    <row r="2282" customFormat="false" ht="15" hidden="false" customHeight="false" outlineLevel="0" collapsed="false">
      <c r="A2282" s="3" t="n">
        <v>2018</v>
      </c>
      <c r="B2282" s="3" t="n">
        <v>3</v>
      </c>
      <c r="C2282" s="3" t="n">
        <v>30</v>
      </c>
      <c r="D2282" s="3" t="s">
        <v>2286</v>
      </c>
      <c r="E2282" s="4" t="n">
        <v>0</v>
      </c>
    </row>
    <row r="2283" customFormat="false" ht="15" hidden="false" customHeight="false" outlineLevel="0" collapsed="false">
      <c r="A2283" s="3" t="n">
        <v>2018</v>
      </c>
      <c r="B2283" s="3" t="n">
        <v>3</v>
      </c>
      <c r="C2283" s="3" t="n">
        <v>31</v>
      </c>
      <c r="D2283" s="3" t="s">
        <v>2287</v>
      </c>
      <c r="E2283" s="4" t="n">
        <v>0</v>
      </c>
    </row>
    <row r="2284" customFormat="false" ht="15" hidden="false" customHeight="false" outlineLevel="0" collapsed="false">
      <c r="A2284" s="3" t="n">
        <v>2018</v>
      </c>
      <c r="B2284" s="3" t="n">
        <v>4</v>
      </c>
      <c r="C2284" s="3" t="n">
        <v>1</v>
      </c>
      <c r="D2284" s="3" t="s">
        <v>2288</v>
      </c>
      <c r="E2284" s="4" t="n">
        <v>0</v>
      </c>
    </row>
    <row r="2285" customFormat="false" ht="15" hidden="false" customHeight="false" outlineLevel="0" collapsed="false">
      <c r="A2285" s="3" t="n">
        <v>2018</v>
      </c>
      <c r="B2285" s="3" t="n">
        <v>4</v>
      </c>
      <c r="C2285" s="3" t="n">
        <v>2</v>
      </c>
      <c r="D2285" s="3" t="s">
        <v>2289</v>
      </c>
      <c r="E2285" s="4" t="n">
        <v>0</v>
      </c>
    </row>
    <row r="2286" customFormat="false" ht="15" hidden="false" customHeight="false" outlineLevel="0" collapsed="false">
      <c r="A2286" s="3" t="n">
        <v>2018</v>
      </c>
      <c r="B2286" s="3" t="n">
        <v>4</v>
      </c>
      <c r="C2286" s="3" t="n">
        <v>3</v>
      </c>
      <c r="D2286" s="3" t="s">
        <v>2290</v>
      </c>
      <c r="E2286" s="4" t="n">
        <v>0</v>
      </c>
    </row>
    <row r="2287" customFormat="false" ht="15" hidden="false" customHeight="false" outlineLevel="0" collapsed="false">
      <c r="A2287" s="3" t="n">
        <v>2018</v>
      </c>
      <c r="B2287" s="3" t="n">
        <v>4</v>
      </c>
      <c r="C2287" s="3" t="n">
        <v>4</v>
      </c>
      <c r="D2287" s="3" t="s">
        <v>2291</v>
      </c>
      <c r="E2287" s="4" t="n">
        <v>0</v>
      </c>
    </row>
    <row r="2288" customFormat="false" ht="15" hidden="false" customHeight="false" outlineLevel="0" collapsed="false">
      <c r="A2288" s="3" t="n">
        <v>2018</v>
      </c>
      <c r="B2288" s="3" t="n">
        <v>4</v>
      </c>
      <c r="C2288" s="3" t="n">
        <v>5</v>
      </c>
      <c r="D2288" s="3" t="s">
        <v>2292</v>
      </c>
      <c r="E2288" s="4" t="n">
        <v>2</v>
      </c>
    </row>
    <row r="2289" customFormat="false" ht="15" hidden="false" customHeight="false" outlineLevel="0" collapsed="false">
      <c r="A2289" s="3" t="n">
        <v>2018</v>
      </c>
      <c r="B2289" s="3" t="n">
        <v>4</v>
      </c>
      <c r="C2289" s="3" t="n">
        <v>6</v>
      </c>
      <c r="D2289" s="3" t="s">
        <v>2293</v>
      </c>
      <c r="E2289" s="4" t="n">
        <v>13</v>
      </c>
    </row>
    <row r="2290" customFormat="false" ht="15" hidden="false" customHeight="false" outlineLevel="0" collapsed="false">
      <c r="A2290" s="3" t="n">
        <v>2018</v>
      </c>
      <c r="B2290" s="3" t="n">
        <v>4</v>
      </c>
      <c r="C2290" s="3" t="n">
        <v>7</v>
      </c>
      <c r="D2290" s="3" t="s">
        <v>2294</v>
      </c>
      <c r="E2290" s="4" t="n">
        <v>0</v>
      </c>
    </row>
    <row r="2291" customFormat="false" ht="15" hidden="false" customHeight="false" outlineLevel="0" collapsed="false">
      <c r="A2291" s="3" t="n">
        <v>2018</v>
      </c>
      <c r="B2291" s="3" t="n">
        <v>4</v>
      </c>
      <c r="C2291" s="3" t="n">
        <v>8</v>
      </c>
      <c r="D2291" s="3" t="s">
        <v>2295</v>
      </c>
      <c r="E2291" s="4" t="n">
        <v>4</v>
      </c>
    </row>
    <row r="2292" customFormat="false" ht="15" hidden="false" customHeight="false" outlineLevel="0" collapsed="false">
      <c r="A2292" s="3" t="n">
        <v>2018</v>
      </c>
      <c r="B2292" s="3" t="n">
        <v>4</v>
      </c>
      <c r="C2292" s="3" t="n">
        <v>9</v>
      </c>
      <c r="D2292" s="3" t="s">
        <v>2296</v>
      </c>
      <c r="E2292" s="4" t="n">
        <v>9</v>
      </c>
    </row>
    <row r="2293" customFormat="false" ht="15" hidden="false" customHeight="false" outlineLevel="0" collapsed="false">
      <c r="A2293" s="3" t="n">
        <v>2018</v>
      </c>
      <c r="B2293" s="3" t="n">
        <v>4</v>
      </c>
      <c r="C2293" s="3" t="n">
        <v>10</v>
      </c>
      <c r="D2293" s="3" t="s">
        <v>2297</v>
      </c>
      <c r="E2293" s="4" t="n">
        <v>4</v>
      </c>
    </row>
    <row r="2294" customFormat="false" ht="15" hidden="false" customHeight="false" outlineLevel="0" collapsed="false">
      <c r="A2294" s="3" t="n">
        <v>2018</v>
      </c>
      <c r="B2294" s="3" t="n">
        <v>4</v>
      </c>
      <c r="C2294" s="3" t="n">
        <v>11</v>
      </c>
      <c r="D2294" s="3" t="s">
        <v>2298</v>
      </c>
      <c r="E2294" s="4" t="n">
        <v>2</v>
      </c>
    </row>
    <row r="2295" customFormat="false" ht="15" hidden="false" customHeight="false" outlineLevel="0" collapsed="false">
      <c r="A2295" s="3" t="n">
        <v>2018</v>
      </c>
      <c r="B2295" s="3" t="n">
        <v>4</v>
      </c>
      <c r="C2295" s="3" t="n">
        <v>12</v>
      </c>
      <c r="D2295" s="3" t="s">
        <v>2299</v>
      </c>
      <c r="E2295" s="4" t="n">
        <v>11</v>
      </c>
    </row>
    <row r="2296" customFormat="false" ht="15" hidden="false" customHeight="false" outlineLevel="0" collapsed="false">
      <c r="A2296" s="3" t="n">
        <v>2018</v>
      </c>
      <c r="B2296" s="3" t="n">
        <v>4</v>
      </c>
      <c r="C2296" s="3" t="n">
        <v>13</v>
      </c>
      <c r="D2296" s="3" t="s">
        <v>2300</v>
      </c>
      <c r="E2296" s="4" t="n">
        <v>0</v>
      </c>
    </row>
    <row r="2297" customFormat="false" ht="15" hidden="false" customHeight="false" outlineLevel="0" collapsed="false">
      <c r="A2297" s="3" t="n">
        <v>2018</v>
      </c>
      <c r="B2297" s="3" t="n">
        <v>4</v>
      </c>
      <c r="C2297" s="3" t="n">
        <v>14</v>
      </c>
      <c r="D2297" s="3" t="s">
        <v>2301</v>
      </c>
      <c r="E2297" s="4" t="n">
        <v>21</v>
      </c>
    </row>
    <row r="2298" customFormat="false" ht="15" hidden="false" customHeight="false" outlineLevel="0" collapsed="false">
      <c r="A2298" s="3" t="n">
        <v>2018</v>
      </c>
      <c r="B2298" s="3" t="n">
        <v>4</v>
      </c>
      <c r="C2298" s="3" t="n">
        <v>15</v>
      </c>
      <c r="D2298" s="3" t="s">
        <v>2302</v>
      </c>
      <c r="E2298" s="4" t="n">
        <v>9</v>
      </c>
    </row>
    <row r="2299" customFormat="false" ht="15" hidden="false" customHeight="false" outlineLevel="0" collapsed="false">
      <c r="A2299" s="3" t="n">
        <v>2018</v>
      </c>
      <c r="B2299" s="3" t="n">
        <v>4</v>
      </c>
      <c r="C2299" s="3" t="n">
        <v>16</v>
      </c>
      <c r="D2299" s="3" t="s">
        <v>2303</v>
      </c>
      <c r="E2299" s="4" t="n">
        <v>7</v>
      </c>
    </row>
    <row r="2300" customFormat="false" ht="15" hidden="false" customHeight="false" outlineLevel="0" collapsed="false">
      <c r="A2300" s="3" t="n">
        <v>2018</v>
      </c>
      <c r="B2300" s="3" t="n">
        <v>4</v>
      </c>
      <c r="C2300" s="3" t="n">
        <v>17</v>
      </c>
      <c r="D2300" s="3" t="s">
        <v>2304</v>
      </c>
      <c r="E2300" s="4" t="n">
        <v>5</v>
      </c>
    </row>
    <row r="2301" customFormat="false" ht="15" hidden="false" customHeight="false" outlineLevel="0" collapsed="false">
      <c r="A2301" s="3" t="n">
        <v>2018</v>
      </c>
      <c r="B2301" s="3" t="n">
        <v>4</v>
      </c>
      <c r="C2301" s="3" t="n">
        <v>18</v>
      </c>
      <c r="D2301" s="3" t="s">
        <v>2305</v>
      </c>
      <c r="E2301" s="4" t="n">
        <v>0</v>
      </c>
    </row>
    <row r="2302" customFormat="false" ht="15" hidden="false" customHeight="false" outlineLevel="0" collapsed="false">
      <c r="A2302" s="3" t="n">
        <v>2018</v>
      </c>
      <c r="B2302" s="3" t="n">
        <v>4</v>
      </c>
      <c r="C2302" s="3" t="n">
        <v>19</v>
      </c>
      <c r="D2302" s="3" t="s">
        <v>2306</v>
      </c>
      <c r="E2302" s="4" t="n">
        <v>0</v>
      </c>
    </row>
    <row r="2303" customFormat="false" ht="15" hidden="false" customHeight="false" outlineLevel="0" collapsed="false">
      <c r="A2303" s="3" t="n">
        <v>2018</v>
      </c>
      <c r="B2303" s="3" t="n">
        <v>4</v>
      </c>
      <c r="C2303" s="3" t="n">
        <v>20</v>
      </c>
      <c r="D2303" s="3" t="s">
        <v>2307</v>
      </c>
      <c r="E2303" s="4" t="n">
        <v>18</v>
      </c>
    </row>
    <row r="2304" customFormat="false" ht="15" hidden="false" customHeight="false" outlineLevel="0" collapsed="false">
      <c r="A2304" s="3" t="n">
        <v>2018</v>
      </c>
      <c r="B2304" s="3" t="n">
        <v>4</v>
      </c>
      <c r="C2304" s="3" t="n">
        <v>21</v>
      </c>
      <c r="D2304" s="3" t="s">
        <v>2308</v>
      </c>
      <c r="E2304" s="4" t="n">
        <v>1</v>
      </c>
    </row>
    <row r="2305" customFormat="false" ht="15" hidden="false" customHeight="false" outlineLevel="0" collapsed="false">
      <c r="A2305" s="3" t="n">
        <v>2018</v>
      </c>
      <c r="B2305" s="3" t="n">
        <v>4</v>
      </c>
      <c r="C2305" s="3" t="n">
        <v>22</v>
      </c>
      <c r="D2305" s="3" t="s">
        <v>2309</v>
      </c>
      <c r="E2305" s="4" t="n">
        <v>0</v>
      </c>
    </row>
    <row r="2306" customFormat="false" ht="15" hidden="false" customHeight="false" outlineLevel="0" collapsed="false">
      <c r="A2306" s="3" t="n">
        <v>2018</v>
      </c>
      <c r="B2306" s="3" t="n">
        <v>4</v>
      </c>
      <c r="C2306" s="3" t="n">
        <v>23</v>
      </c>
      <c r="D2306" s="3" t="s">
        <v>2310</v>
      </c>
      <c r="E2306" s="4" t="n">
        <v>1</v>
      </c>
    </row>
    <row r="2307" customFormat="false" ht="15" hidden="false" customHeight="false" outlineLevel="0" collapsed="false">
      <c r="A2307" s="3" t="n">
        <v>2018</v>
      </c>
      <c r="B2307" s="3" t="n">
        <v>4</v>
      </c>
      <c r="C2307" s="3" t="n">
        <v>24</v>
      </c>
      <c r="D2307" s="3" t="s">
        <v>2311</v>
      </c>
      <c r="E2307" s="4" t="n">
        <v>0</v>
      </c>
    </row>
    <row r="2308" customFormat="false" ht="15" hidden="false" customHeight="false" outlineLevel="0" collapsed="false">
      <c r="A2308" s="3" t="n">
        <v>2018</v>
      </c>
      <c r="B2308" s="3" t="n">
        <v>4</v>
      </c>
      <c r="C2308" s="3" t="n">
        <v>25</v>
      </c>
      <c r="D2308" s="3" t="s">
        <v>2312</v>
      </c>
      <c r="E2308" s="4" t="n">
        <v>0</v>
      </c>
    </row>
    <row r="2309" customFormat="false" ht="15" hidden="false" customHeight="false" outlineLevel="0" collapsed="false">
      <c r="A2309" s="3" t="n">
        <v>2018</v>
      </c>
      <c r="B2309" s="3" t="n">
        <v>4</v>
      </c>
      <c r="C2309" s="3" t="n">
        <v>26</v>
      </c>
      <c r="D2309" s="3" t="s">
        <v>2313</v>
      </c>
      <c r="E2309" s="4" t="n">
        <v>14</v>
      </c>
    </row>
    <row r="2310" customFormat="false" ht="15" hidden="false" customHeight="false" outlineLevel="0" collapsed="false">
      <c r="A2310" s="3" t="n">
        <v>2018</v>
      </c>
      <c r="B2310" s="3" t="n">
        <v>4</v>
      </c>
      <c r="C2310" s="3" t="n">
        <v>27</v>
      </c>
      <c r="D2310" s="3" t="s">
        <v>2314</v>
      </c>
      <c r="E2310" s="4" t="n">
        <v>0</v>
      </c>
    </row>
    <row r="2311" customFormat="false" ht="15" hidden="false" customHeight="false" outlineLevel="0" collapsed="false">
      <c r="A2311" s="3" t="n">
        <v>2018</v>
      </c>
      <c r="B2311" s="3" t="n">
        <v>4</v>
      </c>
      <c r="C2311" s="3" t="n">
        <v>28</v>
      </c>
      <c r="D2311" s="3" t="s">
        <v>2315</v>
      </c>
      <c r="E2311" s="4" t="n">
        <v>14</v>
      </c>
    </row>
    <row r="2312" customFormat="false" ht="15" hidden="false" customHeight="false" outlineLevel="0" collapsed="false">
      <c r="A2312" s="3" t="n">
        <v>2018</v>
      </c>
      <c r="B2312" s="3" t="n">
        <v>4</v>
      </c>
      <c r="C2312" s="3" t="n">
        <v>29</v>
      </c>
      <c r="D2312" s="3" t="s">
        <v>2316</v>
      </c>
      <c r="E2312" s="4" t="n">
        <v>0</v>
      </c>
    </row>
    <row r="2313" customFormat="false" ht="15" hidden="false" customHeight="false" outlineLevel="0" collapsed="false">
      <c r="A2313" s="3" t="n">
        <v>2018</v>
      </c>
      <c r="B2313" s="3" t="n">
        <v>4</v>
      </c>
      <c r="C2313" s="3" t="n">
        <v>30</v>
      </c>
      <c r="D2313" s="3" t="s">
        <v>2317</v>
      </c>
      <c r="E2313" s="4" t="n">
        <v>0</v>
      </c>
    </row>
    <row r="2314" customFormat="false" ht="15" hidden="false" customHeight="false" outlineLevel="0" collapsed="false">
      <c r="A2314" s="3" t="n">
        <v>2018</v>
      </c>
      <c r="B2314" s="3" t="n">
        <v>5</v>
      </c>
      <c r="C2314" s="3" t="n">
        <v>1</v>
      </c>
      <c r="D2314" s="3" t="s">
        <v>2318</v>
      </c>
      <c r="E2314" s="4" t="n">
        <v>3</v>
      </c>
    </row>
    <row r="2315" customFormat="false" ht="15" hidden="false" customHeight="false" outlineLevel="0" collapsed="false">
      <c r="A2315" s="3" t="n">
        <v>2018</v>
      </c>
      <c r="B2315" s="3" t="n">
        <v>5</v>
      </c>
      <c r="C2315" s="3" t="n">
        <v>2</v>
      </c>
      <c r="D2315" s="3" t="s">
        <v>2319</v>
      </c>
      <c r="E2315" s="4" t="n">
        <v>1</v>
      </c>
    </row>
    <row r="2316" customFormat="false" ht="15" hidden="false" customHeight="false" outlineLevel="0" collapsed="false">
      <c r="A2316" s="3" t="n">
        <v>2018</v>
      </c>
      <c r="B2316" s="3" t="n">
        <v>5</v>
      </c>
      <c r="C2316" s="3" t="n">
        <v>3</v>
      </c>
      <c r="D2316" s="3" t="s">
        <v>2320</v>
      </c>
      <c r="E2316" s="4" t="n">
        <v>1</v>
      </c>
    </row>
    <row r="2317" customFormat="false" ht="15" hidden="false" customHeight="false" outlineLevel="0" collapsed="false">
      <c r="A2317" s="3" t="n">
        <v>2018</v>
      </c>
      <c r="B2317" s="3" t="n">
        <v>5</v>
      </c>
      <c r="C2317" s="3" t="n">
        <v>4</v>
      </c>
      <c r="D2317" s="3" t="s">
        <v>2321</v>
      </c>
      <c r="E2317" s="4" t="n">
        <v>0</v>
      </c>
    </row>
    <row r="2318" customFormat="false" ht="15" hidden="false" customHeight="false" outlineLevel="0" collapsed="false">
      <c r="A2318" s="3" t="n">
        <v>2018</v>
      </c>
      <c r="B2318" s="3" t="n">
        <v>5</v>
      </c>
      <c r="C2318" s="3" t="n">
        <v>5</v>
      </c>
      <c r="D2318" s="3" t="s">
        <v>2322</v>
      </c>
      <c r="E2318" s="4" t="n">
        <v>0</v>
      </c>
    </row>
    <row r="2319" customFormat="false" ht="15" hidden="false" customHeight="false" outlineLevel="0" collapsed="false">
      <c r="A2319" s="3" t="n">
        <v>2018</v>
      </c>
      <c r="B2319" s="3" t="n">
        <v>5</v>
      </c>
      <c r="C2319" s="3" t="n">
        <v>6</v>
      </c>
      <c r="D2319" s="3" t="s">
        <v>2323</v>
      </c>
      <c r="E2319" s="4" t="n">
        <v>0</v>
      </c>
    </row>
    <row r="2320" customFormat="false" ht="15" hidden="false" customHeight="false" outlineLevel="0" collapsed="false">
      <c r="A2320" s="3" t="n">
        <v>2018</v>
      </c>
      <c r="B2320" s="3" t="n">
        <v>5</v>
      </c>
      <c r="C2320" s="3" t="n">
        <v>7</v>
      </c>
      <c r="D2320" s="3" t="s">
        <v>2324</v>
      </c>
      <c r="E2320" s="4" t="n">
        <v>1</v>
      </c>
    </row>
    <row r="2321" customFormat="false" ht="15" hidden="false" customHeight="false" outlineLevel="0" collapsed="false">
      <c r="A2321" s="3" t="n">
        <v>2018</v>
      </c>
      <c r="B2321" s="3" t="n">
        <v>5</v>
      </c>
      <c r="C2321" s="3" t="n">
        <v>8</v>
      </c>
      <c r="D2321" s="3" t="s">
        <v>2325</v>
      </c>
      <c r="E2321" s="4" t="n">
        <v>11</v>
      </c>
    </row>
    <row r="2322" customFormat="false" ht="15" hidden="false" customHeight="false" outlineLevel="0" collapsed="false">
      <c r="A2322" s="3" t="n">
        <v>2018</v>
      </c>
      <c r="B2322" s="3" t="n">
        <v>5</v>
      </c>
      <c r="C2322" s="3" t="n">
        <v>9</v>
      </c>
      <c r="D2322" s="3" t="s">
        <v>2326</v>
      </c>
      <c r="E2322" s="4" t="n">
        <v>0</v>
      </c>
    </row>
    <row r="2323" customFormat="false" ht="15" hidden="false" customHeight="false" outlineLevel="0" collapsed="false">
      <c r="A2323" s="3" t="n">
        <v>2018</v>
      </c>
      <c r="B2323" s="3" t="n">
        <v>5</v>
      </c>
      <c r="C2323" s="3" t="n">
        <v>10</v>
      </c>
      <c r="D2323" s="3" t="s">
        <v>2327</v>
      </c>
      <c r="E2323" s="4" t="n">
        <v>22</v>
      </c>
    </row>
    <row r="2324" customFormat="false" ht="15" hidden="false" customHeight="false" outlineLevel="0" collapsed="false">
      <c r="A2324" s="3" t="n">
        <v>2018</v>
      </c>
      <c r="B2324" s="3" t="n">
        <v>5</v>
      </c>
      <c r="C2324" s="3" t="n">
        <v>11</v>
      </c>
      <c r="D2324" s="3" t="s">
        <v>2328</v>
      </c>
      <c r="E2324" s="4" t="n">
        <v>0</v>
      </c>
    </row>
    <row r="2325" customFormat="false" ht="15" hidden="false" customHeight="false" outlineLevel="0" collapsed="false">
      <c r="A2325" s="3" t="n">
        <v>2018</v>
      </c>
      <c r="B2325" s="3" t="n">
        <v>5</v>
      </c>
      <c r="C2325" s="3" t="n">
        <v>12</v>
      </c>
      <c r="D2325" s="3" t="s">
        <v>2329</v>
      </c>
      <c r="E2325" s="4" t="n">
        <v>0</v>
      </c>
    </row>
    <row r="2326" customFormat="false" ht="15" hidden="false" customHeight="false" outlineLevel="0" collapsed="false">
      <c r="A2326" s="3" t="n">
        <v>2018</v>
      </c>
      <c r="B2326" s="3" t="n">
        <v>5</v>
      </c>
      <c r="C2326" s="3" t="n">
        <v>13</v>
      </c>
      <c r="D2326" s="3" t="s">
        <v>2330</v>
      </c>
      <c r="E2326" s="4" t="n">
        <v>22</v>
      </c>
    </row>
    <row r="2327" customFormat="false" ht="15" hidden="false" customHeight="false" outlineLevel="0" collapsed="false">
      <c r="A2327" s="3" t="n">
        <v>2018</v>
      </c>
      <c r="B2327" s="3" t="n">
        <v>5</v>
      </c>
      <c r="C2327" s="3" t="n">
        <v>14</v>
      </c>
      <c r="D2327" s="3" t="s">
        <v>2331</v>
      </c>
      <c r="E2327" s="4" t="n">
        <v>9</v>
      </c>
    </row>
    <row r="2328" customFormat="false" ht="15" hidden="false" customHeight="false" outlineLevel="0" collapsed="false">
      <c r="A2328" s="3" t="n">
        <v>2018</v>
      </c>
      <c r="B2328" s="3" t="n">
        <v>5</v>
      </c>
      <c r="C2328" s="3" t="n">
        <v>15</v>
      </c>
      <c r="D2328" s="3" t="s">
        <v>2332</v>
      </c>
      <c r="E2328" s="4" t="n">
        <v>25</v>
      </c>
    </row>
    <row r="2329" customFormat="false" ht="15" hidden="false" customHeight="false" outlineLevel="0" collapsed="false">
      <c r="A2329" s="3" t="n">
        <v>2018</v>
      </c>
      <c r="B2329" s="3" t="n">
        <v>5</v>
      </c>
      <c r="C2329" s="3" t="n">
        <v>16</v>
      </c>
      <c r="D2329" s="3" t="s">
        <v>2333</v>
      </c>
      <c r="E2329" s="4" t="n">
        <v>36</v>
      </c>
    </row>
    <row r="2330" customFormat="false" ht="15" hidden="false" customHeight="false" outlineLevel="0" collapsed="false">
      <c r="A2330" s="3" t="n">
        <v>2018</v>
      </c>
      <c r="B2330" s="3" t="n">
        <v>5</v>
      </c>
      <c r="C2330" s="3" t="n">
        <v>17</v>
      </c>
      <c r="D2330" s="3" t="s">
        <v>2334</v>
      </c>
      <c r="E2330" s="4" t="n">
        <v>1</v>
      </c>
    </row>
    <row r="2331" customFormat="false" ht="15" hidden="false" customHeight="false" outlineLevel="0" collapsed="false">
      <c r="A2331" s="3" t="n">
        <v>2018</v>
      </c>
      <c r="B2331" s="3" t="n">
        <v>5</v>
      </c>
      <c r="C2331" s="3" t="n">
        <v>18</v>
      </c>
      <c r="D2331" s="3" t="s">
        <v>2335</v>
      </c>
      <c r="E2331" s="4" t="n">
        <v>0</v>
      </c>
    </row>
    <row r="2332" customFormat="false" ht="15" hidden="false" customHeight="false" outlineLevel="0" collapsed="false">
      <c r="A2332" s="3" t="n">
        <v>2018</v>
      </c>
      <c r="B2332" s="3" t="n">
        <v>5</v>
      </c>
      <c r="C2332" s="3" t="n">
        <v>19</v>
      </c>
      <c r="D2332" s="3" t="s">
        <v>2336</v>
      </c>
      <c r="E2332" s="4" t="n">
        <v>33</v>
      </c>
    </row>
    <row r="2333" customFormat="false" ht="15" hidden="false" customHeight="false" outlineLevel="0" collapsed="false">
      <c r="A2333" s="3" t="n">
        <v>2018</v>
      </c>
      <c r="B2333" s="3" t="n">
        <v>5</v>
      </c>
      <c r="C2333" s="3" t="n">
        <v>20</v>
      </c>
      <c r="D2333" s="3" t="s">
        <v>2337</v>
      </c>
      <c r="E2333" s="4" t="n">
        <v>0</v>
      </c>
    </row>
    <row r="2334" customFormat="false" ht="15" hidden="false" customHeight="false" outlineLevel="0" collapsed="false">
      <c r="A2334" s="3" t="n">
        <v>2018</v>
      </c>
      <c r="B2334" s="3" t="n">
        <v>5</v>
      </c>
      <c r="C2334" s="3" t="n">
        <v>21</v>
      </c>
      <c r="D2334" s="3" t="s">
        <v>2338</v>
      </c>
      <c r="E2334" s="4" t="n">
        <v>4</v>
      </c>
    </row>
    <row r="2335" customFormat="false" ht="15" hidden="false" customHeight="false" outlineLevel="0" collapsed="false">
      <c r="A2335" s="3" t="n">
        <v>2018</v>
      </c>
      <c r="B2335" s="3" t="n">
        <v>5</v>
      </c>
      <c r="C2335" s="3" t="n">
        <v>22</v>
      </c>
      <c r="D2335" s="3" t="s">
        <v>2339</v>
      </c>
      <c r="E2335" s="4" t="n">
        <v>0</v>
      </c>
    </row>
    <row r="2336" customFormat="false" ht="15" hidden="false" customHeight="false" outlineLevel="0" collapsed="false">
      <c r="A2336" s="3" t="n">
        <v>2018</v>
      </c>
      <c r="B2336" s="3" t="n">
        <v>5</v>
      </c>
      <c r="C2336" s="3" t="n">
        <v>23</v>
      </c>
      <c r="D2336" s="3" t="s">
        <v>2340</v>
      </c>
      <c r="E2336" s="4" t="n">
        <v>1</v>
      </c>
    </row>
    <row r="2337" customFormat="false" ht="15" hidden="false" customHeight="false" outlineLevel="0" collapsed="false">
      <c r="A2337" s="3" t="n">
        <v>2018</v>
      </c>
      <c r="B2337" s="3" t="n">
        <v>5</v>
      </c>
      <c r="C2337" s="3" t="n">
        <v>24</v>
      </c>
      <c r="D2337" s="3" t="s">
        <v>2341</v>
      </c>
      <c r="E2337" s="4" t="n">
        <v>16</v>
      </c>
    </row>
    <row r="2338" customFormat="false" ht="15" hidden="false" customHeight="false" outlineLevel="0" collapsed="false">
      <c r="A2338" s="3" t="n">
        <v>2018</v>
      </c>
      <c r="B2338" s="3" t="n">
        <v>5</v>
      </c>
      <c r="C2338" s="3" t="n">
        <v>25</v>
      </c>
      <c r="D2338" s="3" t="s">
        <v>2342</v>
      </c>
      <c r="E2338" s="4" t="n">
        <v>1</v>
      </c>
    </row>
    <row r="2339" customFormat="false" ht="15" hidden="false" customHeight="false" outlineLevel="0" collapsed="false">
      <c r="A2339" s="3" t="n">
        <v>2018</v>
      </c>
      <c r="B2339" s="3" t="n">
        <v>5</v>
      </c>
      <c r="C2339" s="3" t="n">
        <v>26</v>
      </c>
      <c r="D2339" s="3" t="s">
        <v>2343</v>
      </c>
      <c r="E2339" s="4" t="n">
        <v>9</v>
      </c>
    </row>
    <row r="2340" customFormat="false" ht="15" hidden="false" customHeight="false" outlineLevel="0" collapsed="false">
      <c r="A2340" s="3" t="n">
        <v>2018</v>
      </c>
      <c r="B2340" s="3" t="n">
        <v>5</v>
      </c>
      <c r="C2340" s="3" t="n">
        <v>27</v>
      </c>
      <c r="D2340" s="3" t="s">
        <v>2344</v>
      </c>
      <c r="E2340" s="4" t="n">
        <v>2</v>
      </c>
    </row>
    <row r="2341" customFormat="false" ht="15" hidden="false" customHeight="false" outlineLevel="0" collapsed="false">
      <c r="A2341" s="3" t="n">
        <v>2018</v>
      </c>
      <c r="B2341" s="3" t="n">
        <v>5</v>
      </c>
      <c r="C2341" s="3" t="n">
        <v>28</v>
      </c>
      <c r="D2341" s="3" t="s">
        <v>2345</v>
      </c>
      <c r="E2341" s="4" t="n">
        <v>2</v>
      </c>
    </row>
    <row r="2342" customFormat="false" ht="15" hidden="false" customHeight="false" outlineLevel="0" collapsed="false">
      <c r="A2342" s="3" t="n">
        <v>2018</v>
      </c>
      <c r="B2342" s="3" t="n">
        <v>5</v>
      </c>
      <c r="C2342" s="3" t="n">
        <v>29</v>
      </c>
      <c r="D2342" s="3" t="s">
        <v>2346</v>
      </c>
      <c r="E2342" s="4" t="n">
        <v>0</v>
      </c>
    </row>
    <row r="2343" customFormat="false" ht="15" hidden="false" customHeight="false" outlineLevel="0" collapsed="false">
      <c r="A2343" s="3" t="n">
        <v>2018</v>
      </c>
      <c r="B2343" s="3" t="n">
        <v>5</v>
      </c>
      <c r="C2343" s="3" t="n">
        <v>30</v>
      </c>
      <c r="D2343" s="3" t="s">
        <v>2347</v>
      </c>
      <c r="E2343" s="4" t="n">
        <v>0</v>
      </c>
    </row>
    <row r="2344" customFormat="false" ht="15" hidden="false" customHeight="false" outlineLevel="0" collapsed="false">
      <c r="A2344" s="3" t="n">
        <v>2018</v>
      </c>
      <c r="B2344" s="3" t="n">
        <v>5</v>
      </c>
      <c r="C2344" s="3" t="n">
        <v>31</v>
      </c>
      <c r="D2344" s="3" t="s">
        <v>2348</v>
      </c>
      <c r="E2344" s="4" t="n">
        <v>14</v>
      </c>
    </row>
    <row r="2345" customFormat="false" ht="15" hidden="false" customHeight="false" outlineLevel="0" collapsed="false">
      <c r="A2345" s="3" t="n">
        <v>2018</v>
      </c>
      <c r="B2345" s="3" t="n">
        <v>6</v>
      </c>
      <c r="C2345" s="3" t="n">
        <v>1</v>
      </c>
      <c r="D2345" s="3" t="s">
        <v>2349</v>
      </c>
      <c r="E2345" s="4" t="n">
        <v>11</v>
      </c>
    </row>
    <row r="2346" customFormat="false" ht="15" hidden="false" customHeight="false" outlineLevel="0" collapsed="false">
      <c r="A2346" s="3" t="n">
        <v>2018</v>
      </c>
      <c r="B2346" s="3" t="n">
        <v>6</v>
      </c>
      <c r="C2346" s="3" t="n">
        <v>2</v>
      </c>
      <c r="D2346" s="3" t="s">
        <v>2350</v>
      </c>
      <c r="E2346" s="4" t="n">
        <v>0</v>
      </c>
    </row>
    <row r="2347" customFormat="false" ht="15" hidden="false" customHeight="false" outlineLevel="0" collapsed="false">
      <c r="A2347" s="3" t="n">
        <v>2018</v>
      </c>
      <c r="B2347" s="3" t="n">
        <v>6</v>
      </c>
      <c r="C2347" s="3" t="n">
        <v>3</v>
      </c>
      <c r="D2347" s="3" t="s">
        <v>2351</v>
      </c>
      <c r="E2347" s="4" t="n">
        <v>0</v>
      </c>
    </row>
    <row r="2348" customFormat="false" ht="15" hidden="false" customHeight="false" outlineLevel="0" collapsed="false">
      <c r="A2348" s="3" t="n">
        <v>2018</v>
      </c>
      <c r="B2348" s="3" t="n">
        <v>6</v>
      </c>
      <c r="C2348" s="3" t="n">
        <v>4</v>
      </c>
      <c r="D2348" s="3" t="s">
        <v>2352</v>
      </c>
      <c r="E2348" s="4" t="n">
        <v>2</v>
      </c>
    </row>
    <row r="2349" customFormat="false" ht="15" hidden="false" customHeight="false" outlineLevel="0" collapsed="false">
      <c r="A2349" s="3" t="n">
        <v>2018</v>
      </c>
      <c r="B2349" s="3" t="n">
        <v>6</v>
      </c>
      <c r="C2349" s="3" t="n">
        <v>5</v>
      </c>
      <c r="D2349" s="3" t="s">
        <v>2353</v>
      </c>
      <c r="E2349" s="4" t="n">
        <v>0</v>
      </c>
    </row>
    <row r="2350" customFormat="false" ht="15" hidden="false" customHeight="false" outlineLevel="0" collapsed="false">
      <c r="A2350" s="3" t="n">
        <v>2018</v>
      </c>
      <c r="B2350" s="3" t="n">
        <v>6</v>
      </c>
      <c r="C2350" s="3" t="n">
        <v>6</v>
      </c>
      <c r="D2350" s="3" t="s">
        <v>2354</v>
      </c>
      <c r="E2350" s="4" t="n">
        <v>0</v>
      </c>
    </row>
    <row r="2351" customFormat="false" ht="15" hidden="false" customHeight="false" outlineLevel="0" collapsed="false">
      <c r="A2351" s="3" t="n">
        <v>2018</v>
      </c>
      <c r="B2351" s="3" t="n">
        <v>6</v>
      </c>
      <c r="C2351" s="3" t="n">
        <v>7</v>
      </c>
      <c r="D2351" s="3" t="s">
        <v>2355</v>
      </c>
      <c r="E2351" s="4" t="n">
        <v>5</v>
      </c>
    </row>
    <row r="2352" customFormat="false" ht="15" hidden="false" customHeight="false" outlineLevel="0" collapsed="false">
      <c r="A2352" s="3" t="n">
        <v>2018</v>
      </c>
      <c r="B2352" s="3" t="n">
        <v>6</v>
      </c>
      <c r="C2352" s="3" t="n">
        <v>8</v>
      </c>
      <c r="D2352" s="3" t="s">
        <v>2356</v>
      </c>
      <c r="E2352" s="4" t="n">
        <v>0</v>
      </c>
    </row>
    <row r="2353" customFormat="false" ht="15" hidden="false" customHeight="false" outlineLevel="0" collapsed="false">
      <c r="A2353" s="3" t="n">
        <v>2018</v>
      </c>
      <c r="B2353" s="3" t="n">
        <v>6</v>
      </c>
      <c r="C2353" s="3" t="n">
        <v>9</v>
      </c>
      <c r="D2353" s="3" t="s">
        <v>2357</v>
      </c>
      <c r="E2353" s="4" t="n">
        <v>5</v>
      </c>
    </row>
    <row r="2354" customFormat="false" ht="15" hidden="false" customHeight="false" outlineLevel="0" collapsed="false">
      <c r="A2354" s="3" t="n">
        <v>2018</v>
      </c>
      <c r="B2354" s="3" t="n">
        <v>6</v>
      </c>
      <c r="C2354" s="3" t="n">
        <v>10</v>
      </c>
      <c r="D2354" s="3" t="s">
        <v>2358</v>
      </c>
      <c r="E2354" s="4" t="n">
        <v>4</v>
      </c>
    </row>
    <row r="2355" customFormat="false" ht="15" hidden="false" customHeight="false" outlineLevel="0" collapsed="false">
      <c r="A2355" s="3" t="n">
        <v>2018</v>
      </c>
      <c r="B2355" s="3" t="n">
        <v>6</v>
      </c>
      <c r="C2355" s="3" t="n">
        <v>11</v>
      </c>
      <c r="D2355" s="3" t="s">
        <v>2359</v>
      </c>
      <c r="E2355" s="4" t="n">
        <v>0</v>
      </c>
    </row>
    <row r="2356" customFormat="false" ht="15" hidden="false" customHeight="false" outlineLevel="0" collapsed="false">
      <c r="A2356" s="3" t="n">
        <v>2018</v>
      </c>
      <c r="B2356" s="3" t="n">
        <v>6</v>
      </c>
      <c r="C2356" s="3" t="n">
        <v>12</v>
      </c>
      <c r="D2356" s="3" t="s">
        <v>2360</v>
      </c>
      <c r="E2356" s="4" t="n">
        <v>0</v>
      </c>
    </row>
    <row r="2357" customFormat="false" ht="15" hidden="false" customHeight="false" outlineLevel="0" collapsed="false">
      <c r="A2357" s="3" t="n">
        <v>2018</v>
      </c>
      <c r="B2357" s="3" t="n">
        <v>6</v>
      </c>
      <c r="C2357" s="3" t="n">
        <v>13</v>
      </c>
      <c r="D2357" s="3" t="s">
        <v>2361</v>
      </c>
      <c r="E2357" s="4" t="n">
        <v>2</v>
      </c>
    </row>
    <row r="2358" customFormat="false" ht="15" hidden="false" customHeight="false" outlineLevel="0" collapsed="false">
      <c r="A2358" s="3" t="n">
        <v>2018</v>
      </c>
      <c r="B2358" s="3" t="n">
        <v>6</v>
      </c>
      <c r="C2358" s="3" t="n">
        <v>14</v>
      </c>
      <c r="D2358" s="3" t="s">
        <v>2362</v>
      </c>
      <c r="E2358" s="4" t="n">
        <v>0</v>
      </c>
    </row>
    <row r="2359" customFormat="false" ht="15" hidden="false" customHeight="false" outlineLevel="0" collapsed="false">
      <c r="A2359" s="3" t="n">
        <v>2018</v>
      </c>
      <c r="B2359" s="3" t="n">
        <v>6</v>
      </c>
      <c r="C2359" s="3" t="n">
        <v>15</v>
      </c>
      <c r="D2359" s="3" t="s">
        <v>2363</v>
      </c>
      <c r="E2359" s="4" t="n">
        <v>4</v>
      </c>
    </row>
    <row r="2360" customFormat="false" ht="15" hidden="false" customHeight="false" outlineLevel="0" collapsed="false">
      <c r="A2360" s="3" t="n">
        <v>2018</v>
      </c>
      <c r="B2360" s="3" t="n">
        <v>6</v>
      </c>
      <c r="C2360" s="3" t="n">
        <v>16</v>
      </c>
      <c r="D2360" s="3" t="s">
        <v>2364</v>
      </c>
      <c r="E2360" s="4" t="n">
        <v>8</v>
      </c>
    </row>
    <row r="2361" customFormat="false" ht="15" hidden="false" customHeight="false" outlineLevel="0" collapsed="false">
      <c r="A2361" s="3" t="n">
        <v>2018</v>
      </c>
      <c r="B2361" s="3" t="n">
        <v>6</v>
      </c>
      <c r="C2361" s="3" t="n">
        <v>17</v>
      </c>
      <c r="D2361" s="3" t="s">
        <v>2365</v>
      </c>
      <c r="E2361" s="4" t="n">
        <v>0</v>
      </c>
    </row>
    <row r="2362" customFormat="false" ht="15" hidden="false" customHeight="false" outlineLevel="0" collapsed="false">
      <c r="A2362" s="3" t="n">
        <v>2018</v>
      </c>
      <c r="B2362" s="3" t="n">
        <v>6</v>
      </c>
      <c r="C2362" s="3" t="n">
        <v>18</v>
      </c>
      <c r="D2362" s="3" t="s">
        <v>2366</v>
      </c>
      <c r="E2362" s="4" t="n">
        <v>0</v>
      </c>
    </row>
    <row r="2363" customFormat="false" ht="15" hidden="false" customHeight="false" outlineLevel="0" collapsed="false">
      <c r="A2363" s="3" t="n">
        <v>2018</v>
      </c>
      <c r="B2363" s="3" t="n">
        <v>6</v>
      </c>
      <c r="C2363" s="3" t="n">
        <v>19</v>
      </c>
      <c r="D2363" s="3" t="s">
        <v>2367</v>
      </c>
      <c r="E2363" s="4" t="n">
        <v>0</v>
      </c>
    </row>
    <row r="2364" customFormat="false" ht="15" hidden="false" customHeight="false" outlineLevel="0" collapsed="false">
      <c r="A2364" s="3" t="n">
        <v>2018</v>
      </c>
      <c r="B2364" s="3" t="n">
        <v>6</v>
      </c>
      <c r="C2364" s="3" t="n">
        <v>20</v>
      </c>
      <c r="D2364" s="3" t="s">
        <v>2368</v>
      </c>
      <c r="E2364" s="4" t="n">
        <v>19</v>
      </c>
    </row>
    <row r="2365" customFormat="false" ht="15" hidden="false" customHeight="false" outlineLevel="0" collapsed="false">
      <c r="A2365" s="3" t="n">
        <v>2018</v>
      </c>
      <c r="B2365" s="3" t="n">
        <v>6</v>
      </c>
      <c r="C2365" s="3" t="n">
        <v>21</v>
      </c>
      <c r="D2365" s="3" t="s">
        <v>2369</v>
      </c>
      <c r="E2365" s="4" t="n">
        <v>0</v>
      </c>
    </row>
    <row r="2366" customFormat="false" ht="15" hidden="false" customHeight="false" outlineLevel="0" collapsed="false">
      <c r="A2366" s="3" t="n">
        <v>2018</v>
      </c>
      <c r="B2366" s="3" t="n">
        <v>6</v>
      </c>
      <c r="C2366" s="3" t="n">
        <v>22</v>
      </c>
      <c r="D2366" s="3" t="s">
        <v>2370</v>
      </c>
      <c r="E2366" s="4" t="n">
        <v>0</v>
      </c>
    </row>
    <row r="2367" customFormat="false" ht="15" hidden="false" customHeight="false" outlineLevel="0" collapsed="false">
      <c r="A2367" s="3" t="n">
        <v>2018</v>
      </c>
      <c r="B2367" s="3" t="n">
        <v>6</v>
      </c>
      <c r="C2367" s="3" t="n">
        <v>23</v>
      </c>
      <c r="D2367" s="3" t="s">
        <v>2371</v>
      </c>
      <c r="E2367" s="4" t="n">
        <v>10</v>
      </c>
    </row>
    <row r="2368" customFormat="false" ht="15" hidden="false" customHeight="false" outlineLevel="0" collapsed="false">
      <c r="A2368" s="3" t="n">
        <v>2018</v>
      </c>
      <c r="B2368" s="3" t="n">
        <v>6</v>
      </c>
      <c r="C2368" s="3" t="n">
        <v>24</v>
      </c>
      <c r="D2368" s="3" t="s">
        <v>2372</v>
      </c>
      <c r="E2368" s="4" t="n">
        <v>0</v>
      </c>
    </row>
    <row r="2369" customFormat="false" ht="15" hidden="false" customHeight="false" outlineLevel="0" collapsed="false">
      <c r="A2369" s="3" t="n">
        <v>2018</v>
      </c>
      <c r="B2369" s="3" t="n">
        <v>6</v>
      </c>
      <c r="C2369" s="3" t="n">
        <v>25</v>
      </c>
      <c r="D2369" s="3" t="s">
        <v>2373</v>
      </c>
      <c r="E2369" s="4" t="n">
        <v>21</v>
      </c>
    </row>
    <row r="2370" customFormat="false" ht="15" hidden="false" customHeight="false" outlineLevel="0" collapsed="false">
      <c r="A2370" s="3" t="n">
        <v>2018</v>
      </c>
      <c r="B2370" s="3" t="n">
        <v>6</v>
      </c>
      <c r="C2370" s="3" t="n">
        <v>26</v>
      </c>
      <c r="D2370" s="3" t="s">
        <v>2374</v>
      </c>
      <c r="E2370" s="4" t="n">
        <v>24</v>
      </c>
    </row>
    <row r="2371" customFormat="false" ht="15" hidden="false" customHeight="false" outlineLevel="0" collapsed="false">
      <c r="A2371" s="3" t="n">
        <v>2018</v>
      </c>
      <c r="B2371" s="3" t="n">
        <v>6</v>
      </c>
      <c r="C2371" s="3" t="n">
        <v>27</v>
      </c>
      <c r="D2371" s="3" t="s">
        <v>2375</v>
      </c>
      <c r="E2371" s="4" t="n">
        <v>0</v>
      </c>
    </row>
    <row r="2372" customFormat="false" ht="15" hidden="false" customHeight="false" outlineLevel="0" collapsed="false">
      <c r="A2372" s="3" t="n">
        <v>2018</v>
      </c>
      <c r="B2372" s="3" t="n">
        <v>6</v>
      </c>
      <c r="C2372" s="3" t="n">
        <v>28</v>
      </c>
      <c r="D2372" s="3" t="s">
        <v>2376</v>
      </c>
      <c r="E2372" s="4" t="n">
        <v>0</v>
      </c>
    </row>
    <row r="2373" customFormat="false" ht="15" hidden="false" customHeight="false" outlineLevel="0" collapsed="false">
      <c r="A2373" s="3" t="n">
        <v>2018</v>
      </c>
      <c r="B2373" s="3" t="n">
        <v>6</v>
      </c>
      <c r="C2373" s="3" t="n">
        <v>29</v>
      </c>
      <c r="D2373" s="3" t="s">
        <v>2377</v>
      </c>
      <c r="E2373" s="4" t="n">
        <v>1</v>
      </c>
    </row>
    <row r="2374" customFormat="false" ht="15" hidden="false" customHeight="false" outlineLevel="0" collapsed="false">
      <c r="A2374" s="3" t="n">
        <v>2018</v>
      </c>
      <c r="B2374" s="3" t="n">
        <v>6</v>
      </c>
      <c r="C2374" s="3" t="n">
        <v>30</v>
      </c>
      <c r="D2374" s="3" t="s">
        <v>2378</v>
      </c>
      <c r="E2374" s="4" t="n">
        <v>9</v>
      </c>
    </row>
    <row r="2375" customFormat="false" ht="15" hidden="false" customHeight="false" outlineLevel="0" collapsed="false">
      <c r="A2375" s="3" t="n">
        <v>2018</v>
      </c>
      <c r="B2375" s="3" t="n">
        <v>7</v>
      </c>
      <c r="C2375" s="3" t="n">
        <v>1</v>
      </c>
      <c r="D2375" s="3" t="s">
        <v>2379</v>
      </c>
      <c r="E2375" s="4" t="n">
        <v>6</v>
      </c>
    </row>
    <row r="2376" customFormat="false" ht="15" hidden="false" customHeight="false" outlineLevel="0" collapsed="false">
      <c r="A2376" s="3" t="n">
        <v>2018</v>
      </c>
      <c r="B2376" s="3" t="n">
        <v>7</v>
      </c>
      <c r="C2376" s="3" t="n">
        <v>2</v>
      </c>
      <c r="D2376" s="3" t="s">
        <v>2380</v>
      </c>
      <c r="E2376" s="4" t="n">
        <v>0</v>
      </c>
    </row>
    <row r="2377" customFormat="false" ht="15" hidden="false" customHeight="false" outlineLevel="0" collapsed="false">
      <c r="A2377" s="3" t="n">
        <v>2018</v>
      </c>
      <c r="B2377" s="3" t="n">
        <v>7</v>
      </c>
      <c r="C2377" s="3" t="n">
        <v>3</v>
      </c>
      <c r="D2377" s="3" t="s">
        <v>2381</v>
      </c>
      <c r="E2377" s="4" t="n">
        <v>10</v>
      </c>
    </row>
    <row r="2378" customFormat="false" ht="15" hidden="false" customHeight="false" outlineLevel="0" collapsed="false">
      <c r="A2378" s="3" t="n">
        <v>2018</v>
      </c>
      <c r="B2378" s="3" t="n">
        <v>7</v>
      </c>
      <c r="C2378" s="3" t="n">
        <v>4</v>
      </c>
      <c r="D2378" s="3" t="s">
        <v>2382</v>
      </c>
      <c r="E2378" s="4" t="n">
        <v>2</v>
      </c>
    </row>
    <row r="2379" customFormat="false" ht="15" hidden="false" customHeight="false" outlineLevel="0" collapsed="false">
      <c r="A2379" s="3" t="n">
        <v>2018</v>
      </c>
      <c r="B2379" s="3" t="n">
        <v>7</v>
      </c>
      <c r="C2379" s="3" t="n">
        <v>5</v>
      </c>
      <c r="D2379" s="3" t="s">
        <v>2383</v>
      </c>
      <c r="E2379" s="4" t="n">
        <v>0</v>
      </c>
    </row>
    <row r="2380" customFormat="false" ht="15" hidden="false" customHeight="false" outlineLevel="0" collapsed="false">
      <c r="A2380" s="3" t="n">
        <v>2018</v>
      </c>
      <c r="B2380" s="3" t="n">
        <v>7</v>
      </c>
      <c r="C2380" s="3" t="n">
        <v>6</v>
      </c>
      <c r="D2380" s="3" t="s">
        <v>2384</v>
      </c>
      <c r="E2380" s="4" t="n">
        <v>0</v>
      </c>
    </row>
    <row r="2381" customFormat="false" ht="15" hidden="false" customHeight="false" outlineLevel="0" collapsed="false">
      <c r="A2381" s="3" t="n">
        <v>2018</v>
      </c>
      <c r="B2381" s="3" t="n">
        <v>7</v>
      </c>
      <c r="C2381" s="3" t="n">
        <v>7</v>
      </c>
      <c r="D2381" s="3" t="s">
        <v>2385</v>
      </c>
      <c r="E2381" s="4" t="n">
        <v>0</v>
      </c>
    </row>
    <row r="2382" customFormat="false" ht="15" hidden="false" customHeight="false" outlineLevel="0" collapsed="false">
      <c r="A2382" s="3" t="n">
        <v>2018</v>
      </c>
      <c r="B2382" s="3" t="n">
        <v>7</v>
      </c>
      <c r="C2382" s="3" t="n">
        <v>8</v>
      </c>
      <c r="D2382" s="3" t="s">
        <v>2386</v>
      </c>
      <c r="E2382" s="4" t="n">
        <v>0</v>
      </c>
    </row>
    <row r="2383" customFormat="false" ht="15" hidden="false" customHeight="false" outlineLevel="0" collapsed="false">
      <c r="A2383" s="3" t="n">
        <v>2018</v>
      </c>
      <c r="B2383" s="3" t="n">
        <v>7</v>
      </c>
      <c r="C2383" s="3" t="n">
        <v>9</v>
      </c>
      <c r="D2383" s="3" t="s">
        <v>2387</v>
      </c>
      <c r="E2383" s="4" t="n">
        <v>0</v>
      </c>
    </row>
    <row r="2384" customFormat="false" ht="15" hidden="false" customHeight="false" outlineLevel="0" collapsed="false">
      <c r="A2384" s="3" t="n">
        <v>2018</v>
      </c>
      <c r="B2384" s="3" t="n">
        <v>7</v>
      </c>
      <c r="C2384" s="3" t="n">
        <v>10</v>
      </c>
      <c r="D2384" s="3" t="s">
        <v>2388</v>
      </c>
      <c r="E2384" s="4" t="n">
        <v>0</v>
      </c>
    </row>
    <row r="2385" customFormat="false" ht="15" hidden="false" customHeight="false" outlineLevel="0" collapsed="false">
      <c r="A2385" s="3" t="n">
        <v>2018</v>
      </c>
      <c r="B2385" s="3" t="n">
        <v>7</v>
      </c>
      <c r="C2385" s="3" t="n">
        <v>11</v>
      </c>
      <c r="D2385" s="3" t="s">
        <v>2389</v>
      </c>
      <c r="E2385" s="4" t="n">
        <v>0</v>
      </c>
    </row>
    <row r="2386" customFormat="false" ht="15" hidden="false" customHeight="false" outlineLevel="0" collapsed="false">
      <c r="A2386" s="3" t="n">
        <v>2018</v>
      </c>
      <c r="B2386" s="3" t="n">
        <v>7</v>
      </c>
      <c r="C2386" s="3" t="n">
        <v>12</v>
      </c>
      <c r="D2386" s="3" t="s">
        <v>2390</v>
      </c>
      <c r="E2386" s="4" t="n">
        <v>0</v>
      </c>
    </row>
    <row r="2387" customFormat="false" ht="15" hidden="false" customHeight="false" outlineLevel="0" collapsed="false">
      <c r="A2387" s="3" t="n">
        <v>2018</v>
      </c>
      <c r="B2387" s="3" t="n">
        <v>7</v>
      </c>
      <c r="C2387" s="3" t="n">
        <v>13</v>
      </c>
      <c r="D2387" s="3" t="s">
        <v>2391</v>
      </c>
      <c r="E2387" s="4" t="n">
        <v>0</v>
      </c>
    </row>
    <row r="2388" customFormat="false" ht="15" hidden="false" customHeight="false" outlineLevel="0" collapsed="false">
      <c r="A2388" s="3" t="n">
        <v>2018</v>
      </c>
      <c r="B2388" s="3" t="n">
        <v>7</v>
      </c>
      <c r="C2388" s="3" t="n">
        <v>14</v>
      </c>
      <c r="D2388" s="3" t="s">
        <v>2392</v>
      </c>
      <c r="E2388" s="4" t="n">
        <v>0</v>
      </c>
    </row>
    <row r="2389" customFormat="false" ht="15" hidden="false" customHeight="false" outlineLevel="0" collapsed="false">
      <c r="A2389" s="3" t="n">
        <v>2018</v>
      </c>
      <c r="B2389" s="3" t="n">
        <v>7</v>
      </c>
      <c r="C2389" s="3" t="n">
        <v>15</v>
      </c>
      <c r="D2389" s="3" t="s">
        <v>2393</v>
      </c>
      <c r="E2389" s="4" t="n">
        <v>0</v>
      </c>
    </row>
    <row r="2390" customFormat="false" ht="15" hidden="false" customHeight="false" outlineLevel="0" collapsed="false">
      <c r="A2390" s="3" t="n">
        <v>2018</v>
      </c>
      <c r="B2390" s="3" t="n">
        <v>7</v>
      </c>
      <c r="C2390" s="3" t="n">
        <v>16</v>
      </c>
      <c r="D2390" s="3" t="s">
        <v>2394</v>
      </c>
      <c r="E2390" s="4" t="n">
        <v>0</v>
      </c>
    </row>
    <row r="2391" customFormat="false" ht="15" hidden="false" customHeight="false" outlineLevel="0" collapsed="false">
      <c r="A2391" s="3" t="n">
        <v>2018</v>
      </c>
      <c r="B2391" s="3" t="n">
        <v>7</v>
      </c>
      <c r="C2391" s="3" t="n">
        <v>17</v>
      </c>
      <c r="D2391" s="3" t="s">
        <v>2395</v>
      </c>
      <c r="E2391" s="4" t="n">
        <v>0</v>
      </c>
    </row>
    <row r="2392" customFormat="false" ht="15" hidden="false" customHeight="false" outlineLevel="0" collapsed="false">
      <c r="A2392" s="3" t="n">
        <v>2018</v>
      </c>
      <c r="B2392" s="3" t="n">
        <v>7</v>
      </c>
      <c r="C2392" s="3" t="n">
        <v>18</v>
      </c>
      <c r="D2392" s="3" t="s">
        <v>2396</v>
      </c>
      <c r="E2392" s="4" t="n">
        <v>0</v>
      </c>
    </row>
    <row r="2393" customFormat="false" ht="15" hidden="false" customHeight="false" outlineLevel="0" collapsed="false">
      <c r="A2393" s="3" t="n">
        <v>2018</v>
      </c>
      <c r="B2393" s="3" t="n">
        <v>7</v>
      </c>
      <c r="C2393" s="3" t="n">
        <v>19</v>
      </c>
      <c r="D2393" s="3" t="s">
        <v>2397</v>
      </c>
      <c r="E2393" s="4" t="n">
        <v>0</v>
      </c>
    </row>
    <row r="2394" customFormat="false" ht="15" hidden="false" customHeight="false" outlineLevel="0" collapsed="false">
      <c r="A2394" s="3" t="n">
        <v>2018</v>
      </c>
      <c r="B2394" s="3" t="n">
        <v>7</v>
      </c>
      <c r="C2394" s="3" t="n">
        <v>20</v>
      </c>
      <c r="D2394" s="3" t="s">
        <v>2398</v>
      </c>
      <c r="E2394" s="4" t="n">
        <v>0</v>
      </c>
    </row>
    <row r="2395" customFormat="false" ht="15" hidden="false" customHeight="false" outlineLevel="0" collapsed="false">
      <c r="A2395" s="3" t="n">
        <v>2018</v>
      </c>
      <c r="B2395" s="3" t="n">
        <v>7</v>
      </c>
      <c r="C2395" s="3" t="n">
        <v>21</v>
      </c>
      <c r="D2395" s="3" t="s">
        <v>2399</v>
      </c>
      <c r="E2395" s="4" t="n">
        <v>0</v>
      </c>
    </row>
    <row r="2396" customFormat="false" ht="15" hidden="false" customHeight="false" outlineLevel="0" collapsed="false">
      <c r="A2396" s="3" t="n">
        <v>2018</v>
      </c>
      <c r="B2396" s="3" t="n">
        <v>7</v>
      </c>
      <c r="C2396" s="3" t="n">
        <v>22</v>
      </c>
      <c r="D2396" s="3" t="s">
        <v>2400</v>
      </c>
      <c r="E2396" s="4" t="n">
        <v>0</v>
      </c>
    </row>
    <row r="2397" customFormat="false" ht="15" hidden="false" customHeight="false" outlineLevel="0" collapsed="false">
      <c r="A2397" s="3" t="n">
        <v>2018</v>
      </c>
      <c r="B2397" s="3" t="n">
        <v>7</v>
      </c>
      <c r="C2397" s="3" t="n">
        <v>23</v>
      </c>
      <c r="D2397" s="3" t="s">
        <v>2401</v>
      </c>
      <c r="E2397" s="4" t="n">
        <v>0</v>
      </c>
    </row>
    <row r="2398" customFormat="false" ht="15" hidden="false" customHeight="false" outlineLevel="0" collapsed="false">
      <c r="A2398" s="3" t="n">
        <v>2018</v>
      </c>
      <c r="B2398" s="3" t="n">
        <v>7</v>
      </c>
      <c r="C2398" s="3" t="n">
        <v>24</v>
      </c>
      <c r="D2398" s="3" t="s">
        <v>2402</v>
      </c>
      <c r="E2398" s="4" t="n">
        <v>0</v>
      </c>
    </row>
    <row r="2399" customFormat="false" ht="15" hidden="false" customHeight="false" outlineLevel="0" collapsed="false">
      <c r="A2399" s="3" t="n">
        <v>2018</v>
      </c>
      <c r="B2399" s="3" t="n">
        <v>7</v>
      </c>
      <c r="C2399" s="3" t="n">
        <v>25</v>
      </c>
      <c r="D2399" s="3" t="s">
        <v>2403</v>
      </c>
      <c r="E2399" s="4" t="n">
        <v>0</v>
      </c>
    </row>
    <row r="2400" customFormat="false" ht="15" hidden="false" customHeight="false" outlineLevel="0" collapsed="false">
      <c r="A2400" s="3" t="n">
        <v>2018</v>
      </c>
      <c r="B2400" s="3" t="n">
        <v>7</v>
      </c>
      <c r="C2400" s="3" t="n">
        <v>26</v>
      </c>
      <c r="D2400" s="3" t="s">
        <v>2404</v>
      </c>
      <c r="E2400" s="4" t="n">
        <v>5</v>
      </c>
    </row>
    <row r="2401" customFormat="false" ht="15" hidden="false" customHeight="false" outlineLevel="0" collapsed="false">
      <c r="A2401" s="3" t="n">
        <v>2018</v>
      </c>
      <c r="B2401" s="3" t="n">
        <v>7</v>
      </c>
      <c r="C2401" s="3" t="n">
        <v>27</v>
      </c>
      <c r="D2401" s="3" t="s">
        <v>2405</v>
      </c>
      <c r="E2401" s="4" t="n">
        <v>0</v>
      </c>
    </row>
    <row r="2402" customFormat="false" ht="15" hidden="false" customHeight="false" outlineLevel="0" collapsed="false">
      <c r="A2402" s="3" t="n">
        <v>2018</v>
      </c>
      <c r="B2402" s="3" t="n">
        <v>7</v>
      </c>
      <c r="C2402" s="3" t="n">
        <v>28</v>
      </c>
      <c r="D2402" s="3" t="s">
        <v>2406</v>
      </c>
      <c r="E2402" s="4" t="n">
        <v>0</v>
      </c>
    </row>
    <row r="2403" customFormat="false" ht="15" hidden="false" customHeight="false" outlineLevel="0" collapsed="false">
      <c r="A2403" s="3" t="n">
        <v>2018</v>
      </c>
      <c r="B2403" s="3" t="n">
        <v>7</v>
      </c>
      <c r="C2403" s="3" t="n">
        <v>29</v>
      </c>
      <c r="D2403" s="3" t="s">
        <v>2407</v>
      </c>
      <c r="E2403" s="4" t="n">
        <v>0</v>
      </c>
    </row>
    <row r="2404" customFormat="false" ht="15" hidden="false" customHeight="false" outlineLevel="0" collapsed="false">
      <c r="A2404" s="3" t="n">
        <v>2018</v>
      </c>
      <c r="B2404" s="3" t="n">
        <v>7</v>
      </c>
      <c r="C2404" s="3" t="n">
        <v>30</v>
      </c>
      <c r="D2404" s="3" t="s">
        <v>2408</v>
      </c>
      <c r="E2404" s="4" t="n">
        <v>1</v>
      </c>
    </row>
    <row r="2405" customFormat="false" ht="15" hidden="false" customHeight="false" outlineLevel="0" collapsed="false">
      <c r="A2405" s="3" t="n">
        <v>2018</v>
      </c>
      <c r="B2405" s="3" t="n">
        <v>7</v>
      </c>
      <c r="C2405" s="3" t="n">
        <v>31</v>
      </c>
      <c r="D2405" s="3" t="s">
        <v>2409</v>
      </c>
      <c r="E2405" s="4" t="n">
        <v>0</v>
      </c>
    </row>
    <row r="2406" customFormat="false" ht="15" hidden="false" customHeight="false" outlineLevel="0" collapsed="false">
      <c r="A2406" s="3" t="n">
        <v>2018</v>
      </c>
      <c r="B2406" s="3" t="n">
        <v>8</v>
      </c>
      <c r="C2406" s="3" t="n">
        <v>1</v>
      </c>
      <c r="D2406" s="3" t="s">
        <v>2410</v>
      </c>
      <c r="E2406" s="4" t="n">
        <v>15</v>
      </c>
    </row>
    <row r="2407" customFormat="false" ht="15" hidden="false" customHeight="false" outlineLevel="0" collapsed="false">
      <c r="A2407" s="3" t="n">
        <v>2018</v>
      </c>
      <c r="B2407" s="3" t="n">
        <v>8</v>
      </c>
      <c r="C2407" s="3" t="n">
        <v>2</v>
      </c>
      <c r="D2407" s="3" t="s">
        <v>2411</v>
      </c>
      <c r="E2407" s="4" t="n">
        <v>0</v>
      </c>
    </row>
    <row r="2408" customFormat="false" ht="15" hidden="false" customHeight="false" outlineLevel="0" collapsed="false">
      <c r="A2408" s="3" t="n">
        <v>2018</v>
      </c>
      <c r="B2408" s="3" t="n">
        <v>8</v>
      </c>
      <c r="C2408" s="3" t="n">
        <v>3</v>
      </c>
      <c r="D2408" s="3" t="s">
        <v>2412</v>
      </c>
      <c r="E2408" s="4" t="n">
        <v>0</v>
      </c>
    </row>
    <row r="2409" customFormat="false" ht="15" hidden="false" customHeight="false" outlineLevel="0" collapsed="false">
      <c r="A2409" s="3" t="n">
        <v>2018</v>
      </c>
      <c r="B2409" s="3" t="n">
        <v>8</v>
      </c>
      <c r="C2409" s="3" t="n">
        <v>4</v>
      </c>
      <c r="D2409" s="3" t="s">
        <v>2413</v>
      </c>
      <c r="E2409" s="4" t="n">
        <v>0</v>
      </c>
    </row>
    <row r="2410" customFormat="false" ht="15" hidden="false" customHeight="false" outlineLevel="0" collapsed="false">
      <c r="A2410" s="3" t="n">
        <v>2018</v>
      </c>
      <c r="B2410" s="3" t="n">
        <v>8</v>
      </c>
      <c r="C2410" s="3" t="n">
        <v>5</v>
      </c>
      <c r="D2410" s="3" t="s">
        <v>2414</v>
      </c>
      <c r="E2410" s="4" t="n">
        <v>0</v>
      </c>
    </row>
    <row r="2411" customFormat="false" ht="15" hidden="false" customHeight="false" outlineLevel="0" collapsed="false">
      <c r="A2411" s="3" t="n">
        <v>2018</v>
      </c>
      <c r="B2411" s="3" t="n">
        <v>8</v>
      </c>
      <c r="C2411" s="3" t="n">
        <v>6</v>
      </c>
      <c r="D2411" s="3" t="s">
        <v>2415</v>
      </c>
      <c r="E2411" s="4" t="n">
        <v>0</v>
      </c>
    </row>
    <row r="2412" customFormat="false" ht="15" hidden="false" customHeight="false" outlineLevel="0" collapsed="false">
      <c r="A2412" s="3" t="n">
        <v>2018</v>
      </c>
      <c r="B2412" s="3" t="n">
        <v>8</v>
      </c>
      <c r="C2412" s="3" t="n">
        <v>7</v>
      </c>
      <c r="D2412" s="3" t="s">
        <v>2416</v>
      </c>
      <c r="E2412" s="4" t="n">
        <v>0</v>
      </c>
    </row>
    <row r="2413" customFormat="false" ht="15" hidden="false" customHeight="false" outlineLevel="0" collapsed="false">
      <c r="A2413" s="3" t="n">
        <v>2018</v>
      </c>
      <c r="B2413" s="3" t="n">
        <v>8</v>
      </c>
      <c r="C2413" s="3" t="n">
        <v>8</v>
      </c>
      <c r="D2413" s="3" t="s">
        <v>2417</v>
      </c>
      <c r="E2413" s="4" t="n">
        <v>0</v>
      </c>
    </row>
    <row r="2414" customFormat="false" ht="15" hidden="false" customHeight="false" outlineLevel="0" collapsed="false">
      <c r="A2414" s="3" t="n">
        <v>2018</v>
      </c>
      <c r="B2414" s="3" t="n">
        <v>8</v>
      </c>
      <c r="C2414" s="3" t="n">
        <v>9</v>
      </c>
      <c r="D2414" s="3" t="s">
        <v>2418</v>
      </c>
      <c r="E2414" s="4" t="n">
        <v>2</v>
      </c>
    </row>
    <row r="2415" customFormat="false" ht="15" hidden="false" customHeight="false" outlineLevel="0" collapsed="false">
      <c r="A2415" s="3" t="n">
        <v>2018</v>
      </c>
      <c r="B2415" s="3" t="n">
        <v>8</v>
      </c>
      <c r="C2415" s="3" t="n">
        <v>10</v>
      </c>
      <c r="D2415" s="3" t="s">
        <v>2419</v>
      </c>
      <c r="E2415" s="4" t="n">
        <v>0</v>
      </c>
    </row>
    <row r="2416" customFormat="false" ht="15" hidden="false" customHeight="false" outlineLevel="0" collapsed="false">
      <c r="A2416" s="3" t="n">
        <v>2018</v>
      </c>
      <c r="B2416" s="3" t="n">
        <v>8</v>
      </c>
      <c r="C2416" s="3" t="n">
        <v>11</v>
      </c>
      <c r="D2416" s="3" t="s">
        <v>2420</v>
      </c>
      <c r="E2416" s="4" t="n">
        <v>0</v>
      </c>
    </row>
    <row r="2417" customFormat="false" ht="15" hidden="false" customHeight="false" outlineLevel="0" collapsed="false">
      <c r="A2417" s="3" t="n">
        <v>2018</v>
      </c>
      <c r="B2417" s="3" t="n">
        <v>8</v>
      </c>
      <c r="C2417" s="3" t="n">
        <v>12</v>
      </c>
      <c r="D2417" s="3" t="s">
        <v>2421</v>
      </c>
      <c r="E2417" s="4" t="n">
        <v>0</v>
      </c>
    </row>
    <row r="2418" customFormat="false" ht="15" hidden="false" customHeight="false" outlineLevel="0" collapsed="false">
      <c r="A2418" s="3" t="n">
        <v>2018</v>
      </c>
      <c r="B2418" s="3" t="n">
        <v>8</v>
      </c>
      <c r="C2418" s="3" t="n">
        <v>13</v>
      </c>
      <c r="D2418" s="3" t="s">
        <v>2422</v>
      </c>
      <c r="E2418" s="4" t="n">
        <v>0</v>
      </c>
    </row>
    <row r="2419" customFormat="false" ht="15" hidden="false" customHeight="false" outlineLevel="0" collapsed="false">
      <c r="A2419" s="3" t="n">
        <v>2018</v>
      </c>
      <c r="B2419" s="3" t="n">
        <v>8</v>
      </c>
      <c r="C2419" s="3" t="n">
        <v>14</v>
      </c>
      <c r="D2419" s="3" t="s">
        <v>2423</v>
      </c>
      <c r="E2419" s="4" t="n">
        <v>0</v>
      </c>
    </row>
    <row r="2420" customFormat="false" ht="15" hidden="false" customHeight="false" outlineLevel="0" collapsed="false">
      <c r="A2420" s="3" t="n">
        <v>2018</v>
      </c>
      <c r="B2420" s="3" t="n">
        <v>8</v>
      </c>
      <c r="C2420" s="3" t="n">
        <v>15</v>
      </c>
      <c r="D2420" s="3" t="s">
        <v>2424</v>
      </c>
      <c r="E2420" s="4" t="n">
        <v>0</v>
      </c>
    </row>
    <row r="2421" customFormat="false" ht="15" hidden="false" customHeight="false" outlineLevel="0" collapsed="false">
      <c r="A2421" s="3" t="n">
        <v>2018</v>
      </c>
      <c r="B2421" s="3" t="n">
        <v>8</v>
      </c>
      <c r="C2421" s="3" t="n">
        <v>16</v>
      </c>
      <c r="D2421" s="3" t="s">
        <v>2425</v>
      </c>
      <c r="E2421" s="4" t="n">
        <v>0</v>
      </c>
    </row>
    <row r="2422" customFormat="false" ht="15" hidden="false" customHeight="false" outlineLevel="0" collapsed="false">
      <c r="A2422" s="3" t="n">
        <v>2018</v>
      </c>
      <c r="B2422" s="3" t="n">
        <v>8</v>
      </c>
      <c r="C2422" s="3" t="n">
        <v>17</v>
      </c>
      <c r="D2422" s="3" t="s">
        <v>2426</v>
      </c>
      <c r="E2422" s="4" t="n">
        <v>0</v>
      </c>
    </row>
    <row r="2423" customFormat="false" ht="15" hidden="false" customHeight="false" outlineLevel="0" collapsed="false">
      <c r="A2423" s="3" t="n">
        <v>2018</v>
      </c>
      <c r="B2423" s="3" t="n">
        <v>8</v>
      </c>
      <c r="C2423" s="3" t="n">
        <v>18</v>
      </c>
      <c r="D2423" s="3" t="s">
        <v>2427</v>
      </c>
      <c r="E2423" s="4" t="n">
        <v>0</v>
      </c>
    </row>
    <row r="2424" customFormat="false" ht="15" hidden="false" customHeight="false" outlineLevel="0" collapsed="false">
      <c r="A2424" s="3" t="n">
        <v>2018</v>
      </c>
      <c r="B2424" s="3" t="n">
        <v>8</v>
      </c>
      <c r="C2424" s="3" t="n">
        <v>19</v>
      </c>
      <c r="D2424" s="3" t="s">
        <v>2428</v>
      </c>
      <c r="E2424" s="4" t="n">
        <v>0</v>
      </c>
    </row>
    <row r="2425" customFormat="false" ht="15" hidden="false" customHeight="false" outlineLevel="0" collapsed="false">
      <c r="A2425" s="3" t="n">
        <v>2018</v>
      </c>
      <c r="B2425" s="3" t="n">
        <v>8</v>
      </c>
      <c r="C2425" s="3" t="n">
        <v>20</v>
      </c>
      <c r="D2425" s="3" t="s">
        <v>2429</v>
      </c>
      <c r="E2425" s="4" t="n">
        <v>0</v>
      </c>
    </row>
    <row r="2426" customFormat="false" ht="15" hidden="false" customHeight="false" outlineLevel="0" collapsed="false">
      <c r="A2426" s="3" t="n">
        <v>2018</v>
      </c>
      <c r="B2426" s="3" t="n">
        <v>8</v>
      </c>
      <c r="C2426" s="3" t="n">
        <v>21</v>
      </c>
      <c r="D2426" s="3" t="s">
        <v>2430</v>
      </c>
      <c r="E2426" s="4" t="n">
        <v>0</v>
      </c>
    </row>
    <row r="2427" customFormat="false" ht="15" hidden="false" customHeight="false" outlineLevel="0" collapsed="false">
      <c r="A2427" s="3" t="n">
        <v>2018</v>
      </c>
      <c r="B2427" s="3" t="n">
        <v>8</v>
      </c>
      <c r="C2427" s="3" t="n">
        <v>22</v>
      </c>
      <c r="D2427" s="3" t="s">
        <v>2431</v>
      </c>
      <c r="E2427" s="4" t="n">
        <v>0</v>
      </c>
    </row>
    <row r="2428" customFormat="false" ht="15" hidden="false" customHeight="false" outlineLevel="0" collapsed="false">
      <c r="A2428" s="3" t="n">
        <v>2018</v>
      </c>
      <c r="B2428" s="3" t="n">
        <v>8</v>
      </c>
      <c r="C2428" s="3" t="n">
        <v>23</v>
      </c>
      <c r="D2428" s="3" t="s">
        <v>2432</v>
      </c>
      <c r="E2428" s="4" t="n">
        <v>0</v>
      </c>
    </row>
    <row r="2429" customFormat="false" ht="15" hidden="false" customHeight="false" outlineLevel="0" collapsed="false">
      <c r="A2429" s="3" t="n">
        <v>2018</v>
      </c>
      <c r="B2429" s="3" t="n">
        <v>8</v>
      </c>
      <c r="C2429" s="3" t="n">
        <v>24</v>
      </c>
      <c r="D2429" s="3" t="s">
        <v>2433</v>
      </c>
      <c r="E2429" s="4" t="n">
        <v>0</v>
      </c>
    </row>
    <row r="2430" customFormat="false" ht="15" hidden="false" customHeight="false" outlineLevel="0" collapsed="false">
      <c r="A2430" s="3" t="n">
        <v>2018</v>
      </c>
      <c r="B2430" s="3" t="n">
        <v>8</v>
      </c>
      <c r="C2430" s="3" t="n">
        <v>25</v>
      </c>
      <c r="D2430" s="3" t="s">
        <v>2434</v>
      </c>
      <c r="E2430" s="4" t="n">
        <v>1</v>
      </c>
    </row>
    <row r="2431" customFormat="false" ht="15" hidden="false" customHeight="false" outlineLevel="0" collapsed="false">
      <c r="A2431" s="3" t="n">
        <v>2018</v>
      </c>
      <c r="B2431" s="3" t="n">
        <v>8</v>
      </c>
      <c r="C2431" s="3" t="n">
        <v>26</v>
      </c>
      <c r="D2431" s="3" t="s">
        <v>2435</v>
      </c>
      <c r="E2431" s="4" t="n">
        <v>0</v>
      </c>
    </row>
    <row r="2432" customFormat="false" ht="15" hidden="false" customHeight="false" outlineLevel="0" collapsed="false">
      <c r="A2432" s="3" t="n">
        <v>2018</v>
      </c>
      <c r="B2432" s="3" t="n">
        <v>8</v>
      </c>
      <c r="C2432" s="3" t="n">
        <v>27</v>
      </c>
      <c r="D2432" s="3" t="s">
        <v>2436</v>
      </c>
      <c r="E2432" s="4" t="n">
        <v>0</v>
      </c>
    </row>
    <row r="2433" customFormat="false" ht="15" hidden="false" customHeight="false" outlineLevel="0" collapsed="false">
      <c r="A2433" s="3" t="n">
        <v>2018</v>
      </c>
      <c r="B2433" s="3" t="n">
        <v>8</v>
      </c>
      <c r="C2433" s="3" t="n">
        <v>28</v>
      </c>
      <c r="D2433" s="3" t="s">
        <v>2437</v>
      </c>
      <c r="E2433" s="4" t="n">
        <v>21</v>
      </c>
    </row>
    <row r="2434" customFormat="false" ht="15" hidden="false" customHeight="false" outlineLevel="0" collapsed="false">
      <c r="A2434" s="3" t="n">
        <v>2018</v>
      </c>
      <c r="B2434" s="3" t="n">
        <v>8</v>
      </c>
      <c r="C2434" s="3" t="n">
        <v>29</v>
      </c>
      <c r="D2434" s="3" t="s">
        <v>2438</v>
      </c>
      <c r="E2434" s="4" t="n">
        <v>6</v>
      </c>
    </row>
    <row r="2435" customFormat="false" ht="15" hidden="false" customHeight="false" outlineLevel="0" collapsed="false">
      <c r="A2435" s="3" t="n">
        <v>2018</v>
      </c>
      <c r="B2435" s="3" t="n">
        <v>8</v>
      </c>
      <c r="C2435" s="3" t="n">
        <v>30</v>
      </c>
      <c r="D2435" s="3" t="s">
        <v>2439</v>
      </c>
      <c r="E2435" s="4" t="n">
        <v>3</v>
      </c>
    </row>
    <row r="2436" customFormat="false" ht="15" hidden="false" customHeight="false" outlineLevel="0" collapsed="false">
      <c r="A2436" s="3" t="n">
        <v>2018</v>
      </c>
      <c r="B2436" s="3" t="n">
        <v>8</v>
      </c>
      <c r="C2436" s="3" t="n">
        <v>31</v>
      </c>
      <c r="D2436" s="3" t="s">
        <v>2440</v>
      </c>
      <c r="E2436" s="4" t="n">
        <v>0</v>
      </c>
    </row>
    <row r="2437" customFormat="false" ht="15" hidden="false" customHeight="false" outlineLevel="0" collapsed="false">
      <c r="A2437" s="3" t="n">
        <v>2018</v>
      </c>
      <c r="B2437" s="3" t="n">
        <v>9</v>
      </c>
      <c r="C2437" s="3" t="n">
        <v>1</v>
      </c>
      <c r="D2437" s="3" t="s">
        <v>2441</v>
      </c>
      <c r="E2437" s="4" t="n">
        <v>29</v>
      </c>
    </row>
    <row r="2438" customFormat="false" ht="15" hidden="false" customHeight="false" outlineLevel="0" collapsed="false">
      <c r="A2438" s="3" t="n">
        <v>2018</v>
      </c>
      <c r="B2438" s="3" t="n">
        <v>9</v>
      </c>
      <c r="C2438" s="3" t="n">
        <v>2</v>
      </c>
      <c r="D2438" s="3" t="s">
        <v>2442</v>
      </c>
      <c r="E2438" s="4" t="n">
        <v>0</v>
      </c>
    </row>
    <row r="2439" customFormat="false" ht="15" hidden="false" customHeight="false" outlineLevel="0" collapsed="false">
      <c r="A2439" s="3" t="n">
        <v>2018</v>
      </c>
      <c r="B2439" s="3" t="n">
        <v>9</v>
      </c>
      <c r="C2439" s="3" t="n">
        <v>3</v>
      </c>
      <c r="D2439" s="3" t="s">
        <v>2443</v>
      </c>
      <c r="E2439" s="4" t="n">
        <v>0</v>
      </c>
    </row>
    <row r="2440" customFormat="false" ht="15" hidden="false" customHeight="false" outlineLevel="0" collapsed="false">
      <c r="A2440" s="3" t="n">
        <v>2018</v>
      </c>
      <c r="B2440" s="3" t="n">
        <v>9</v>
      </c>
      <c r="C2440" s="3" t="n">
        <v>4</v>
      </c>
      <c r="D2440" s="3" t="s">
        <v>2444</v>
      </c>
      <c r="E2440" s="4" t="n">
        <v>0</v>
      </c>
    </row>
    <row r="2441" customFormat="false" ht="15" hidden="false" customHeight="false" outlineLevel="0" collapsed="false">
      <c r="A2441" s="3" t="n">
        <v>2018</v>
      </c>
      <c r="B2441" s="3" t="n">
        <v>9</v>
      </c>
      <c r="C2441" s="3" t="n">
        <v>5</v>
      </c>
      <c r="D2441" s="3" t="s">
        <v>2445</v>
      </c>
      <c r="E2441" s="4" t="n">
        <v>0</v>
      </c>
    </row>
    <row r="2442" customFormat="false" ht="15" hidden="false" customHeight="false" outlineLevel="0" collapsed="false">
      <c r="A2442" s="3" t="n">
        <v>2018</v>
      </c>
      <c r="B2442" s="3" t="n">
        <v>9</v>
      </c>
      <c r="C2442" s="3" t="n">
        <v>6</v>
      </c>
      <c r="D2442" s="3" t="s">
        <v>2446</v>
      </c>
      <c r="E2442" s="4" t="n">
        <v>2</v>
      </c>
    </row>
    <row r="2443" customFormat="false" ht="15" hidden="false" customHeight="false" outlineLevel="0" collapsed="false">
      <c r="A2443" s="3" t="n">
        <v>2018</v>
      </c>
      <c r="B2443" s="3" t="n">
        <v>9</v>
      </c>
      <c r="C2443" s="3" t="n">
        <v>7</v>
      </c>
      <c r="D2443" s="3" t="s">
        <v>2447</v>
      </c>
      <c r="E2443" s="4" t="n">
        <v>0</v>
      </c>
    </row>
    <row r="2444" customFormat="false" ht="15" hidden="false" customHeight="false" outlineLevel="0" collapsed="false">
      <c r="A2444" s="3" t="n">
        <v>2018</v>
      </c>
      <c r="B2444" s="3" t="n">
        <v>9</v>
      </c>
      <c r="C2444" s="3" t="n">
        <v>8</v>
      </c>
      <c r="D2444" s="3" t="s">
        <v>2448</v>
      </c>
      <c r="E2444" s="4" t="n">
        <v>0</v>
      </c>
    </row>
    <row r="2445" customFormat="false" ht="15" hidden="false" customHeight="false" outlineLevel="0" collapsed="false">
      <c r="A2445" s="3" t="n">
        <v>2018</v>
      </c>
      <c r="B2445" s="3" t="n">
        <v>9</v>
      </c>
      <c r="C2445" s="3" t="n">
        <v>9</v>
      </c>
      <c r="D2445" s="3" t="s">
        <v>2449</v>
      </c>
      <c r="E2445" s="4" t="n">
        <v>24</v>
      </c>
    </row>
    <row r="2446" customFormat="false" ht="15" hidden="false" customHeight="false" outlineLevel="0" collapsed="false">
      <c r="A2446" s="3" t="n">
        <v>2018</v>
      </c>
      <c r="B2446" s="3" t="n">
        <v>9</v>
      </c>
      <c r="C2446" s="3" t="n">
        <v>10</v>
      </c>
      <c r="D2446" s="3" t="s">
        <v>2450</v>
      </c>
      <c r="E2446" s="4" t="n">
        <v>0</v>
      </c>
    </row>
    <row r="2447" customFormat="false" ht="15" hidden="false" customHeight="false" outlineLevel="0" collapsed="false">
      <c r="A2447" s="3" t="n">
        <v>2018</v>
      </c>
      <c r="B2447" s="3" t="n">
        <v>9</v>
      </c>
      <c r="C2447" s="3" t="n">
        <v>11</v>
      </c>
      <c r="D2447" s="3" t="s">
        <v>2451</v>
      </c>
      <c r="E2447" s="4" t="n">
        <v>0</v>
      </c>
    </row>
    <row r="2448" customFormat="false" ht="15" hidden="false" customHeight="false" outlineLevel="0" collapsed="false">
      <c r="A2448" s="3" t="n">
        <v>2018</v>
      </c>
      <c r="B2448" s="3" t="n">
        <v>9</v>
      </c>
      <c r="C2448" s="3" t="n">
        <v>12</v>
      </c>
      <c r="D2448" s="3" t="s">
        <v>2452</v>
      </c>
      <c r="E2448" s="4" t="n">
        <v>0</v>
      </c>
    </row>
    <row r="2449" customFormat="false" ht="15" hidden="false" customHeight="false" outlineLevel="0" collapsed="false">
      <c r="A2449" s="3" t="n">
        <v>2018</v>
      </c>
      <c r="B2449" s="3" t="n">
        <v>9</v>
      </c>
      <c r="C2449" s="3" t="n">
        <v>13</v>
      </c>
      <c r="D2449" s="3" t="s">
        <v>2453</v>
      </c>
      <c r="E2449" s="4" t="n">
        <v>0</v>
      </c>
    </row>
    <row r="2450" customFormat="false" ht="15" hidden="false" customHeight="false" outlineLevel="0" collapsed="false">
      <c r="A2450" s="3" t="n">
        <v>2018</v>
      </c>
      <c r="B2450" s="3" t="n">
        <v>9</v>
      </c>
      <c r="C2450" s="3" t="n">
        <v>14</v>
      </c>
      <c r="D2450" s="3" t="s">
        <v>2454</v>
      </c>
      <c r="E2450" s="4" t="n">
        <v>0</v>
      </c>
    </row>
    <row r="2451" customFormat="false" ht="15" hidden="false" customHeight="false" outlineLevel="0" collapsed="false">
      <c r="A2451" s="3" t="n">
        <v>2018</v>
      </c>
      <c r="B2451" s="3" t="n">
        <v>9</v>
      </c>
      <c r="C2451" s="3" t="n">
        <v>15</v>
      </c>
      <c r="D2451" s="3" t="s">
        <v>2455</v>
      </c>
      <c r="E2451" s="4" t="n">
        <v>0</v>
      </c>
    </row>
    <row r="2452" customFormat="false" ht="15" hidden="false" customHeight="false" outlineLevel="0" collapsed="false">
      <c r="A2452" s="3" t="n">
        <v>2018</v>
      </c>
      <c r="B2452" s="3" t="n">
        <v>9</v>
      </c>
      <c r="C2452" s="3" t="n">
        <v>16</v>
      </c>
      <c r="D2452" s="3" t="s">
        <v>2456</v>
      </c>
      <c r="E2452" s="4" t="n">
        <v>0</v>
      </c>
    </row>
    <row r="2453" customFormat="false" ht="15" hidden="false" customHeight="false" outlineLevel="0" collapsed="false">
      <c r="A2453" s="3" t="n">
        <v>2018</v>
      </c>
      <c r="B2453" s="3" t="n">
        <v>9</v>
      </c>
      <c r="C2453" s="3" t="n">
        <v>17</v>
      </c>
      <c r="D2453" s="3" t="s">
        <v>2457</v>
      </c>
      <c r="E2453" s="4" t="n">
        <v>0</v>
      </c>
    </row>
    <row r="2454" customFormat="false" ht="15" hidden="false" customHeight="false" outlineLevel="0" collapsed="false">
      <c r="A2454" s="3" t="n">
        <v>2018</v>
      </c>
      <c r="B2454" s="3" t="n">
        <v>9</v>
      </c>
      <c r="C2454" s="3" t="n">
        <v>18</v>
      </c>
      <c r="D2454" s="3" t="s">
        <v>2458</v>
      </c>
      <c r="E2454" s="4" t="n">
        <v>1</v>
      </c>
    </row>
    <row r="2455" customFormat="false" ht="15" hidden="false" customHeight="false" outlineLevel="0" collapsed="false">
      <c r="A2455" s="3" t="n">
        <v>2018</v>
      </c>
      <c r="B2455" s="3" t="n">
        <v>9</v>
      </c>
      <c r="C2455" s="3" t="n">
        <v>19</v>
      </c>
      <c r="D2455" s="3" t="s">
        <v>2459</v>
      </c>
      <c r="E2455" s="4" t="n">
        <v>3</v>
      </c>
    </row>
    <row r="2456" customFormat="false" ht="15" hidden="false" customHeight="false" outlineLevel="0" collapsed="false">
      <c r="A2456" s="3" t="n">
        <v>2018</v>
      </c>
      <c r="B2456" s="3" t="n">
        <v>9</v>
      </c>
      <c r="C2456" s="3" t="n">
        <v>20</v>
      </c>
      <c r="D2456" s="3" t="s">
        <v>2460</v>
      </c>
      <c r="E2456" s="4" t="n">
        <v>11</v>
      </c>
    </row>
    <row r="2457" customFormat="false" ht="15" hidden="false" customHeight="false" outlineLevel="0" collapsed="false">
      <c r="A2457" s="3" t="n">
        <v>2018</v>
      </c>
      <c r="B2457" s="3" t="n">
        <v>9</v>
      </c>
      <c r="C2457" s="3" t="n">
        <v>21</v>
      </c>
      <c r="D2457" s="3" t="s">
        <v>2461</v>
      </c>
      <c r="E2457" s="4" t="n">
        <v>8</v>
      </c>
    </row>
    <row r="2458" customFormat="false" ht="15" hidden="false" customHeight="false" outlineLevel="0" collapsed="false">
      <c r="A2458" s="3" t="n">
        <v>2018</v>
      </c>
      <c r="B2458" s="3" t="n">
        <v>9</v>
      </c>
      <c r="C2458" s="3" t="n">
        <v>22</v>
      </c>
      <c r="D2458" s="3" t="s">
        <v>2462</v>
      </c>
      <c r="E2458" s="4" t="n">
        <v>0</v>
      </c>
    </row>
    <row r="2459" customFormat="false" ht="15" hidden="false" customHeight="false" outlineLevel="0" collapsed="false">
      <c r="A2459" s="3" t="n">
        <v>2018</v>
      </c>
      <c r="B2459" s="3" t="n">
        <v>9</v>
      </c>
      <c r="C2459" s="3" t="n">
        <v>23</v>
      </c>
      <c r="D2459" s="3" t="s">
        <v>2463</v>
      </c>
      <c r="E2459" s="4" t="n">
        <v>0</v>
      </c>
    </row>
    <row r="2460" customFormat="false" ht="15" hidden="false" customHeight="false" outlineLevel="0" collapsed="false">
      <c r="A2460" s="3" t="n">
        <v>2018</v>
      </c>
      <c r="B2460" s="3" t="n">
        <v>9</v>
      </c>
      <c r="C2460" s="3" t="n">
        <v>24</v>
      </c>
      <c r="D2460" s="3" t="s">
        <v>2464</v>
      </c>
      <c r="E2460" s="4" t="n">
        <v>0</v>
      </c>
    </row>
    <row r="2461" customFormat="false" ht="15" hidden="false" customHeight="false" outlineLevel="0" collapsed="false">
      <c r="A2461" s="3" t="n">
        <v>2018</v>
      </c>
      <c r="B2461" s="3" t="n">
        <v>9</v>
      </c>
      <c r="C2461" s="3" t="n">
        <v>25</v>
      </c>
      <c r="D2461" s="3" t="s">
        <v>2465</v>
      </c>
      <c r="E2461" s="4" t="n">
        <v>0</v>
      </c>
    </row>
    <row r="2462" customFormat="false" ht="15" hidden="false" customHeight="false" outlineLevel="0" collapsed="false">
      <c r="A2462" s="3" t="n">
        <v>2018</v>
      </c>
      <c r="B2462" s="3" t="n">
        <v>9</v>
      </c>
      <c r="C2462" s="3" t="n">
        <v>26</v>
      </c>
      <c r="D2462" s="3" t="s">
        <v>2466</v>
      </c>
      <c r="E2462" s="4" t="n">
        <v>23</v>
      </c>
    </row>
    <row r="2463" customFormat="false" ht="15" hidden="false" customHeight="false" outlineLevel="0" collapsed="false">
      <c r="A2463" s="3" t="n">
        <v>2018</v>
      </c>
      <c r="B2463" s="3" t="n">
        <v>9</v>
      </c>
      <c r="C2463" s="3" t="n">
        <v>27</v>
      </c>
      <c r="D2463" s="3" t="s">
        <v>2467</v>
      </c>
      <c r="E2463" s="4" t="n">
        <v>2</v>
      </c>
    </row>
    <row r="2464" customFormat="false" ht="15" hidden="false" customHeight="false" outlineLevel="0" collapsed="false">
      <c r="A2464" s="3" t="n">
        <v>2018</v>
      </c>
      <c r="B2464" s="3" t="n">
        <v>9</v>
      </c>
      <c r="C2464" s="3" t="n">
        <v>28</v>
      </c>
      <c r="D2464" s="3" t="s">
        <v>2468</v>
      </c>
      <c r="E2464" s="4" t="n">
        <v>0</v>
      </c>
    </row>
    <row r="2465" customFormat="false" ht="15" hidden="false" customHeight="false" outlineLevel="0" collapsed="false">
      <c r="A2465" s="3" t="n">
        <v>2018</v>
      </c>
      <c r="B2465" s="3" t="n">
        <v>9</v>
      </c>
      <c r="C2465" s="3" t="n">
        <v>29</v>
      </c>
      <c r="D2465" s="3" t="s">
        <v>2469</v>
      </c>
      <c r="E2465" s="4" t="n">
        <v>0</v>
      </c>
    </row>
    <row r="2466" customFormat="false" ht="15" hidden="false" customHeight="false" outlineLevel="0" collapsed="false">
      <c r="A2466" s="3" t="n">
        <v>2018</v>
      </c>
      <c r="B2466" s="3" t="n">
        <v>9</v>
      </c>
      <c r="C2466" s="3" t="n">
        <v>30</v>
      </c>
      <c r="D2466" s="3" t="s">
        <v>2470</v>
      </c>
      <c r="E2466" s="4" t="n">
        <v>0</v>
      </c>
    </row>
    <row r="2467" customFormat="false" ht="15" hidden="false" customHeight="false" outlineLevel="0" collapsed="false">
      <c r="A2467" s="3" t="n">
        <v>2018</v>
      </c>
      <c r="B2467" s="3" t="n">
        <v>10</v>
      </c>
      <c r="C2467" s="3" t="n">
        <v>1</v>
      </c>
      <c r="D2467" s="3" t="s">
        <v>2471</v>
      </c>
      <c r="E2467" s="4" t="n">
        <v>0</v>
      </c>
    </row>
    <row r="2468" customFormat="false" ht="15" hidden="false" customHeight="false" outlineLevel="0" collapsed="false">
      <c r="A2468" s="3" t="n">
        <v>2018</v>
      </c>
      <c r="B2468" s="3" t="n">
        <v>10</v>
      </c>
      <c r="C2468" s="3" t="n">
        <v>2</v>
      </c>
      <c r="D2468" s="3" t="s">
        <v>2472</v>
      </c>
      <c r="E2468" s="4" t="n">
        <v>0</v>
      </c>
    </row>
    <row r="2469" customFormat="false" ht="15" hidden="false" customHeight="false" outlineLevel="0" collapsed="false">
      <c r="A2469" s="3" t="n">
        <v>2018</v>
      </c>
      <c r="B2469" s="3" t="n">
        <v>10</v>
      </c>
      <c r="C2469" s="3" t="n">
        <v>3</v>
      </c>
      <c r="D2469" s="3" t="s">
        <v>2473</v>
      </c>
      <c r="E2469" s="4" t="n">
        <v>8</v>
      </c>
    </row>
    <row r="2470" customFormat="false" ht="15" hidden="false" customHeight="false" outlineLevel="0" collapsed="false">
      <c r="A2470" s="3" t="n">
        <v>2018</v>
      </c>
      <c r="B2470" s="3" t="n">
        <v>10</v>
      </c>
      <c r="C2470" s="3" t="n">
        <v>4</v>
      </c>
      <c r="D2470" s="3" t="s">
        <v>2474</v>
      </c>
      <c r="E2470" s="4" t="n">
        <v>0</v>
      </c>
    </row>
    <row r="2471" customFormat="false" ht="15" hidden="false" customHeight="false" outlineLevel="0" collapsed="false">
      <c r="A2471" s="3" t="n">
        <v>2018</v>
      </c>
      <c r="B2471" s="3" t="n">
        <v>10</v>
      </c>
      <c r="C2471" s="3" t="n">
        <v>5</v>
      </c>
      <c r="D2471" s="3" t="s">
        <v>2475</v>
      </c>
      <c r="E2471" s="4" t="n">
        <v>0</v>
      </c>
    </row>
    <row r="2472" customFormat="false" ht="15" hidden="false" customHeight="false" outlineLevel="0" collapsed="false">
      <c r="A2472" s="3" t="n">
        <v>2018</v>
      </c>
      <c r="B2472" s="3" t="n">
        <v>10</v>
      </c>
      <c r="C2472" s="3" t="n">
        <v>6</v>
      </c>
      <c r="D2472" s="3" t="s">
        <v>2476</v>
      </c>
      <c r="E2472" s="4" t="n">
        <v>0</v>
      </c>
    </row>
    <row r="2473" customFormat="false" ht="15" hidden="false" customHeight="false" outlineLevel="0" collapsed="false">
      <c r="A2473" s="3" t="n">
        <v>2018</v>
      </c>
      <c r="B2473" s="3" t="n">
        <v>10</v>
      </c>
      <c r="C2473" s="3" t="n">
        <v>7</v>
      </c>
      <c r="D2473" s="3" t="s">
        <v>2477</v>
      </c>
      <c r="E2473" s="4" t="n">
        <v>6</v>
      </c>
    </row>
    <row r="2474" customFormat="false" ht="15" hidden="false" customHeight="false" outlineLevel="0" collapsed="false">
      <c r="A2474" s="3" t="n">
        <v>2018</v>
      </c>
      <c r="B2474" s="3" t="n">
        <v>10</v>
      </c>
      <c r="C2474" s="3" t="n">
        <v>8</v>
      </c>
      <c r="D2474" s="3" t="s">
        <v>2478</v>
      </c>
      <c r="E2474" s="4" t="n">
        <v>0</v>
      </c>
    </row>
    <row r="2475" customFormat="false" ht="15" hidden="false" customHeight="false" outlineLevel="0" collapsed="false">
      <c r="A2475" s="3" t="n">
        <v>2018</v>
      </c>
      <c r="B2475" s="3" t="n">
        <v>10</v>
      </c>
      <c r="C2475" s="3" t="n">
        <v>9</v>
      </c>
      <c r="D2475" s="3" t="s">
        <v>2479</v>
      </c>
      <c r="E2475" s="4" t="n">
        <v>1</v>
      </c>
    </row>
    <row r="2476" customFormat="false" ht="15" hidden="false" customHeight="false" outlineLevel="0" collapsed="false">
      <c r="A2476" s="3" t="n">
        <v>2018</v>
      </c>
      <c r="B2476" s="3" t="n">
        <v>10</v>
      </c>
      <c r="C2476" s="3" t="n">
        <v>10</v>
      </c>
      <c r="D2476" s="3" t="s">
        <v>2480</v>
      </c>
      <c r="E2476" s="4" t="n">
        <v>4</v>
      </c>
    </row>
    <row r="2477" customFormat="false" ht="15" hidden="false" customHeight="false" outlineLevel="0" collapsed="false">
      <c r="A2477" s="3" t="n">
        <v>2018</v>
      </c>
      <c r="B2477" s="3" t="n">
        <v>10</v>
      </c>
      <c r="C2477" s="3" t="n">
        <v>11</v>
      </c>
      <c r="D2477" s="3" t="s">
        <v>2481</v>
      </c>
      <c r="E2477" s="4" t="n">
        <v>3</v>
      </c>
    </row>
    <row r="2478" customFormat="false" ht="15" hidden="false" customHeight="false" outlineLevel="0" collapsed="false">
      <c r="A2478" s="3" t="n">
        <v>2018</v>
      </c>
      <c r="B2478" s="3" t="n">
        <v>10</v>
      </c>
      <c r="C2478" s="3" t="n">
        <v>12</v>
      </c>
      <c r="D2478" s="3" t="s">
        <v>2482</v>
      </c>
      <c r="E2478" s="4" t="n">
        <v>17</v>
      </c>
    </row>
    <row r="2479" customFormat="false" ht="15" hidden="false" customHeight="false" outlineLevel="0" collapsed="false">
      <c r="A2479" s="3" t="n">
        <v>2018</v>
      </c>
      <c r="B2479" s="3" t="n">
        <v>10</v>
      </c>
      <c r="C2479" s="3" t="n">
        <v>13</v>
      </c>
      <c r="D2479" s="3" t="s">
        <v>2483</v>
      </c>
      <c r="E2479" s="4" t="n">
        <v>4</v>
      </c>
    </row>
    <row r="2480" customFormat="false" ht="15" hidden="false" customHeight="false" outlineLevel="0" collapsed="false">
      <c r="A2480" s="3" t="n">
        <v>2018</v>
      </c>
      <c r="B2480" s="3" t="n">
        <v>10</v>
      </c>
      <c r="C2480" s="3" t="n">
        <v>14</v>
      </c>
      <c r="D2480" s="3" t="s">
        <v>2484</v>
      </c>
      <c r="E2480" s="4" t="n">
        <v>54</v>
      </c>
    </row>
    <row r="2481" customFormat="false" ht="15" hidden="false" customHeight="false" outlineLevel="0" collapsed="false">
      <c r="A2481" s="3" t="n">
        <v>2018</v>
      </c>
      <c r="B2481" s="3" t="n">
        <v>10</v>
      </c>
      <c r="C2481" s="3" t="n">
        <v>15</v>
      </c>
      <c r="D2481" s="3" t="s">
        <v>2485</v>
      </c>
      <c r="E2481" s="4" t="n">
        <v>0</v>
      </c>
    </row>
    <row r="2482" customFormat="false" ht="15" hidden="false" customHeight="false" outlineLevel="0" collapsed="false">
      <c r="A2482" s="3" t="n">
        <v>2018</v>
      </c>
      <c r="B2482" s="3" t="n">
        <v>10</v>
      </c>
      <c r="C2482" s="3" t="n">
        <v>16</v>
      </c>
      <c r="D2482" s="3" t="s">
        <v>2486</v>
      </c>
      <c r="E2482" s="4" t="n">
        <v>0</v>
      </c>
    </row>
    <row r="2483" customFormat="false" ht="15" hidden="false" customHeight="false" outlineLevel="0" collapsed="false">
      <c r="A2483" s="3" t="n">
        <v>2018</v>
      </c>
      <c r="B2483" s="3" t="n">
        <v>10</v>
      </c>
      <c r="C2483" s="3" t="n">
        <v>17</v>
      </c>
      <c r="D2483" s="3" t="s">
        <v>2487</v>
      </c>
      <c r="E2483" s="4" t="n">
        <v>8</v>
      </c>
    </row>
    <row r="2484" customFormat="false" ht="15" hidden="false" customHeight="false" outlineLevel="0" collapsed="false">
      <c r="A2484" s="3" t="n">
        <v>2018</v>
      </c>
      <c r="B2484" s="3" t="n">
        <v>10</v>
      </c>
      <c r="C2484" s="3" t="n">
        <v>18</v>
      </c>
      <c r="D2484" s="3" t="s">
        <v>2488</v>
      </c>
      <c r="E2484" s="4" t="n">
        <v>10</v>
      </c>
    </row>
    <row r="2485" customFormat="false" ht="15" hidden="false" customHeight="false" outlineLevel="0" collapsed="false">
      <c r="A2485" s="3" t="n">
        <v>2018</v>
      </c>
      <c r="B2485" s="3" t="n">
        <v>10</v>
      </c>
      <c r="C2485" s="3" t="n">
        <v>19</v>
      </c>
      <c r="D2485" s="3" t="s">
        <v>2489</v>
      </c>
      <c r="E2485" s="4" t="n">
        <v>1</v>
      </c>
    </row>
    <row r="2486" customFormat="false" ht="15" hidden="false" customHeight="false" outlineLevel="0" collapsed="false">
      <c r="A2486" s="3" t="n">
        <v>2018</v>
      </c>
      <c r="B2486" s="3" t="n">
        <v>10</v>
      </c>
      <c r="C2486" s="3" t="n">
        <v>20</v>
      </c>
      <c r="D2486" s="3" t="s">
        <v>2490</v>
      </c>
      <c r="E2486" s="4" t="n">
        <v>0</v>
      </c>
    </row>
    <row r="2487" customFormat="false" ht="15" hidden="false" customHeight="false" outlineLevel="0" collapsed="false">
      <c r="A2487" s="3" t="n">
        <v>2018</v>
      </c>
      <c r="B2487" s="3" t="n">
        <v>10</v>
      </c>
      <c r="C2487" s="3" t="n">
        <v>21</v>
      </c>
      <c r="D2487" s="3" t="s">
        <v>2491</v>
      </c>
      <c r="E2487" s="4" t="n">
        <v>25</v>
      </c>
    </row>
    <row r="2488" customFormat="false" ht="15" hidden="false" customHeight="false" outlineLevel="0" collapsed="false">
      <c r="A2488" s="3" t="n">
        <v>2018</v>
      </c>
      <c r="B2488" s="3" t="n">
        <v>10</v>
      </c>
      <c r="C2488" s="3" t="n">
        <v>22</v>
      </c>
      <c r="D2488" s="3" t="s">
        <v>2492</v>
      </c>
      <c r="E2488" s="4" t="n">
        <v>0</v>
      </c>
    </row>
    <row r="2489" customFormat="false" ht="15" hidden="false" customHeight="false" outlineLevel="0" collapsed="false">
      <c r="A2489" s="3" t="n">
        <v>2018</v>
      </c>
      <c r="B2489" s="3" t="n">
        <v>10</v>
      </c>
      <c r="C2489" s="3" t="n">
        <v>23</v>
      </c>
      <c r="D2489" s="3" t="s">
        <v>2493</v>
      </c>
      <c r="E2489" s="4" t="n">
        <v>7</v>
      </c>
    </row>
    <row r="2490" customFormat="false" ht="15" hidden="false" customHeight="false" outlineLevel="0" collapsed="false">
      <c r="A2490" s="3" t="n">
        <v>2018</v>
      </c>
      <c r="B2490" s="3" t="n">
        <v>10</v>
      </c>
      <c r="C2490" s="3" t="n">
        <v>24</v>
      </c>
      <c r="D2490" s="3" t="s">
        <v>2494</v>
      </c>
      <c r="E2490" s="4" t="n">
        <v>0</v>
      </c>
    </row>
    <row r="2491" customFormat="false" ht="15" hidden="false" customHeight="false" outlineLevel="0" collapsed="false">
      <c r="A2491" s="3" t="n">
        <v>2018</v>
      </c>
      <c r="B2491" s="3" t="n">
        <v>10</v>
      </c>
      <c r="C2491" s="3" t="n">
        <v>25</v>
      </c>
      <c r="D2491" s="3" t="s">
        <v>2495</v>
      </c>
      <c r="E2491" s="4" t="n">
        <v>0</v>
      </c>
    </row>
    <row r="2492" customFormat="false" ht="15" hidden="false" customHeight="false" outlineLevel="0" collapsed="false">
      <c r="A2492" s="3" t="n">
        <v>2018</v>
      </c>
      <c r="B2492" s="3" t="n">
        <v>10</v>
      </c>
      <c r="C2492" s="3" t="n">
        <v>26</v>
      </c>
      <c r="D2492" s="3" t="s">
        <v>2496</v>
      </c>
      <c r="E2492" s="4" t="n">
        <v>0</v>
      </c>
    </row>
    <row r="2493" customFormat="false" ht="15" hidden="false" customHeight="false" outlineLevel="0" collapsed="false">
      <c r="A2493" s="3" t="n">
        <v>2018</v>
      </c>
      <c r="B2493" s="3" t="n">
        <v>10</v>
      </c>
      <c r="C2493" s="3" t="n">
        <v>27</v>
      </c>
      <c r="D2493" s="3" t="s">
        <v>2497</v>
      </c>
      <c r="E2493" s="4" t="n">
        <v>21</v>
      </c>
    </row>
    <row r="2494" customFormat="false" ht="15" hidden="false" customHeight="false" outlineLevel="0" collapsed="false">
      <c r="A2494" s="3" t="n">
        <v>2018</v>
      </c>
      <c r="B2494" s="3" t="n">
        <v>10</v>
      </c>
      <c r="C2494" s="3" t="n">
        <v>28</v>
      </c>
      <c r="D2494" s="3" t="s">
        <v>2498</v>
      </c>
      <c r="E2494" s="4" t="n">
        <v>0</v>
      </c>
    </row>
    <row r="2495" customFormat="false" ht="15" hidden="false" customHeight="false" outlineLevel="0" collapsed="false">
      <c r="A2495" s="3" t="n">
        <v>2018</v>
      </c>
      <c r="B2495" s="3" t="n">
        <v>10</v>
      </c>
      <c r="C2495" s="3" t="n">
        <v>29</v>
      </c>
      <c r="D2495" s="3" t="s">
        <v>2499</v>
      </c>
      <c r="E2495" s="4" t="n">
        <v>0</v>
      </c>
    </row>
    <row r="2496" customFormat="false" ht="15" hidden="false" customHeight="false" outlineLevel="0" collapsed="false">
      <c r="A2496" s="3" t="n">
        <v>2018</v>
      </c>
      <c r="B2496" s="3" t="n">
        <v>10</v>
      </c>
      <c r="C2496" s="3" t="n">
        <v>30</v>
      </c>
      <c r="D2496" s="3" t="s">
        <v>2500</v>
      </c>
      <c r="E2496" s="4" t="n">
        <v>0</v>
      </c>
    </row>
    <row r="2497" customFormat="false" ht="15" hidden="false" customHeight="false" outlineLevel="0" collapsed="false">
      <c r="A2497" s="3" t="n">
        <v>2018</v>
      </c>
      <c r="B2497" s="3" t="n">
        <v>10</v>
      </c>
      <c r="C2497" s="3" t="n">
        <v>31</v>
      </c>
      <c r="D2497" s="3" t="s">
        <v>2501</v>
      </c>
      <c r="E2497" s="4" t="n">
        <v>7</v>
      </c>
    </row>
    <row r="2498" customFormat="false" ht="15" hidden="false" customHeight="false" outlineLevel="0" collapsed="false">
      <c r="A2498" s="3" t="n">
        <v>2018</v>
      </c>
      <c r="B2498" s="3" t="n">
        <v>11</v>
      </c>
      <c r="C2498" s="3" t="n">
        <v>1</v>
      </c>
      <c r="D2498" s="3" t="s">
        <v>2502</v>
      </c>
      <c r="E2498" s="4" t="n">
        <v>14</v>
      </c>
    </row>
    <row r="2499" customFormat="false" ht="15" hidden="false" customHeight="false" outlineLevel="0" collapsed="false">
      <c r="A2499" s="3" t="n">
        <v>2018</v>
      </c>
      <c r="B2499" s="3" t="n">
        <v>11</v>
      </c>
      <c r="C2499" s="3" t="n">
        <v>2</v>
      </c>
      <c r="D2499" s="3" t="s">
        <v>2503</v>
      </c>
      <c r="E2499" s="4" t="n">
        <v>0</v>
      </c>
    </row>
    <row r="2500" customFormat="false" ht="15" hidden="false" customHeight="false" outlineLevel="0" collapsed="false">
      <c r="A2500" s="3" t="n">
        <v>2018</v>
      </c>
      <c r="B2500" s="3" t="n">
        <v>11</v>
      </c>
      <c r="C2500" s="3" t="n">
        <v>3</v>
      </c>
      <c r="D2500" s="3" t="s">
        <v>2504</v>
      </c>
      <c r="E2500" s="4" t="n">
        <v>6</v>
      </c>
    </row>
    <row r="2501" customFormat="false" ht="15" hidden="false" customHeight="false" outlineLevel="0" collapsed="false">
      <c r="A2501" s="3" t="n">
        <v>2018</v>
      </c>
      <c r="B2501" s="3" t="n">
        <v>11</v>
      </c>
      <c r="C2501" s="3" t="n">
        <v>4</v>
      </c>
      <c r="D2501" s="3" t="s">
        <v>2505</v>
      </c>
      <c r="E2501" s="4" t="n">
        <v>2</v>
      </c>
    </row>
    <row r="2502" customFormat="false" ht="15" hidden="false" customHeight="false" outlineLevel="0" collapsed="false">
      <c r="A2502" s="3" t="n">
        <v>2018</v>
      </c>
      <c r="B2502" s="3" t="n">
        <v>11</v>
      </c>
      <c r="C2502" s="3" t="n">
        <v>5</v>
      </c>
      <c r="D2502" s="3" t="s">
        <v>2506</v>
      </c>
      <c r="E2502" s="4" t="n">
        <v>0</v>
      </c>
    </row>
    <row r="2503" customFormat="false" ht="15" hidden="false" customHeight="false" outlineLevel="0" collapsed="false">
      <c r="A2503" s="3" t="n">
        <v>2018</v>
      </c>
      <c r="B2503" s="3" t="n">
        <v>11</v>
      </c>
      <c r="C2503" s="3" t="n">
        <v>6</v>
      </c>
      <c r="D2503" s="3" t="s">
        <v>2507</v>
      </c>
      <c r="E2503" s="4" t="n">
        <v>6</v>
      </c>
    </row>
    <row r="2504" customFormat="false" ht="15" hidden="false" customHeight="false" outlineLevel="0" collapsed="false">
      <c r="A2504" s="3" t="n">
        <v>2018</v>
      </c>
      <c r="B2504" s="3" t="n">
        <v>11</v>
      </c>
      <c r="C2504" s="3" t="n">
        <v>7</v>
      </c>
      <c r="D2504" s="3" t="s">
        <v>2508</v>
      </c>
      <c r="E2504" s="4" t="n">
        <v>0</v>
      </c>
    </row>
    <row r="2505" customFormat="false" ht="15" hidden="false" customHeight="false" outlineLevel="0" collapsed="false">
      <c r="A2505" s="3" t="n">
        <v>2018</v>
      </c>
      <c r="B2505" s="3" t="n">
        <v>11</v>
      </c>
      <c r="C2505" s="3" t="n">
        <v>8</v>
      </c>
      <c r="D2505" s="3" t="s">
        <v>2509</v>
      </c>
      <c r="E2505" s="4" t="n">
        <v>6</v>
      </c>
    </row>
    <row r="2506" customFormat="false" ht="15" hidden="false" customHeight="false" outlineLevel="0" collapsed="false">
      <c r="A2506" s="3" t="n">
        <v>2018</v>
      </c>
      <c r="B2506" s="3" t="n">
        <v>11</v>
      </c>
      <c r="C2506" s="3" t="n">
        <v>9</v>
      </c>
      <c r="D2506" s="3" t="s">
        <v>2510</v>
      </c>
      <c r="E2506" s="4" t="n">
        <v>0</v>
      </c>
    </row>
    <row r="2507" customFormat="false" ht="15" hidden="false" customHeight="false" outlineLevel="0" collapsed="false">
      <c r="A2507" s="3" t="n">
        <v>2018</v>
      </c>
      <c r="B2507" s="3" t="n">
        <v>11</v>
      </c>
      <c r="C2507" s="3" t="n">
        <v>10</v>
      </c>
      <c r="D2507" s="3" t="s">
        <v>2511</v>
      </c>
      <c r="E2507" s="4" t="n">
        <v>6</v>
      </c>
    </row>
    <row r="2508" customFormat="false" ht="15" hidden="false" customHeight="false" outlineLevel="0" collapsed="false">
      <c r="A2508" s="3" t="n">
        <v>2018</v>
      </c>
      <c r="B2508" s="3" t="n">
        <v>11</v>
      </c>
      <c r="C2508" s="3" t="n">
        <v>11</v>
      </c>
      <c r="D2508" s="3" t="s">
        <v>2512</v>
      </c>
      <c r="E2508" s="4" t="n">
        <v>5</v>
      </c>
    </row>
    <row r="2509" customFormat="false" ht="15" hidden="false" customHeight="false" outlineLevel="0" collapsed="false">
      <c r="A2509" s="3" t="n">
        <v>2018</v>
      </c>
      <c r="B2509" s="3" t="n">
        <v>11</v>
      </c>
      <c r="C2509" s="3" t="n">
        <v>12</v>
      </c>
      <c r="D2509" s="3" t="s">
        <v>2513</v>
      </c>
      <c r="E2509" s="4" t="n">
        <v>0</v>
      </c>
    </row>
    <row r="2510" customFormat="false" ht="15" hidden="false" customHeight="false" outlineLevel="0" collapsed="false">
      <c r="A2510" s="3" t="n">
        <v>2018</v>
      </c>
      <c r="B2510" s="3" t="n">
        <v>11</v>
      </c>
      <c r="C2510" s="3" t="n">
        <v>13</v>
      </c>
      <c r="D2510" s="3" t="s">
        <v>2514</v>
      </c>
      <c r="E2510" s="4" t="n">
        <v>0</v>
      </c>
    </row>
    <row r="2511" customFormat="false" ht="15" hidden="false" customHeight="false" outlineLevel="0" collapsed="false">
      <c r="A2511" s="3" t="n">
        <v>2018</v>
      </c>
      <c r="B2511" s="3" t="n">
        <v>11</v>
      </c>
      <c r="C2511" s="3" t="n">
        <v>14</v>
      </c>
      <c r="D2511" s="3" t="s">
        <v>2515</v>
      </c>
      <c r="E2511" s="4" t="n">
        <v>4</v>
      </c>
    </row>
    <row r="2512" customFormat="false" ht="15" hidden="false" customHeight="false" outlineLevel="0" collapsed="false">
      <c r="A2512" s="3" t="n">
        <v>2018</v>
      </c>
      <c r="B2512" s="3" t="n">
        <v>11</v>
      </c>
      <c r="C2512" s="3" t="n">
        <v>15</v>
      </c>
      <c r="D2512" s="3" t="s">
        <v>2516</v>
      </c>
      <c r="E2512" s="4" t="n">
        <v>5</v>
      </c>
    </row>
    <row r="2513" customFormat="false" ht="15" hidden="false" customHeight="false" outlineLevel="0" collapsed="false">
      <c r="A2513" s="3" t="n">
        <v>2018</v>
      </c>
      <c r="B2513" s="3" t="n">
        <v>11</v>
      </c>
      <c r="C2513" s="3" t="n">
        <v>16</v>
      </c>
      <c r="D2513" s="3" t="s">
        <v>2517</v>
      </c>
      <c r="E2513" s="4" t="n">
        <v>0</v>
      </c>
    </row>
    <row r="2514" customFormat="false" ht="15" hidden="false" customHeight="false" outlineLevel="0" collapsed="false">
      <c r="A2514" s="3" t="n">
        <v>2018</v>
      </c>
      <c r="B2514" s="3" t="n">
        <v>11</v>
      </c>
      <c r="C2514" s="3" t="n">
        <v>17</v>
      </c>
      <c r="D2514" s="3" t="s">
        <v>2518</v>
      </c>
      <c r="E2514" s="4" t="n">
        <v>0</v>
      </c>
    </row>
    <row r="2515" customFormat="false" ht="15" hidden="false" customHeight="false" outlineLevel="0" collapsed="false">
      <c r="A2515" s="3" t="n">
        <v>2018</v>
      </c>
      <c r="B2515" s="3" t="n">
        <v>11</v>
      </c>
      <c r="C2515" s="3" t="n">
        <v>18</v>
      </c>
      <c r="D2515" s="3" t="s">
        <v>2519</v>
      </c>
      <c r="E2515" s="4" t="n">
        <v>0</v>
      </c>
    </row>
    <row r="2516" customFormat="false" ht="15" hidden="false" customHeight="false" outlineLevel="0" collapsed="false">
      <c r="A2516" s="3" t="n">
        <v>2018</v>
      </c>
      <c r="B2516" s="3" t="n">
        <v>11</v>
      </c>
      <c r="C2516" s="3" t="n">
        <v>19</v>
      </c>
      <c r="D2516" s="3" t="s">
        <v>2520</v>
      </c>
      <c r="E2516" s="4" t="n">
        <v>35</v>
      </c>
    </row>
    <row r="2517" customFormat="false" ht="15" hidden="false" customHeight="false" outlineLevel="0" collapsed="false">
      <c r="A2517" s="3" t="n">
        <v>2018</v>
      </c>
      <c r="B2517" s="3" t="n">
        <v>11</v>
      </c>
      <c r="C2517" s="3" t="n">
        <v>20</v>
      </c>
      <c r="D2517" s="3" t="s">
        <v>2521</v>
      </c>
      <c r="E2517" s="4" t="n">
        <v>41</v>
      </c>
    </row>
    <row r="2518" customFormat="false" ht="15" hidden="false" customHeight="false" outlineLevel="0" collapsed="false">
      <c r="A2518" s="3" t="n">
        <v>2018</v>
      </c>
      <c r="B2518" s="3" t="n">
        <v>11</v>
      </c>
      <c r="C2518" s="3" t="n">
        <v>21</v>
      </c>
      <c r="D2518" s="3" t="s">
        <v>2522</v>
      </c>
      <c r="E2518" s="4" t="n">
        <v>0</v>
      </c>
    </row>
    <row r="2519" customFormat="false" ht="15" hidden="false" customHeight="false" outlineLevel="0" collapsed="false">
      <c r="A2519" s="3" t="n">
        <v>2018</v>
      </c>
      <c r="B2519" s="3" t="n">
        <v>11</v>
      </c>
      <c r="C2519" s="3" t="n">
        <v>22</v>
      </c>
      <c r="D2519" s="3" t="s">
        <v>2523</v>
      </c>
      <c r="E2519" s="4" t="n">
        <v>1</v>
      </c>
    </row>
    <row r="2520" customFormat="false" ht="15" hidden="false" customHeight="false" outlineLevel="0" collapsed="false">
      <c r="A2520" s="3" t="n">
        <v>2018</v>
      </c>
      <c r="B2520" s="3" t="n">
        <v>11</v>
      </c>
      <c r="C2520" s="3" t="n">
        <v>23</v>
      </c>
      <c r="D2520" s="3" t="s">
        <v>2524</v>
      </c>
      <c r="E2520" s="4" t="n">
        <v>0</v>
      </c>
    </row>
    <row r="2521" customFormat="false" ht="15" hidden="false" customHeight="false" outlineLevel="0" collapsed="false">
      <c r="A2521" s="3" t="n">
        <v>2018</v>
      </c>
      <c r="B2521" s="3" t="n">
        <v>11</v>
      </c>
      <c r="C2521" s="3" t="n">
        <v>24</v>
      </c>
      <c r="D2521" s="3" t="s">
        <v>2525</v>
      </c>
      <c r="E2521" s="4" t="n">
        <v>0</v>
      </c>
    </row>
    <row r="2522" customFormat="false" ht="15" hidden="false" customHeight="false" outlineLevel="0" collapsed="false">
      <c r="A2522" s="3" t="n">
        <v>2018</v>
      </c>
      <c r="B2522" s="3" t="n">
        <v>11</v>
      </c>
      <c r="C2522" s="3" t="n">
        <v>25</v>
      </c>
      <c r="D2522" s="3" t="s">
        <v>2526</v>
      </c>
      <c r="E2522" s="4" t="n">
        <v>22</v>
      </c>
    </row>
    <row r="2523" customFormat="false" ht="15" hidden="false" customHeight="false" outlineLevel="0" collapsed="false">
      <c r="A2523" s="3" t="n">
        <v>2018</v>
      </c>
      <c r="B2523" s="3" t="n">
        <v>11</v>
      </c>
      <c r="C2523" s="3" t="n">
        <v>26</v>
      </c>
      <c r="D2523" s="3" t="s">
        <v>2527</v>
      </c>
      <c r="E2523" s="4" t="n">
        <v>0</v>
      </c>
    </row>
    <row r="2524" customFormat="false" ht="15" hidden="false" customHeight="false" outlineLevel="0" collapsed="false">
      <c r="A2524" s="3" t="n">
        <v>2018</v>
      </c>
      <c r="B2524" s="3" t="n">
        <v>11</v>
      </c>
      <c r="C2524" s="3" t="n">
        <v>27</v>
      </c>
      <c r="D2524" s="3" t="s">
        <v>2528</v>
      </c>
      <c r="E2524" s="4" t="n">
        <v>0</v>
      </c>
    </row>
    <row r="2525" customFormat="false" ht="15" hidden="false" customHeight="false" outlineLevel="0" collapsed="false">
      <c r="A2525" s="3" t="n">
        <v>2018</v>
      </c>
      <c r="B2525" s="3" t="n">
        <v>11</v>
      </c>
      <c r="C2525" s="3" t="n">
        <v>28</v>
      </c>
      <c r="D2525" s="3" t="s">
        <v>2529</v>
      </c>
      <c r="E2525" s="4" t="n">
        <v>0</v>
      </c>
    </row>
    <row r="2526" customFormat="false" ht="15" hidden="false" customHeight="false" outlineLevel="0" collapsed="false">
      <c r="A2526" s="3" t="n">
        <v>2018</v>
      </c>
      <c r="B2526" s="3" t="n">
        <v>11</v>
      </c>
      <c r="C2526" s="3" t="n">
        <v>29</v>
      </c>
      <c r="D2526" s="3" t="s">
        <v>2530</v>
      </c>
      <c r="E2526" s="4" t="n">
        <v>4</v>
      </c>
    </row>
    <row r="2527" customFormat="false" ht="15" hidden="false" customHeight="false" outlineLevel="0" collapsed="false">
      <c r="A2527" s="3" t="n">
        <v>2018</v>
      </c>
      <c r="B2527" s="3" t="n">
        <v>11</v>
      </c>
      <c r="C2527" s="3" t="n">
        <v>30</v>
      </c>
      <c r="D2527" s="3" t="s">
        <v>2531</v>
      </c>
      <c r="E2527" s="4" t="n">
        <v>15</v>
      </c>
    </row>
    <row r="2528" customFormat="false" ht="15" hidden="false" customHeight="false" outlineLevel="0" collapsed="false">
      <c r="A2528" s="3" t="n">
        <v>2018</v>
      </c>
      <c r="B2528" s="3" t="n">
        <v>12</v>
      </c>
      <c r="C2528" s="3" t="n">
        <v>1</v>
      </c>
      <c r="D2528" s="3" t="s">
        <v>2532</v>
      </c>
      <c r="E2528" s="4" t="n">
        <v>0</v>
      </c>
    </row>
    <row r="2529" customFormat="false" ht="15" hidden="false" customHeight="false" outlineLevel="0" collapsed="false">
      <c r="A2529" s="3" t="n">
        <v>2018</v>
      </c>
      <c r="B2529" s="3" t="n">
        <v>12</v>
      </c>
      <c r="C2529" s="3" t="n">
        <v>2</v>
      </c>
      <c r="D2529" s="3" t="s">
        <v>2533</v>
      </c>
      <c r="E2529" s="4" t="n">
        <v>0</v>
      </c>
    </row>
    <row r="2530" customFormat="false" ht="15" hidden="false" customHeight="false" outlineLevel="0" collapsed="false">
      <c r="A2530" s="3" t="n">
        <v>2018</v>
      </c>
      <c r="B2530" s="3" t="n">
        <v>12</v>
      </c>
      <c r="C2530" s="3" t="n">
        <v>3</v>
      </c>
      <c r="D2530" s="3" t="s">
        <v>2534</v>
      </c>
      <c r="E2530" s="4" t="n">
        <v>37</v>
      </c>
    </row>
    <row r="2531" customFormat="false" ht="15" hidden="false" customHeight="false" outlineLevel="0" collapsed="false">
      <c r="A2531" s="3" t="n">
        <v>2018</v>
      </c>
      <c r="B2531" s="3" t="n">
        <v>12</v>
      </c>
      <c r="C2531" s="3" t="n">
        <v>4</v>
      </c>
      <c r="D2531" s="3" t="s">
        <v>2535</v>
      </c>
      <c r="E2531" s="4" t="n">
        <v>4</v>
      </c>
    </row>
    <row r="2532" customFormat="false" ht="15" hidden="false" customHeight="false" outlineLevel="0" collapsed="false">
      <c r="A2532" s="3" t="n">
        <v>2018</v>
      </c>
      <c r="B2532" s="3" t="n">
        <v>12</v>
      </c>
      <c r="C2532" s="3" t="n">
        <v>5</v>
      </c>
      <c r="D2532" s="3" t="s">
        <v>2536</v>
      </c>
      <c r="E2532" s="4" t="n">
        <v>9</v>
      </c>
    </row>
    <row r="2533" customFormat="false" ht="15" hidden="false" customHeight="false" outlineLevel="0" collapsed="false">
      <c r="A2533" s="3" t="n">
        <v>2018</v>
      </c>
      <c r="B2533" s="3" t="n">
        <v>12</v>
      </c>
      <c r="C2533" s="3" t="n">
        <v>6</v>
      </c>
      <c r="D2533" s="3" t="s">
        <v>2537</v>
      </c>
      <c r="E2533" s="4" t="n">
        <v>0</v>
      </c>
    </row>
    <row r="2534" customFormat="false" ht="15" hidden="false" customHeight="false" outlineLevel="0" collapsed="false">
      <c r="A2534" s="3" t="n">
        <v>2018</v>
      </c>
      <c r="B2534" s="3" t="n">
        <v>12</v>
      </c>
      <c r="C2534" s="3" t="n">
        <v>7</v>
      </c>
      <c r="D2534" s="3" t="s">
        <v>2538</v>
      </c>
      <c r="E2534" s="4" t="n">
        <v>16</v>
      </c>
    </row>
    <row r="2535" customFormat="false" ht="15" hidden="false" customHeight="false" outlineLevel="0" collapsed="false">
      <c r="A2535" s="3" t="n">
        <v>2018</v>
      </c>
      <c r="B2535" s="3" t="n">
        <v>12</v>
      </c>
      <c r="C2535" s="3" t="n">
        <v>8</v>
      </c>
      <c r="D2535" s="3" t="s">
        <v>2539</v>
      </c>
      <c r="E2535" s="4" t="n">
        <v>0</v>
      </c>
    </row>
    <row r="2536" customFormat="false" ht="15" hidden="false" customHeight="false" outlineLevel="0" collapsed="false">
      <c r="A2536" s="3" t="n">
        <v>2018</v>
      </c>
      <c r="B2536" s="3" t="n">
        <v>12</v>
      </c>
      <c r="C2536" s="3" t="n">
        <v>9</v>
      </c>
      <c r="D2536" s="3" t="s">
        <v>2540</v>
      </c>
      <c r="E2536" s="4" t="n">
        <v>37</v>
      </c>
    </row>
    <row r="2537" customFormat="false" ht="15" hidden="false" customHeight="false" outlineLevel="0" collapsed="false">
      <c r="A2537" s="3" t="n">
        <v>2018</v>
      </c>
      <c r="B2537" s="3" t="n">
        <v>12</v>
      </c>
      <c r="C2537" s="3" t="n">
        <v>10</v>
      </c>
      <c r="D2537" s="3" t="s">
        <v>2541</v>
      </c>
      <c r="E2537" s="4" t="n">
        <v>4</v>
      </c>
    </row>
    <row r="2538" customFormat="false" ht="15" hidden="false" customHeight="false" outlineLevel="0" collapsed="false">
      <c r="A2538" s="3" t="n">
        <v>2018</v>
      </c>
      <c r="B2538" s="3" t="n">
        <v>12</v>
      </c>
      <c r="C2538" s="3" t="n">
        <v>11</v>
      </c>
      <c r="D2538" s="3" t="s">
        <v>2542</v>
      </c>
      <c r="E2538" s="4" t="n">
        <v>0</v>
      </c>
    </row>
    <row r="2539" customFormat="false" ht="15" hidden="false" customHeight="false" outlineLevel="0" collapsed="false">
      <c r="A2539" s="3" t="n">
        <v>2018</v>
      </c>
      <c r="B2539" s="3" t="n">
        <v>12</v>
      </c>
      <c r="C2539" s="3" t="n">
        <v>12</v>
      </c>
      <c r="D2539" s="3" t="s">
        <v>2543</v>
      </c>
      <c r="E2539" s="4" t="n">
        <v>3</v>
      </c>
    </row>
    <row r="2540" customFormat="false" ht="15" hidden="false" customHeight="false" outlineLevel="0" collapsed="false">
      <c r="A2540" s="3" t="n">
        <v>2018</v>
      </c>
      <c r="B2540" s="3" t="n">
        <v>12</v>
      </c>
      <c r="C2540" s="3" t="n">
        <v>13</v>
      </c>
      <c r="D2540" s="3" t="s">
        <v>2544</v>
      </c>
      <c r="E2540" s="4" t="n">
        <v>0</v>
      </c>
    </row>
    <row r="2541" customFormat="false" ht="15" hidden="false" customHeight="false" outlineLevel="0" collapsed="false">
      <c r="A2541" s="3" t="n">
        <v>2018</v>
      </c>
      <c r="B2541" s="3" t="n">
        <v>12</v>
      </c>
      <c r="C2541" s="3" t="n">
        <v>14</v>
      </c>
      <c r="D2541" s="3" t="s">
        <v>2545</v>
      </c>
      <c r="E2541" s="4" t="n">
        <v>0</v>
      </c>
    </row>
    <row r="2542" customFormat="false" ht="15" hidden="false" customHeight="false" outlineLevel="0" collapsed="false">
      <c r="A2542" s="3" t="n">
        <v>2018</v>
      </c>
      <c r="B2542" s="3" t="n">
        <v>12</v>
      </c>
      <c r="C2542" s="3" t="n">
        <v>15</v>
      </c>
      <c r="D2542" s="3" t="s">
        <v>2546</v>
      </c>
      <c r="E2542" s="4" t="n">
        <v>0</v>
      </c>
    </row>
    <row r="2543" customFormat="false" ht="15" hidden="false" customHeight="false" outlineLevel="0" collapsed="false">
      <c r="A2543" s="3" t="n">
        <v>2018</v>
      </c>
      <c r="B2543" s="3" t="n">
        <v>12</v>
      </c>
      <c r="C2543" s="3" t="n">
        <v>16</v>
      </c>
      <c r="D2543" s="3" t="s">
        <v>2547</v>
      </c>
      <c r="E2543" s="4" t="n">
        <v>22</v>
      </c>
    </row>
    <row r="2544" customFormat="false" ht="15" hidden="false" customHeight="false" outlineLevel="0" collapsed="false">
      <c r="A2544" s="3" t="n">
        <v>2018</v>
      </c>
      <c r="B2544" s="3" t="n">
        <v>12</v>
      </c>
      <c r="C2544" s="3" t="n">
        <v>17</v>
      </c>
      <c r="D2544" s="3" t="s">
        <v>2548</v>
      </c>
      <c r="E2544" s="4" t="n">
        <v>2</v>
      </c>
    </row>
    <row r="2545" customFormat="false" ht="15" hidden="false" customHeight="false" outlineLevel="0" collapsed="false">
      <c r="A2545" s="3" t="n">
        <v>2018</v>
      </c>
      <c r="B2545" s="3" t="n">
        <v>12</v>
      </c>
      <c r="C2545" s="3" t="n">
        <v>18</v>
      </c>
      <c r="D2545" s="3" t="s">
        <v>2549</v>
      </c>
      <c r="E2545" s="4" t="n">
        <v>0</v>
      </c>
    </row>
    <row r="2546" customFormat="false" ht="15" hidden="false" customHeight="false" outlineLevel="0" collapsed="false">
      <c r="A2546" s="3" t="n">
        <v>2018</v>
      </c>
      <c r="B2546" s="3" t="n">
        <v>12</v>
      </c>
      <c r="C2546" s="3" t="n">
        <v>19</v>
      </c>
      <c r="D2546" s="3" t="s">
        <v>2550</v>
      </c>
      <c r="E2546" s="4" t="n">
        <v>16</v>
      </c>
    </row>
    <row r="2547" customFormat="false" ht="15" hidden="false" customHeight="false" outlineLevel="0" collapsed="false">
      <c r="A2547" s="3" t="n">
        <v>2018</v>
      </c>
      <c r="B2547" s="3" t="n">
        <v>12</v>
      </c>
      <c r="C2547" s="3" t="n">
        <v>20</v>
      </c>
      <c r="D2547" s="3" t="s">
        <v>2551</v>
      </c>
      <c r="E2547" s="4" t="n">
        <v>0</v>
      </c>
    </row>
    <row r="2548" customFormat="false" ht="15" hidden="false" customHeight="false" outlineLevel="0" collapsed="false">
      <c r="A2548" s="3" t="n">
        <v>2018</v>
      </c>
      <c r="B2548" s="3" t="n">
        <v>12</v>
      </c>
      <c r="C2548" s="3" t="n">
        <v>21</v>
      </c>
      <c r="D2548" s="3" t="s">
        <v>2552</v>
      </c>
      <c r="E2548" s="4" t="n">
        <v>2</v>
      </c>
    </row>
    <row r="2549" customFormat="false" ht="15" hidden="false" customHeight="false" outlineLevel="0" collapsed="false">
      <c r="A2549" s="3" t="n">
        <v>2018</v>
      </c>
      <c r="B2549" s="3" t="n">
        <v>12</v>
      </c>
      <c r="C2549" s="3" t="n">
        <v>22</v>
      </c>
      <c r="D2549" s="3" t="s">
        <v>2553</v>
      </c>
      <c r="E2549" s="4" t="n">
        <v>0</v>
      </c>
    </row>
    <row r="2550" customFormat="false" ht="15" hidden="false" customHeight="false" outlineLevel="0" collapsed="false">
      <c r="A2550" s="3" t="n">
        <v>2018</v>
      </c>
      <c r="B2550" s="3" t="n">
        <v>12</v>
      </c>
      <c r="C2550" s="3" t="n">
        <v>23</v>
      </c>
      <c r="D2550" s="3" t="s">
        <v>2554</v>
      </c>
      <c r="E2550" s="4" t="n">
        <v>0</v>
      </c>
    </row>
    <row r="2551" customFormat="false" ht="15" hidden="false" customHeight="false" outlineLevel="0" collapsed="false">
      <c r="A2551" s="3" t="n">
        <v>2018</v>
      </c>
      <c r="B2551" s="3" t="n">
        <v>12</v>
      </c>
      <c r="C2551" s="3" t="n">
        <v>24</v>
      </c>
      <c r="D2551" s="3" t="s">
        <v>2555</v>
      </c>
      <c r="E2551" s="4" t="n">
        <v>0</v>
      </c>
    </row>
    <row r="2552" customFormat="false" ht="15" hidden="false" customHeight="false" outlineLevel="0" collapsed="false">
      <c r="A2552" s="3" t="n">
        <v>2018</v>
      </c>
      <c r="B2552" s="3" t="n">
        <v>12</v>
      </c>
      <c r="C2552" s="3" t="n">
        <v>25</v>
      </c>
      <c r="D2552" s="3" t="s">
        <v>2556</v>
      </c>
      <c r="E2552" s="4" t="n">
        <v>0</v>
      </c>
    </row>
    <row r="2553" customFormat="false" ht="15" hidden="false" customHeight="false" outlineLevel="0" collapsed="false">
      <c r="A2553" s="3" t="n">
        <v>2018</v>
      </c>
      <c r="B2553" s="3" t="n">
        <v>12</v>
      </c>
      <c r="C2553" s="3" t="n">
        <v>26</v>
      </c>
      <c r="D2553" s="3" t="s">
        <v>2557</v>
      </c>
      <c r="E2553" s="4" t="n">
        <v>0</v>
      </c>
    </row>
    <row r="2554" customFormat="false" ht="15" hidden="false" customHeight="false" outlineLevel="0" collapsed="false">
      <c r="A2554" s="3" t="n">
        <v>2018</v>
      </c>
      <c r="B2554" s="3" t="n">
        <v>12</v>
      </c>
      <c r="C2554" s="3" t="n">
        <v>27</v>
      </c>
      <c r="D2554" s="3" t="s">
        <v>2558</v>
      </c>
      <c r="E2554" s="4" t="n">
        <v>4</v>
      </c>
    </row>
    <row r="2555" customFormat="false" ht="15" hidden="false" customHeight="false" outlineLevel="0" collapsed="false">
      <c r="A2555" s="3" t="n">
        <v>2018</v>
      </c>
      <c r="B2555" s="3" t="n">
        <v>12</v>
      </c>
      <c r="C2555" s="3" t="n">
        <v>28</v>
      </c>
      <c r="D2555" s="3" t="s">
        <v>2559</v>
      </c>
      <c r="E2555" s="4" t="n">
        <v>4</v>
      </c>
    </row>
    <row r="2556" customFormat="false" ht="15" hidden="false" customHeight="false" outlineLevel="0" collapsed="false">
      <c r="A2556" s="3" t="n">
        <v>2018</v>
      </c>
      <c r="B2556" s="3" t="n">
        <v>12</v>
      </c>
      <c r="C2556" s="3" t="n">
        <v>29</v>
      </c>
      <c r="D2556" s="3" t="s">
        <v>2560</v>
      </c>
      <c r="E2556" s="4" t="n">
        <v>6</v>
      </c>
    </row>
    <row r="2557" customFormat="false" ht="15" hidden="false" customHeight="false" outlineLevel="0" collapsed="false">
      <c r="A2557" s="3" t="n">
        <v>2018</v>
      </c>
      <c r="B2557" s="3" t="n">
        <v>12</v>
      </c>
      <c r="C2557" s="3" t="n">
        <v>30</v>
      </c>
      <c r="D2557" s="3" t="s">
        <v>2561</v>
      </c>
      <c r="E2557" s="4" t="n">
        <v>16</v>
      </c>
    </row>
    <row r="2558" customFormat="false" ht="15" hidden="false" customHeight="false" outlineLevel="0" collapsed="false">
      <c r="A2558" s="3" t="n">
        <v>2018</v>
      </c>
      <c r="B2558" s="3" t="n">
        <v>12</v>
      </c>
      <c r="C2558" s="3" t="n">
        <v>31</v>
      </c>
      <c r="D2558" s="3" t="s">
        <v>2562</v>
      </c>
      <c r="E2558" s="4" t="n">
        <v>0</v>
      </c>
    </row>
    <row r="2559" customFormat="false" ht="15" hidden="false" customHeight="false" outlineLevel="0" collapsed="false">
      <c r="A2559" s="3" t="n">
        <v>2019</v>
      </c>
      <c r="B2559" s="3" t="n">
        <v>1</v>
      </c>
      <c r="C2559" s="3" t="n">
        <v>1</v>
      </c>
      <c r="D2559" s="3" t="s">
        <v>2563</v>
      </c>
      <c r="E2559" s="4" t="n">
        <v>0</v>
      </c>
    </row>
    <row r="2560" customFormat="false" ht="15" hidden="false" customHeight="false" outlineLevel="0" collapsed="false">
      <c r="A2560" s="3" t="n">
        <v>2019</v>
      </c>
      <c r="B2560" s="3" t="n">
        <v>1</v>
      </c>
      <c r="C2560" s="3" t="n">
        <v>2</v>
      </c>
      <c r="D2560" s="3" t="s">
        <v>2564</v>
      </c>
      <c r="E2560" s="4" t="n">
        <v>4</v>
      </c>
    </row>
    <row r="2561" customFormat="false" ht="15" hidden="false" customHeight="false" outlineLevel="0" collapsed="false">
      <c r="A2561" s="3" t="n">
        <v>2019</v>
      </c>
      <c r="B2561" s="3" t="n">
        <v>1</v>
      </c>
      <c r="C2561" s="3" t="n">
        <v>3</v>
      </c>
      <c r="D2561" s="3" t="s">
        <v>2565</v>
      </c>
      <c r="E2561" s="4" t="n">
        <v>7</v>
      </c>
    </row>
    <row r="2562" customFormat="false" ht="15" hidden="false" customHeight="false" outlineLevel="0" collapsed="false">
      <c r="A2562" s="3" t="n">
        <v>2019</v>
      </c>
      <c r="B2562" s="3" t="n">
        <v>1</v>
      </c>
      <c r="C2562" s="3" t="n">
        <v>4</v>
      </c>
      <c r="D2562" s="3" t="s">
        <v>2566</v>
      </c>
      <c r="E2562" s="4" t="n">
        <v>0</v>
      </c>
    </row>
    <row r="2563" customFormat="false" ht="15" hidden="false" customHeight="false" outlineLevel="0" collapsed="false">
      <c r="A2563" s="3" t="n">
        <v>2019</v>
      </c>
      <c r="B2563" s="3" t="n">
        <v>1</v>
      </c>
      <c r="C2563" s="3" t="n">
        <v>5</v>
      </c>
      <c r="D2563" s="3" t="s">
        <v>2567</v>
      </c>
      <c r="E2563" s="4" t="n">
        <v>0</v>
      </c>
    </row>
    <row r="2564" customFormat="false" ht="15" hidden="false" customHeight="false" outlineLevel="0" collapsed="false">
      <c r="A2564" s="3" t="n">
        <v>2019</v>
      </c>
      <c r="B2564" s="3" t="n">
        <v>1</v>
      </c>
      <c r="C2564" s="3" t="n">
        <v>6</v>
      </c>
      <c r="D2564" s="3" t="s">
        <v>2568</v>
      </c>
      <c r="E2564" s="4" t="n">
        <v>2</v>
      </c>
    </row>
    <row r="2565" customFormat="false" ht="15" hidden="false" customHeight="false" outlineLevel="0" collapsed="false">
      <c r="A2565" s="3" t="n">
        <v>2019</v>
      </c>
      <c r="B2565" s="3" t="n">
        <v>1</v>
      </c>
      <c r="C2565" s="3" t="n">
        <v>7</v>
      </c>
      <c r="D2565" s="3" t="s">
        <v>2569</v>
      </c>
      <c r="E2565" s="4" t="n">
        <v>1</v>
      </c>
    </row>
    <row r="2566" customFormat="false" ht="15" hidden="false" customHeight="false" outlineLevel="0" collapsed="false">
      <c r="A2566" s="3" t="n">
        <v>2019</v>
      </c>
      <c r="B2566" s="3" t="n">
        <v>1</v>
      </c>
      <c r="C2566" s="3" t="n">
        <v>8</v>
      </c>
      <c r="D2566" s="3" t="s">
        <v>2570</v>
      </c>
      <c r="E2566" s="4" t="n">
        <v>10</v>
      </c>
    </row>
    <row r="2567" customFormat="false" ht="15" hidden="false" customHeight="false" outlineLevel="0" collapsed="false">
      <c r="A2567" s="3" t="n">
        <v>2019</v>
      </c>
      <c r="B2567" s="3" t="n">
        <v>1</v>
      </c>
      <c r="C2567" s="3" t="n">
        <v>9</v>
      </c>
      <c r="D2567" s="3" t="s">
        <v>2571</v>
      </c>
      <c r="E2567" s="4" t="n">
        <v>15</v>
      </c>
    </row>
    <row r="2568" customFormat="false" ht="15" hidden="false" customHeight="false" outlineLevel="0" collapsed="false">
      <c r="A2568" s="3" t="n">
        <v>2019</v>
      </c>
      <c r="B2568" s="3" t="n">
        <v>1</v>
      </c>
      <c r="C2568" s="3" t="n">
        <v>10</v>
      </c>
      <c r="D2568" s="3" t="s">
        <v>2572</v>
      </c>
      <c r="E2568" s="4" t="n">
        <v>1</v>
      </c>
    </row>
    <row r="2569" customFormat="false" ht="15" hidden="false" customHeight="false" outlineLevel="0" collapsed="false">
      <c r="A2569" s="3" t="n">
        <v>2019</v>
      </c>
      <c r="B2569" s="3" t="n">
        <v>1</v>
      </c>
      <c r="C2569" s="3" t="n">
        <v>11</v>
      </c>
      <c r="D2569" s="3" t="s">
        <v>2573</v>
      </c>
      <c r="E2569" s="4" t="n">
        <v>1</v>
      </c>
    </row>
    <row r="2570" customFormat="false" ht="15" hidden="false" customHeight="false" outlineLevel="0" collapsed="false">
      <c r="A2570" s="3" t="n">
        <v>2019</v>
      </c>
      <c r="B2570" s="3" t="n">
        <v>1</v>
      </c>
      <c r="C2570" s="3" t="n">
        <v>12</v>
      </c>
      <c r="D2570" s="3" t="s">
        <v>2574</v>
      </c>
      <c r="E2570" s="4" t="n">
        <v>21</v>
      </c>
    </row>
    <row r="2571" customFormat="false" ht="15" hidden="false" customHeight="false" outlineLevel="0" collapsed="false">
      <c r="A2571" s="3" t="n">
        <v>2019</v>
      </c>
      <c r="B2571" s="3" t="n">
        <v>1</v>
      </c>
      <c r="C2571" s="3" t="n">
        <v>13</v>
      </c>
      <c r="D2571" s="3" t="s">
        <v>2575</v>
      </c>
      <c r="E2571" s="4" t="n">
        <v>0</v>
      </c>
    </row>
    <row r="2572" customFormat="false" ht="15" hidden="false" customHeight="false" outlineLevel="0" collapsed="false">
      <c r="A2572" s="3" t="n">
        <v>2019</v>
      </c>
      <c r="B2572" s="3" t="n">
        <v>1</v>
      </c>
      <c r="C2572" s="3" t="n">
        <v>14</v>
      </c>
      <c r="D2572" s="3" t="s">
        <v>2576</v>
      </c>
      <c r="E2572" s="4" t="n">
        <v>5</v>
      </c>
    </row>
    <row r="2573" customFormat="false" ht="15" hidden="false" customHeight="false" outlineLevel="0" collapsed="false">
      <c r="A2573" s="3" t="n">
        <v>2019</v>
      </c>
      <c r="B2573" s="3" t="n">
        <v>1</v>
      </c>
      <c r="C2573" s="3" t="n">
        <v>15</v>
      </c>
      <c r="D2573" s="3" t="s">
        <v>2577</v>
      </c>
      <c r="E2573" s="4" t="n">
        <v>3</v>
      </c>
    </row>
    <row r="2574" customFormat="false" ht="15" hidden="false" customHeight="false" outlineLevel="0" collapsed="false">
      <c r="A2574" s="3" t="n">
        <v>2019</v>
      </c>
      <c r="B2574" s="3" t="n">
        <v>1</v>
      </c>
      <c r="C2574" s="3" t="n">
        <v>16</v>
      </c>
      <c r="D2574" s="3" t="s">
        <v>2578</v>
      </c>
      <c r="E2574" s="4" t="n">
        <v>0</v>
      </c>
    </row>
    <row r="2575" customFormat="false" ht="15" hidden="false" customHeight="false" outlineLevel="0" collapsed="false">
      <c r="A2575" s="3" t="n">
        <v>2019</v>
      </c>
      <c r="B2575" s="3" t="n">
        <v>1</v>
      </c>
      <c r="C2575" s="3" t="n">
        <v>17</v>
      </c>
      <c r="D2575" s="3" t="s">
        <v>2579</v>
      </c>
      <c r="E2575" s="4" t="n">
        <v>1</v>
      </c>
    </row>
    <row r="2576" customFormat="false" ht="15" hidden="false" customHeight="false" outlineLevel="0" collapsed="false">
      <c r="A2576" s="3" t="n">
        <v>2019</v>
      </c>
      <c r="B2576" s="3" t="n">
        <v>1</v>
      </c>
      <c r="C2576" s="3" t="n">
        <v>18</v>
      </c>
      <c r="D2576" s="3" t="s">
        <v>2580</v>
      </c>
      <c r="E2576" s="4" t="n">
        <v>0</v>
      </c>
    </row>
    <row r="2577" customFormat="false" ht="15" hidden="false" customHeight="false" outlineLevel="0" collapsed="false">
      <c r="A2577" s="3" t="n">
        <v>2019</v>
      </c>
      <c r="B2577" s="3" t="n">
        <v>1</v>
      </c>
      <c r="C2577" s="3" t="n">
        <v>19</v>
      </c>
      <c r="D2577" s="3" t="s">
        <v>2581</v>
      </c>
      <c r="E2577" s="4" t="n">
        <v>7</v>
      </c>
    </row>
    <row r="2578" customFormat="false" ht="15" hidden="false" customHeight="false" outlineLevel="0" collapsed="false">
      <c r="A2578" s="3" t="n">
        <v>2019</v>
      </c>
      <c r="B2578" s="3" t="n">
        <v>1</v>
      </c>
      <c r="C2578" s="3" t="n">
        <v>20</v>
      </c>
      <c r="D2578" s="3" t="s">
        <v>2582</v>
      </c>
      <c r="E2578" s="4" t="n">
        <v>0</v>
      </c>
    </row>
    <row r="2579" customFormat="false" ht="15" hidden="false" customHeight="false" outlineLevel="0" collapsed="false">
      <c r="A2579" s="3" t="n">
        <v>2019</v>
      </c>
      <c r="B2579" s="3" t="n">
        <v>1</v>
      </c>
      <c r="C2579" s="3" t="n">
        <v>21</v>
      </c>
      <c r="D2579" s="3" t="s">
        <v>2583</v>
      </c>
      <c r="E2579" s="4" t="n">
        <v>11</v>
      </c>
    </row>
    <row r="2580" customFormat="false" ht="15" hidden="false" customHeight="false" outlineLevel="0" collapsed="false">
      <c r="A2580" s="3" t="n">
        <v>2019</v>
      </c>
      <c r="B2580" s="3" t="n">
        <v>1</v>
      </c>
      <c r="C2580" s="3" t="n">
        <v>22</v>
      </c>
      <c r="D2580" s="3" t="s">
        <v>2584</v>
      </c>
      <c r="E2580" s="4" t="n">
        <v>0</v>
      </c>
    </row>
    <row r="2581" customFormat="false" ht="15" hidden="false" customHeight="false" outlineLevel="0" collapsed="false">
      <c r="A2581" s="3" t="n">
        <v>2019</v>
      </c>
      <c r="B2581" s="3" t="n">
        <v>1</v>
      </c>
      <c r="C2581" s="3" t="n">
        <v>23</v>
      </c>
      <c r="D2581" s="3" t="s">
        <v>2585</v>
      </c>
      <c r="E2581" s="4" t="n">
        <v>1</v>
      </c>
    </row>
    <row r="2582" customFormat="false" ht="15" hidden="false" customHeight="false" outlineLevel="0" collapsed="false">
      <c r="A2582" s="3" t="n">
        <v>2019</v>
      </c>
      <c r="B2582" s="3" t="n">
        <v>1</v>
      </c>
      <c r="C2582" s="3" t="n">
        <v>24</v>
      </c>
      <c r="D2582" s="3" t="s">
        <v>2586</v>
      </c>
      <c r="E2582" s="4" t="n">
        <v>0</v>
      </c>
    </row>
    <row r="2583" customFormat="false" ht="15" hidden="false" customHeight="false" outlineLevel="0" collapsed="false">
      <c r="A2583" s="3" t="n">
        <v>2019</v>
      </c>
      <c r="B2583" s="3" t="n">
        <v>1</v>
      </c>
      <c r="C2583" s="3" t="n">
        <v>25</v>
      </c>
      <c r="D2583" s="3" t="s">
        <v>2587</v>
      </c>
      <c r="E2583" s="4" t="n">
        <v>0</v>
      </c>
    </row>
    <row r="2584" customFormat="false" ht="15" hidden="false" customHeight="false" outlineLevel="0" collapsed="false">
      <c r="A2584" s="3" t="n">
        <v>2019</v>
      </c>
      <c r="B2584" s="3" t="n">
        <v>1</v>
      </c>
      <c r="C2584" s="3" t="n">
        <v>26</v>
      </c>
      <c r="D2584" s="3" t="s">
        <v>2588</v>
      </c>
      <c r="E2584" s="4" t="n">
        <v>0</v>
      </c>
    </row>
    <row r="2585" customFormat="false" ht="15" hidden="false" customHeight="false" outlineLevel="0" collapsed="false">
      <c r="A2585" s="3" t="n">
        <v>2019</v>
      </c>
      <c r="B2585" s="3" t="n">
        <v>1</v>
      </c>
      <c r="C2585" s="3" t="n">
        <v>27</v>
      </c>
      <c r="D2585" s="3" t="s">
        <v>2589</v>
      </c>
      <c r="E2585" s="4" t="n">
        <v>0</v>
      </c>
    </row>
    <row r="2586" customFormat="false" ht="15" hidden="false" customHeight="false" outlineLevel="0" collapsed="false">
      <c r="A2586" s="3" t="n">
        <v>2019</v>
      </c>
      <c r="B2586" s="3" t="n">
        <v>1</v>
      </c>
      <c r="C2586" s="3" t="n">
        <v>28</v>
      </c>
      <c r="D2586" s="3" t="s">
        <v>2590</v>
      </c>
      <c r="E2586" s="4" t="n">
        <v>0</v>
      </c>
    </row>
    <row r="2587" customFormat="false" ht="15" hidden="false" customHeight="false" outlineLevel="0" collapsed="false">
      <c r="A2587" s="3" t="n">
        <v>2019</v>
      </c>
      <c r="B2587" s="3" t="n">
        <v>1</v>
      </c>
      <c r="C2587" s="3" t="n">
        <v>29</v>
      </c>
      <c r="D2587" s="3" t="s">
        <v>2591</v>
      </c>
      <c r="E2587" s="4" t="n">
        <v>0</v>
      </c>
    </row>
    <row r="2588" customFormat="false" ht="15" hidden="false" customHeight="false" outlineLevel="0" collapsed="false">
      <c r="A2588" s="3" t="n">
        <v>2019</v>
      </c>
      <c r="B2588" s="3" t="n">
        <v>1</v>
      </c>
      <c r="C2588" s="3" t="n">
        <v>30</v>
      </c>
      <c r="D2588" s="3" t="s">
        <v>2592</v>
      </c>
      <c r="E2588" s="4" t="n">
        <v>1</v>
      </c>
    </row>
    <row r="2589" customFormat="false" ht="15" hidden="false" customHeight="false" outlineLevel="0" collapsed="false">
      <c r="A2589" s="3" t="n">
        <v>2019</v>
      </c>
      <c r="B2589" s="3" t="n">
        <v>1</v>
      </c>
      <c r="C2589" s="3" t="n">
        <v>31</v>
      </c>
      <c r="D2589" s="3" t="s">
        <v>2593</v>
      </c>
      <c r="E2589" s="4" t="n">
        <v>33</v>
      </c>
    </row>
    <row r="2590" customFormat="false" ht="15" hidden="false" customHeight="false" outlineLevel="0" collapsed="false">
      <c r="A2590" s="3" t="n">
        <v>2019</v>
      </c>
      <c r="B2590" s="3" t="n">
        <v>2</v>
      </c>
      <c r="C2590" s="3" t="n">
        <v>1</v>
      </c>
      <c r="D2590" s="3" t="s">
        <v>2594</v>
      </c>
      <c r="E2590" s="4" t="n">
        <v>12</v>
      </c>
    </row>
    <row r="2591" customFormat="false" ht="15" hidden="false" customHeight="false" outlineLevel="0" collapsed="false">
      <c r="A2591" s="3" t="n">
        <v>2019</v>
      </c>
      <c r="B2591" s="3" t="n">
        <v>2</v>
      </c>
      <c r="C2591" s="3" t="n">
        <v>2</v>
      </c>
      <c r="D2591" s="3" t="s">
        <v>2595</v>
      </c>
      <c r="E2591" s="4" t="n">
        <v>0</v>
      </c>
    </row>
    <row r="2592" customFormat="false" ht="15" hidden="false" customHeight="false" outlineLevel="0" collapsed="false">
      <c r="A2592" s="3" t="n">
        <v>2019</v>
      </c>
      <c r="B2592" s="3" t="n">
        <v>2</v>
      </c>
      <c r="C2592" s="3" t="n">
        <v>3</v>
      </c>
      <c r="D2592" s="3" t="s">
        <v>2596</v>
      </c>
      <c r="E2592" s="4" t="n">
        <v>21</v>
      </c>
    </row>
    <row r="2593" customFormat="false" ht="15" hidden="false" customHeight="false" outlineLevel="0" collapsed="false">
      <c r="A2593" s="3" t="n">
        <v>2019</v>
      </c>
      <c r="B2593" s="3" t="n">
        <v>2</v>
      </c>
      <c r="C2593" s="3" t="n">
        <v>4</v>
      </c>
      <c r="D2593" s="3" t="s">
        <v>2597</v>
      </c>
      <c r="E2593" s="4" t="n">
        <v>0</v>
      </c>
    </row>
    <row r="2594" customFormat="false" ht="15" hidden="false" customHeight="false" outlineLevel="0" collapsed="false">
      <c r="A2594" s="3" t="n">
        <v>2019</v>
      </c>
      <c r="B2594" s="3" t="n">
        <v>2</v>
      </c>
      <c r="C2594" s="3" t="n">
        <v>5</v>
      </c>
      <c r="D2594" s="3" t="s">
        <v>2598</v>
      </c>
      <c r="E2594" s="4" t="n">
        <v>14</v>
      </c>
    </row>
    <row r="2595" customFormat="false" ht="15" hidden="false" customHeight="false" outlineLevel="0" collapsed="false">
      <c r="A2595" s="3" t="n">
        <v>2019</v>
      </c>
      <c r="B2595" s="3" t="n">
        <v>2</v>
      </c>
      <c r="C2595" s="3" t="n">
        <v>6</v>
      </c>
      <c r="D2595" s="3" t="s">
        <v>2599</v>
      </c>
      <c r="E2595" s="4" t="n">
        <v>0</v>
      </c>
    </row>
    <row r="2596" customFormat="false" ht="15" hidden="false" customHeight="false" outlineLevel="0" collapsed="false">
      <c r="A2596" s="3" t="n">
        <v>2019</v>
      </c>
      <c r="B2596" s="3" t="n">
        <v>2</v>
      </c>
      <c r="C2596" s="3" t="n">
        <v>7</v>
      </c>
      <c r="D2596" s="3" t="s">
        <v>2600</v>
      </c>
      <c r="E2596" s="4" t="n">
        <v>2</v>
      </c>
    </row>
    <row r="2597" customFormat="false" ht="15" hidden="false" customHeight="false" outlineLevel="0" collapsed="false">
      <c r="A2597" s="3" t="n">
        <v>2019</v>
      </c>
      <c r="B2597" s="3" t="n">
        <v>2</v>
      </c>
      <c r="C2597" s="3" t="n">
        <v>8</v>
      </c>
      <c r="D2597" s="3" t="s">
        <v>2601</v>
      </c>
      <c r="E2597" s="4" t="n">
        <v>9</v>
      </c>
    </row>
    <row r="2598" customFormat="false" ht="15" hidden="false" customHeight="false" outlineLevel="0" collapsed="false">
      <c r="A2598" s="3" t="n">
        <v>2019</v>
      </c>
      <c r="B2598" s="3" t="n">
        <v>2</v>
      </c>
      <c r="C2598" s="3" t="n">
        <v>9</v>
      </c>
      <c r="D2598" s="3" t="s">
        <v>2602</v>
      </c>
      <c r="E2598" s="4" t="n">
        <v>0</v>
      </c>
    </row>
    <row r="2599" customFormat="false" ht="15" hidden="false" customHeight="false" outlineLevel="0" collapsed="false">
      <c r="A2599" s="3" t="n">
        <v>2019</v>
      </c>
      <c r="B2599" s="3" t="n">
        <v>2</v>
      </c>
      <c r="C2599" s="3" t="n">
        <v>10</v>
      </c>
      <c r="D2599" s="3" t="s">
        <v>2603</v>
      </c>
      <c r="E2599" s="4" t="n">
        <v>0</v>
      </c>
    </row>
    <row r="2600" customFormat="false" ht="15" hidden="false" customHeight="false" outlineLevel="0" collapsed="false">
      <c r="A2600" s="3" t="n">
        <v>2019</v>
      </c>
      <c r="B2600" s="3" t="n">
        <v>2</v>
      </c>
      <c r="C2600" s="3" t="n">
        <v>11</v>
      </c>
      <c r="D2600" s="3" t="s">
        <v>2604</v>
      </c>
      <c r="E2600" s="4" t="n">
        <v>23</v>
      </c>
    </row>
    <row r="2601" customFormat="false" ht="15" hidden="false" customHeight="false" outlineLevel="0" collapsed="false">
      <c r="A2601" s="3" t="n">
        <v>2019</v>
      </c>
      <c r="B2601" s="3" t="n">
        <v>2</v>
      </c>
      <c r="C2601" s="3" t="n">
        <v>12</v>
      </c>
      <c r="D2601" s="3" t="s">
        <v>2605</v>
      </c>
      <c r="E2601" s="4" t="n">
        <v>0</v>
      </c>
    </row>
    <row r="2602" customFormat="false" ht="15" hidden="false" customHeight="false" outlineLevel="0" collapsed="false">
      <c r="A2602" s="3" t="n">
        <v>2019</v>
      </c>
      <c r="B2602" s="3" t="n">
        <v>2</v>
      </c>
      <c r="C2602" s="3" t="n">
        <v>13</v>
      </c>
      <c r="D2602" s="3" t="s">
        <v>2606</v>
      </c>
      <c r="E2602" s="4" t="n">
        <v>1</v>
      </c>
    </row>
    <row r="2603" customFormat="false" ht="15" hidden="false" customHeight="false" outlineLevel="0" collapsed="false">
      <c r="A2603" s="3" t="n">
        <v>2019</v>
      </c>
      <c r="B2603" s="3" t="n">
        <v>2</v>
      </c>
      <c r="C2603" s="3" t="n">
        <v>14</v>
      </c>
      <c r="D2603" s="3" t="s">
        <v>2607</v>
      </c>
      <c r="E2603" s="4" t="n">
        <v>13</v>
      </c>
    </row>
    <row r="2604" customFormat="false" ht="15" hidden="false" customHeight="false" outlineLevel="0" collapsed="false">
      <c r="A2604" s="3" t="n">
        <v>2019</v>
      </c>
      <c r="B2604" s="3" t="n">
        <v>2</v>
      </c>
      <c r="C2604" s="3" t="n">
        <v>15</v>
      </c>
      <c r="D2604" s="3" t="s">
        <v>2608</v>
      </c>
      <c r="E2604" s="4" t="n">
        <v>15</v>
      </c>
    </row>
    <row r="2605" customFormat="false" ht="15" hidden="false" customHeight="false" outlineLevel="0" collapsed="false">
      <c r="A2605" s="3" t="n">
        <v>2019</v>
      </c>
      <c r="B2605" s="3" t="n">
        <v>2</v>
      </c>
      <c r="C2605" s="3" t="n">
        <v>16</v>
      </c>
      <c r="D2605" s="3" t="s">
        <v>2609</v>
      </c>
      <c r="E2605" s="4" t="n">
        <v>2</v>
      </c>
    </row>
    <row r="2606" customFormat="false" ht="15" hidden="false" customHeight="false" outlineLevel="0" collapsed="false">
      <c r="A2606" s="3" t="n">
        <v>2019</v>
      </c>
      <c r="B2606" s="3" t="n">
        <v>2</v>
      </c>
      <c r="C2606" s="3" t="n">
        <v>17</v>
      </c>
      <c r="D2606" s="3" t="s">
        <v>2610</v>
      </c>
      <c r="E2606" s="4" t="n">
        <v>19</v>
      </c>
    </row>
    <row r="2607" customFormat="false" ht="15" hidden="false" customHeight="false" outlineLevel="0" collapsed="false">
      <c r="A2607" s="3" t="n">
        <v>2019</v>
      </c>
      <c r="B2607" s="3" t="n">
        <v>2</v>
      </c>
      <c r="C2607" s="3" t="n">
        <v>18</v>
      </c>
      <c r="D2607" s="3" t="s">
        <v>2611</v>
      </c>
      <c r="E2607" s="4" t="n">
        <v>22</v>
      </c>
    </row>
    <row r="2608" customFormat="false" ht="15" hidden="false" customHeight="false" outlineLevel="0" collapsed="false">
      <c r="A2608" s="3" t="n">
        <v>2019</v>
      </c>
      <c r="B2608" s="3" t="n">
        <v>2</v>
      </c>
      <c r="C2608" s="3" t="n">
        <v>19</v>
      </c>
      <c r="D2608" s="3" t="s">
        <v>2612</v>
      </c>
      <c r="E2608" s="4" t="n">
        <v>1</v>
      </c>
    </row>
    <row r="2609" customFormat="false" ht="15" hidden="false" customHeight="false" outlineLevel="0" collapsed="false">
      <c r="A2609" s="3" t="n">
        <v>2019</v>
      </c>
      <c r="B2609" s="3" t="n">
        <v>2</v>
      </c>
      <c r="C2609" s="3" t="n">
        <v>20</v>
      </c>
      <c r="D2609" s="3" t="s">
        <v>2613</v>
      </c>
      <c r="E2609" s="4" t="n">
        <v>0</v>
      </c>
    </row>
    <row r="2610" customFormat="false" ht="15" hidden="false" customHeight="false" outlineLevel="0" collapsed="false">
      <c r="A2610" s="3" t="n">
        <v>2019</v>
      </c>
      <c r="B2610" s="3" t="n">
        <v>2</v>
      </c>
      <c r="C2610" s="3" t="n">
        <v>21</v>
      </c>
      <c r="D2610" s="3" t="s">
        <v>2614</v>
      </c>
      <c r="E2610" s="4" t="n">
        <v>18</v>
      </c>
    </row>
    <row r="2611" customFormat="false" ht="15" hidden="false" customHeight="false" outlineLevel="0" collapsed="false">
      <c r="A2611" s="3" t="n">
        <v>2019</v>
      </c>
      <c r="B2611" s="3" t="n">
        <v>2</v>
      </c>
      <c r="C2611" s="3" t="n">
        <v>22</v>
      </c>
      <c r="D2611" s="3" t="s">
        <v>2615</v>
      </c>
      <c r="E2611" s="4" t="n">
        <v>15</v>
      </c>
    </row>
    <row r="2612" customFormat="false" ht="15" hidden="false" customHeight="false" outlineLevel="0" collapsed="false">
      <c r="A2612" s="3" t="n">
        <v>2019</v>
      </c>
      <c r="B2612" s="3" t="n">
        <v>2</v>
      </c>
      <c r="C2612" s="3" t="n">
        <v>23</v>
      </c>
      <c r="D2612" s="3" t="s">
        <v>2616</v>
      </c>
      <c r="E2612" s="4" t="n">
        <v>0</v>
      </c>
    </row>
    <row r="2613" customFormat="false" ht="15" hidden="false" customHeight="false" outlineLevel="0" collapsed="false">
      <c r="A2613" s="3" t="n">
        <v>2019</v>
      </c>
      <c r="B2613" s="3" t="n">
        <v>2</v>
      </c>
      <c r="C2613" s="3" t="n">
        <v>24</v>
      </c>
      <c r="D2613" s="3" t="s">
        <v>2617</v>
      </c>
      <c r="E2613" s="4" t="n">
        <v>3</v>
      </c>
    </row>
    <row r="2614" customFormat="false" ht="15" hidden="false" customHeight="false" outlineLevel="0" collapsed="false">
      <c r="A2614" s="3" t="n">
        <v>2019</v>
      </c>
      <c r="B2614" s="3" t="n">
        <v>2</v>
      </c>
      <c r="C2614" s="3" t="n">
        <v>25</v>
      </c>
      <c r="D2614" s="3" t="s">
        <v>2618</v>
      </c>
      <c r="E2614" s="4" t="n">
        <v>3</v>
      </c>
    </row>
    <row r="2615" customFormat="false" ht="15" hidden="false" customHeight="false" outlineLevel="0" collapsed="false">
      <c r="A2615" s="3" t="n">
        <v>2019</v>
      </c>
      <c r="B2615" s="3" t="n">
        <v>2</v>
      </c>
      <c r="C2615" s="3" t="n">
        <v>26</v>
      </c>
      <c r="D2615" s="3" t="s">
        <v>2619</v>
      </c>
      <c r="E2615" s="4" t="n">
        <v>14</v>
      </c>
    </row>
    <row r="2616" customFormat="false" ht="15" hidden="false" customHeight="false" outlineLevel="0" collapsed="false">
      <c r="A2616" s="3" t="n">
        <v>2019</v>
      </c>
      <c r="B2616" s="3" t="n">
        <v>2</v>
      </c>
      <c r="C2616" s="3" t="n">
        <v>27</v>
      </c>
      <c r="D2616" s="3" t="s">
        <v>2620</v>
      </c>
      <c r="E2616" s="4" t="n">
        <v>0</v>
      </c>
    </row>
    <row r="2617" customFormat="false" ht="15" hidden="false" customHeight="false" outlineLevel="0" collapsed="false">
      <c r="A2617" s="3" t="n">
        <v>2019</v>
      </c>
      <c r="B2617" s="3" t="n">
        <v>2</v>
      </c>
      <c r="C2617" s="3" t="n">
        <v>28</v>
      </c>
      <c r="D2617" s="3" t="s">
        <v>2621</v>
      </c>
      <c r="E2617" s="4" t="n">
        <v>0</v>
      </c>
    </row>
    <row r="2618" customFormat="false" ht="15" hidden="false" customHeight="false" outlineLevel="0" collapsed="false">
      <c r="A2618" s="3" t="n">
        <v>2019</v>
      </c>
      <c r="B2618" s="3" t="n">
        <v>3</v>
      </c>
      <c r="C2618" s="3" t="n">
        <v>1</v>
      </c>
      <c r="D2618" s="3" t="s">
        <v>2622</v>
      </c>
      <c r="E2618" s="4" t="n">
        <v>24</v>
      </c>
    </row>
    <row r="2619" customFormat="false" ht="15" hidden="false" customHeight="false" outlineLevel="0" collapsed="false">
      <c r="A2619" s="3" t="n">
        <v>2019</v>
      </c>
      <c r="B2619" s="3" t="n">
        <v>3</v>
      </c>
      <c r="C2619" s="3" t="n">
        <v>2</v>
      </c>
      <c r="D2619" s="3" t="s">
        <v>2623</v>
      </c>
      <c r="E2619" s="4" t="n">
        <v>6</v>
      </c>
    </row>
    <row r="2620" customFormat="false" ht="15" hidden="false" customHeight="false" outlineLevel="0" collapsed="false">
      <c r="A2620" s="3" t="n">
        <v>2019</v>
      </c>
      <c r="B2620" s="3" t="n">
        <v>3</v>
      </c>
      <c r="C2620" s="3" t="n">
        <v>3</v>
      </c>
      <c r="D2620" s="3" t="s">
        <v>2624</v>
      </c>
      <c r="E2620" s="4" t="n">
        <v>0</v>
      </c>
    </row>
    <row r="2621" customFormat="false" ht="15" hidden="false" customHeight="false" outlineLevel="0" collapsed="false">
      <c r="A2621" s="3" t="n">
        <v>2019</v>
      </c>
      <c r="B2621" s="3" t="n">
        <v>3</v>
      </c>
      <c r="C2621" s="3" t="n">
        <v>4</v>
      </c>
      <c r="D2621" s="3" t="s">
        <v>2625</v>
      </c>
      <c r="E2621" s="4" t="n">
        <v>0</v>
      </c>
    </row>
    <row r="2622" customFormat="false" ht="15" hidden="false" customHeight="false" outlineLevel="0" collapsed="false">
      <c r="A2622" s="3" t="n">
        <v>2019</v>
      </c>
      <c r="B2622" s="3" t="n">
        <v>3</v>
      </c>
      <c r="C2622" s="3" t="n">
        <v>5</v>
      </c>
      <c r="D2622" s="3" t="s">
        <v>2626</v>
      </c>
      <c r="E2622" s="4" t="n">
        <v>0</v>
      </c>
    </row>
    <row r="2623" customFormat="false" ht="15" hidden="false" customHeight="false" outlineLevel="0" collapsed="false">
      <c r="A2623" s="3" t="n">
        <v>2019</v>
      </c>
      <c r="B2623" s="3" t="n">
        <v>3</v>
      </c>
      <c r="C2623" s="3" t="n">
        <v>6</v>
      </c>
      <c r="D2623" s="3" t="s">
        <v>2627</v>
      </c>
      <c r="E2623" s="4" t="n">
        <v>0</v>
      </c>
    </row>
    <row r="2624" customFormat="false" ht="15" hidden="false" customHeight="false" outlineLevel="0" collapsed="false">
      <c r="A2624" s="3" t="n">
        <v>2019</v>
      </c>
      <c r="B2624" s="3" t="n">
        <v>3</v>
      </c>
      <c r="C2624" s="3" t="n">
        <v>7</v>
      </c>
      <c r="D2624" s="3" t="s">
        <v>2628</v>
      </c>
      <c r="E2624" s="4" t="n">
        <v>0</v>
      </c>
    </row>
    <row r="2625" customFormat="false" ht="15" hidden="false" customHeight="false" outlineLevel="0" collapsed="false">
      <c r="A2625" s="3" t="n">
        <v>2019</v>
      </c>
      <c r="B2625" s="3" t="n">
        <v>3</v>
      </c>
      <c r="C2625" s="3" t="n">
        <v>8</v>
      </c>
      <c r="D2625" s="3" t="s">
        <v>2629</v>
      </c>
      <c r="E2625" s="4" t="n">
        <v>0</v>
      </c>
    </row>
    <row r="2626" customFormat="false" ht="15" hidden="false" customHeight="false" outlineLevel="0" collapsed="false">
      <c r="A2626" s="3" t="n">
        <v>2019</v>
      </c>
      <c r="B2626" s="3" t="n">
        <v>3</v>
      </c>
      <c r="C2626" s="3" t="n">
        <v>9</v>
      </c>
      <c r="D2626" s="3" t="s">
        <v>2630</v>
      </c>
      <c r="E2626" s="4" t="n">
        <v>2</v>
      </c>
    </row>
    <row r="2627" customFormat="false" ht="15" hidden="false" customHeight="false" outlineLevel="0" collapsed="false">
      <c r="A2627" s="3" t="n">
        <v>2019</v>
      </c>
      <c r="B2627" s="3" t="n">
        <v>3</v>
      </c>
      <c r="C2627" s="3" t="n">
        <v>10</v>
      </c>
      <c r="D2627" s="3" t="s">
        <v>2631</v>
      </c>
      <c r="E2627" s="4" t="n">
        <v>0</v>
      </c>
    </row>
    <row r="2628" customFormat="false" ht="15" hidden="false" customHeight="false" outlineLevel="0" collapsed="false">
      <c r="A2628" s="3" t="n">
        <v>2019</v>
      </c>
      <c r="B2628" s="3" t="n">
        <v>3</v>
      </c>
      <c r="C2628" s="3" t="n">
        <v>11</v>
      </c>
      <c r="D2628" s="3" t="s">
        <v>2632</v>
      </c>
      <c r="E2628" s="4" t="n">
        <v>1</v>
      </c>
    </row>
    <row r="2629" customFormat="false" ht="15" hidden="false" customHeight="false" outlineLevel="0" collapsed="false">
      <c r="A2629" s="3" t="n">
        <v>2019</v>
      </c>
      <c r="B2629" s="3" t="n">
        <v>3</v>
      </c>
      <c r="C2629" s="3" t="n">
        <v>12</v>
      </c>
      <c r="D2629" s="3" t="s">
        <v>2633</v>
      </c>
      <c r="E2629" s="4" t="n">
        <v>0</v>
      </c>
    </row>
    <row r="2630" customFormat="false" ht="15" hidden="false" customHeight="false" outlineLevel="0" collapsed="false">
      <c r="A2630" s="3" t="n">
        <v>2019</v>
      </c>
      <c r="B2630" s="3" t="n">
        <v>3</v>
      </c>
      <c r="C2630" s="3" t="n">
        <v>13</v>
      </c>
      <c r="D2630" s="3" t="s">
        <v>2634</v>
      </c>
      <c r="E2630" s="4" t="n">
        <v>0</v>
      </c>
    </row>
    <row r="2631" customFormat="false" ht="15" hidden="false" customHeight="false" outlineLevel="0" collapsed="false">
      <c r="A2631" s="3" t="n">
        <v>2019</v>
      </c>
      <c r="B2631" s="3" t="n">
        <v>3</v>
      </c>
      <c r="C2631" s="3" t="n">
        <v>14</v>
      </c>
      <c r="D2631" s="3" t="s">
        <v>2635</v>
      </c>
      <c r="E2631" s="4" t="n">
        <v>0</v>
      </c>
    </row>
    <row r="2632" customFormat="false" ht="15" hidden="false" customHeight="false" outlineLevel="0" collapsed="false">
      <c r="A2632" s="3" t="n">
        <v>2019</v>
      </c>
      <c r="B2632" s="3" t="n">
        <v>3</v>
      </c>
      <c r="C2632" s="3" t="n">
        <v>15</v>
      </c>
      <c r="D2632" s="3" t="s">
        <v>2636</v>
      </c>
      <c r="E2632" s="4" t="n">
        <v>0</v>
      </c>
    </row>
    <row r="2633" customFormat="false" ht="15" hidden="false" customHeight="false" outlineLevel="0" collapsed="false">
      <c r="A2633" s="3" t="n">
        <v>2019</v>
      </c>
      <c r="B2633" s="3" t="n">
        <v>3</v>
      </c>
      <c r="C2633" s="3" t="n">
        <v>16</v>
      </c>
      <c r="D2633" s="3" t="s">
        <v>2637</v>
      </c>
      <c r="E2633" s="4" t="n">
        <v>7</v>
      </c>
    </row>
    <row r="2634" customFormat="false" ht="15" hidden="false" customHeight="false" outlineLevel="0" collapsed="false">
      <c r="A2634" s="3" t="n">
        <v>2019</v>
      </c>
      <c r="B2634" s="3" t="n">
        <v>3</v>
      </c>
      <c r="C2634" s="3" t="n">
        <v>17</v>
      </c>
      <c r="D2634" s="3" t="s">
        <v>2638</v>
      </c>
      <c r="E2634" s="4" t="n">
        <v>0</v>
      </c>
    </row>
    <row r="2635" customFormat="false" ht="15" hidden="false" customHeight="false" outlineLevel="0" collapsed="false">
      <c r="A2635" s="3" t="n">
        <v>2019</v>
      </c>
      <c r="B2635" s="3" t="n">
        <v>3</v>
      </c>
      <c r="C2635" s="3" t="n">
        <v>18</v>
      </c>
      <c r="D2635" s="3" t="s">
        <v>2639</v>
      </c>
      <c r="E2635" s="4" t="n">
        <v>0</v>
      </c>
    </row>
    <row r="2636" customFormat="false" ht="15" hidden="false" customHeight="false" outlineLevel="0" collapsed="false">
      <c r="A2636" s="3" t="n">
        <v>2019</v>
      </c>
      <c r="B2636" s="3" t="n">
        <v>3</v>
      </c>
      <c r="C2636" s="3" t="n">
        <v>19</v>
      </c>
      <c r="D2636" s="3" t="s">
        <v>2640</v>
      </c>
      <c r="E2636" s="4" t="n">
        <v>0</v>
      </c>
    </row>
    <row r="2637" customFormat="false" ht="15" hidden="false" customHeight="false" outlineLevel="0" collapsed="false">
      <c r="A2637" s="3" t="n">
        <v>2019</v>
      </c>
      <c r="B2637" s="3" t="n">
        <v>3</v>
      </c>
      <c r="C2637" s="3" t="n">
        <v>20</v>
      </c>
      <c r="D2637" s="3" t="s">
        <v>2641</v>
      </c>
      <c r="E2637" s="4" t="n">
        <v>0</v>
      </c>
    </row>
    <row r="2638" customFormat="false" ht="15" hidden="false" customHeight="false" outlineLevel="0" collapsed="false">
      <c r="A2638" s="3" t="n">
        <v>2019</v>
      </c>
      <c r="B2638" s="3" t="n">
        <v>3</v>
      </c>
      <c r="C2638" s="3" t="n">
        <v>21</v>
      </c>
      <c r="D2638" s="3" t="s">
        <v>2642</v>
      </c>
      <c r="E2638" s="4" t="n">
        <v>0</v>
      </c>
    </row>
    <row r="2639" customFormat="false" ht="15" hidden="false" customHeight="false" outlineLevel="0" collapsed="false">
      <c r="A2639" s="3" t="n">
        <v>2019</v>
      </c>
      <c r="B2639" s="3" t="n">
        <v>3</v>
      </c>
      <c r="C2639" s="3" t="n">
        <v>22</v>
      </c>
      <c r="D2639" s="3" t="s">
        <v>2643</v>
      </c>
      <c r="E2639" s="4" t="n">
        <v>0</v>
      </c>
    </row>
    <row r="2640" customFormat="false" ht="15" hidden="false" customHeight="false" outlineLevel="0" collapsed="false">
      <c r="A2640" s="3" t="n">
        <v>2019</v>
      </c>
      <c r="B2640" s="3" t="n">
        <v>3</v>
      </c>
      <c r="C2640" s="3" t="n">
        <v>23</v>
      </c>
      <c r="D2640" s="3" t="s">
        <v>2644</v>
      </c>
      <c r="E2640" s="4" t="n">
        <v>0</v>
      </c>
    </row>
    <row r="2641" customFormat="false" ht="15" hidden="false" customHeight="false" outlineLevel="0" collapsed="false">
      <c r="A2641" s="3" t="n">
        <v>2019</v>
      </c>
      <c r="B2641" s="3" t="n">
        <v>3</v>
      </c>
      <c r="C2641" s="3" t="n">
        <v>24</v>
      </c>
      <c r="D2641" s="3" t="s">
        <v>2645</v>
      </c>
      <c r="E2641" s="4" t="n">
        <v>0</v>
      </c>
    </row>
    <row r="2642" customFormat="false" ht="15" hidden="false" customHeight="false" outlineLevel="0" collapsed="false">
      <c r="A2642" s="3" t="n">
        <v>2019</v>
      </c>
      <c r="B2642" s="3" t="n">
        <v>3</v>
      </c>
      <c r="C2642" s="3" t="n">
        <v>25</v>
      </c>
      <c r="D2642" s="3" t="s">
        <v>2646</v>
      </c>
      <c r="E2642" s="4" t="n">
        <v>0</v>
      </c>
    </row>
    <row r="2643" customFormat="false" ht="15" hidden="false" customHeight="false" outlineLevel="0" collapsed="false">
      <c r="A2643" s="3" t="n">
        <v>2019</v>
      </c>
      <c r="B2643" s="3" t="n">
        <v>3</v>
      </c>
      <c r="C2643" s="3" t="n">
        <v>26</v>
      </c>
      <c r="D2643" s="3" t="s">
        <v>2647</v>
      </c>
      <c r="E2643" s="4" t="n">
        <v>0</v>
      </c>
    </row>
    <row r="2644" customFormat="false" ht="15" hidden="false" customHeight="false" outlineLevel="0" collapsed="false">
      <c r="A2644" s="3" t="n">
        <v>2019</v>
      </c>
      <c r="B2644" s="3" t="n">
        <v>3</v>
      </c>
      <c r="C2644" s="3" t="n">
        <v>27</v>
      </c>
      <c r="D2644" s="3" t="s">
        <v>2648</v>
      </c>
      <c r="E2644" s="4" t="n">
        <v>0</v>
      </c>
    </row>
    <row r="2645" customFormat="false" ht="15" hidden="false" customHeight="false" outlineLevel="0" collapsed="false">
      <c r="A2645" s="3" t="n">
        <v>2019</v>
      </c>
      <c r="B2645" s="3" t="n">
        <v>3</v>
      </c>
      <c r="C2645" s="3" t="n">
        <v>28</v>
      </c>
      <c r="D2645" s="3" t="s">
        <v>2649</v>
      </c>
      <c r="E2645" s="4" t="n">
        <v>0</v>
      </c>
    </row>
    <row r="2646" customFormat="false" ht="15" hidden="false" customHeight="false" outlineLevel="0" collapsed="false">
      <c r="A2646" s="3" t="n">
        <v>2019</v>
      </c>
      <c r="B2646" s="3" t="n">
        <v>3</v>
      </c>
      <c r="C2646" s="3" t="n">
        <v>29</v>
      </c>
      <c r="D2646" s="3" t="s">
        <v>2650</v>
      </c>
      <c r="E2646" s="4" t="n">
        <v>4</v>
      </c>
    </row>
    <row r="2647" customFormat="false" ht="15" hidden="false" customHeight="false" outlineLevel="0" collapsed="false">
      <c r="A2647" s="3" t="n">
        <v>2019</v>
      </c>
      <c r="B2647" s="3" t="n">
        <v>3</v>
      </c>
      <c r="C2647" s="3" t="n">
        <v>30</v>
      </c>
      <c r="D2647" s="3" t="s">
        <v>2651</v>
      </c>
      <c r="E2647" s="4" t="n">
        <v>0</v>
      </c>
    </row>
    <row r="2648" customFormat="false" ht="15" hidden="false" customHeight="false" outlineLevel="0" collapsed="false">
      <c r="A2648" s="3" t="n">
        <v>2019</v>
      </c>
      <c r="B2648" s="3" t="n">
        <v>3</v>
      </c>
      <c r="C2648" s="3" t="n">
        <v>31</v>
      </c>
      <c r="D2648" s="3" t="s">
        <v>2652</v>
      </c>
      <c r="E2648" s="4" t="n">
        <v>0</v>
      </c>
    </row>
    <row r="2649" customFormat="false" ht="15" hidden="false" customHeight="false" outlineLevel="0" collapsed="false">
      <c r="A2649" s="3" t="n">
        <v>2019</v>
      </c>
      <c r="B2649" s="3" t="n">
        <v>4</v>
      </c>
      <c r="C2649" s="3" t="n">
        <v>1</v>
      </c>
      <c r="D2649" s="3" t="s">
        <v>2653</v>
      </c>
      <c r="E2649" s="4" t="n">
        <v>0</v>
      </c>
    </row>
    <row r="2650" customFormat="false" ht="15" hidden="false" customHeight="false" outlineLevel="0" collapsed="false">
      <c r="A2650" s="3" t="n">
        <v>2019</v>
      </c>
      <c r="B2650" s="3" t="n">
        <v>4</v>
      </c>
      <c r="C2650" s="3" t="n">
        <v>2</v>
      </c>
      <c r="D2650" s="3" t="s">
        <v>2654</v>
      </c>
      <c r="E2650" s="4" t="n">
        <v>1</v>
      </c>
    </row>
    <row r="2651" customFormat="false" ht="15" hidden="false" customHeight="false" outlineLevel="0" collapsed="false">
      <c r="A2651" s="3" t="n">
        <v>2019</v>
      </c>
      <c r="B2651" s="3" t="n">
        <v>4</v>
      </c>
      <c r="C2651" s="3" t="n">
        <v>3</v>
      </c>
      <c r="D2651" s="3" t="s">
        <v>2655</v>
      </c>
      <c r="E2651" s="4" t="n">
        <v>5</v>
      </c>
    </row>
    <row r="2652" customFormat="false" ht="15" hidden="false" customHeight="false" outlineLevel="0" collapsed="false">
      <c r="A2652" s="3" t="n">
        <v>2019</v>
      </c>
      <c r="B2652" s="3" t="n">
        <v>4</v>
      </c>
      <c r="C2652" s="3" t="n">
        <v>4</v>
      </c>
      <c r="D2652" s="3" t="s">
        <v>2656</v>
      </c>
      <c r="E2652" s="4" t="n">
        <v>0</v>
      </c>
    </row>
    <row r="2653" customFormat="false" ht="15" hidden="false" customHeight="false" outlineLevel="0" collapsed="false">
      <c r="A2653" s="3" t="n">
        <v>2019</v>
      </c>
      <c r="B2653" s="3" t="n">
        <v>4</v>
      </c>
      <c r="C2653" s="3" t="n">
        <v>5</v>
      </c>
      <c r="D2653" s="3" t="s">
        <v>2657</v>
      </c>
      <c r="E2653" s="4" t="n">
        <v>0</v>
      </c>
    </row>
    <row r="2654" customFormat="false" ht="15" hidden="false" customHeight="false" outlineLevel="0" collapsed="false">
      <c r="A2654" s="3" t="n">
        <v>2019</v>
      </c>
      <c r="B2654" s="3" t="n">
        <v>4</v>
      </c>
      <c r="C2654" s="3" t="n">
        <v>6</v>
      </c>
      <c r="D2654" s="3" t="s">
        <v>2658</v>
      </c>
      <c r="E2654" s="4" t="n">
        <v>0</v>
      </c>
    </row>
    <row r="2655" customFormat="false" ht="15" hidden="false" customHeight="false" outlineLevel="0" collapsed="false">
      <c r="A2655" s="3" t="n">
        <v>2019</v>
      </c>
      <c r="B2655" s="3" t="n">
        <v>4</v>
      </c>
      <c r="C2655" s="3" t="n">
        <v>7</v>
      </c>
      <c r="D2655" s="3" t="s">
        <v>2659</v>
      </c>
      <c r="E2655" s="4" t="n">
        <v>0</v>
      </c>
    </row>
    <row r="2656" customFormat="false" ht="15" hidden="false" customHeight="false" outlineLevel="0" collapsed="false">
      <c r="A2656" s="3" t="n">
        <v>2019</v>
      </c>
      <c r="B2656" s="3" t="n">
        <v>4</v>
      </c>
      <c r="C2656" s="3" t="n">
        <v>8</v>
      </c>
      <c r="D2656" s="3" t="s">
        <v>2660</v>
      </c>
      <c r="E2656" s="4" t="n">
        <v>0</v>
      </c>
    </row>
    <row r="2657" customFormat="false" ht="15" hidden="false" customHeight="false" outlineLevel="0" collapsed="false">
      <c r="A2657" s="3" t="n">
        <v>2019</v>
      </c>
      <c r="B2657" s="3" t="n">
        <v>4</v>
      </c>
      <c r="C2657" s="3" t="n">
        <v>9</v>
      </c>
      <c r="D2657" s="3" t="s">
        <v>2661</v>
      </c>
      <c r="E2657" s="4" t="n">
        <v>0</v>
      </c>
    </row>
    <row r="2658" customFormat="false" ht="15" hidden="false" customHeight="false" outlineLevel="0" collapsed="false">
      <c r="A2658" s="3" t="n">
        <v>2019</v>
      </c>
      <c r="B2658" s="3" t="n">
        <v>4</v>
      </c>
      <c r="C2658" s="3" t="n">
        <v>10</v>
      </c>
      <c r="D2658" s="3" t="s">
        <v>2662</v>
      </c>
      <c r="E2658" s="4" t="n">
        <v>5</v>
      </c>
    </row>
    <row r="2659" customFormat="false" ht="15" hidden="false" customHeight="false" outlineLevel="0" collapsed="false">
      <c r="A2659" s="3" t="n">
        <v>2019</v>
      </c>
      <c r="B2659" s="3" t="n">
        <v>4</v>
      </c>
      <c r="C2659" s="3" t="n">
        <v>11</v>
      </c>
      <c r="D2659" s="3" t="s">
        <v>2663</v>
      </c>
      <c r="E2659" s="4" t="n">
        <v>1</v>
      </c>
    </row>
    <row r="2660" customFormat="false" ht="15" hidden="false" customHeight="false" outlineLevel="0" collapsed="false">
      <c r="A2660" s="3" t="n">
        <v>2019</v>
      </c>
      <c r="B2660" s="3" t="n">
        <v>4</v>
      </c>
      <c r="C2660" s="3" t="n">
        <v>12</v>
      </c>
      <c r="D2660" s="3" t="s">
        <v>2664</v>
      </c>
      <c r="E2660" s="4" t="n">
        <v>0</v>
      </c>
    </row>
    <row r="2661" customFormat="false" ht="15" hidden="false" customHeight="false" outlineLevel="0" collapsed="false">
      <c r="A2661" s="3" t="n">
        <v>2019</v>
      </c>
      <c r="B2661" s="3" t="n">
        <v>4</v>
      </c>
      <c r="C2661" s="3" t="n">
        <v>13</v>
      </c>
      <c r="D2661" s="3" t="s">
        <v>2665</v>
      </c>
      <c r="E2661" s="4" t="n">
        <v>0</v>
      </c>
    </row>
    <row r="2662" customFormat="false" ht="15" hidden="false" customHeight="false" outlineLevel="0" collapsed="false">
      <c r="A2662" s="3" t="n">
        <v>2019</v>
      </c>
      <c r="B2662" s="3" t="n">
        <v>4</v>
      </c>
      <c r="C2662" s="3" t="n">
        <v>14</v>
      </c>
      <c r="D2662" s="3" t="s">
        <v>2666</v>
      </c>
      <c r="E2662" s="4" t="n">
        <v>0</v>
      </c>
    </row>
    <row r="2663" customFormat="false" ht="15" hidden="false" customHeight="false" outlineLevel="0" collapsed="false">
      <c r="A2663" s="3" t="n">
        <v>2019</v>
      </c>
      <c r="B2663" s="3" t="n">
        <v>4</v>
      </c>
      <c r="C2663" s="3" t="n">
        <v>15</v>
      </c>
      <c r="D2663" s="3" t="s">
        <v>2667</v>
      </c>
      <c r="E2663" s="4" t="n">
        <v>6</v>
      </c>
    </row>
    <row r="2664" customFormat="false" ht="15" hidden="false" customHeight="false" outlineLevel="0" collapsed="false">
      <c r="A2664" s="3" t="n">
        <v>2019</v>
      </c>
      <c r="B2664" s="3" t="n">
        <v>4</v>
      </c>
      <c r="C2664" s="3" t="n">
        <v>16</v>
      </c>
      <c r="D2664" s="3" t="s">
        <v>2668</v>
      </c>
      <c r="E2664" s="4" t="n">
        <v>14</v>
      </c>
    </row>
    <row r="2665" customFormat="false" ht="15" hidden="false" customHeight="false" outlineLevel="0" collapsed="false">
      <c r="A2665" s="3" t="n">
        <v>2019</v>
      </c>
      <c r="B2665" s="3" t="n">
        <v>4</v>
      </c>
      <c r="C2665" s="3" t="n">
        <v>17</v>
      </c>
      <c r="D2665" s="3" t="s">
        <v>2669</v>
      </c>
      <c r="E2665" s="4" t="n">
        <v>15</v>
      </c>
    </row>
    <row r="2666" customFormat="false" ht="15" hidden="false" customHeight="false" outlineLevel="0" collapsed="false">
      <c r="A2666" s="3" t="n">
        <v>2019</v>
      </c>
      <c r="B2666" s="3" t="n">
        <v>4</v>
      </c>
      <c r="C2666" s="3" t="n">
        <v>18</v>
      </c>
      <c r="D2666" s="3" t="s">
        <v>2670</v>
      </c>
      <c r="E2666" s="4" t="n">
        <v>1</v>
      </c>
    </row>
    <row r="2667" customFormat="false" ht="15" hidden="false" customHeight="false" outlineLevel="0" collapsed="false">
      <c r="A2667" s="3" t="n">
        <v>2019</v>
      </c>
      <c r="B2667" s="3" t="n">
        <v>4</v>
      </c>
      <c r="C2667" s="3" t="n">
        <v>19</v>
      </c>
      <c r="D2667" s="3" t="s">
        <v>2671</v>
      </c>
      <c r="E2667" s="4" t="n">
        <v>0</v>
      </c>
    </row>
    <row r="2668" customFormat="false" ht="15" hidden="false" customHeight="false" outlineLevel="0" collapsed="false">
      <c r="A2668" s="3" t="n">
        <v>2019</v>
      </c>
      <c r="B2668" s="3" t="n">
        <v>4</v>
      </c>
      <c r="C2668" s="3" t="n">
        <v>20</v>
      </c>
      <c r="D2668" s="3" t="s">
        <v>2672</v>
      </c>
      <c r="E2668" s="4" t="n">
        <v>0</v>
      </c>
    </row>
    <row r="2669" customFormat="false" ht="15" hidden="false" customHeight="false" outlineLevel="0" collapsed="false">
      <c r="A2669" s="3" t="n">
        <v>2019</v>
      </c>
      <c r="B2669" s="3" t="n">
        <v>4</v>
      </c>
      <c r="C2669" s="3" t="n">
        <v>21</v>
      </c>
      <c r="D2669" s="3" t="s">
        <v>2673</v>
      </c>
      <c r="E2669" s="4" t="n">
        <v>3</v>
      </c>
    </row>
    <row r="2670" customFormat="false" ht="15" hidden="false" customHeight="false" outlineLevel="0" collapsed="false">
      <c r="A2670" s="3" t="n">
        <v>2019</v>
      </c>
      <c r="B2670" s="3" t="n">
        <v>4</v>
      </c>
      <c r="C2670" s="3" t="n">
        <v>22</v>
      </c>
      <c r="D2670" s="3" t="s">
        <v>2674</v>
      </c>
      <c r="E2670" s="4" t="n">
        <v>0</v>
      </c>
    </row>
    <row r="2671" customFormat="false" ht="15" hidden="false" customHeight="false" outlineLevel="0" collapsed="false">
      <c r="A2671" s="3" t="n">
        <v>2019</v>
      </c>
      <c r="B2671" s="3" t="n">
        <v>4</v>
      </c>
      <c r="C2671" s="3" t="n">
        <v>23</v>
      </c>
      <c r="D2671" s="3" t="s">
        <v>2675</v>
      </c>
      <c r="E2671" s="4" t="n">
        <v>0</v>
      </c>
    </row>
    <row r="2672" customFormat="false" ht="15" hidden="false" customHeight="false" outlineLevel="0" collapsed="false">
      <c r="A2672" s="3" t="n">
        <v>2019</v>
      </c>
      <c r="B2672" s="3" t="n">
        <v>4</v>
      </c>
      <c r="C2672" s="3" t="n">
        <v>24</v>
      </c>
      <c r="D2672" s="3" t="s">
        <v>2676</v>
      </c>
      <c r="E2672" s="4" t="n">
        <v>26</v>
      </c>
    </row>
    <row r="2673" customFormat="false" ht="15" hidden="false" customHeight="false" outlineLevel="0" collapsed="false">
      <c r="A2673" s="3" t="n">
        <v>2019</v>
      </c>
      <c r="B2673" s="3" t="n">
        <v>4</v>
      </c>
      <c r="C2673" s="3" t="n">
        <v>25</v>
      </c>
      <c r="D2673" s="3" t="s">
        <v>2677</v>
      </c>
      <c r="E2673" s="4" t="n">
        <v>29</v>
      </c>
    </row>
    <row r="2674" customFormat="false" ht="15" hidden="false" customHeight="false" outlineLevel="0" collapsed="false">
      <c r="A2674" s="3" t="n">
        <v>2019</v>
      </c>
      <c r="B2674" s="3" t="n">
        <v>4</v>
      </c>
      <c r="C2674" s="3" t="n">
        <v>26</v>
      </c>
      <c r="D2674" s="3" t="s">
        <v>2678</v>
      </c>
      <c r="E2674" s="4" t="n">
        <v>0</v>
      </c>
    </row>
    <row r="2675" customFormat="false" ht="15" hidden="false" customHeight="false" outlineLevel="0" collapsed="false">
      <c r="A2675" s="3" t="n">
        <v>2019</v>
      </c>
      <c r="B2675" s="3" t="n">
        <v>4</v>
      </c>
      <c r="C2675" s="3" t="n">
        <v>27</v>
      </c>
      <c r="D2675" s="3" t="s">
        <v>2679</v>
      </c>
      <c r="E2675" s="4" t="n">
        <v>32</v>
      </c>
    </row>
    <row r="2676" customFormat="false" ht="15" hidden="false" customHeight="false" outlineLevel="0" collapsed="false">
      <c r="A2676" s="3" t="n">
        <v>2019</v>
      </c>
      <c r="B2676" s="3" t="n">
        <v>4</v>
      </c>
      <c r="C2676" s="3" t="n">
        <v>28</v>
      </c>
      <c r="D2676" s="3" t="s">
        <v>2680</v>
      </c>
      <c r="E2676" s="4" t="n">
        <v>13</v>
      </c>
    </row>
    <row r="2677" customFormat="false" ht="15" hidden="false" customHeight="false" outlineLevel="0" collapsed="false">
      <c r="A2677" s="3" t="n">
        <v>2019</v>
      </c>
      <c r="B2677" s="3" t="n">
        <v>4</v>
      </c>
      <c r="C2677" s="3" t="n">
        <v>29</v>
      </c>
      <c r="D2677" s="3" t="s">
        <v>2681</v>
      </c>
      <c r="E2677" s="4" t="n">
        <v>0</v>
      </c>
    </row>
    <row r="2678" customFormat="false" ht="15" hidden="false" customHeight="false" outlineLevel="0" collapsed="false">
      <c r="A2678" s="3" t="n">
        <v>2019</v>
      </c>
      <c r="B2678" s="3" t="n">
        <v>4</v>
      </c>
      <c r="C2678" s="3" t="n">
        <v>30</v>
      </c>
      <c r="D2678" s="3" t="s">
        <v>2682</v>
      </c>
      <c r="E2678" s="4"/>
    </row>
    <row r="2679" customFormat="false" ht="15" hidden="false" customHeight="false" outlineLevel="0" collapsed="false">
      <c r="A2679" s="3" t="n">
        <v>2019</v>
      </c>
      <c r="B2679" s="3" t="n">
        <v>5</v>
      </c>
      <c r="C2679" s="3" t="n">
        <v>1</v>
      </c>
      <c r="D2679" s="3" t="s">
        <v>2683</v>
      </c>
      <c r="E2679" s="4" t="n">
        <v>0</v>
      </c>
    </row>
    <row r="2680" customFormat="false" ht="15" hidden="false" customHeight="false" outlineLevel="0" collapsed="false">
      <c r="A2680" s="3" t="n">
        <v>2019</v>
      </c>
      <c r="B2680" s="3" t="n">
        <v>5</v>
      </c>
      <c r="C2680" s="3" t="n">
        <v>2</v>
      </c>
      <c r="D2680" s="3" t="s">
        <v>2684</v>
      </c>
      <c r="E2680" s="4" t="n">
        <v>0</v>
      </c>
    </row>
    <row r="2681" customFormat="false" ht="15" hidden="false" customHeight="false" outlineLevel="0" collapsed="false">
      <c r="A2681" s="3" t="n">
        <v>2019</v>
      </c>
      <c r="B2681" s="3" t="n">
        <v>5</v>
      </c>
      <c r="C2681" s="3" t="n">
        <v>3</v>
      </c>
      <c r="D2681" s="3" t="s">
        <v>2685</v>
      </c>
      <c r="E2681" s="4" t="n">
        <v>0</v>
      </c>
    </row>
    <row r="2682" customFormat="false" ht="15" hidden="false" customHeight="false" outlineLevel="0" collapsed="false">
      <c r="A2682" s="3" t="n">
        <v>2019</v>
      </c>
      <c r="B2682" s="3" t="n">
        <v>5</v>
      </c>
      <c r="C2682" s="3" t="n">
        <v>4</v>
      </c>
      <c r="D2682" s="3" t="s">
        <v>2686</v>
      </c>
      <c r="E2682" s="4" t="n">
        <v>0</v>
      </c>
    </row>
    <row r="2683" customFormat="false" ht="15" hidden="false" customHeight="false" outlineLevel="0" collapsed="false">
      <c r="A2683" s="3" t="n">
        <v>2019</v>
      </c>
      <c r="B2683" s="3" t="n">
        <v>5</v>
      </c>
      <c r="C2683" s="3" t="n">
        <v>5</v>
      </c>
      <c r="D2683" s="3" t="s">
        <v>2687</v>
      </c>
      <c r="E2683" s="4" t="n">
        <v>4</v>
      </c>
    </row>
    <row r="2684" customFormat="false" ht="15" hidden="false" customHeight="false" outlineLevel="0" collapsed="false">
      <c r="A2684" s="3" t="n">
        <v>2019</v>
      </c>
      <c r="B2684" s="3" t="n">
        <v>5</v>
      </c>
      <c r="C2684" s="3" t="n">
        <v>6</v>
      </c>
      <c r="D2684" s="3" t="s">
        <v>2688</v>
      </c>
      <c r="E2684" s="4" t="n">
        <v>0</v>
      </c>
    </row>
    <row r="2685" customFormat="false" ht="15" hidden="false" customHeight="false" outlineLevel="0" collapsed="false">
      <c r="A2685" s="3" t="n">
        <v>2019</v>
      </c>
      <c r="B2685" s="3" t="n">
        <v>5</v>
      </c>
      <c r="C2685" s="3" t="n">
        <v>7</v>
      </c>
      <c r="D2685" s="3" t="s">
        <v>2689</v>
      </c>
      <c r="E2685" s="4" t="n">
        <v>1</v>
      </c>
    </row>
    <row r="2686" customFormat="false" ht="15" hidden="false" customHeight="false" outlineLevel="0" collapsed="false">
      <c r="A2686" s="3" t="n">
        <v>2019</v>
      </c>
      <c r="B2686" s="3" t="n">
        <v>5</v>
      </c>
      <c r="C2686" s="3" t="n">
        <v>8</v>
      </c>
      <c r="D2686" s="3" t="s">
        <v>2690</v>
      </c>
      <c r="E2686" s="4" t="n">
        <v>0</v>
      </c>
    </row>
    <row r="2687" customFormat="false" ht="15" hidden="false" customHeight="false" outlineLevel="0" collapsed="false">
      <c r="A2687" s="3" t="n">
        <v>2019</v>
      </c>
      <c r="B2687" s="3" t="n">
        <v>5</v>
      </c>
      <c r="C2687" s="3" t="n">
        <v>9</v>
      </c>
      <c r="D2687" s="3" t="s">
        <v>2691</v>
      </c>
      <c r="E2687" s="4" t="n">
        <v>5</v>
      </c>
    </row>
    <row r="2688" customFormat="false" ht="15" hidden="false" customHeight="false" outlineLevel="0" collapsed="false">
      <c r="A2688" s="3" t="n">
        <v>2019</v>
      </c>
      <c r="B2688" s="3" t="n">
        <v>5</v>
      </c>
      <c r="C2688" s="3" t="n">
        <v>10</v>
      </c>
      <c r="D2688" s="3" t="s">
        <v>2692</v>
      </c>
      <c r="E2688" s="4" t="n">
        <v>3</v>
      </c>
    </row>
    <row r="2689" customFormat="false" ht="15" hidden="false" customHeight="false" outlineLevel="0" collapsed="false">
      <c r="A2689" s="3" t="n">
        <v>2019</v>
      </c>
      <c r="B2689" s="3" t="n">
        <v>5</v>
      </c>
      <c r="C2689" s="3" t="n">
        <v>11</v>
      </c>
      <c r="D2689" s="3" t="s">
        <v>2693</v>
      </c>
      <c r="E2689" s="4" t="n">
        <v>0</v>
      </c>
    </row>
    <row r="2690" customFormat="false" ht="15" hidden="false" customHeight="false" outlineLevel="0" collapsed="false">
      <c r="A2690" s="3" t="n">
        <v>2019</v>
      </c>
      <c r="B2690" s="3" t="n">
        <v>5</v>
      </c>
      <c r="C2690" s="3" t="n">
        <v>12</v>
      </c>
      <c r="D2690" s="3" t="s">
        <v>2694</v>
      </c>
      <c r="E2690" s="4" t="n">
        <v>10</v>
      </c>
    </row>
    <row r="2691" customFormat="false" ht="15" hidden="false" customHeight="false" outlineLevel="0" collapsed="false">
      <c r="A2691" s="3" t="n">
        <v>2019</v>
      </c>
      <c r="B2691" s="3" t="n">
        <v>5</v>
      </c>
      <c r="C2691" s="3" t="n">
        <v>13</v>
      </c>
      <c r="D2691" s="3" t="s">
        <v>2695</v>
      </c>
      <c r="E2691" s="4" t="n">
        <v>0</v>
      </c>
    </row>
    <row r="2692" customFormat="false" ht="15" hidden="false" customHeight="false" outlineLevel="0" collapsed="false">
      <c r="A2692" s="3" t="n">
        <v>2019</v>
      </c>
      <c r="B2692" s="3" t="n">
        <v>5</v>
      </c>
      <c r="C2692" s="3" t="n">
        <v>14</v>
      </c>
      <c r="D2692" s="3" t="s">
        <v>2696</v>
      </c>
      <c r="E2692" s="4" t="n">
        <v>22</v>
      </c>
    </row>
    <row r="2693" customFormat="false" ht="15" hidden="false" customHeight="false" outlineLevel="0" collapsed="false">
      <c r="A2693" s="3" t="n">
        <v>2019</v>
      </c>
      <c r="B2693" s="3" t="n">
        <v>5</v>
      </c>
      <c r="C2693" s="3" t="n">
        <v>15</v>
      </c>
      <c r="D2693" s="3" t="s">
        <v>2697</v>
      </c>
      <c r="E2693" s="4" t="n">
        <v>0</v>
      </c>
    </row>
    <row r="2694" customFormat="false" ht="15" hidden="false" customHeight="false" outlineLevel="0" collapsed="false">
      <c r="A2694" s="3" t="n">
        <v>2019</v>
      </c>
      <c r="B2694" s="3" t="n">
        <v>5</v>
      </c>
      <c r="C2694" s="3" t="n">
        <v>16</v>
      </c>
      <c r="D2694" s="3" t="s">
        <v>2698</v>
      </c>
      <c r="E2694" s="4" t="n">
        <v>22</v>
      </c>
    </row>
    <row r="2695" customFormat="false" ht="15" hidden="false" customHeight="false" outlineLevel="0" collapsed="false">
      <c r="A2695" s="3" t="n">
        <v>2019</v>
      </c>
      <c r="B2695" s="3" t="n">
        <v>5</v>
      </c>
      <c r="C2695" s="3" t="n">
        <v>17</v>
      </c>
      <c r="D2695" s="3" t="s">
        <v>2699</v>
      </c>
      <c r="E2695" s="4" t="n">
        <v>21</v>
      </c>
    </row>
    <row r="2696" customFormat="false" ht="15" hidden="false" customHeight="false" outlineLevel="0" collapsed="false">
      <c r="A2696" s="3" t="n">
        <v>2019</v>
      </c>
      <c r="B2696" s="3" t="n">
        <v>5</v>
      </c>
      <c r="C2696" s="3" t="n">
        <v>18</v>
      </c>
      <c r="D2696" s="3" t="s">
        <v>2700</v>
      </c>
      <c r="E2696" s="4" t="n">
        <v>2</v>
      </c>
    </row>
    <row r="2697" customFormat="false" ht="15" hidden="false" customHeight="false" outlineLevel="0" collapsed="false">
      <c r="A2697" s="3" t="n">
        <v>2019</v>
      </c>
      <c r="B2697" s="3" t="n">
        <v>5</v>
      </c>
      <c r="C2697" s="3" t="n">
        <v>19</v>
      </c>
      <c r="D2697" s="3" t="s">
        <v>2701</v>
      </c>
      <c r="E2697" s="4" t="n">
        <v>1</v>
      </c>
    </row>
    <row r="2698" customFormat="false" ht="15" hidden="false" customHeight="false" outlineLevel="0" collapsed="false">
      <c r="A2698" s="3" t="n">
        <v>2019</v>
      </c>
      <c r="B2698" s="3" t="n">
        <v>5</v>
      </c>
      <c r="C2698" s="3" t="n">
        <v>20</v>
      </c>
      <c r="D2698" s="3" t="s">
        <v>2702</v>
      </c>
      <c r="E2698" s="4" t="n">
        <v>4</v>
      </c>
    </row>
    <row r="2699" customFormat="false" ht="15" hidden="false" customHeight="false" outlineLevel="0" collapsed="false">
      <c r="A2699" s="3" t="n">
        <v>2019</v>
      </c>
      <c r="B2699" s="3" t="n">
        <v>5</v>
      </c>
      <c r="C2699" s="3" t="n">
        <v>21</v>
      </c>
      <c r="D2699" s="3" t="s">
        <v>2703</v>
      </c>
      <c r="E2699" s="4" t="n">
        <v>3</v>
      </c>
    </row>
    <row r="2700" customFormat="false" ht="15" hidden="false" customHeight="false" outlineLevel="0" collapsed="false">
      <c r="A2700" s="3" t="n">
        <v>2019</v>
      </c>
      <c r="B2700" s="3" t="n">
        <v>5</v>
      </c>
      <c r="C2700" s="3" t="n">
        <v>22</v>
      </c>
      <c r="D2700" s="3" t="s">
        <v>2704</v>
      </c>
      <c r="E2700" s="4" t="n">
        <v>6</v>
      </c>
    </row>
    <row r="2701" customFormat="false" ht="15" hidden="false" customHeight="false" outlineLevel="0" collapsed="false">
      <c r="A2701" s="3" t="n">
        <v>2019</v>
      </c>
      <c r="B2701" s="3" t="n">
        <v>5</v>
      </c>
      <c r="C2701" s="3" t="n">
        <v>23</v>
      </c>
      <c r="D2701" s="3" t="s">
        <v>2705</v>
      </c>
      <c r="E2701" s="4" t="n">
        <v>0</v>
      </c>
    </row>
    <row r="2702" customFormat="false" ht="15" hidden="false" customHeight="false" outlineLevel="0" collapsed="false">
      <c r="A2702" s="3" t="n">
        <v>2019</v>
      </c>
      <c r="B2702" s="3" t="n">
        <v>5</v>
      </c>
      <c r="C2702" s="3" t="n">
        <v>24</v>
      </c>
      <c r="D2702" s="3" t="s">
        <v>2706</v>
      </c>
      <c r="E2702" s="4" t="n">
        <v>0</v>
      </c>
    </row>
    <row r="2703" customFormat="false" ht="15" hidden="false" customHeight="false" outlineLevel="0" collapsed="false">
      <c r="A2703" s="3" t="n">
        <v>2019</v>
      </c>
      <c r="B2703" s="3" t="n">
        <v>5</v>
      </c>
      <c r="C2703" s="3" t="n">
        <v>25</v>
      </c>
      <c r="D2703" s="3" t="s">
        <v>2707</v>
      </c>
      <c r="E2703" s="4" t="n">
        <v>0</v>
      </c>
    </row>
    <row r="2704" customFormat="false" ht="15" hidden="false" customHeight="false" outlineLevel="0" collapsed="false">
      <c r="A2704" s="3" t="n">
        <v>2019</v>
      </c>
      <c r="B2704" s="3" t="n">
        <v>5</v>
      </c>
      <c r="C2704" s="3" t="n">
        <v>26</v>
      </c>
      <c r="D2704" s="3" t="s">
        <v>2708</v>
      </c>
      <c r="E2704" s="4" t="n">
        <v>0</v>
      </c>
    </row>
    <row r="2705" customFormat="false" ht="15" hidden="false" customHeight="false" outlineLevel="0" collapsed="false">
      <c r="A2705" s="3" t="n">
        <v>2019</v>
      </c>
      <c r="B2705" s="3" t="n">
        <v>5</v>
      </c>
      <c r="C2705" s="3" t="n">
        <v>27</v>
      </c>
      <c r="D2705" s="3" t="s">
        <v>2709</v>
      </c>
      <c r="E2705" s="4" t="n">
        <v>1</v>
      </c>
    </row>
    <row r="2706" customFormat="false" ht="15" hidden="false" customHeight="false" outlineLevel="0" collapsed="false">
      <c r="A2706" s="3" t="n">
        <v>2019</v>
      </c>
      <c r="B2706" s="3" t="n">
        <v>5</v>
      </c>
      <c r="C2706" s="3" t="n">
        <v>28</v>
      </c>
      <c r="D2706" s="3" t="s">
        <v>2710</v>
      </c>
      <c r="E2706" s="4" t="n">
        <v>12</v>
      </c>
    </row>
    <row r="2707" customFormat="false" ht="15" hidden="false" customHeight="false" outlineLevel="0" collapsed="false">
      <c r="A2707" s="3" t="n">
        <v>2019</v>
      </c>
      <c r="B2707" s="3" t="n">
        <v>5</v>
      </c>
      <c r="C2707" s="3" t="n">
        <v>29</v>
      </c>
      <c r="D2707" s="3" t="s">
        <v>2711</v>
      </c>
      <c r="E2707" s="4" t="n">
        <v>1</v>
      </c>
    </row>
    <row r="2708" customFormat="false" ht="15" hidden="false" customHeight="false" outlineLevel="0" collapsed="false">
      <c r="A2708" s="3" t="n">
        <v>2019</v>
      </c>
      <c r="B2708" s="3" t="n">
        <v>5</v>
      </c>
      <c r="C2708" s="3" t="n">
        <v>30</v>
      </c>
      <c r="D2708" s="3" t="s">
        <v>2712</v>
      </c>
      <c r="E2708" s="4" t="n">
        <v>0</v>
      </c>
    </row>
    <row r="2709" customFormat="false" ht="15" hidden="false" customHeight="false" outlineLevel="0" collapsed="false">
      <c r="A2709" s="3" t="n">
        <v>2019</v>
      </c>
      <c r="B2709" s="3" t="n">
        <v>5</v>
      </c>
      <c r="C2709" s="3" t="n">
        <v>31</v>
      </c>
      <c r="D2709" s="3" t="s">
        <v>2713</v>
      </c>
      <c r="E2709" s="4" t="n">
        <v>0</v>
      </c>
    </row>
    <row r="2710" customFormat="false" ht="15" hidden="false" customHeight="false" outlineLevel="0" collapsed="false">
      <c r="A2710" s="3" t="n">
        <v>2019</v>
      </c>
      <c r="B2710" s="3" t="n">
        <v>6</v>
      </c>
      <c r="C2710" s="3" t="n">
        <v>1</v>
      </c>
      <c r="D2710" s="3" t="s">
        <v>2714</v>
      </c>
      <c r="E2710" s="4" t="n">
        <v>3</v>
      </c>
    </row>
    <row r="2711" customFormat="false" ht="15" hidden="false" customHeight="false" outlineLevel="0" collapsed="false">
      <c r="A2711" s="3" t="n">
        <v>2019</v>
      </c>
      <c r="B2711" s="3" t="n">
        <v>6</v>
      </c>
      <c r="C2711" s="3" t="n">
        <v>2</v>
      </c>
      <c r="D2711" s="3" t="s">
        <v>2715</v>
      </c>
      <c r="E2711" s="4" t="n">
        <v>16</v>
      </c>
    </row>
    <row r="2712" customFormat="false" ht="15" hidden="false" customHeight="false" outlineLevel="0" collapsed="false">
      <c r="A2712" s="3" t="n">
        <v>2019</v>
      </c>
      <c r="B2712" s="3" t="n">
        <v>6</v>
      </c>
      <c r="C2712" s="3" t="n">
        <v>3</v>
      </c>
      <c r="D2712" s="3" t="s">
        <v>2716</v>
      </c>
      <c r="E2712" s="4" t="n">
        <v>15</v>
      </c>
    </row>
    <row r="2713" customFormat="false" ht="15" hidden="false" customHeight="false" outlineLevel="0" collapsed="false">
      <c r="A2713" s="3" t="n">
        <v>2019</v>
      </c>
      <c r="B2713" s="3" t="n">
        <v>6</v>
      </c>
      <c r="C2713" s="3" t="n">
        <v>4</v>
      </c>
      <c r="D2713" s="3" t="s">
        <v>2717</v>
      </c>
      <c r="E2713" s="4" t="n">
        <v>0</v>
      </c>
    </row>
    <row r="2714" customFormat="false" ht="15" hidden="false" customHeight="false" outlineLevel="0" collapsed="false">
      <c r="A2714" s="3" t="n">
        <v>2019</v>
      </c>
      <c r="B2714" s="3" t="n">
        <v>6</v>
      </c>
      <c r="C2714" s="3" t="n">
        <v>5</v>
      </c>
      <c r="D2714" s="3" t="s">
        <v>2718</v>
      </c>
      <c r="E2714" s="4" t="n">
        <v>0</v>
      </c>
    </row>
    <row r="2715" customFormat="false" ht="15" hidden="false" customHeight="false" outlineLevel="0" collapsed="false">
      <c r="A2715" s="3" t="n">
        <v>2019</v>
      </c>
      <c r="B2715" s="3" t="n">
        <v>6</v>
      </c>
      <c r="C2715" s="3" t="n">
        <v>6</v>
      </c>
      <c r="D2715" s="3" t="s">
        <v>2719</v>
      </c>
      <c r="E2715" s="4" t="n">
        <v>0</v>
      </c>
    </row>
    <row r="2716" customFormat="false" ht="15" hidden="false" customHeight="false" outlineLevel="0" collapsed="false">
      <c r="A2716" s="3" t="n">
        <v>2019</v>
      </c>
      <c r="B2716" s="3" t="n">
        <v>6</v>
      </c>
      <c r="C2716" s="3" t="n">
        <v>7</v>
      </c>
      <c r="D2716" s="3" t="s">
        <v>2720</v>
      </c>
      <c r="E2716" s="4" t="n">
        <v>8</v>
      </c>
    </row>
    <row r="2717" customFormat="false" ht="15" hidden="false" customHeight="false" outlineLevel="0" collapsed="false">
      <c r="A2717" s="3" t="n">
        <v>2019</v>
      </c>
      <c r="B2717" s="3" t="n">
        <v>6</v>
      </c>
      <c r="C2717" s="3" t="n">
        <v>8</v>
      </c>
      <c r="D2717" s="3" t="s">
        <v>2721</v>
      </c>
      <c r="E2717" s="4" t="n">
        <v>18</v>
      </c>
    </row>
    <row r="2718" customFormat="false" ht="15" hidden="false" customHeight="false" outlineLevel="0" collapsed="false">
      <c r="A2718" s="3" t="n">
        <v>2019</v>
      </c>
      <c r="B2718" s="3" t="n">
        <v>6</v>
      </c>
      <c r="C2718" s="3" t="n">
        <v>9</v>
      </c>
      <c r="D2718" s="3" t="s">
        <v>2722</v>
      </c>
      <c r="E2718" s="4" t="n">
        <v>0</v>
      </c>
    </row>
    <row r="2719" customFormat="false" ht="15" hidden="false" customHeight="false" outlineLevel="0" collapsed="false">
      <c r="A2719" s="3" t="n">
        <v>2019</v>
      </c>
      <c r="B2719" s="3" t="n">
        <v>6</v>
      </c>
      <c r="C2719" s="3" t="n">
        <v>10</v>
      </c>
      <c r="D2719" s="3" t="s">
        <v>2723</v>
      </c>
      <c r="E2719" s="4" t="n">
        <v>0</v>
      </c>
    </row>
    <row r="2720" customFormat="false" ht="15" hidden="false" customHeight="false" outlineLevel="0" collapsed="false">
      <c r="A2720" s="3" t="n">
        <v>2019</v>
      </c>
      <c r="B2720" s="3" t="n">
        <v>6</v>
      </c>
      <c r="C2720" s="3" t="n">
        <v>11</v>
      </c>
      <c r="D2720" s="3" t="s">
        <v>2724</v>
      </c>
      <c r="E2720" s="4" t="n">
        <v>9</v>
      </c>
    </row>
    <row r="2721" customFormat="false" ht="15" hidden="false" customHeight="false" outlineLevel="0" collapsed="false">
      <c r="A2721" s="3" t="n">
        <v>2019</v>
      </c>
      <c r="B2721" s="3" t="n">
        <v>6</v>
      </c>
      <c r="C2721" s="3" t="n">
        <v>12</v>
      </c>
      <c r="D2721" s="3" t="s">
        <v>2725</v>
      </c>
      <c r="E2721" s="4" t="n">
        <v>0</v>
      </c>
    </row>
    <row r="2722" customFormat="false" ht="15" hidden="false" customHeight="false" outlineLevel="0" collapsed="false">
      <c r="A2722" s="3" t="n">
        <v>2019</v>
      </c>
      <c r="B2722" s="3" t="n">
        <v>6</v>
      </c>
      <c r="C2722" s="3" t="n">
        <v>13</v>
      </c>
      <c r="D2722" s="3" t="s">
        <v>2726</v>
      </c>
      <c r="E2722" s="4" t="n">
        <v>2</v>
      </c>
    </row>
    <row r="2723" customFormat="false" ht="15" hidden="false" customHeight="false" outlineLevel="0" collapsed="false">
      <c r="A2723" s="3" t="n">
        <v>2019</v>
      </c>
      <c r="B2723" s="3" t="n">
        <v>6</v>
      </c>
      <c r="C2723" s="3" t="n">
        <v>14</v>
      </c>
      <c r="D2723" s="3" t="s">
        <v>2727</v>
      </c>
      <c r="E2723" s="4" t="n">
        <v>17</v>
      </c>
    </row>
    <row r="2724" customFormat="false" ht="15" hidden="false" customHeight="false" outlineLevel="0" collapsed="false">
      <c r="A2724" s="3" t="n">
        <v>2019</v>
      </c>
      <c r="B2724" s="3" t="n">
        <v>6</v>
      </c>
      <c r="C2724" s="3" t="n">
        <v>15</v>
      </c>
      <c r="D2724" s="3" t="s">
        <v>2728</v>
      </c>
      <c r="E2724" s="4" t="n">
        <v>13</v>
      </c>
    </row>
    <row r="2725" customFormat="false" ht="15" hidden="false" customHeight="false" outlineLevel="0" collapsed="false">
      <c r="A2725" s="3" t="n">
        <v>2019</v>
      </c>
      <c r="B2725" s="3" t="n">
        <v>6</v>
      </c>
      <c r="C2725" s="3" t="n">
        <v>16</v>
      </c>
      <c r="D2725" s="3" t="s">
        <v>2729</v>
      </c>
      <c r="E2725" s="4" t="n">
        <v>0</v>
      </c>
    </row>
    <row r="2726" customFormat="false" ht="15" hidden="false" customHeight="false" outlineLevel="0" collapsed="false">
      <c r="A2726" s="3" t="n">
        <v>2019</v>
      </c>
      <c r="B2726" s="3" t="n">
        <v>6</v>
      </c>
      <c r="C2726" s="3" t="n">
        <v>17</v>
      </c>
      <c r="D2726" s="3" t="s">
        <v>2730</v>
      </c>
      <c r="E2726" s="4" t="n">
        <v>0</v>
      </c>
    </row>
    <row r="2727" customFormat="false" ht="15" hidden="false" customHeight="false" outlineLevel="0" collapsed="false">
      <c r="A2727" s="3" t="n">
        <v>2019</v>
      </c>
      <c r="B2727" s="3" t="n">
        <v>6</v>
      </c>
      <c r="C2727" s="3" t="n">
        <v>18</v>
      </c>
      <c r="D2727" s="3" t="s">
        <v>2731</v>
      </c>
      <c r="E2727" s="4" t="n">
        <v>19</v>
      </c>
    </row>
    <row r="2728" customFormat="false" ht="15" hidden="false" customHeight="false" outlineLevel="0" collapsed="false">
      <c r="A2728" s="3" t="n">
        <v>2019</v>
      </c>
      <c r="B2728" s="3" t="n">
        <v>6</v>
      </c>
      <c r="C2728" s="3" t="n">
        <v>19</v>
      </c>
      <c r="D2728" s="3" t="s">
        <v>2732</v>
      </c>
      <c r="E2728" s="4" t="n">
        <v>5</v>
      </c>
    </row>
    <row r="2729" customFormat="false" ht="15" hidden="false" customHeight="false" outlineLevel="0" collapsed="false">
      <c r="A2729" s="3" t="n">
        <v>2019</v>
      </c>
      <c r="B2729" s="3" t="n">
        <v>6</v>
      </c>
      <c r="C2729" s="3" t="n">
        <v>20</v>
      </c>
      <c r="D2729" s="3" t="s">
        <v>2733</v>
      </c>
      <c r="E2729" s="4" t="n">
        <v>0</v>
      </c>
    </row>
    <row r="2730" customFormat="false" ht="15" hidden="false" customHeight="false" outlineLevel="0" collapsed="false">
      <c r="A2730" s="3" t="n">
        <v>2019</v>
      </c>
      <c r="B2730" s="3" t="n">
        <v>6</v>
      </c>
      <c r="C2730" s="3" t="n">
        <v>21</v>
      </c>
      <c r="D2730" s="3" t="s">
        <v>2734</v>
      </c>
      <c r="E2730" s="4" t="n">
        <v>0</v>
      </c>
    </row>
    <row r="2731" customFormat="false" ht="15" hidden="false" customHeight="false" outlineLevel="0" collapsed="false">
      <c r="A2731" s="3" t="n">
        <v>2019</v>
      </c>
      <c r="B2731" s="3" t="n">
        <v>6</v>
      </c>
      <c r="C2731" s="3" t="n">
        <v>22</v>
      </c>
      <c r="D2731" s="3" t="s">
        <v>2735</v>
      </c>
      <c r="E2731" s="4" t="n">
        <v>0</v>
      </c>
    </row>
    <row r="2732" customFormat="false" ht="15" hidden="false" customHeight="false" outlineLevel="0" collapsed="false">
      <c r="A2732" s="3" t="n">
        <v>2019</v>
      </c>
      <c r="B2732" s="3" t="n">
        <v>6</v>
      </c>
      <c r="C2732" s="3" t="n">
        <v>23</v>
      </c>
      <c r="D2732" s="3" t="s">
        <v>2736</v>
      </c>
      <c r="E2732" s="4" t="n">
        <v>0</v>
      </c>
    </row>
    <row r="2733" customFormat="false" ht="15" hidden="false" customHeight="false" outlineLevel="0" collapsed="false">
      <c r="A2733" s="3" t="n">
        <v>2019</v>
      </c>
      <c r="B2733" s="3" t="n">
        <v>6</v>
      </c>
      <c r="C2733" s="3" t="n">
        <v>24</v>
      </c>
      <c r="D2733" s="3" t="s">
        <v>2737</v>
      </c>
      <c r="E2733" s="4" t="n">
        <v>0</v>
      </c>
    </row>
    <row r="2734" customFormat="false" ht="15" hidden="false" customHeight="false" outlineLevel="0" collapsed="false">
      <c r="A2734" s="3" t="n">
        <v>2019</v>
      </c>
      <c r="B2734" s="3" t="n">
        <v>6</v>
      </c>
      <c r="C2734" s="3" t="n">
        <v>25</v>
      </c>
      <c r="D2734" s="3" t="s">
        <v>2738</v>
      </c>
      <c r="E2734" s="4" t="n">
        <v>0</v>
      </c>
    </row>
    <row r="2735" customFormat="false" ht="15" hidden="false" customHeight="false" outlineLevel="0" collapsed="false">
      <c r="A2735" s="3" t="n">
        <v>2019</v>
      </c>
      <c r="B2735" s="3" t="n">
        <v>6</v>
      </c>
      <c r="C2735" s="3" t="n">
        <v>26</v>
      </c>
      <c r="D2735" s="3" t="s">
        <v>2739</v>
      </c>
      <c r="E2735" s="4" t="n">
        <v>0</v>
      </c>
    </row>
    <row r="2736" customFormat="false" ht="15" hidden="false" customHeight="false" outlineLevel="0" collapsed="false">
      <c r="A2736" s="3" t="n">
        <v>2019</v>
      </c>
      <c r="B2736" s="3" t="n">
        <v>6</v>
      </c>
      <c r="C2736" s="3" t="n">
        <v>27</v>
      </c>
      <c r="D2736" s="3" t="s">
        <v>2740</v>
      </c>
      <c r="E2736" s="4" t="n">
        <v>0</v>
      </c>
    </row>
    <row r="2737" customFormat="false" ht="15" hidden="false" customHeight="false" outlineLevel="0" collapsed="false">
      <c r="A2737" s="3" t="n">
        <v>2019</v>
      </c>
      <c r="B2737" s="3" t="n">
        <v>6</v>
      </c>
      <c r="C2737" s="3" t="n">
        <v>28</v>
      </c>
      <c r="D2737" s="3" t="s">
        <v>2741</v>
      </c>
      <c r="E2737" s="4" t="n">
        <v>0</v>
      </c>
    </row>
    <row r="2738" customFormat="false" ht="15" hidden="false" customHeight="false" outlineLevel="0" collapsed="false">
      <c r="A2738" s="3" t="n">
        <v>2019</v>
      </c>
      <c r="B2738" s="3" t="n">
        <v>6</v>
      </c>
      <c r="C2738" s="3" t="n">
        <v>29</v>
      </c>
      <c r="D2738" s="3" t="s">
        <v>2742</v>
      </c>
      <c r="E2738" s="4" t="n">
        <v>0</v>
      </c>
    </row>
    <row r="2739" customFormat="false" ht="15" hidden="false" customHeight="false" outlineLevel="0" collapsed="false">
      <c r="A2739" s="3" t="n">
        <v>2019</v>
      </c>
      <c r="B2739" s="3" t="n">
        <v>6</v>
      </c>
      <c r="C2739" s="3" t="n">
        <v>30</v>
      </c>
      <c r="D2739" s="3" t="s">
        <v>2743</v>
      </c>
      <c r="E2739" s="4"/>
    </row>
    <row r="2740" customFormat="false" ht="15" hidden="false" customHeight="false" outlineLevel="0" collapsed="false">
      <c r="A2740" s="3" t="n">
        <v>2019</v>
      </c>
      <c r="B2740" s="3" t="n">
        <v>7</v>
      </c>
      <c r="C2740" s="3" t="n">
        <v>1</v>
      </c>
      <c r="D2740" s="3" t="s">
        <v>2744</v>
      </c>
      <c r="E2740" s="4" t="n">
        <v>0</v>
      </c>
    </row>
    <row r="2741" customFormat="false" ht="15" hidden="false" customHeight="false" outlineLevel="0" collapsed="false">
      <c r="A2741" s="3" t="n">
        <v>2019</v>
      </c>
      <c r="B2741" s="3" t="n">
        <v>7</v>
      </c>
      <c r="C2741" s="3" t="n">
        <v>2</v>
      </c>
      <c r="D2741" s="3" t="s">
        <v>2745</v>
      </c>
      <c r="E2741" s="4" t="n">
        <v>0</v>
      </c>
    </row>
    <row r="2742" customFormat="false" ht="15" hidden="false" customHeight="false" outlineLevel="0" collapsed="false">
      <c r="A2742" s="3" t="n">
        <v>2019</v>
      </c>
      <c r="B2742" s="3" t="n">
        <v>7</v>
      </c>
      <c r="C2742" s="3" t="n">
        <v>3</v>
      </c>
      <c r="D2742" s="3" t="s">
        <v>2746</v>
      </c>
      <c r="E2742" s="4" t="n">
        <v>0</v>
      </c>
    </row>
    <row r="2743" customFormat="false" ht="15" hidden="false" customHeight="false" outlineLevel="0" collapsed="false">
      <c r="A2743" s="3" t="n">
        <v>2019</v>
      </c>
      <c r="B2743" s="3" t="n">
        <v>7</v>
      </c>
      <c r="C2743" s="3" t="n">
        <v>4</v>
      </c>
      <c r="D2743" s="3" t="s">
        <v>2747</v>
      </c>
      <c r="E2743" s="4" t="n">
        <v>1</v>
      </c>
    </row>
    <row r="2744" customFormat="false" ht="15" hidden="false" customHeight="false" outlineLevel="0" collapsed="false">
      <c r="A2744" s="3" t="n">
        <v>2019</v>
      </c>
      <c r="B2744" s="3" t="n">
        <v>7</v>
      </c>
      <c r="C2744" s="3" t="n">
        <v>5</v>
      </c>
      <c r="D2744" s="3" t="s">
        <v>2748</v>
      </c>
      <c r="E2744" s="4" t="n">
        <v>0</v>
      </c>
    </row>
    <row r="2745" customFormat="false" ht="15" hidden="false" customHeight="false" outlineLevel="0" collapsed="false">
      <c r="A2745" s="3" t="n">
        <v>2019</v>
      </c>
      <c r="B2745" s="3" t="n">
        <v>7</v>
      </c>
      <c r="C2745" s="3" t="n">
        <v>6</v>
      </c>
      <c r="D2745" s="3" t="s">
        <v>2749</v>
      </c>
      <c r="E2745" s="4" t="n">
        <v>0</v>
      </c>
    </row>
    <row r="2746" customFormat="false" ht="15" hidden="false" customHeight="false" outlineLevel="0" collapsed="false">
      <c r="A2746" s="3" t="n">
        <v>2019</v>
      </c>
      <c r="B2746" s="3" t="n">
        <v>7</v>
      </c>
      <c r="C2746" s="3" t="n">
        <v>7</v>
      </c>
      <c r="D2746" s="3" t="s">
        <v>2750</v>
      </c>
      <c r="E2746" s="4" t="n">
        <v>8</v>
      </c>
    </row>
    <row r="2747" customFormat="false" ht="15" hidden="false" customHeight="false" outlineLevel="0" collapsed="false">
      <c r="A2747" s="3" t="n">
        <v>2019</v>
      </c>
      <c r="B2747" s="3" t="n">
        <v>7</v>
      </c>
      <c r="C2747" s="3" t="n">
        <v>8</v>
      </c>
      <c r="D2747" s="3" t="s">
        <v>2751</v>
      </c>
      <c r="E2747" s="4" t="n">
        <v>6</v>
      </c>
    </row>
    <row r="2748" customFormat="false" ht="15" hidden="false" customHeight="false" outlineLevel="0" collapsed="false">
      <c r="A2748" s="3" t="n">
        <v>2019</v>
      </c>
      <c r="B2748" s="3" t="n">
        <v>7</v>
      </c>
      <c r="C2748" s="3" t="n">
        <v>9</v>
      </c>
      <c r="D2748" s="3" t="s">
        <v>2752</v>
      </c>
      <c r="E2748" s="4" t="n">
        <v>0</v>
      </c>
    </row>
    <row r="2749" customFormat="false" ht="15" hidden="false" customHeight="false" outlineLevel="0" collapsed="false">
      <c r="A2749" s="3" t="n">
        <v>2019</v>
      </c>
      <c r="B2749" s="3" t="n">
        <v>7</v>
      </c>
      <c r="C2749" s="3" t="n">
        <v>10</v>
      </c>
      <c r="D2749" s="3" t="s">
        <v>2753</v>
      </c>
      <c r="E2749" s="4" t="n">
        <v>0</v>
      </c>
    </row>
    <row r="2750" customFormat="false" ht="15" hidden="false" customHeight="false" outlineLevel="0" collapsed="false">
      <c r="A2750" s="3" t="n">
        <v>2019</v>
      </c>
      <c r="B2750" s="3" t="n">
        <v>7</v>
      </c>
      <c r="C2750" s="3" t="n">
        <v>11</v>
      </c>
      <c r="D2750" s="3" t="s">
        <v>2754</v>
      </c>
      <c r="E2750" s="4" t="n">
        <v>0</v>
      </c>
    </row>
    <row r="2751" customFormat="false" ht="15" hidden="false" customHeight="false" outlineLevel="0" collapsed="false">
      <c r="A2751" s="3" t="n">
        <v>2019</v>
      </c>
      <c r="B2751" s="3" t="n">
        <v>7</v>
      </c>
      <c r="C2751" s="3" t="n">
        <v>12</v>
      </c>
      <c r="D2751" s="3" t="s">
        <v>2755</v>
      </c>
      <c r="E2751" s="4" t="n">
        <v>23</v>
      </c>
    </row>
    <row r="2752" customFormat="false" ht="15" hidden="false" customHeight="false" outlineLevel="0" collapsed="false">
      <c r="A2752" s="3" t="n">
        <v>2019</v>
      </c>
      <c r="B2752" s="3" t="n">
        <v>7</v>
      </c>
      <c r="C2752" s="3" t="n">
        <v>13</v>
      </c>
      <c r="D2752" s="3" t="s">
        <v>2756</v>
      </c>
      <c r="E2752" s="4" t="n">
        <v>0</v>
      </c>
    </row>
    <row r="2753" customFormat="false" ht="15" hidden="false" customHeight="false" outlineLevel="0" collapsed="false">
      <c r="A2753" s="3" t="n">
        <v>2019</v>
      </c>
      <c r="B2753" s="3" t="n">
        <v>7</v>
      </c>
      <c r="C2753" s="3" t="n">
        <v>14</v>
      </c>
      <c r="D2753" s="3" t="s">
        <v>2757</v>
      </c>
      <c r="E2753" s="4" t="n">
        <v>0</v>
      </c>
    </row>
    <row r="2754" customFormat="false" ht="15" hidden="false" customHeight="false" outlineLevel="0" collapsed="false">
      <c r="A2754" s="3" t="n">
        <v>2019</v>
      </c>
      <c r="B2754" s="3" t="n">
        <v>7</v>
      </c>
      <c r="C2754" s="3" t="n">
        <v>15</v>
      </c>
      <c r="D2754" s="3" t="s">
        <v>2758</v>
      </c>
      <c r="E2754" s="4" t="n">
        <v>0</v>
      </c>
    </row>
    <row r="2755" customFormat="false" ht="15" hidden="false" customHeight="false" outlineLevel="0" collapsed="false">
      <c r="A2755" s="3" t="n">
        <v>2019</v>
      </c>
      <c r="B2755" s="3" t="n">
        <v>7</v>
      </c>
      <c r="C2755" s="3" t="n">
        <v>16</v>
      </c>
      <c r="D2755" s="3" t="s">
        <v>2759</v>
      </c>
      <c r="E2755" s="4" t="n">
        <v>0</v>
      </c>
    </row>
    <row r="2756" customFormat="false" ht="15" hidden="false" customHeight="false" outlineLevel="0" collapsed="false">
      <c r="A2756" s="3" t="n">
        <v>2019</v>
      </c>
      <c r="B2756" s="3" t="n">
        <v>7</v>
      </c>
      <c r="C2756" s="3" t="n">
        <v>17</v>
      </c>
      <c r="D2756" s="3" t="s">
        <v>2760</v>
      </c>
      <c r="E2756" s="4" t="n">
        <v>0</v>
      </c>
    </row>
    <row r="2757" customFormat="false" ht="15" hidden="false" customHeight="false" outlineLevel="0" collapsed="false">
      <c r="A2757" s="3" t="n">
        <v>2019</v>
      </c>
      <c r="B2757" s="3" t="n">
        <v>7</v>
      </c>
      <c r="C2757" s="3" t="n">
        <v>18</v>
      </c>
      <c r="D2757" s="3" t="s">
        <v>2761</v>
      </c>
      <c r="E2757" s="4" t="n">
        <v>0</v>
      </c>
    </row>
    <row r="2758" customFormat="false" ht="15" hidden="false" customHeight="false" outlineLevel="0" collapsed="false">
      <c r="A2758" s="3" t="n">
        <v>2019</v>
      </c>
      <c r="B2758" s="3" t="n">
        <v>7</v>
      </c>
      <c r="C2758" s="3" t="n">
        <v>19</v>
      </c>
      <c r="D2758" s="3" t="s">
        <v>2762</v>
      </c>
      <c r="E2758" s="4" t="n">
        <v>0</v>
      </c>
    </row>
    <row r="2759" customFormat="false" ht="15" hidden="false" customHeight="false" outlineLevel="0" collapsed="false">
      <c r="A2759" s="3" t="n">
        <v>2019</v>
      </c>
      <c r="B2759" s="3" t="n">
        <v>7</v>
      </c>
      <c r="C2759" s="3" t="n">
        <v>20</v>
      </c>
      <c r="D2759" s="3" t="s">
        <v>2763</v>
      </c>
      <c r="E2759" s="4" t="n">
        <v>0</v>
      </c>
    </row>
    <row r="2760" customFormat="false" ht="15" hidden="false" customHeight="false" outlineLevel="0" collapsed="false">
      <c r="A2760" s="3" t="n">
        <v>2019</v>
      </c>
      <c r="B2760" s="3" t="n">
        <v>7</v>
      </c>
      <c r="C2760" s="3" t="n">
        <v>21</v>
      </c>
      <c r="D2760" s="3" t="s">
        <v>2764</v>
      </c>
      <c r="E2760" s="4" t="n">
        <v>2</v>
      </c>
    </row>
    <row r="2761" customFormat="false" ht="15" hidden="false" customHeight="false" outlineLevel="0" collapsed="false">
      <c r="A2761" s="3" t="n">
        <v>2019</v>
      </c>
      <c r="B2761" s="3" t="n">
        <v>7</v>
      </c>
      <c r="C2761" s="3" t="n">
        <v>22</v>
      </c>
      <c r="D2761" s="3" t="s">
        <v>2765</v>
      </c>
      <c r="E2761" s="4" t="n">
        <v>1</v>
      </c>
    </row>
    <row r="2762" customFormat="false" ht="15" hidden="false" customHeight="false" outlineLevel="0" collapsed="false">
      <c r="A2762" s="3" t="n">
        <v>2019</v>
      </c>
      <c r="B2762" s="3" t="n">
        <v>7</v>
      </c>
      <c r="C2762" s="3" t="n">
        <v>23</v>
      </c>
      <c r="D2762" s="3" t="s">
        <v>2766</v>
      </c>
      <c r="E2762" s="4" t="n">
        <v>5</v>
      </c>
    </row>
    <row r="2763" customFormat="false" ht="15" hidden="false" customHeight="false" outlineLevel="0" collapsed="false">
      <c r="A2763" s="3" t="n">
        <v>2019</v>
      </c>
      <c r="B2763" s="3" t="n">
        <v>7</v>
      </c>
      <c r="C2763" s="3" t="n">
        <v>24</v>
      </c>
      <c r="D2763" s="3" t="s">
        <v>2767</v>
      </c>
      <c r="E2763" s="4" t="n">
        <v>0</v>
      </c>
    </row>
    <row r="2764" customFormat="false" ht="15" hidden="false" customHeight="false" outlineLevel="0" collapsed="false">
      <c r="A2764" s="3" t="n">
        <v>2019</v>
      </c>
      <c r="B2764" s="3" t="n">
        <v>7</v>
      </c>
      <c r="C2764" s="3" t="n">
        <v>25</v>
      </c>
      <c r="D2764" s="3" t="s">
        <v>2768</v>
      </c>
      <c r="E2764" s="4" t="n">
        <v>0</v>
      </c>
    </row>
    <row r="2765" customFormat="false" ht="15" hidden="false" customHeight="false" outlineLevel="0" collapsed="false">
      <c r="A2765" s="3" t="n">
        <v>2019</v>
      </c>
      <c r="B2765" s="3" t="n">
        <v>7</v>
      </c>
      <c r="C2765" s="3" t="n">
        <v>26</v>
      </c>
      <c r="D2765" s="3" t="s">
        <v>2769</v>
      </c>
      <c r="E2765" s="4" t="n">
        <v>7</v>
      </c>
    </row>
    <row r="2766" customFormat="false" ht="15" hidden="false" customHeight="false" outlineLevel="0" collapsed="false">
      <c r="A2766" s="3" t="n">
        <v>2019</v>
      </c>
      <c r="B2766" s="3" t="n">
        <v>7</v>
      </c>
      <c r="C2766" s="3" t="n">
        <v>27</v>
      </c>
      <c r="D2766" s="3" t="s">
        <v>2770</v>
      </c>
      <c r="E2766" s="4" t="n">
        <v>0</v>
      </c>
    </row>
    <row r="2767" customFormat="false" ht="15" hidden="false" customHeight="false" outlineLevel="0" collapsed="false">
      <c r="A2767" s="3" t="n">
        <v>2019</v>
      </c>
      <c r="B2767" s="3" t="n">
        <v>7</v>
      </c>
      <c r="C2767" s="3" t="n">
        <v>28</v>
      </c>
      <c r="D2767" s="3" t="s">
        <v>2771</v>
      </c>
      <c r="E2767" s="4" t="n">
        <v>0</v>
      </c>
    </row>
    <row r="2768" customFormat="false" ht="15" hidden="false" customHeight="false" outlineLevel="0" collapsed="false">
      <c r="A2768" s="3" t="n">
        <v>2019</v>
      </c>
      <c r="B2768" s="3" t="n">
        <v>7</v>
      </c>
      <c r="C2768" s="3" t="n">
        <v>29</v>
      </c>
      <c r="D2768" s="3" t="s">
        <v>2772</v>
      </c>
      <c r="E2768" s="4" t="n">
        <v>0</v>
      </c>
    </row>
    <row r="2769" customFormat="false" ht="15" hidden="false" customHeight="false" outlineLevel="0" collapsed="false">
      <c r="A2769" s="3" t="n">
        <v>2019</v>
      </c>
      <c r="B2769" s="3" t="n">
        <v>7</v>
      </c>
      <c r="C2769" s="3" t="n">
        <v>30</v>
      </c>
      <c r="D2769" s="3" t="s">
        <v>2773</v>
      </c>
      <c r="E2769" s="4" t="n">
        <v>0</v>
      </c>
    </row>
    <row r="2770" customFormat="false" ht="15" hidden="false" customHeight="false" outlineLevel="0" collapsed="false">
      <c r="A2770" s="3" t="n">
        <v>2019</v>
      </c>
      <c r="B2770" s="3" t="n">
        <v>7</v>
      </c>
      <c r="C2770" s="3" t="n">
        <v>31</v>
      </c>
      <c r="D2770" s="3" t="s">
        <v>2774</v>
      </c>
      <c r="E2770" s="4" t="n">
        <v>0</v>
      </c>
    </row>
    <row r="2771" customFormat="false" ht="15" hidden="false" customHeight="false" outlineLevel="0" collapsed="false">
      <c r="A2771" s="3" t="n">
        <v>2019</v>
      </c>
      <c r="B2771" s="3" t="n">
        <v>8</v>
      </c>
      <c r="C2771" s="3" t="n">
        <v>1</v>
      </c>
      <c r="D2771" s="3" t="s">
        <v>2775</v>
      </c>
      <c r="E2771" s="4" t="n">
        <v>0</v>
      </c>
    </row>
    <row r="2772" customFormat="false" ht="15" hidden="false" customHeight="false" outlineLevel="0" collapsed="false">
      <c r="A2772" s="3" t="n">
        <v>2019</v>
      </c>
      <c r="B2772" s="3" t="n">
        <v>8</v>
      </c>
      <c r="C2772" s="3" t="n">
        <v>2</v>
      </c>
      <c r="D2772" s="3" t="s">
        <v>2776</v>
      </c>
      <c r="E2772" s="4" t="n">
        <v>0</v>
      </c>
    </row>
    <row r="2773" customFormat="false" ht="15" hidden="false" customHeight="false" outlineLevel="0" collapsed="false">
      <c r="A2773" s="3" t="n">
        <v>2019</v>
      </c>
      <c r="B2773" s="3" t="n">
        <v>8</v>
      </c>
      <c r="C2773" s="3" t="n">
        <v>3</v>
      </c>
      <c r="D2773" s="3" t="s">
        <v>2777</v>
      </c>
      <c r="E2773" s="4" t="n">
        <v>0</v>
      </c>
    </row>
    <row r="2774" customFormat="false" ht="15" hidden="false" customHeight="false" outlineLevel="0" collapsed="false">
      <c r="A2774" s="3" t="n">
        <v>2019</v>
      </c>
      <c r="B2774" s="3" t="n">
        <v>8</v>
      </c>
      <c r="C2774" s="3" t="n">
        <v>4</v>
      </c>
      <c r="D2774" s="3" t="s">
        <v>2778</v>
      </c>
      <c r="E2774" s="4" t="n">
        <v>0</v>
      </c>
    </row>
    <row r="2775" customFormat="false" ht="15" hidden="false" customHeight="false" outlineLevel="0" collapsed="false">
      <c r="A2775" s="3" t="n">
        <v>2019</v>
      </c>
      <c r="B2775" s="3" t="n">
        <v>8</v>
      </c>
      <c r="C2775" s="3" t="n">
        <v>5</v>
      </c>
      <c r="D2775" s="3" t="s">
        <v>2779</v>
      </c>
      <c r="E2775" s="4" t="n">
        <v>0</v>
      </c>
    </row>
    <row r="2776" customFormat="false" ht="15" hidden="false" customHeight="false" outlineLevel="0" collapsed="false">
      <c r="A2776" s="3" t="n">
        <v>2019</v>
      </c>
      <c r="B2776" s="3" t="n">
        <v>8</v>
      </c>
      <c r="C2776" s="3" t="n">
        <v>6</v>
      </c>
      <c r="D2776" s="3" t="s">
        <v>2780</v>
      </c>
      <c r="E2776" s="4" t="n">
        <v>0</v>
      </c>
    </row>
    <row r="2777" customFormat="false" ht="15" hidden="false" customHeight="false" outlineLevel="0" collapsed="false">
      <c r="A2777" s="3" t="n">
        <v>2019</v>
      </c>
      <c r="B2777" s="3" t="n">
        <v>8</v>
      </c>
      <c r="C2777" s="3" t="n">
        <v>7</v>
      </c>
      <c r="D2777" s="3" t="s">
        <v>2781</v>
      </c>
      <c r="E2777" s="4" t="n">
        <v>0</v>
      </c>
    </row>
    <row r="2778" customFormat="false" ht="15" hidden="false" customHeight="false" outlineLevel="0" collapsed="false">
      <c r="A2778" s="3" t="n">
        <v>2019</v>
      </c>
      <c r="B2778" s="3" t="n">
        <v>8</v>
      </c>
      <c r="C2778" s="3" t="n">
        <v>8</v>
      </c>
      <c r="D2778" s="3" t="s">
        <v>2782</v>
      </c>
      <c r="E2778" s="4" t="n">
        <v>0</v>
      </c>
    </row>
    <row r="2779" customFormat="false" ht="15" hidden="false" customHeight="false" outlineLevel="0" collapsed="false">
      <c r="A2779" s="3" t="n">
        <v>2019</v>
      </c>
      <c r="B2779" s="3" t="n">
        <v>8</v>
      </c>
      <c r="C2779" s="3" t="n">
        <v>9</v>
      </c>
      <c r="D2779" s="3" t="s">
        <v>2783</v>
      </c>
      <c r="E2779" s="4" t="n">
        <v>0</v>
      </c>
    </row>
    <row r="2780" customFormat="false" ht="15" hidden="false" customHeight="false" outlineLevel="0" collapsed="false">
      <c r="A2780" s="3" t="n">
        <v>2019</v>
      </c>
      <c r="B2780" s="3" t="n">
        <v>8</v>
      </c>
      <c r="C2780" s="3" t="n">
        <v>10</v>
      </c>
      <c r="D2780" s="3" t="s">
        <v>2784</v>
      </c>
      <c r="E2780" s="4" t="n">
        <v>0</v>
      </c>
    </row>
    <row r="2781" customFormat="false" ht="15" hidden="false" customHeight="false" outlineLevel="0" collapsed="false">
      <c r="A2781" s="3" t="n">
        <v>2019</v>
      </c>
      <c r="B2781" s="3" t="n">
        <v>8</v>
      </c>
      <c r="C2781" s="3" t="n">
        <v>11</v>
      </c>
      <c r="D2781" s="3" t="s">
        <v>2785</v>
      </c>
      <c r="E2781" s="4" t="n">
        <v>0</v>
      </c>
    </row>
    <row r="2782" customFormat="false" ht="15" hidden="false" customHeight="false" outlineLevel="0" collapsed="false">
      <c r="A2782" s="3" t="n">
        <v>2019</v>
      </c>
      <c r="B2782" s="3" t="n">
        <v>8</v>
      </c>
      <c r="C2782" s="3" t="n">
        <v>12</v>
      </c>
      <c r="D2782" s="3" t="s">
        <v>2786</v>
      </c>
      <c r="E2782" s="4" t="n">
        <v>0</v>
      </c>
    </row>
    <row r="2783" customFormat="false" ht="15" hidden="false" customHeight="false" outlineLevel="0" collapsed="false">
      <c r="A2783" s="3" t="n">
        <v>2019</v>
      </c>
      <c r="B2783" s="3" t="n">
        <v>8</v>
      </c>
      <c r="C2783" s="3" t="n">
        <v>13</v>
      </c>
      <c r="D2783" s="3" t="s">
        <v>2787</v>
      </c>
      <c r="E2783" s="4" t="n">
        <v>28</v>
      </c>
    </row>
    <row r="2784" customFormat="false" ht="15" hidden="false" customHeight="false" outlineLevel="0" collapsed="false">
      <c r="A2784" s="3" t="n">
        <v>2019</v>
      </c>
      <c r="B2784" s="3" t="n">
        <v>8</v>
      </c>
      <c r="C2784" s="3" t="n">
        <v>14</v>
      </c>
      <c r="D2784" s="3" t="s">
        <v>2788</v>
      </c>
      <c r="E2784" s="4" t="n">
        <v>0</v>
      </c>
    </row>
    <row r="2785" customFormat="false" ht="15" hidden="false" customHeight="false" outlineLevel="0" collapsed="false">
      <c r="A2785" s="3" t="n">
        <v>2019</v>
      </c>
      <c r="B2785" s="3" t="n">
        <v>8</v>
      </c>
      <c r="C2785" s="3" t="n">
        <v>15</v>
      </c>
      <c r="D2785" s="3" t="s">
        <v>2789</v>
      </c>
      <c r="E2785" s="4" t="n">
        <v>0</v>
      </c>
    </row>
    <row r="2786" customFormat="false" ht="15" hidden="false" customHeight="false" outlineLevel="0" collapsed="false">
      <c r="A2786" s="3" t="n">
        <v>2019</v>
      </c>
      <c r="B2786" s="3" t="n">
        <v>8</v>
      </c>
      <c r="C2786" s="3" t="n">
        <v>16</v>
      </c>
      <c r="D2786" s="3" t="s">
        <v>2790</v>
      </c>
      <c r="E2786" s="4" t="n">
        <v>0</v>
      </c>
    </row>
    <row r="2787" customFormat="false" ht="15" hidden="false" customHeight="false" outlineLevel="0" collapsed="false">
      <c r="A2787" s="3" t="n">
        <v>2019</v>
      </c>
      <c r="B2787" s="3" t="n">
        <v>8</v>
      </c>
      <c r="C2787" s="3" t="n">
        <v>17</v>
      </c>
      <c r="D2787" s="3" t="s">
        <v>2791</v>
      </c>
      <c r="E2787" s="4" t="n">
        <v>0</v>
      </c>
    </row>
    <row r="2788" customFormat="false" ht="15" hidden="false" customHeight="false" outlineLevel="0" collapsed="false">
      <c r="A2788" s="3" t="n">
        <v>2019</v>
      </c>
      <c r="B2788" s="3" t="n">
        <v>8</v>
      </c>
      <c r="C2788" s="3" t="n">
        <v>18</v>
      </c>
      <c r="D2788" s="3" t="s">
        <v>2792</v>
      </c>
      <c r="E2788" s="4" t="n">
        <v>0</v>
      </c>
    </row>
    <row r="2789" customFormat="false" ht="15" hidden="false" customHeight="false" outlineLevel="0" collapsed="false">
      <c r="A2789" s="3" t="n">
        <v>2019</v>
      </c>
      <c r="B2789" s="3" t="n">
        <v>8</v>
      </c>
      <c r="C2789" s="3" t="n">
        <v>19</v>
      </c>
      <c r="D2789" s="3" t="s">
        <v>2793</v>
      </c>
      <c r="E2789" s="4" t="n">
        <v>0</v>
      </c>
    </row>
    <row r="2790" customFormat="false" ht="15" hidden="false" customHeight="false" outlineLevel="0" collapsed="false">
      <c r="A2790" s="3" t="n">
        <v>2019</v>
      </c>
      <c r="B2790" s="3" t="n">
        <v>8</v>
      </c>
      <c r="C2790" s="3" t="n">
        <v>20</v>
      </c>
      <c r="D2790" s="3" t="s">
        <v>2794</v>
      </c>
      <c r="E2790" s="4" t="n">
        <v>11</v>
      </c>
    </row>
    <row r="2791" customFormat="false" ht="15" hidden="false" customHeight="false" outlineLevel="0" collapsed="false">
      <c r="A2791" s="3" t="n">
        <v>2019</v>
      </c>
      <c r="B2791" s="3" t="n">
        <v>8</v>
      </c>
      <c r="C2791" s="3" t="n">
        <v>21</v>
      </c>
      <c r="D2791" s="3" t="s">
        <v>2795</v>
      </c>
      <c r="E2791" s="4" t="n">
        <v>0</v>
      </c>
    </row>
    <row r="2792" customFormat="false" ht="15" hidden="false" customHeight="false" outlineLevel="0" collapsed="false">
      <c r="A2792" s="3" t="n">
        <v>2019</v>
      </c>
      <c r="B2792" s="3" t="n">
        <v>8</v>
      </c>
      <c r="C2792" s="3" t="n">
        <v>22</v>
      </c>
      <c r="D2792" s="3" t="s">
        <v>2796</v>
      </c>
      <c r="E2792" s="4" t="n">
        <v>0</v>
      </c>
    </row>
    <row r="2793" customFormat="false" ht="15" hidden="false" customHeight="false" outlineLevel="0" collapsed="false">
      <c r="A2793" s="3" t="n">
        <v>2019</v>
      </c>
      <c r="B2793" s="3" t="n">
        <v>8</v>
      </c>
      <c r="C2793" s="3" t="n">
        <v>23</v>
      </c>
      <c r="D2793" s="3" t="s">
        <v>2797</v>
      </c>
      <c r="E2793" s="4" t="n">
        <v>0</v>
      </c>
    </row>
    <row r="2794" customFormat="false" ht="15" hidden="false" customHeight="false" outlineLevel="0" collapsed="false">
      <c r="A2794" s="3" t="n">
        <v>2019</v>
      </c>
      <c r="B2794" s="3" t="n">
        <v>8</v>
      </c>
      <c r="C2794" s="3" t="n">
        <v>24</v>
      </c>
      <c r="D2794" s="3" t="s">
        <v>2798</v>
      </c>
      <c r="E2794" s="4" t="n">
        <v>0</v>
      </c>
    </row>
    <row r="2795" customFormat="false" ht="15" hidden="false" customHeight="false" outlineLevel="0" collapsed="false">
      <c r="A2795" s="3" t="n">
        <v>2019</v>
      </c>
      <c r="B2795" s="3" t="n">
        <v>8</v>
      </c>
      <c r="C2795" s="3" t="n">
        <v>25</v>
      </c>
      <c r="D2795" s="3" t="s">
        <v>2799</v>
      </c>
      <c r="E2795" s="4" t="n">
        <v>6</v>
      </c>
    </row>
    <row r="2796" customFormat="false" ht="15" hidden="false" customHeight="false" outlineLevel="0" collapsed="false">
      <c r="A2796" s="3" t="n">
        <v>2019</v>
      </c>
      <c r="B2796" s="3" t="n">
        <v>8</v>
      </c>
      <c r="C2796" s="3" t="n">
        <v>26</v>
      </c>
      <c r="D2796" s="3" t="s">
        <v>2800</v>
      </c>
      <c r="E2796" s="4" t="n">
        <v>0</v>
      </c>
    </row>
    <row r="2797" customFormat="false" ht="15" hidden="false" customHeight="false" outlineLevel="0" collapsed="false">
      <c r="A2797" s="3" t="n">
        <v>2019</v>
      </c>
      <c r="B2797" s="3" t="n">
        <v>8</v>
      </c>
      <c r="C2797" s="3" t="n">
        <v>27</v>
      </c>
      <c r="D2797" s="3" t="s">
        <v>2801</v>
      </c>
      <c r="E2797" s="4" t="n">
        <v>4</v>
      </c>
    </row>
    <row r="2798" customFormat="false" ht="15" hidden="false" customHeight="false" outlineLevel="0" collapsed="false">
      <c r="A2798" s="3" t="n">
        <v>2019</v>
      </c>
      <c r="B2798" s="3" t="n">
        <v>8</v>
      </c>
      <c r="C2798" s="3" t="n">
        <v>28</v>
      </c>
      <c r="D2798" s="3" t="s">
        <v>2802</v>
      </c>
      <c r="E2798" s="4" t="n">
        <v>0</v>
      </c>
    </row>
    <row r="2799" customFormat="false" ht="15" hidden="false" customHeight="false" outlineLevel="0" collapsed="false">
      <c r="A2799" s="3" t="n">
        <v>2019</v>
      </c>
      <c r="B2799" s="3" t="n">
        <v>8</v>
      </c>
      <c r="C2799" s="3" t="n">
        <v>29</v>
      </c>
      <c r="D2799" s="3" t="s">
        <v>2803</v>
      </c>
      <c r="E2799" s="4" t="n">
        <v>27</v>
      </c>
    </row>
    <row r="2800" customFormat="false" ht="15" hidden="false" customHeight="false" outlineLevel="0" collapsed="false">
      <c r="A2800" s="3" t="n">
        <v>2019</v>
      </c>
      <c r="B2800" s="3" t="n">
        <v>8</v>
      </c>
      <c r="C2800" s="3" t="n">
        <v>30</v>
      </c>
      <c r="D2800" s="3" t="s">
        <v>2804</v>
      </c>
      <c r="E2800" s="4" t="n">
        <v>0</v>
      </c>
    </row>
    <row r="2801" customFormat="false" ht="15" hidden="false" customHeight="false" outlineLevel="0" collapsed="false">
      <c r="A2801" s="3" t="n">
        <v>2019</v>
      </c>
      <c r="B2801" s="3" t="n">
        <v>8</v>
      </c>
      <c r="C2801" s="3" t="n">
        <v>31</v>
      </c>
      <c r="D2801" s="3" t="s">
        <v>2805</v>
      </c>
      <c r="E2801" s="4" t="n">
        <v>0</v>
      </c>
    </row>
    <row r="2802" customFormat="false" ht="15" hidden="false" customHeight="false" outlineLevel="0" collapsed="false">
      <c r="A2802" s="3" t="n">
        <v>2019</v>
      </c>
      <c r="B2802" s="3" t="n">
        <v>9</v>
      </c>
      <c r="C2802" s="3" t="n">
        <v>1</v>
      </c>
      <c r="D2802" s="3" t="s">
        <v>2806</v>
      </c>
      <c r="E2802" s="4" t="n">
        <v>5</v>
      </c>
    </row>
    <row r="2803" customFormat="false" ht="15" hidden="false" customHeight="false" outlineLevel="0" collapsed="false">
      <c r="A2803" s="3" t="n">
        <v>2019</v>
      </c>
      <c r="B2803" s="3" t="n">
        <v>9</v>
      </c>
      <c r="C2803" s="3" t="n">
        <v>2</v>
      </c>
      <c r="D2803" s="3" t="s">
        <v>2807</v>
      </c>
      <c r="E2803" s="4" t="n">
        <v>0</v>
      </c>
    </row>
    <row r="2804" customFormat="false" ht="15" hidden="false" customHeight="false" outlineLevel="0" collapsed="false">
      <c r="A2804" s="3" t="n">
        <v>2019</v>
      </c>
      <c r="B2804" s="3" t="n">
        <v>9</v>
      </c>
      <c r="C2804" s="3" t="n">
        <v>3</v>
      </c>
      <c r="D2804" s="3" t="s">
        <v>2808</v>
      </c>
      <c r="E2804" s="4" t="n">
        <v>0</v>
      </c>
    </row>
    <row r="2805" customFormat="false" ht="15" hidden="false" customHeight="false" outlineLevel="0" collapsed="false">
      <c r="A2805" s="3" t="n">
        <v>2019</v>
      </c>
      <c r="B2805" s="3" t="n">
        <v>9</v>
      </c>
      <c r="C2805" s="3" t="n">
        <v>4</v>
      </c>
      <c r="D2805" s="3" t="s">
        <v>2809</v>
      </c>
      <c r="E2805" s="4" t="n">
        <v>0</v>
      </c>
    </row>
    <row r="2806" customFormat="false" ht="15" hidden="false" customHeight="false" outlineLevel="0" collapsed="false">
      <c r="A2806" s="3" t="n">
        <v>2019</v>
      </c>
      <c r="B2806" s="3" t="n">
        <v>9</v>
      </c>
      <c r="C2806" s="3" t="n">
        <v>5</v>
      </c>
      <c r="D2806" s="3" t="s">
        <v>2810</v>
      </c>
      <c r="E2806" s="4" t="n">
        <v>0</v>
      </c>
    </row>
    <row r="2807" customFormat="false" ht="15" hidden="false" customHeight="false" outlineLevel="0" collapsed="false">
      <c r="A2807" s="3" t="n">
        <v>2019</v>
      </c>
      <c r="B2807" s="3" t="n">
        <v>9</v>
      </c>
      <c r="C2807" s="3" t="n">
        <v>6</v>
      </c>
      <c r="D2807" s="3" t="s">
        <v>2811</v>
      </c>
      <c r="E2807" s="4" t="n">
        <v>0</v>
      </c>
    </row>
    <row r="2808" customFormat="false" ht="15" hidden="false" customHeight="false" outlineLevel="0" collapsed="false">
      <c r="A2808" s="3" t="n">
        <v>2019</v>
      </c>
      <c r="B2808" s="3" t="n">
        <v>9</v>
      </c>
      <c r="C2808" s="3" t="n">
        <v>7</v>
      </c>
      <c r="D2808" s="3" t="s">
        <v>2812</v>
      </c>
      <c r="E2808" s="4" t="n">
        <v>0</v>
      </c>
    </row>
    <row r="2809" customFormat="false" ht="15" hidden="false" customHeight="false" outlineLevel="0" collapsed="false">
      <c r="A2809" s="3" t="n">
        <v>2019</v>
      </c>
      <c r="B2809" s="3" t="n">
        <v>9</v>
      </c>
      <c r="C2809" s="3" t="n">
        <v>8</v>
      </c>
      <c r="D2809" s="3" t="s">
        <v>2813</v>
      </c>
      <c r="E2809" s="4" t="n">
        <v>0</v>
      </c>
    </row>
    <row r="2810" customFormat="false" ht="15" hidden="false" customHeight="false" outlineLevel="0" collapsed="false">
      <c r="A2810" s="3" t="n">
        <v>2019</v>
      </c>
      <c r="B2810" s="3" t="n">
        <v>9</v>
      </c>
      <c r="C2810" s="3" t="n">
        <v>9</v>
      </c>
      <c r="D2810" s="3" t="s">
        <v>2814</v>
      </c>
      <c r="E2810" s="4" t="n">
        <v>0</v>
      </c>
    </row>
    <row r="2811" customFormat="false" ht="15" hidden="false" customHeight="false" outlineLevel="0" collapsed="false">
      <c r="A2811" s="3" t="n">
        <v>2019</v>
      </c>
      <c r="B2811" s="3" t="n">
        <v>9</v>
      </c>
      <c r="C2811" s="3" t="n">
        <v>10</v>
      </c>
      <c r="D2811" s="3" t="s">
        <v>2815</v>
      </c>
      <c r="E2811" s="4" t="n">
        <v>0</v>
      </c>
    </row>
    <row r="2812" customFormat="false" ht="15" hidden="false" customHeight="false" outlineLevel="0" collapsed="false">
      <c r="A2812" s="3" t="n">
        <v>2019</v>
      </c>
      <c r="B2812" s="3" t="n">
        <v>9</v>
      </c>
      <c r="C2812" s="3" t="n">
        <v>11</v>
      </c>
      <c r="D2812" s="3" t="s">
        <v>2816</v>
      </c>
      <c r="E2812" s="4" t="n">
        <v>0</v>
      </c>
    </row>
    <row r="2813" customFormat="false" ht="15" hidden="false" customHeight="false" outlineLevel="0" collapsed="false">
      <c r="A2813" s="3" t="n">
        <v>2019</v>
      </c>
      <c r="B2813" s="3" t="n">
        <v>9</v>
      </c>
      <c r="C2813" s="3" t="n">
        <v>12</v>
      </c>
      <c r="D2813" s="3" t="s">
        <v>2817</v>
      </c>
      <c r="E2813" s="4" t="n">
        <v>24</v>
      </c>
    </row>
    <row r="2814" customFormat="false" ht="15" hidden="false" customHeight="false" outlineLevel="0" collapsed="false">
      <c r="A2814" s="3" t="n">
        <v>2019</v>
      </c>
      <c r="B2814" s="3" t="n">
        <v>9</v>
      </c>
      <c r="C2814" s="3" t="n">
        <v>13</v>
      </c>
      <c r="D2814" s="3" t="s">
        <v>2818</v>
      </c>
      <c r="E2814" s="4" t="n">
        <v>0</v>
      </c>
    </row>
    <row r="2815" customFormat="false" ht="15" hidden="false" customHeight="false" outlineLevel="0" collapsed="false">
      <c r="A2815" s="3" t="n">
        <v>2019</v>
      </c>
      <c r="B2815" s="3" t="n">
        <v>9</v>
      </c>
      <c r="C2815" s="3" t="n">
        <v>14</v>
      </c>
      <c r="D2815" s="3" t="s">
        <v>2819</v>
      </c>
      <c r="E2815" s="4" t="n">
        <v>0</v>
      </c>
    </row>
    <row r="2816" customFormat="false" ht="15" hidden="false" customHeight="false" outlineLevel="0" collapsed="false">
      <c r="A2816" s="3" t="n">
        <v>2019</v>
      </c>
      <c r="B2816" s="3" t="n">
        <v>9</v>
      </c>
      <c r="C2816" s="3" t="n">
        <v>15</v>
      </c>
      <c r="D2816" s="3" t="s">
        <v>2820</v>
      </c>
      <c r="E2816" s="4" t="n">
        <v>0</v>
      </c>
    </row>
    <row r="2817" customFormat="false" ht="15" hidden="false" customHeight="false" outlineLevel="0" collapsed="false">
      <c r="A2817" s="3" t="n">
        <v>2019</v>
      </c>
      <c r="B2817" s="3" t="n">
        <v>9</v>
      </c>
      <c r="C2817" s="3" t="n">
        <v>16</v>
      </c>
      <c r="D2817" s="3" t="s">
        <v>2821</v>
      </c>
      <c r="E2817" s="4" t="n">
        <v>0</v>
      </c>
    </row>
    <row r="2818" customFormat="false" ht="15" hidden="false" customHeight="false" outlineLevel="0" collapsed="false">
      <c r="A2818" s="3" t="n">
        <v>2019</v>
      </c>
      <c r="B2818" s="3" t="n">
        <v>9</v>
      </c>
      <c r="C2818" s="3" t="n">
        <v>17</v>
      </c>
      <c r="D2818" s="3" t="s">
        <v>2822</v>
      </c>
      <c r="E2818" s="4" t="n">
        <v>0</v>
      </c>
    </row>
    <row r="2819" customFormat="false" ht="15" hidden="false" customHeight="false" outlineLevel="0" collapsed="false">
      <c r="A2819" s="3" t="n">
        <v>2019</v>
      </c>
      <c r="B2819" s="3" t="n">
        <v>9</v>
      </c>
      <c r="C2819" s="3" t="n">
        <v>18</v>
      </c>
      <c r="D2819" s="3" t="s">
        <v>2823</v>
      </c>
      <c r="E2819" s="4" t="n">
        <v>0</v>
      </c>
    </row>
    <row r="2820" customFormat="false" ht="15" hidden="false" customHeight="false" outlineLevel="0" collapsed="false">
      <c r="A2820" s="3" t="n">
        <v>2019</v>
      </c>
      <c r="B2820" s="3" t="n">
        <v>9</v>
      </c>
      <c r="C2820" s="3" t="n">
        <v>19</v>
      </c>
      <c r="D2820" s="3" t="s">
        <v>2824</v>
      </c>
      <c r="E2820" s="4" t="n">
        <v>0</v>
      </c>
    </row>
    <row r="2821" customFormat="false" ht="15" hidden="false" customHeight="false" outlineLevel="0" collapsed="false">
      <c r="A2821" s="3" t="n">
        <v>2019</v>
      </c>
      <c r="B2821" s="3" t="n">
        <v>9</v>
      </c>
      <c r="C2821" s="3" t="n">
        <v>20</v>
      </c>
      <c r="D2821" s="3" t="s">
        <v>2825</v>
      </c>
      <c r="E2821" s="4" t="n">
        <v>0</v>
      </c>
    </row>
    <row r="2822" customFormat="false" ht="15" hidden="false" customHeight="false" outlineLevel="0" collapsed="false">
      <c r="A2822" s="3" t="n">
        <v>2019</v>
      </c>
      <c r="B2822" s="3" t="n">
        <v>9</v>
      </c>
      <c r="C2822" s="3" t="n">
        <v>21</v>
      </c>
      <c r="D2822" s="3" t="s">
        <v>2826</v>
      </c>
      <c r="E2822" s="4" t="n">
        <v>0</v>
      </c>
    </row>
    <row r="2823" customFormat="false" ht="15" hidden="false" customHeight="false" outlineLevel="0" collapsed="false">
      <c r="A2823" s="3" t="n">
        <v>2019</v>
      </c>
      <c r="B2823" s="3" t="n">
        <v>9</v>
      </c>
      <c r="C2823" s="3" t="n">
        <v>22</v>
      </c>
      <c r="D2823" s="3" t="s">
        <v>2827</v>
      </c>
      <c r="E2823" s="4" t="n">
        <v>0</v>
      </c>
    </row>
    <row r="2824" customFormat="false" ht="15" hidden="false" customHeight="false" outlineLevel="0" collapsed="false">
      <c r="A2824" s="3" t="n">
        <v>2019</v>
      </c>
      <c r="B2824" s="3" t="n">
        <v>9</v>
      </c>
      <c r="C2824" s="3" t="n">
        <v>23</v>
      </c>
      <c r="D2824" s="3" t="s">
        <v>2828</v>
      </c>
      <c r="E2824" s="4" t="n">
        <v>1</v>
      </c>
    </row>
    <row r="2825" customFormat="false" ht="15" hidden="false" customHeight="false" outlineLevel="0" collapsed="false">
      <c r="A2825" s="3" t="n">
        <v>2019</v>
      </c>
      <c r="B2825" s="3" t="n">
        <v>9</v>
      </c>
      <c r="C2825" s="3" t="n">
        <v>24</v>
      </c>
      <c r="D2825" s="3" t="s">
        <v>2829</v>
      </c>
      <c r="E2825" s="4" t="n">
        <v>3</v>
      </c>
    </row>
    <row r="2826" customFormat="false" ht="15" hidden="false" customHeight="false" outlineLevel="0" collapsed="false">
      <c r="A2826" s="3" t="n">
        <v>2019</v>
      </c>
      <c r="B2826" s="3" t="n">
        <v>9</v>
      </c>
      <c r="C2826" s="3" t="n">
        <v>25</v>
      </c>
      <c r="D2826" s="3" t="s">
        <v>2830</v>
      </c>
      <c r="E2826" s="4" t="n">
        <v>0</v>
      </c>
    </row>
    <row r="2827" customFormat="false" ht="15" hidden="false" customHeight="false" outlineLevel="0" collapsed="false">
      <c r="A2827" s="3" t="n">
        <v>2019</v>
      </c>
      <c r="B2827" s="3" t="n">
        <v>9</v>
      </c>
      <c r="C2827" s="3" t="n">
        <v>26</v>
      </c>
      <c r="D2827" s="3" t="s">
        <v>2831</v>
      </c>
      <c r="E2827" s="4" t="n">
        <v>7</v>
      </c>
    </row>
    <row r="2828" customFormat="false" ht="15" hidden="false" customHeight="false" outlineLevel="0" collapsed="false">
      <c r="A2828" s="3" t="n">
        <v>2019</v>
      </c>
      <c r="B2828" s="3" t="n">
        <v>9</v>
      </c>
      <c r="C2828" s="3" t="n">
        <v>27</v>
      </c>
      <c r="D2828" s="3" t="s">
        <v>2832</v>
      </c>
      <c r="E2828" s="4" t="n">
        <v>0</v>
      </c>
    </row>
    <row r="2829" customFormat="false" ht="15" hidden="false" customHeight="false" outlineLevel="0" collapsed="false">
      <c r="A2829" s="3" t="n">
        <v>2019</v>
      </c>
      <c r="B2829" s="3" t="n">
        <v>9</v>
      </c>
      <c r="C2829" s="3" t="n">
        <v>28</v>
      </c>
      <c r="D2829" s="3" t="s">
        <v>2833</v>
      </c>
      <c r="E2829" s="4" t="n">
        <v>0</v>
      </c>
    </row>
    <row r="2830" customFormat="false" ht="15" hidden="false" customHeight="false" outlineLevel="0" collapsed="false">
      <c r="A2830" s="3" t="n">
        <v>2019</v>
      </c>
      <c r="B2830" s="3" t="n">
        <v>9</v>
      </c>
      <c r="C2830" s="3" t="n">
        <v>29</v>
      </c>
      <c r="D2830" s="3" t="s">
        <v>2834</v>
      </c>
      <c r="E2830" s="4" t="n">
        <v>0</v>
      </c>
    </row>
    <row r="2831" customFormat="false" ht="15" hidden="false" customHeight="false" outlineLevel="0" collapsed="false">
      <c r="A2831" s="3" t="n">
        <v>2019</v>
      </c>
      <c r="B2831" s="3" t="n">
        <v>9</v>
      </c>
      <c r="C2831" s="3" t="n">
        <v>30</v>
      </c>
      <c r="D2831" s="3" t="s">
        <v>2835</v>
      </c>
      <c r="E2831" s="4" t="n">
        <v>1</v>
      </c>
    </row>
    <row r="2832" customFormat="false" ht="15" hidden="false" customHeight="false" outlineLevel="0" collapsed="false">
      <c r="A2832" s="3" t="n">
        <v>2019</v>
      </c>
      <c r="B2832" s="3" t="n">
        <v>10</v>
      </c>
      <c r="C2832" s="3" t="n">
        <v>1</v>
      </c>
      <c r="D2832" s="3" t="s">
        <v>2836</v>
      </c>
      <c r="E2832" s="4" t="n">
        <v>40</v>
      </c>
    </row>
    <row r="2833" customFormat="false" ht="15" hidden="false" customHeight="false" outlineLevel="0" collapsed="false">
      <c r="A2833" s="3" t="n">
        <v>2019</v>
      </c>
      <c r="B2833" s="3" t="n">
        <v>10</v>
      </c>
      <c r="C2833" s="3" t="n">
        <v>2</v>
      </c>
      <c r="D2833" s="3" t="s">
        <v>2837</v>
      </c>
      <c r="E2833" s="4" t="n">
        <v>35</v>
      </c>
    </row>
    <row r="2834" customFormat="false" ht="15" hidden="false" customHeight="false" outlineLevel="0" collapsed="false">
      <c r="A2834" s="3" t="n">
        <v>2019</v>
      </c>
      <c r="B2834" s="3" t="n">
        <v>10</v>
      </c>
      <c r="C2834" s="3" t="n">
        <v>3</v>
      </c>
      <c r="D2834" s="3" t="s">
        <v>2838</v>
      </c>
      <c r="E2834" s="4" t="n">
        <v>44</v>
      </c>
    </row>
    <row r="2835" customFormat="false" ht="15" hidden="false" customHeight="false" outlineLevel="0" collapsed="false">
      <c r="A2835" s="3" t="n">
        <v>2019</v>
      </c>
      <c r="B2835" s="3" t="n">
        <v>10</v>
      </c>
      <c r="C2835" s="3" t="n">
        <v>4</v>
      </c>
      <c r="D2835" s="3" t="s">
        <v>2839</v>
      </c>
      <c r="E2835" s="4" t="n">
        <v>0</v>
      </c>
    </row>
    <row r="2836" customFormat="false" ht="15" hidden="false" customHeight="false" outlineLevel="0" collapsed="false">
      <c r="A2836" s="3" t="n">
        <v>2019</v>
      </c>
      <c r="B2836" s="3" t="n">
        <v>10</v>
      </c>
      <c r="C2836" s="3" t="n">
        <v>5</v>
      </c>
      <c r="D2836" s="3" t="s">
        <v>2840</v>
      </c>
      <c r="E2836" s="4" t="n">
        <v>2</v>
      </c>
    </row>
    <row r="2837" customFormat="false" ht="15" hidden="false" customHeight="false" outlineLevel="0" collapsed="false">
      <c r="A2837" s="3" t="n">
        <v>2019</v>
      </c>
      <c r="B2837" s="3" t="n">
        <v>10</v>
      </c>
      <c r="C2837" s="3" t="n">
        <v>6</v>
      </c>
      <c r="D2837" s="3" t="s">
        <v>2841</v>
      </c>
      <c r="E2837" s="4" t="n">
        <v>68</v>
      </c>
    </row>
    <row r="2838" customFormat="false" ht="15" hidden="false" customHeight="false" outlineLevel="0" collapsed="false">
      <c r="A2838" s="3" t="n">
        <v>2019</v>
      </c>
      <c r="B2838" s="3" t="n">
        <v>10</v>
      </c>
      <c r="C2838" s="3" t="n">
        <v>7</v>
      </c>
      <c r="D2838" s="3" t="s">
        <v>2842</v>
      </c>
      <c r="E2838" s="4" t="n">
        <v>8</v>
      </c>
    </row>
    <row r="2839" customFormat="false" ht="15" hidden="false" customHeight="false" outlineLevel="0" collapsed="false">
      <c r="A2839" s="3" t="n">
        <v>2019</v>
      </c>
      <c r="B2839" s="3" t="n">
        <v>10</v>
      </c>
      <c r="C2839" s="3" t="n">
        <v>8</v>
      </c>
      <c r="D2839" s="3" t="s">
        <v>2843</v>
      </c>
      <c r="E2839" s="4" t="n">
        <v>7</v>
      </c>
    </row>
    <row r="2840" customFormat="false" ht="15" hidden="false" customHeight="false" outlineLevel="0" collapsed="false">
      <c r="A2840" s="3" t="n">
        <v>2019</v>
      </c>
      <c r="B2840" s="3" t="n">
        <v>10</v>
      </c>
      <c r="C2840" s="3" t="n">
        <v>9</v>
      </c>
      <c r="D2840" s="3" t="s">
        <v>2844</v>
      </c>
      <c r="E2840" s="4" t="n">
        <v>0</v>
      </c>
    </row>
    <row r="2841" customFormat="false" ht="15" hidden="false" customHeight="false" outlineLevel="0" collapsed="false">
      <c r="A2841" s="3" t="n">
        <v>2019</v>
      </c>
      <c r="B2841" s="3" t="n">
        <v>10</v>
      </c>
      <c r="C2841" s="3" t="n">
        <v>10</v>
      </c>
      <c r="D2841" s="3" t="s">
        <v>2845</v>
      </c>
      <c r="E2841" s="4" t="n">
        <v>8</v>
      </c>
    </row>
    <row r="2842" customFormat="false" ht="15" hidden="false" customHeight="false" outlineLevel="0" collapsed="false">
      <c r="A2842" s="3" t="n">
        <v>2019</v>
      </c>
      <c r="B2842" s="3" t="n">
        <v>10</v>
      </c>
      <c r="C2842" s="3" t="n">
        <v>11</v>
      </c>
      <c r="D2842" s="3" t="s">
        <v>2846</v>
      </c>
      <c r="E2842" s="4" t="n">
        <v>0</v>
      </c>
    </row>
    <row r="2843" customFormat="false" ht="15" hidden="false" customHeight="false" outlineLevel="0" collapsed="false">
      <c r="A2843" s="3" t="n">
        <v>2019</v>
      </c>
      <c r="B2843" s="3" t="n">
        <v>10</v>
      </c>
      <c r="C2843" s="3" t="n">
        <v>12</v>
      </c>
      <c r="D2843" s="3" t="s">
        <v>2847</v>
      </c>
      <c r="E2843" s="4" t="n">
        <v>1</v>
      </c>
    </row>
    <row r="2844" customFormat="false" ht="15" hidden="false" customHeight="false" outlineLevel="0" collapsed="false">
      <c r="A2844" s="3" t="n">
        <v>2019</v>
      </c>
      <c r="B2844" s="3" t="n">
        <v>10</v>
      </c>
      <c r="C2844" s="3" t="n">
        <v>13</v>
      </c>
      <c r="D2844" s="3" t="s">
        <v>2848</v>
      </c>
      <c r="E2844" s="4" t="n">
        <v>47</v>
      </c>
    </row>
    <row r="2845" customFormat="false" ht="15" hidden="false" customHeight="false" outlineLevel="0" collapsed="false">
      <c r="A2845" s="3" t="n">
        <v>2019</v>
      </c>
      <c r="B2845" s="3" t="n">
        <v>10</v>
      </c>
      <c r="C2845" s="3" t="n">
        <v>14</v>
      </c>
      <c r="D2845" s="3" t="s">
        <v>2849</v>
      </c>
      <c r="E2845" s="4" t="n">
        <v>35</v>
      </c>
    </row>
    <row r="2846" customFormat="false" ht="15" hidden="false" customHeight="false" outlineLevel="0" collapsed="false">
      <c r="A2846" s="3" t="n">
        <v>2019</v>
      </c>
      <c r="B2846" s="3" t="n">
        <v>10</v>
      </c>
      <c r="C2846" s="3" t="n">
        <v>15</v>
      </c>
      <c r="D2846" s="3" t="s">
        <v>2850</v>
      </c>
      <c r="E2846" s="4" t="n">
        <v>3</v>
      </c>
    </row>
    <row r="2847" customFormat="false" ht="15" hidden="false" customHeight="false" outlineLevel="0" collapsed="false">
      <c r="A2847" s="3" t="n">
        <v>2019</v>
      </c>
      <c r="B2847" s="3" t="n">
        <v>10</v>
      </c>
      <c r="C2847" s="3" t="n">
        <v>16</v>
      </c>
      <c r="D2847" s="3" t="s">
        <v>2851</v>
      </c>
      <c r="E2847" s="4" t="n">
        <v>27</v>
      </c>
    </row>
    <row r="2848" customFormat="false" ht="15" hidden="false" customHeight="false" outlineLevel="0" collapsed="false">
      <c r="A2848" s="3" t="n">
        <v>2019</v>
      </c>
      <c r="B2848" s="3" t="n">
        <v>10</v>
      </c>
      <c r="C2848" s="3" t="n">
        <v>17</v>
      </c>
      <c r="D2848" s="3" t="s">
        <v>2852</v>
      </c>
      <c r="E2848" s="4" t="n">
        <v>1</v>
      </c>
    </row>
    <row r="2849" customFormat="false" ht="15" hidden="false" customHeight="false" outlineLevel="0" collapsed="false">
      <c r="A2849" s="3" t="n">
        <v>2019</v>
      </c>
      <c r="B2849" s="3" t="n">
        <v>10</v>
      </c>
      <c r="C2849" s="3" t="n">
        <v>18</v>
      </c>
      <c r="D2849" s="3" t="s">
        <v>2853</v>
      </c>
      <c r="E2849" s="4" t="n">
        <v>63</v>
      </c>
    </row>
    <row r="2850" customFormat="false" ht="15" hidden="false" customHeight="false" outlineLevel="0" collapsed="false">
      <c r="A2850" s="3" t="n">
        <v>2019</v>
      </c>
      <c r="B2850" s="3" t="n">
        <v>10</v>
      </c>
      <c r="C2850" s="3" t="n">
        <v>19</v>
      </c>
      <c r="D2850" s="3" t="s">
        <v>2854</v>
      </c>
      <c r="E2850" s="4" t="n">
        <v>9</v>
      </c>
    </row>
    <row r="2851" customFormat="false" ht="15" hidden="false" customHeight="false" outlineLevel="0" collapsed="false">
      <c r="A2851" s="3" t="n">
        <v>2019</v>
      </c>
      <c r="B2851" s="3" t="n">
        <v>10</v>
      </c>
      <c r="C2851" s="3" t="n">
        <v>20</v>
      </c>
      <c r="D2851" s="3" t="s">
        <v>2855</v>
      </c>
      <c r="E2851" s="4" t="n">
        <v>8</v>
      </c>
    </row>
    <row r="2852" customFormat="false" ht="15" hidden="false" customHeight="false" outlineLevel="0" collapsed="false">
      <c r="A2852" s="3" t="n">
        <v>2019</v>
      </c>
      <c r="B2852" s="3" t="n">
        <v>10</v>
      </c>
      <c r="C2852" s="3" t="n">
        <v>21</v>
      </c>
      <c r="D2852" s="3" t="s">
        <v>2856</v>
      </c>
      <c r="E2852" s="4" t="n">
        <v>8</v>
      </c>
    </row>
    <row r="2853" customFormat="false" ht="15" hidden="false" customHeight="false" outlineLevel="0" collapsed="false">
      <c r="A2853" s="3" t="n">
        <v>2019</v>
      </c>
      <c r="B2853" s="3" t="n">
        <v>10</v>
      </c>
      <c r="C2853" s="3" t="n">
        <v>22</v>
      </c>
      <c r="D2853" s="3" t="s">
        <v>2857</v>
      </c>
      <c r="E2853" s="4" t="n">
        <v>0</v>
      </c>
    </row>
    <row r="2854" customFormat="false" ht="15" hidden="false" customHeight="false" outlineLevel="0" collapsed="false">
      <c r="A2854" s="3" t="n">
        <v>2019</v>
      </c>
      <c r="B2854" s="3" t="n">
        <v>10</v>
      </c>
      <c r="C2854" s="3" t="n">
        <v>23</v>
      </c>
      <c r="D2854" s="3" t="s">
        <v>2858</v>
      </c>
      <c r="E2854" s="4" t="n">
        <v>18</v>
      </c>
    </row>
    <row r="2855" customFormat="false" ht="15" hidden="false" customHeight="false" outlineLevel="0" collapsed="false">
      <c r="A2855" s="3" t="n">
        <v>2019</v>
      </c>
      <c r="B2855" s="3" t="n">
        <v>10</v>
      </c>
      <c r="C2855" s="3" t="n">
        <v>24</v>
      </c>
      <c r="D2855" s="3" t="s">
        <v>2859</v>
      </c>
      <c r="E2855" s="4" t="n">
        <v>13</v>
      </c>
    </row>
    <row r="2856" customFormat="false" ht="15" hidden="false" customHeight="false" outlineLevel="0" collapsed="false">
      <c r="A2856" s="3" t="n">
        <v>2019</v>
      </c>
      <c r="B2856" s="3" t="n">
        <v>10</v>
      </c>
      <c r="C2856" s="3" t="n">
        <v>25</v>
      </c>
      <c r="D2856" s="3" t="s">
        <v>2860</v>
      </c>
      <c r="E2856" s="4" t="n">
        <v>22</v>
      </c>
    </row>
    <row r="2857" customFormat="false" ht="15" hidden="false" customHeight="false" outlineLevel="0" collapsed="false">
      <c r="A2857" s="3" t="n">
        <v>2019</v>
      </c>
      <c r="B2857" s="3" t="n">
        <v>10</v>
      </c>
      <c r="C2857" s="3" t="n">
        <v>26</v>
      </c>
      <c r="D2857" s="3" t="s">
        <v>2861</v>
      </c>
      <c r="E2857" s="4" t="n">
        <v>25</v>
      </c>
    </row>
    <row r="2858" customFormat="false" ht="15" hidden="false" customHeight="false" outlineLevel="0" collapsed="false">
      <c r="A2858" s="3" t="n">
        <v>2019</v>
      </c>
      <c r="B2858" s="3" t="n">
        <v>10</v>
      </c>
      <c r="C2858" s="3" t="n">
        <v>27</v>
      </c>
      <c r="D2858" s="3" t="s">
        <v>2862</v>
      </c>
      <c r="E2858" s="4" t="n">
        <v>0</v>
      </c>
    </row>
    <row r="2859" customFormat="false" ht="15" hidden="false" customHeight="false" outlineLevel="0" collapsed="false">
      <c r="A2859" s="3" t="n">
        <v>2019</v>
      </c>
      <c r="B2859" s="3" t="n">
        <v>10</v>
      </c>
      <c r="C2859" s="3" t="n">
        <v>28</v>
      </c>
      <c r="D2859" s="3" t="s">
        <v>2863</v>
      </c>
      <c r="E2859" s="4" t="n">
        <v>2</v>
      </c>
    </row>
    <row r="2860" customFormat="false" ht="15" hidden="false" customHeight="false" outlineLevel="0" collapsed="false">
      <c r="A2860" s="3" t="n">
        <v>2019</v>
      </c>
      <c r="B2860" s="3" t="n">
        <v>10</v>
      </c>
      <c r="C2860" s="3" t="n">
        <v>29</v>
      </c>
      <c r="D2860" s="3" t="s">
        <v>2864</v>
      </c>
      <c r="E2860" s="4" t="n">
        <v>0</v>
      </c>
    </row>
    <row r="2861" customFormat="false" ht="15" hidden="false" customHeight="false" outlineLevel="0" collapsed="false">
      <c r="A2861" s="3" t="n">
        <v>2019</v>
      </c>
      <c r="B2861" s="3" t="n">
        <v>10</v>
      </c>
      <c r="C2861" s="3" t="n">
        <v>30</v>
      </c>
      <c r="D2861" s="3" t="s">
        <v>2865</v>
      </c>
      <c r="E2861" s="4" t="n">
        <v>52</v>
      </c>
    </row>
    <row r="2862" customFormat="false" ht="15" hidden="false" customHeight="false" outlineLevel="0" collapsed="false">
      <c r="A2862" s="3" t="n">
        <v>2019</v>
      </c>
      <c r="B2862" s="3" t="n">
        <v>10</v>
      </c>
      <c r="C2862" s="3" t="n">
        <v>31</v>
      </c>
      <c r="D2862" s="3" t="s">
        <v>2866</v>
      </c>
      <c r="E2862" s="4" t="n">
        <v>2</v>
      </c>
    </row>
    <row r="2863" customFormat="false" ht="15" hidden="false" customHeight="false" outlineLevel="0" collapsed="false">
      <c r="A2863" s="3" t="n">
        <v>2019</v>
      </c>
      <c r="B2863" s="3" t="n">
        <v>11</v>
      </c>
      <c r="C2863" s="3" t="n">
        <v>1</v>
      </c>
      <c r="D2863" s="3" t="s">
        <v>2867</v>
      </c>
      <c r="E2863" s="4" t="n">
        <v>0</v>
      </c>
    </row>
    <row r="2864" customFormat="false" ht="15" hidden="false" customHeight="false" outlineLevel="0" collapsed="false">
      <c r="A2864" s="3" t="n">
        <v>2019</v>
      </c>
      <c r="B2864" s="3" t="n">
        <v>11</v>
      </c>
      <c r="C2864" s="3" t="n">
        <v>2</v>
      </c>
      <c r="D2864" s="3" t="s">
        <v>2868</v>
      </c>
      <c r="E2864" s="4" t="n">
        <v>12</v>
      </c>
    </row>
    <row r="2865" customFormat="false" ht="15" hidden="false" customHeight="false" outlineLevel="0" collapsed="false">
      <c r="A2865" s="3" t="n">
        <v>2019</v>
      </c>
      <c r="B2865" s="3" t="n">
        <v>11</v>
      </c>
      <c r="C2865" s="3" t="n">
        <v>3</v>
      </c>
      <c r="D2865" s="3" t="s">
        <v>2869</v>
      </c>
      <c r="E2865" s="4" t="n">
        <v>0</v>
      </c>
    </row>
    <row r="2866" customFormat="false" ht="15" hidden="false" customHeight="false" outlineLevel="0" collapsed="false">
      <c r="A2866" s="3" t="n">
        <v>2019</v>
      </c>
      <c r="B2866" s="3" t="n">
        <v>11</v>
      </c>
      <c r="C2866" s="3" t="n">
        <v>4</v>
      </c>
      <c r="D2866" s="3" t="s">
        <v>2870</v>
      </c>
      <c r="E2866" s="4" t="n">
        <v>8</v>
      </c>
    </row>
    <row r="2867" customFormat="false" ht="15" hidden="false" customHeight="false" outlineLevel="0" collapsed="false">
      <c r="A2867" s="3" t="n">
        <v>2019</v>
      </c>
      <c r="B2867" s="3" t="n">
        <v>11</v>
      </c>
      <c r="C2867" s="3" t="n">
        <v>5</v>
      </c>
      <c r="D2867" s="3" t="s">
        <v>2871</v>
      </c>
      <c r="E2867" s="4" t="n">
        <v>30</v>
      </c>
    </row>
    <row r="2868" customFormat="false" ht="15" hidden="false" customHeight="false" outlineLevel="0" collapsed="false">
      <c r="A2868" s="3" t="n">
        <v>2019</v>
      </c>
      <c r="B2868" s="3" t="n">
        <v>11</v>
      </c>
      <c r="C2868" s="3" t="n">
        <v>6</v>
      </c>
      <c r="D2868" s="3" t="s">
        <v>2872</v>
      </c>
      <c r="E2868" s="4" t="n">
        <v>11</v>
      </c>
    </row>
    <row r="2869" customFormat="false" ht="15" hidden="false" customHeight="false" outlineLevel="0" collapsed="false">
      <c r="A2869" s="3" t="n">
        <v>2019</v>
      </c>
      <c r="B2869" s="3" t="n">
        <v>11</v>
      </c>
      <c r="C2869" s="3" t="n">
        <v>7</v>
      </c>
      <c r="D2869" s="3" t="s">
        <v>2873</v>
      </c>
      <c r="E2869" s="4" t="n">
        <v>0</v>
      </c>
    </row>
    <row r="2870" customFormat="false" ht="15" hidden="false" customHeight="false" outlineLevel="0" collapsed="false">
      <c r="A2870" s="3" t="n">
        <v>2019</v>
      </c>
      <c r="B2870" s="3" t="n">
        <v>11</v>
      </c>
      <c r="C2870" s="3" t="n">
        <v>8</v>
      </c>
      <c r="D2870" s="3" t="s">
        <v>2874</v>
      </c>
      <c r="E2870" s="4" t="n">
        <v>0</v>
      </c>
    </row>
    <row r="2871" customFormat="false" ht="15" hidden="false" customHeight="false" outlineLevel="0" collapsed="false">
      <c r="A2871" s="3" t="n">
        <v>2019</v>
      </c>
      <c r="B2871" s="3" t="n">
        <v>11</v>
      </c>
      <c r="C2871" s="3" t="n">
        <v>9</v>
      </c>
      <c r="D2871" s="3" t="s">
        <v>2875</v>
      </c>
      <c r="E2871" s="4" t="n">
        <v>16</v>
      </c>
    </row>
    <row r="2872" customFormat="false" ht="15" hidden="false" customHeight="false" outlineLevel="0" collapsed="false">
      <c r="A2872" s="3" t="n">
        <v>2019</v>
      </c>
      <c r="B2872" s="3" t="n">
        <v>11</v>
      </c>
      <c r="C2872" s="3" t="n">
        <v>10</v>
      </c>
      <c r="D2872" s="3" t="s">
        <v>2876</v>
      </c>
      <c r="E2872" s="4" t="n">
        <v>0</v>
      </c>
    </row>
    <row r="2873" customFormat="false" ht="15" hidden="false" customHeight="false" outlineLevel="0" collapsed="false">
      <c r="A2873" s="3" t="n">
        <v>2019</v>
      </c>
      <c r="B2873" s="3" t="n">
        <v>11</v>
      </c>
      <c r="C2873" s="3" t="n">
        <v>11</v>
      </c>
      <c r="D2873" s="3" t="s">
        <v>2877</v>
      </c>
      <c r="E2873" s="4" t="n">
        <v>0</v>
      </c>
    </row>
    <row r="2874" customFormat="false" ht="15" hidden="false" customHeight="false" outlineLevel="0" collapsed="false">
      <c r="A2874" s="3" t="n">
        <v>2019</v>
      </c>
      <c r="B2874" s="3" t="n">
        <v>11</v>
      </c>
      <c r="C2874" s="3" t="n">
        <v>12</v>
      </c>
      <c r="D2874" s="3" t="s">
        <v>2878</v>
      </c>
      <c r="E2874" s="4" t="n">
        <v>0</v>
      </c>
    </row>
    <row r="2875" customFormat="false" ht="15" hidden="false" customHeight="false" outlineLevel="0" collapsed="false">
      <c r="A2875" s="3" t="n">
        <v>2019</v>
      </c>
      <c r="B2875" s="3" t="n">
        <v>11</v>
      </c>
      <c r="C2875" s="3" t="n">
        <v>13</v>
      </c>
      <c r="D2875" s="3" t="s">
        <v>2879</v>
      </c>
      <c r="E2875" s="4" t="n">
        <v>18</v>
      </c>
    </row>
    <row r="2876" customFormat="false" ht="15" hidden="false" customHeight="false" outlineLevel="0" collapsed="false">
      <c r="A2876" s="3" t="n">
        <v>2019</v>
      </c>
      <c r="B2876" s="3" t="n">
        <v>11</v>
      </c>
      <c r="C2876" s="3" t="n">
        <v>14</v>
      </c>
      <c r="D2876" s="3" t="s">
        <v>2880</v>
      </c>
      <c r="E2876" s="4" t="n">
        <v>88</v>
      </c>
    </row>
    <row r="2877" customFormat="false" ht="15" hidden="false" customHeight="false" outlineLevel="0" collapsed="false">
      <c r="A2877" s="3" t="n">
        <v>2019</v>
      </c>
      <c r="B2877" s="3" t="n">
        <v>11</v>
      </c>
      <c r="C2877" s="3" t="n">
        <v>15</v>
      </c>
      <c r="D2877" s="3" t="s">
        <v>2881</v>
      </c>
      <c r="E2877" s="4" t="n">
        <v>11</v>
      </c>
    </row>
    <row r="2878" customFormat="false" ht="15" hidden="false" customHeight="false" outlineLevel="0" collapsed="false">
      <c r="A2878" s="3" t="n">
        <v>2019</v>
      </c>
      <c r="B2878" s="3" t="n">
        <v>11</v>
      </c>
      <c r="C2878" s="3" t="n">
        <v>16</v>
      </c>
      <c r="D2878" s="3" t="s">
        <v>2882</v>
      </c>
      <c r="E2878" s="4" t="n">
        <v>24</v>
      </c>
    </row>
    <row r="2879" customFormat="false" ht="15" hidden="false" customHeight="false" outlineLevel="0" collapsed="false">
      <c r="A2879" s="3" t="n">
        <v>2019</v>
      </c>
      <c r="B2879" s="3" t="n">
        <v>11</v>
      </c>
      <c r="C2879" s="3" t="n">
        <v>17</v>
      </c>
      <c r="D2879" s="3" t="s">
        <v>2883</v>
      </c>
      <c r="E2879" s="4" t="n">
        <v>0</v>
      </c>
    </row>
    <row r="2880" customFormat="false" ht="15" hidden="false" customHeight="false" outlineLevel="0" collapsed="false">
      <c r="A2880" s="3" t="n">
        <v>2019</v>
      </c>
      <c r="B2880" s="3" t="n">
        <v>11</v>
      </c>
      <c r="C2880" s="3" t="n">
        <v>18</v>
      </c>
      <c r="D2880" s="3" t="s">
        <v>2884</v>
      </c>
      <c r="E2880" s="4" t="n">
        <v>12</v>
      </c>
    </row>
    <row r="2881" customFormat="false" ht="15" hidden="false" customHeight="false" outlineLevel="0" collapsed="false">
      <c r="A2881" s="3" t="n">
        <v>2019</v>
      </c>
      <c r="B2881" s="3" t="n">
        <v>11</v>
      </c>
      <c r="C2881" s="3" t="n">
        <v>19</v>
      </c>
      <c r="D2881" s="3" t="s">
        <v>2885</v>
      </c>
      <c r="E2881" s="4" t="n">
        <v>36</v>
      </c>
    </row>
    <row r="2882" customFormat="false" ht="15" hidden="false" customHeight="false" outlineLevel="0" collapsed="false">
      <c r="A2882" s="3" t="n">
        <v>2019</v>
      </c>
      <c r="B2882" s="3" t="n">
        <v>11</v>
      </c>
      <c r="C2882" s="3" t="n">
        <v>20</v>
      </c>
      <c r="D2882" s="3" t="s">
        <v>2886</v>
      </c>
      <c r="E2882" s="4" t="n">
        <v>14</v>
      </c>
    </row>
    <row r="2883" customFormat="false" ht="15" hidden="false" customHeight="false" outlineLevel="0" collapsed="false">
      <c r="A2883" s="3" t="n">
        <v>2019</v>
      </c>
      <c r="B2883" s="3" t="n">
        <v>11</v>
      </c>
      <c r="C2883" s="3" t="n">
        <v>21</v>
      </c>
      <c r="D2883" s="3" t="s">
        <v>2887</v>
      </c>
      <c r="E2883" s="4" t="n">
        <v>19</v>
      </c>
    </row>
    <row r="2884" customFormat="false" ht="15" hidden="false" customHeight="false" outlineLevel="0" collapsed="false">
      <c r="A2884" s="3" t="n">
        <v>2019</v>
      </c>
      <c r="B2884" s="3" t="n">
        <v>11</v>
      </c>
      <c r="C2884" s="3" t="n">
        <v>22</v>
      </c>
      <c r="D2884" s="3" t="s">
        <v>2888</v>
      </c>
      <c r="E2884" s="4" t="n">
        <v>74</v>
      </c>
    </row>
    <row r="2885" customFormat="false" ht="15" hidden="false" customHeight="false" outlineLevel="0" collapsed="false">
      <c r="A2885" s="3" t="n">
        <v>2019</v>
      </c>
      <c r="B2885" s="3" t="n">
        <v>11</v>
      </c>
      <c r="C2885" s="3" t="n">
        <v>23</v>
      </c>
      <c r="D2885" s="3" t="s">
        <v>2889</v>
      </c>
      <c r="E2885" s="4" t="n">
        <v>0</v>
      </c>
    </row>
    <row r="2886" customFormat="false" ht="15" hidden="false" customHeight="false" outlineLevel="0" collapsed="false">
      <c r="A2886" s="3" t="n">
        <v>2019</v>
      </c>
      <c r="B2886" s="3" t="n">
        <v>11</v>
      </c>
      <c r="C2886" s="3" t="n">
        <v>24</v>
      </c>
      <c r="D2886" s="3" t="s">
        <v>2890</v>
      </c>
      <c r="E2886" s="4" t="n">
        <v>59</v>
      </c>
    </row>
    <row r="2887" customFormat="false" ht="15" hidden="false" customHeight="false" outlineLevel="0" collapsed="false">
      <c r="A2887" s="3" t="n">
        <v>2019</v>
      </c>
      <c r="B2887" s="3" t="n">
        <v>11</v>
      </c>
      <c r="C2887" s="3" t="n">
        <v>25</v>
      </c>
      <c r="D2887" s="3" t="s">
        <v>2891</v>
      </c>
      <c r="E2887" s="4" t="n">
        <v>4</v>
      </c>
    </row>
    <row r="2888" customFormat="false" ht="15" hidden="false" customHeight="false" outlineLevel="0" collapsed="false">
      <c r="A2888" s="3" t="n">
        <v>2019</v>
      </c>
      <c r="B2888" s="3" t="n">
        <v>11</v>
      </c>
      <c r="C2888" s="3" t="n">
        <v>26</v>
      </c>
      <c r="D2888" s="3" t="s">
        <v>2892</v>
      </c>
      <c r="E2888" s="4" t="n">
        <v>0</v>
      </c>
    </row>
    <row r="2889" customFormat="false" ht="15" hidden="false" customHeight="false" outlineLevel="0" collapsed="false">
      <c r="A2889" s="3" t="n">
        <v>2019</v>
      </c>
      <c r="B2889" s="3" t="n">
        <v>11</v>
      </c>
      <c r="C2889" s="3" t="n">
        <v>27</v>
      </c>
      <c r="D2889" s="3" t="s">
        <v>2893</v>
      </c>
      <c r="E2889" s="4" t="n">
        <v>27</v>
      </c>
    </row>
    <row r="2890" customFormat="false" ht="15" hidden="false" customHeight="false" outlineLevel="0" collapsed="false">
      <c r="A2890" s="3" t="n">
        <v>2019</v>
      </c>
      <c r="B2890" s="3" t="n">
        <v>11</v>
      </c>
      <c r="C2890" s="3" t="n">
        <v>28</v>
      </c>
      <c r="D2890" s="3" t="s">
        <v>2894</v>
      </c>
      <c r="E2890" s="4" t="n">
        <v>0</v>
      </c>
    </row>
    <row r="2891" customFormat="false" ht="15" hidden="false" customHeight="false" outlineLevel="0" collapsed="false">
      <c r="A2891" s="3" t="n">
        <v>2019</v>
      </c>
      <c r="B2891" s="3" t="n">
        <v>11</v>
      </c>
      <c r="C2891" s="3" t="n">
        <v>29</v>
      </c>
      <c r="D2891" s="3" t="s">
        <v>2895</v>
      </c>
      <c r="E2891" s="4" t="n">
        <v>6</v>
      </c>
    </row>
    <row r="2892" customFormat="false" ht="15" hidden="false" customHeight="false" outlineLevel="0" collapsed="false">
      <c r="A2892" s="3" t="n">
        <v>2019</v>
      </c>
      <c r="B2892" s="3" t="n">
        <v>11</v>
      </c>
      <c r="C2892" s="3" t="n">
        <v>30</v>
      </c>
      <c r="D2892" s="3" t="s">
        <v>2896</v>
      </c>
      <c r="E2892" s="4" t="n">
        <v>0</v>
      </c>
    </row>
    <row r="2893" customFormat="false" ht="15" hidden="false" customHeight="false" outlineLevel="0" collapsed="false">
      <c r="A2893" s="3" t="n">
        <v>2019</v>
      </c>
      <c r="B2893" s="3" t="n">
        <v>12</v>
      </c>
      <c r="C2893" s="3" t="n">
        <v>1</v>
      </c>
      <c r="D2893" s="3" t="s">
        <v>2897</v>
      </c>
      <c r="E2893" s="4" t="n">
        <v>6</v>
      </c>
    </row>
    <row r="2894" customFormat="false" ht="15" hidden="false" customHeight="false" outlineLevel="0" collapsed="false">
      <c r="A2894" s="3" t="n">
        <v>2019</v>
      </c>
      <c r="B2894" s="3" t="n">
        <v>12</v>
      </c>
      <c r="C2894" s="3" t="n">
        <v>2</v>
      </c>
      <c r="D2894" s="3" t="s">
        <v>2898</v>
      </c>
      <c r="E2894" s="4" t="n">
        <v>74</v>
      </c>
    </row>
    <row r="2895" customFormat="false" ht="15" hidden="false" customHeight="false" outlineLevel="0" collapsed="false">
      <c r="A2895" s="3" t="n">
        <v>2019</v>
      </c>
      <c r="B2895" s="3" t="n">
        <v>12</v>
      </c>
      <c r="C2895" s="3" t="n">
        <v>3</v>
      </c>
      <c r="D2895" s="3" t="s">
        <v>2899</v>
      </c>
      <c r="E2895" s="4" t="n">
        <v>0</v>
      </c>
    </row>
    <row r="2896" customFormat="false" ht="15" hidden="false" customHeight="false" outlineLevel="0" collapsed="false">
      <c r="A2896" s="3" t="n">
        <v>2019</v>
      </c>
      <c r="B2896" s="3" t="n">
        <v>12</v>
      </c>
      <c r="C2896" s="3" t="n">
        <v>4</v>
      </c>
      <c r="D2896" s="3" t="s">
        <v>2900</v>
      </c>
      <c r="E2896" s="4" t="n">
        <v>2</v>
      </c>
    </row>
    <row r="2897" customFormat="false" ht="15" hidden="false" customHeight="false" outlineLevel="0" collapsed="false">
      <c r="A2897" s="3" t="n">
        <v>2019</v>
      </c>
      <c r="B2897" s="3" t="n">
        <v>12</v>
      </c>
      <c r="C2897" s="3" t="n">
        <v>5</v>
      </c>
      <c r="D2897" s="3" t="s">
        <v>2901</v>
      </c>
      <c r="E2897" s="4" t="n">
        <v>0</v>
      </c>
    </row>
    <row r="2898" customFormat="false" ht="15" hidden="false" customHeight="false" outlineLevel="0" collapsed="false">
      <c r="A2898" s="3" t="n">
        <v>2019</v>
      </c>
      <c r="B2898" s="3" t="n">
        <v>12</v>
      </c>
      <c r="C2898" s="3" t="n">
        <v>6</v>
      </c>
      <c r="D2898" s="3" t="s">
        <v>2902</v>
      </c>
      <c r="E2898" s="4" t="n">
        <v>31</v>
      </c>
    </row>
    <row r="2899" customFormat="false" ht="15" hidden="false" customHeight="false" outlineLevel="0" collapsed="false">
      <c r="A2899" s="3" t="n">
        <v>2019</v>
      </c>
      <c r="B2899" s="3" t="n">
        <v>12</v>
      </c>
      <c r="C2899" s="3" t="n">
        <v>7</v>
      </c>
      <c r="D2899" s="3" t="s">
        <v>2903</v>
      </c>
      <c r="E2899" s="4" t="n">
        <v>1</v>
      </c>
    </row>
    <row r="2900" customFormat="false" ht="15" hidden="false" customHeight="false" outlineLevel="0" collapsed="false">
      <c r="A2900" s="3" t="n">
        <v>2019</v>
      </c>
      <c r="B2900" s="3" t="n">
        <v>12</v>
      </c>
      <c r="C2900" s="3" t="n">
        <v>8</v>
      </c>
      <c r="D2900" s="3" t="s">
        <v>2904</v>
      </c>
      <c r="E2900" s="4" t="n">
        <v>32</v>
      </c>
    </row>
    <row r="2901" customFormat="false" ht="15" hidden="false" customHeight="false" outlineLevel="0" collapsed="false">
      <c r="A2901" s="3" t="n">
        <v>2019</v>
      </c>
      <c r="B2901" s="3" t="n">
        <v>12</v>
      </c>
      <c r="C2901" s="3" t="n">
        <v>9</v>
      </c>
      <c r="D2901" s="3" t="s">
        <v>2905</v>
      </c>
      <c r="E2901" s="4" t="n">
        <v>37</v>
      </c>
    </row>
    <row r="2902" customFormat="false" ht="15" hidden="false" customHeight="false" outlineLevel="0" collapsed="false">
      <c r="A2902" s="3" t="n">
        <v>2019</v>
      </c>
      <c r="B2902" s="3" t="n">
        <v>12</v>
      </c>
      <c r="C2902" s="3" t="n">
        <v>10</v>
      </c>
      <c r="D2902" s="3" t="s">
        <v>2906</v>
      </c>
      <c r="E2902" s="4" t="n">
        <v>13</v>
      </c>
    </row>
    <row r="2903" customFormat="false" ht="15" hidden="false" customHeight="false" outlineLevel="0" collapsed="false">
      <c r="A2903" s="3" t="n">
        <v>2019</v>
      </c>
      <c r="B2903" s="3" t="n">
        <v>12</v>
      </c>
      <c r="C2903" s="3" t="n">
        <v>11</v>
      </c>
      <c r="D2903" s="3" t="s">
        <v>2907</v>
      </c>
      <c r="E2903" s="4" t="n">
        <v>20</v>
      </c>
    </row>
    <row r="2904" customFormat="false" ht="15" hidden="false" customHeight="false" outlineLevel="0" collapsed="false">
      <c r="A2904" s="3" t="n">
        <v>2019</v>
      </c>
      <c r="B2904" s="3" t="n">
        <v>12</v>
      </c>
      <c r="C2904" s="3" t="n">
        <v>12</v>
      </c>
      <c r="D2904" s="3" t="s">
        <v>2908</v>
      </c>
      <c r="E2904" s="4" t="n">
        <v>9</v>
      </c>
    </row>
    <row r="2905" customFormat="false" ht="15" hidden="false" customHeight="false" outlineLevel="0" collapsed="false">
      <c r="A2905" s="3" t="n">
        <v>2019</v>
      </c>
      <c r="B2905" s="3" t="n">
        <v>12</v>
      </c>
      <c r="C2905" s="3" t="n">
        <v>13</v>
      </c>
      <c r="D2905" s="3" t="s">
        <v>2909</v>
      </c>
      <c r="E2905" s="4" t="n">
        <v>1</v>
      </c>
    </row>
    <row r="2906" customFormat="false" ht="15" hidden="false" customHeight="false" outlineLevel="0" collapsed="false">
      <c r="A2906" s="3" t="n">
        <v>2019</v>
      </c>
      <c r="B2906" s="3" t="n">
        <v>12</v>
      </c>
      <c r="C2906" s="3" t="n">
        <v>14</v>
      </c>
      <c r="D2906" s="3" t="s">
        <v>2910</v>
      </c>
      <c r="E2906" s="4" t="n">
        <v>0</v>
      </c>
    </row>
    <row r="2907" customFormat="false" ht="15" hidden="false" customHeight="false" outlineLevel="0" collapsed="false">
      <c r="A2907" s="3" t="n">
        <v>2019</v>
      </c>
      <c r="B2907" s="3" t="n">
        <v>12</v>
      </c>
      <c r="C2907" s="3" t="n">
        <v>15</v>
      </c>
      <c r="D2907" s="3" t="s">
        <v>2911</v>
      </c>
      <c r="E2907" s="4" t="n">
        <v>21</v>
      </c>
    </row>
    <row r="2908" customFormat="false" ht="15" hidden="false" customHeight="false" outlineLevel="0" collapsed="false">
      <c r="A2908" s="3" t="n">
        <v>2019</v>
      </c>
      <c r="B2908" s="3" t="n">
        <v>12</v>
      </c>
      <c r="C2908" s="3" t="n">
        <v>16</v>
      </c>
      <c r="D2908" s="3" t="s">
        <v>2912</v>
      </c>
      <c r="E2908" s="4" t="n">
        <v>14</v>
      </c>
    </row>
    <row r="2909" customFormat="false" ht="15" hidden="false" customHeight="false" outlineLevel="0" collapsed="false">
      <c r="A2909" s="3" t="n">
        <v>2019</v>
      </c>
      <c r="B2909" s="3" t="n">
        <v>12</v>
      </c>
      <c r="C2909" s="3" t="n">
        <v>17</v>
      </c>
      <c r="D2909" s="3" t="s">
        <v>2913</v>
      </c>
      <c r="E2909" s="4" t="n">
        <v>0</v>
      </c>
    </row>
    <row r="2910" customFormat="false" ht="15" hidden="false" customHeight="false" outlineLevel="0" collapsed="false">
      <c r="A2910" s="3" t="n">
        <v>2019</v>
      </c>
      <c r="B2910" s="3" t="n">
        <v>12</v>
      </c>
      <c r="C2910" s="3" t="n">
        <v>18</v>
      </c>
      <c r="D2910" s="3" t="s">
        <v>2914</v>
      </c>
      <c r="E2910" s="4" t="n">
        <v>3</v>
      </c>
    </row>
    <row r="2911" customFormat="false" ht="15" hidden="false" customHeight="false" outlineLevel="0" collapsed="false">
      <c r="A2911" s="3" t="n">
        <v>2019</v>
      </c>
      <c r="B2911" s="3" t="n">
        <v>12</v>
      </c>
      <c r="C2911" s="3" t="n">
        <v>19</v>
      </c>
      <c r="D2911" s="3" t="s">
        <v>2915</v>
      </c>
      <c r="E2911" s="4" t="n">
        <v>0</v>
      </c>
    </row>
    <row r="2912" customFormat="false" ht="15" hidden="false" customHeight="false" outlineLevel="0" collapsed="false">
      <c r="A2912" s="3" t="n">
        <v>2019</v>
      </c>
      <c r="B2912" s="3" t="n">
        <v>12</v>
      </c>
      <c r="C2912" s="3" t="n">
        <v>20</v>
      </c>
      <c r="D2912" s="3" t="s">
        <v>2916</v>
      </c>
      <c r="E2912" s="4" t="n">
        <v>0</v>
      </c>
    </row>
    <row r="2913" customFormat="false" ht="15" hidden="false" customHeight="false" outlineLevel="0" collapsed="false">
      <c r="A2913" s="3" t="n">
        <v>2019</v>
      </c>
      <c r="B2913" s="3" t="n">
        <v>12</v>
      </c>
      <c r="C2913" s="3" t="n">
        <v>21</v>
      </c>
      <c r="D2913" s="3" t="s">
        <v>2917</v>
      </c>
      <c r="E2913" s="4" t="n">
        <v>0</v>
      </c>
    </row>
    <row r="2914" customFormat="false" ht="15" hidden="false" customHeight="false" outlineLevel="0" collapsed="false">
      <c r="A2914" s="3" t="n">
        <v>2019</v>
      </c>
      <c r="B2914" s="3" t="n">
        <v>12</v>
      </c>
      <c r="C2914" s="3" t="n">
        <v>22</v>
      </c>
      <c r="D2914" s="3" t="s">
        <v>2918</v>
      </c>
      <c r="E2914" s="4" t="n">
        <v>0</v>
      </c>
    </row>
    <row r="2915" customFormat="false" ht="15" hidden="false" customHeight="false" outlineLevel="0" collapsed="false">
      <c r="A2915" s="3" t="n">
        <v>2019</v>
      </c>
      <c r="B2915" s="3" t="n">
        <v>12</v>
      </c>
      <c r="C2915" s="3" t="n">
        <v>23</v>
      </c>
      <c r="D2915" s="3" t="s">
        <v>2919</v>
      </c>
      <c r="E2915" s="4" t="n">
        <v>37</v>
      </c>
    </row>
    <row r="2916" customFormat="false" ht="15" hidden="false" customHeight="false" outlineLevel="0" collapsed="false">
      <c r="A2916" s="3" t="n">
        <v>2019</v>
      </c>
      <c r="B2916" s="3" t="n">
        <v>12</v>
      </c>
      <c r="C2916" s="3" t="n">
        <v>24</v>
      </c>
      <c r="D2916" s="3" t="s">
        <v>2920</v>
      </c>
      <c r="E2916" s="4" t="n">
        <v>0</v>
      </c>
    </row>
    <row r="2917" customFormat="false" ht="15" hidden="false" customHeight="false" outlineLevel="0" collapsed="false">
      <c r="A2917" s="3" t="n">
        <v>2019</v>
      </c>
      <c r="B2917" s="3" t="n">
        <v>12</v>
      </c>
      <c r="C2917" s="3" t="n">
        <v>25</v>
      </c>
      <c r="D2917" s="3" t="s">
        <v>2921</v>
      </c>
      <c r="E2917" s="4" t="n">
        <v>0</v>
      </c>
    </row>
    <row r="2918" customFormat="false" ht="15" hidden="false" customHeight="false" outlineLevel="0" collapsed="false">
      <c r="A2918" s="3" t="n">
        <v>2019</v>
      </c>
      <c r="B2918" s="3" t="n">
        <v>12</v>
      </c>
      <c r="C2918" s="3" t="n">
        <v>26</v>
      </c>
      <c r="D2918" s="3" t="s">
        <v>2922</v>
      </c>
      <c r="E2918" s="4" t="n">
        <v>0</v>
      </c>
    </row>
    <row r="2919" customFormat="false" ht="15" hidden="false" customHeight="false" outlineLevel="0" collapsed="false">
      <c r="A2919" s="3" t="n">
        <v>2019</v>
      </c>
      <c r="B2919" s="3" t="n">
        <v>12</v>
      </c>
      <c r="C2919" s="3" t="n">
        <v>27</v>
      </c>
      <c r="D2919" s="3" t="s">
        <v>2923</v>
      </c>
      <c r="E2919" s="4" t="n">
        <v>10</v>
      </c>
    </row>
    <row r="2920" customFormat="false" ht="15" hidden="false" customHeight="false" outlineLevel="0" collapsed="false">
      <c r="A2920" s="3" t="n">
        <v>2019</v>
      </c>
      <c r="B2920" s="3" t="n">
        <v>12</v>
      </c>
      <c r="C2920" s="3" t="n">
        <v>28</v>
      </c>
      <c r="D2920" s="3" t="s">
        <v>2924</v>
      </c>
      <c r="E2920" s="4" t="n">
        <v>0</v>
      </c>
    </row>
    <row r="2921" customFormat="false" ht="15" hidden="false" customHeight="false" outlineLevel="0" collapsed="false">
      <c r="A2921" s="3" t="n">
        <v>2019</v>
      </c>
      <c r="B2921" s="3" t="n">
        <v>12</v>
      </c>
      <c r="C2921" s="3" t="n">
        <v>29</v>
      </c>
      <c r="D2921" s="3" t="s">
        <v>2925</v>
      </c>
      <c r="E2921" s="4" t="n">
        <v>0</v>
      </c>
    </row>
    <row r="2922" customFormat="false" ht="15" hidden="false" customHeight="false" outlineLevel="0" collapsed="false">
      <c r="A2922" s="3" t="n">
        <v>2019</v>
      </c>
      <c r="B2922" s="3" t="n">
        <v>12</v>
      </c>
      <c r="C2922" s="3" t="n">
        <v>30</v>
      </c>
      <c r="D2922" s="3" t="s">
        <v>2926</v>
      </c>
      <c r="E2922" s="4" t="n">
        <v>5</v>
      </c>
    </row>
    <row r="2923" customFormat="false" ht="15" hidden="false" customHeight="false" outlineLevel="0" collapsed="false">
      <c r="A2923" s="3" t="n">
        <v>2019</v>
      </c>
      <c r="B2923" s="3" t="n">
        <v>12</v>
      </c>
      <c r="C2923" s="3" t="n">
        <v>31</v>
      </c>
      <c r="D2923" s="3" t="s">
        <v>2927</v>
      </c>
      <c r="E2923" s="4" t="n">
        <v>41</v>
      </c>
    </row>
    <row r="2924" customFormat="false" ht="15" hidden="false" customHeight="false" outlineLevel="0" collapsed="false">
      <c r="A2924" s="3" t="n">
        <v>2020</v>
      </c>
      <c r="B2924" s="3" t="n">
        <v>1</v>
      </c>
      <c r="C2924" s="3" t="n">
        <v>1</v>
      </c>
      <c r="D2924" s="3" t="s">
        <v>2928</v>
      </c>
      <c r="E2924" s="4" t="n">
        <v>21</v>
      </c>
    </row>
    <row r="2925" customFormat="false" ht="15" hidden="false" customHeight="false" outlineLevel="0" collapsed="false">
      <c r="A2925" s="3" t="n">
        <v>2020</v>
      </c>
      <c r="B2925" s="3" t="n">
        <v>1</v>
      </c>
      <c r="C2925" s="3" t="n">
        <v>2</v>
      </c>
      <c r="D2925" s="3" t="s">
        <v>2929</v>
      </c>
      <c r="E2925" s="4" t="n">
        <v>14</v>
      </c>
    </row>
    <row r="2926" customFormat="false" ht="15" hidden="false" customHeight="false" outlineLevel="0" collapsed="false">
      <c r="A2926" s="3" t="n">
        <v>2020</v>
      </c>
      <c r="B2926" s="3" t="n">
        <v>1</v>
      </c>
      <c r="C2926" s="3" t="n">
        <v>3</v>
      </c>
      <c r="D2926" s="3" t="s">
        <v>2930</v>
      </c>
      <c r="E2926" s="4" t="n">
        <v>6</v>
      </c>
    </row>
    <row r="2927" customFormat="false" ht="15" hidden="false" customHeight="false" outlineLevel="0" collapsed="false">
      <c r="A2927" s="3" t="n">
        <v>2020</v>
      </c>
      <c r="B2927" s="3" t="n">
        <v>1</v>
      </c>
      <c r="C2927" s="3" t="n">
        <v>4</v>
      </c>
      <c r="D2927" s="3" t="s">
        <v>2931</v>
      </c>
      <c r="E2927" s="4" t="n">
        <v>8</v>
      </c>
    </row>
    <row r="2928" customFormat="false" ht="15" hidden="false" customHeight="false" outlineLevel="0" collapsed="false">
      <c r="A2928" s="3" t="n">
        <v>2020</v>
      </c>
      <c r="B2928" s="3" t="n">
        <v>1</v>
      </c>
      <c r="C2928" s="3" t="n">
        <v>5</v>
      </c>
      <c r="D2928" s="3" t="s">
        <v>2932</v>
      </c>
      <c r="E2928" s="4" t="n">
        <v>2</v>
      </c>
    </row>
    <row r="2929" customFormat="false" ht="15" hidden="false" customHeight="false" outlineLevel="0" collapsed="false">
      <c r="A2929" s="3" t="n">
        <v>2020</v>
      </c>
      <c r="B2929" s="3" t="n">
        <v>1</v>
      </c>
      <c r="C2929" s="3" t="n">
        <v>6</v>
      </c>
      <c r="D2929" s="3" t="s">
        <v>2933</v>
      </c>
      <c r="E2929" s="4" t="n">
        <v>0</v>
      </c>
    </row>
    <row r="2930" customFormat="false" ht="15" hidden="false" customHeight="false" outlineLevel="0" collapsed="false">
      <c r="A2930" s="3" t="n">
        <v>2020</v>
      </c>
      <c r="B2930" s="3" t="n">
        <v>1</v>
      </c>
      <c r="C2930" s="3" t="n">
        <v>7</v>
      </c>
      <c r="D2930" s="3" t="s">
        <v>2934</v>
      </c>
      <c r="E2930" s="4" t="n">
        <v>17</v>
      </c>
    </row>
    <row r="2931" customFormat="false" ht="15" hidden="false" customHeight="false" outlineLevel="0" collapsed="false">
      <c r="A2931" s="3" t="n">
        <v>2020</v>
      </c>
      <c r="B2931" s="3" t="n">
        <v>1</v>
      </c>
      <c r="C2931" s="3" t="n">
        <v>8</v>
      </c>
      <c r="D2931" s="3" t="s">
        <v>2935</v>
      </c>
      <c r="E2931" s="4" t="n">
        <v>2</v>
      </c>
    </row>
    <row r="2932" customFormat="false" ht="15" hidden="false" customHeight="false" outlineLevel="0" collapsed="false">
      <c r="A2932" s="3" t="n">
        <v>2020</v>
      </c>
      <c r="B2932" s="3" t="n">
        <v>1</v>
      </c>
      <c r="C2932" s="3" t="n">
        <v>9</v>
      </c>
      <c r="D2932" s="3" t="s">
        <v>2936</v>
      </c>
      <c r="E2932" s="4" t="n">
        <v>11</v>
      </c>
    </row>
    <row r="2933" customFormat="false" ht="15" hidden="false" customHeight="false" outlineLevel="0" collapsed="false">
      <c r="A2933" s="3" t="n">
        <v>2020</v>
      </c>
      <c r="B2933" s="3" t="n">
        <v>1</v>
      </c>
      <c r="C2933" s="3" t="n">
        <v>10</v>
      </c>
      <c r="D2933" s="3" t="s">
        <v>2937</v>
      </c>
      <c r="E2933" s="4" t="n">
        <v>1</v>
      </c>
    </row>
    <row r="2934" customFormat="false" ht="15" hidden="false" customHeight="false" outlineLevel="0" collapsed="false">
      <c r="A2934" s="3" t="n">
        <v>2020</v>
      </c>
      <c r="B2934" s="3" t="n">
        <v>1</v>
      </c>
      <c r="C2934" s="3" t="n">
        <v>11</v>
      </c>
      <c r="D2934" s="3" t="s">
        <v>2938</v>
      </c>
      <c r="E2934" s="4" t="n">
        <v>11</v>
      </c>
    </row>
    <row r="2935" customFormat="false" ht="15" hidden="false" customHeight="false" outlineLevel="0" collapsed="false">
      <c r="A2935" s="3" t="n">
        <v>2020</v>
      </c>
      <c r="B2935" s="3" t="n">
        <v>1</v>
      </c>
      <c r="C2935" s="3" t="n">
        <v>12</v>
      </c>
      <c r="D2935" s="3" t="s">
        <v>2939</v>
      </c>
      <c r="E2935" s="4" t="n">
        <v>0</v>
      </c>
    </row>
    <row r="2936" customFormat="false" ht="15" hidden="false" customHeight="false" outlineLevel="0" collapsed="false">
      <c r="A2936" s="3" t="n">
        <v>2020</v>
      </c>
      <c r="B2936" s="3" t="n">
        <v>1</v>
      </c>
      <c r="C2936" s="3" t="n">
        <v>13</v>
      </c>
      <c r="D2936" s="3" t="s">
        <v>2940</v>
      </c>
      <c r="E2936" s="4" t="n">
        <v>0</v>
      </c>
    </row>
    <row r="2937" customFormat="false" ht="15" hidden="false" customHeight="false" outlineLevel="0" collapsed="false">
      <c r="A2937" s="3" t="n">
        <v>2020</v>
      </c>
      <c r="B2937" s="3" t="n">
        <v>1</v>
      </c>
      <c r="C2937" s="3" t="n">
        <v>14</v>
      </c>
      <c r="D2937" s="3" t="s">
        <v>2941</v>
      </c>
      <c r="E2937" s="4" t="n">
        <v>0</v>
      </c>
    </row>
    <row r="2938" customFormat="false" ht="15" hidden="false" customHeight="false" outlineLevel="0" collapsed="false">
      <c r="A2938" s="3" t="n">
        <v>2020</v>
      </c>
      <c r="B2938" s="3" t="n">
        <v>1</v>
      </c>
      <c r="C2938" s="3" t="n">
        <v>15</v>
      </c>
      <c r="D2938" s="3" t="s">
        <v>2942</v>
      </c>
      <c r="E2938" s="4" t="n">
        <v>11</v>
      </c>
    </row>
    <row r="2939" customFormat="false" ht="15" hidden="false" customHeight="false" outlineLevel="0" collapsed="false">
      <c r="A2939" s="3" t="n">
        <v>2020</v>
      </c>
      <c r="B2939" s="3" t="n">
        <v>1</v>
      </c>
      <c r="C2939" s="3" t="n">
        <v>16</v>
      </c>
      <c r="D2939" s="3" t="s">
        <v>2943</v>
      </c>
      <c r="E2939" s="4" t="n">
        <v>0</v>
      </c>
    </row>
    <row r="2940" customFormat="false" ht="15" hidden="false" customHeight="false" outlineLevel="0" collapsed="false">
      <c r="A2940" s="3" t="n">
        <v>2020</v>
      </c>
      <c r="B2940" s="3" t="n">
        <v>1</v>
      </c>
      <c r="C2940" s="3" t="n">
        <v>17</v>
      </c>
      <c r="D2940" s="3" t="s">
        <v>2944</v>
      </c>
      <c r="E2940" s="4" t="n">
        <v>3</v>
      </c>
    </row>
    <row r="2941" customFormat="false" ht="15" hidden="false" customHeight="false" outlineLevel="0" collapsed="false">
      <c r="A2941" s="3" t="n">
        <v>2020</v>
      </c>
      <c r="B2941" s="3" t="n">
        <v>1</v>
      </c>
      <c r="C2941" s="3" t="n">
        <v>18</v>
      </c>
      <c r="D2941" s="3" t="s">
        <v>2945</v>
      </c>
      <c r="E2941" s="4" t="n">
        <v>0</v>
      </c>
    </row>
    <row r="2942" customFormat="false" ht="15" hidden="false" customHeight="false" outlineLevel="0" collapsed="false">
      <c r="A2942" s="3" t="n">
        <v>2020</v>
      </c>
      <c r="B2942" s="3" t="n">
        <v>1</v>
      </c>
      <c r="C2942" s="3" t="n">
        <v>19</v>
      </c>
      <c r="D2942" s="3" t="s">
        <v>2946</v>
      </c>
      <c r="E2942" s="4" t="n">
        <v>6</v>
      </c>
    </row>
    <row r="2943" customFormat="false" ht="15" hidden="false" customHeight="false" outlineLevel="0" collapsed="false">
      <c r="A2943" s="3" t="n">
        <v>2020</v>
      </c>
      <c r="B2943" s="3" t="n">
        <v>1</v>
      </c>
      <c r="C2943" s="3" t="n">
        <v>20</v>
      </c>
      <c r="D2943" s="3" t="s">
        <v>2947</v>
      </c>
      <c r="E2943" s="4" t="n">
        <v>79</v>
      </c>
    </row>
    <row r="2944" customFormat="false" ht="15" hidden="false" customHeight="false" outlineLevel="0" collapsed="false">
      <c r="A2944" s="3" t="n">
        <v>2020</v>
      </c>
      <c r="B2944" s="3" t="n">
        <v>1</v>
      </c>
      <c r="C2944" s="3" t="n">
        <v>21</v>
      </c>
      <c r="D2944" s="3" t="s">
        <v>2948</v>
      </c>
      <c r="E2944" s="4" t="n">
        <v>1</v>
      </c>
    </row>
    <row r="2945" customFormat="false" ht="15" hidden="false" customHeight="false" outlineLevel="0" collapsed="false">
      <c r="A2945" s="3" t="n">
        <v>2020</v>
      </c>
      <c r="B2945" s="3" t="n">
        <v>1</v>
      </c>
      <c r="C2945" s="3" t="n">
        <v>22</v>
      </c>
      <c r="D2945" s="3" t="s">
        <v>2949</v>
      </c>
      <c r="E2945" s="4" t="n">
        <v>0</v>
      </c>
    </row>
    <row r="2946" customFormat="false" ht="15" hidden="false" customHeight="false" outlineLevel="0" collapsed="false">
      <c r="A2946" s="3" t="n">
        <v>2020</v>
      </c>
      <c r="B2946" s="3" t="n">
        <v>1</v>
      </c>
      <c r="C2946" s="3" t="n">
        <v>23</v>
      </c>
      <c r="D2946" s="3" t="s">
        <v>2950</v>
      </c>
      <c r="E2946" s="4" t="n">
        <v>0</v>
      </c>
    </row>
    <row r="2947" customFormat="false" ht="15" hidden="false" customHeight="false" outlineLevel="0" collapsed="false">
      <c r="A2947" s="3" t="n">
        <v>2020</v>
      </c>
      <c r="B2947" s="3" t="n">
        <v>1</v>
      </c>
      <c r="C2947" s="3" t="n">
        <v>24</v>
      </c>
      <c r="D2947" s="3" t="s">
        <v>2951</v>
      </c>
      <c r="E2947" s="4" t="n">
        <v>9</v>
      </c>
    </row>
    <row r="2948" customFormat="false" ht="15" hidden="false" customHeight="false" outlineLevel="0" collapsed="false">
      <c r="A2948" s="3" t="n">
        <v>2020</v>
      </c>
      <c r="B2948" s="3" t="n">
        <v>1</v>
      </c>
      <c r="C2948" s="3" t="n">
        <v>25</v>
      </c>
      <c r="D2948" s="3" t="s">
        <v>2952</v>
      </c>
      <c r="E2948" s="4" t="n">
        <v>11</v>
      </c>
    </row>
    <row r="2949" customFormat="false" ht="15" hidden="false" customHeight="false" outlineLevel="0" collapsed="false">
      <c r="A2949" s="3" t="n">
        <v>2020</v>
      </c>
      <c r="B2949" s="3" t="n">
        <v>1</v>
      </c>
      <c r="C2949" s="3" t="n">
        <v>26</v>
      </c>
      <c r="D2949" s="3" t="s">
        <v>2953</v>
      </c>
      <c r="E2949" s="4" t="n">
        <v>0</v>
      </c>
    </row>
    <row r="2950" customFormat="false" ht="15" hidden="false" customHeight="false" outlineLevel="0" collapsed="false">
      <c r="A2950" s="3" t="n">
        <v>2020</v>
      </c>
      <c r="B2950" s="3" t="n">
        <v>1</v>
      </c>
      <c r="C2950" s="3" t="n">
        <v>27</v>
      </c>
      <c r="D2950" s="3" t="s">
        <v>2954</v>
      </c>
      <c r="E2950" s="4" t="n">
        <v>37</v>
      </c>
    </row>
    <row r="2951" customFormat="false" ht="15" hidden="false" customHeight="false" outlineLevel="0" collapsed="false">
      <c r="A2951" s="3" t="n">
        <v>2020</v>
      </c>
      <c r="B2951" s="3" t="n">
        <v>1</v>
      </c>
      <c r="C2951" s="3" t="n">
        <v>28</v>
      </c>
      <c r="D2951" s="3" t="s">
        <v>2955</v>
      </c>
      <c r="E2951" s="4" t="n">
        <v>2</v>
      </c>
    </row>
    <row r="2952" customFormat="false" ht="15" hidden="false" customHeight="false" outlineLevel="0" collapsed="false">
      <c r="A2952" s="3" t="n">
        <v>2020</v>
      </c>
      <c r="B2952" s="3" t="n">
        <v>1</v>
      </c>
      <c r="C2952" s="3" t="n">
        <v>29</v>
      </c>
      <c r="D2952" s="3" t="s">
        <v>2956</v>
      </c>
      <c r="E2952" s="4" t="n">
        <v>0</v>
      </c>
    </row>
    <row r="2953" customFormat="false" ht="15" hidden="false" customHeight="false" outlineLevel="0" collapsed="false">
      <c r="A2953" s="3" t="n">
        <v>2020</v>
      </c>
      <c r="B2953" s="3" t="n">
        <v>1</v>
      </c>
      <c r="C2953" s="3" t="n">
        <v>30</v>
      </c>
      <c r="D2953" s="3" t="s">
        <v>2957</v>
      </c>
      <c r="E2953" s="4" t="n">
        <v>83</v>
      </c>
    </row>
    <row r="2954" customFormat="false" ht="15" hidden="false" customHeight="false" outlineLevel="0" collapsed="false">
      <c r="A2954" s="3" t="n">
        <v>2020</v>
      </c>
      <c r="B2954" s="3" t="n">
        <v>1</v>
      </c>
      <c r="C2954" s="3" t="n">
        <v>31</v>
      </c>
      <c r="D2954" s="3" t="s">
        <v>2958</v>
      </c>
      <c r="E2954" s="4" t="n">
        <v>2</v>
      </c>
    </row>
    <row r="2955" customFormat="false" ht="15" hidden="false" customHeight="false" outlineLevel="0" collapsed="false">
      <c r="A2955" s="3" t="n">
        <v>2020</v>
      </c>
      <c r="B2955" s="3" t="n">
        <v>2</v>
      </c>
      <c r="C2955" s="3" t="n">
        <v>1</v>
      </c>
      <c r="D2955" s="3" t="s">
        <v>2959</v>
      </c>
      <c r="E2955" s="4" t="n">
        <v>0</v>
      </c>
    </row>
    <row r="2956" customFormat="false" ht="15" hidden="false" customHeight="false" outlineLevel="0" collapsed="false">
      <c r="A2956" s="3" t="n">
        <v>2020</v>
      </c>
      <c r="B2956" s="3" t="n">
        <v>2</v>
      </c>
      <c r="C2956" s="3" t="n">
        <v>2</v>
      </c>
      <c r="D2956" s="3" t="s">
        <v>2960</v>
      </c>
      <c r="E2956" s="4" t="n">
        <v>0</v>
      </c>
    </row>
    <row r="2957" customFormat="false" ht="15" hidden="false" customHeight="false" outlineLevel="0" collapsed="false">
      <c r="A2957" s="3" t="n">
        <v>2020</v>
      </c>
      <c r="B2957" s="3" t="n">
        <v>2</v>
      </c>
      <c r="C2957" s="3" t="n">
        <v>3</v>
      </c>
      <c r="D2957" s="3" t="s">
        <v>2961</v>
      </c>
      <c r="E2957" s="4" t="n">
        <v>0</v>
      </c>
    </row>
    <row r="2958" customFormat="false" ht="15" hidden="false" customHeight="false" outlineLevel="0" collapsed="false">
      <c r="A2958" s="3" t="n">
        <v>2020</v>
      </c>
      <c r="B2958" s="3" t="n">
        <v>2</v>
      </c>
      <c r="C2958" s="3" t="n">
        <v>4</v>
      </c>
      <c r="D2958" s="3" t="s">
        <v>2962</v>
      </c>
      <c r="E2958" s="4" t="n">
        <v>0</v>
      </c>
    </row>
    <row r="2959" customFormat="false" ht="15" hidden="false" customHeight="false" outlineLevel="0" collapsed="false">
      <c r="A2959" s="3" t="n">
        <v>2020</v>
      </c>
      <c r="B2959" s="3" t="n">
        <v>2</v>
      </c>
      <c r="C2959" s="3" t="n">
        <v>5</v>
      </c>
      <c r="D2959" s="3" t="s">
        <v>2963</v>
      </c>
      <c r="E2959" s="4" t="n">
        <v>27</v>
      </c>
    </row>
    <row r="2960" customFormat="false" ht="15" hidden="false" customHeight="false" outlineLevel="0" collapsed="false">
      <c r="A2960" s="3" t="n">
        <v>2020</v>
      </c>
      <c r="B2960" s="3" t="n">
        <v>2</v>
      </c>
      <c r="C2960" s="3" t="n">
        <v>6</v>
      </c>
      <c r="D2960" s="3" t="s">
        <v>2964</v>
      </c>
      <c r="E2960" s="4" t="n">
        <v>31</v>
      </c>
    </row>
    <row r="2961" customFormat="false" ht="15" hidden="false" customHeight="false" outlineLevel="0" collapsed="false">
      <c r="A2961" s="3" t="n">
        <v>2020</v>
      </c>
      <c r="B2961" s="3" t="n">
        <v>2</v>
      </c>
      <c r="C2961" s="3" t="n">
        <v>7</v>
      </c>
      <c r="D2961" s="3" t="s">
        <v>2965</v>
      </c>
      <c r="E2961" s="4" t="n">
        <v>6</v>
      </c>
    </row>
    <row r="2962" customFormat="false" ht="15" hidden="false" customHeight="false" outlineLevel="0" collapsed="false">
      <c r="A2962" s="3" t="n">
        <v>2020</v>
      </c>
      <c r="B2962" s="3" t="n">
        <v>2</v>
      </c>
      <c r="C2962" s="3" t="n">
        <v>8</v>
      </c>
      <c r="D2962" s="3" t="s">
        <v>2966</v>
      </c>
      <c r="E2962" s="4" t="n">
        <v>27</v>
      </c>
    </row>
    <row r="2963" customFormat="false" ht="15" hidden="false" customHeight="false" outlineLevel="0" collapsed="false">
      <c r="A2963" s="3" t="n">
        <v>2020</v>
      </c>
      <c r="B2963" s="3" t="n">
        <v>2</v>
      </c>
      <c r="C2963" s="3" t="n">
        <v>9</v>
      </c>
      <c r="D2963" s="3" t="s">
        <v>2967</v>
      </c>
      <c r="E2963" s="4" t="n">
        <v>1</v>
      </c>
    </row>
    <row r="2964" customFormat="false" ht="15" hidden="false" customHeight="false" outlineLevel="0" collapsed="false">
      <c r="A2964" s="3" t="n">
        <v>2020</v>
      </c>
      <c r="B2964" s="3" t="n">
        <v>2</v>
      </c>
      <c r="C2964" s="3" t="n">
        <v>10</v>
      </c>
      <c r="D2964" s="3" t="s">
        <v>2968</v>
      </c>
      <c r="E2964" s="4" t="n">
        <v>0</v>
      </c>
    </row>
    <row r="2965" customFormat="false" ht="15" hidden="false" customHeight="false" outlineLevel="0" collapsed="false">
      <c r="A2965" s="3" t="n">
        <v>2020</v>
      </c>
      <c r="B2965" s="3" t="n">
        <v>2</v>
      </c>
      <c r="C2965" s="3" t="n">
        <v>11</v>
      </c>
      <c r="D2965" s="3" t="s">
        <v>2969</v>
      </c>
      <c r="E2965" s="4" t="n">
        <v>0</v>
      </c>
    </row>
    <row r="2966" customFormat="false" ht="15" hidden="false" customHeight="false" outlineLevel="0" collapsed="false">
      <c r="A2966" s="3" t="n">
        <v>2020</v>
      </c>
      <c r="B2966" s="3" t="n">
        <v>2</v>
      </c>
      <c r="C2966" s="3" t="n">
        <v>12</v>
      </c>
      <c r="D2966" s="3" t="s">
        <v>2970</v>
      </c>
      <c r="E2966" s="4" t="n">
        <v>0</v>
      </c>
    </row>
    <row r="2967" customFormat="false" ht="15" hidden="false" customHeight="false" outlineLevel="0" collapsed="false">
      <c r="A2967" s="3" t="n">
        <v>2020</v>
      </c>
      <c r="B2967" s="3" t="n">
        <v>2</v>
      </c>
      <c r="C2967" s="3" t="n">
        <v>13</v>
      </c>
      <c r="D2967" s="3" t="s">
        <v>2971</v>
      </c>
      <c r="E2967" s="4" t="n">
        <v>0</v>
      </c>
    </row>
    <row r="2968" customFormat="false" ht="15" hidden="false" customHeight="false" outlineLevel="0" collapsed="false">
      <c r="A2968" s="3" t="n">
        <v>2020</v>
      </c>
      <c r="B2968" s="3" t="n">
        <v>2</v>
      </c>
      <c r="C2968" s="3" t="n">
        <v>14</v>
      </c>
      <c r="D2968" s="3" t="s">
        <v>2972</v>
      </c>
      <c r="E2968" s="4" t="n">
        <v>8</v>
      </c>
    </row>
    <row r="2969" customFormat="false" ht="15" hidden="false" customHeight="false" outlineLevel="0" collapsed="false">
      <c r="A2969" s="3" t="n">
        <v>2020</v>
      </c>
      <c r="B2969" s="3" t="n">
        <v>2</v>
      </c>
      <c r="C2969" s="3" t="n">
        <v>15</v>
      </c>
      <c r="D2969" s="3" t="s">
        <v>2973</v>
      </c>
      <c r="E2969" s="4" t="n">
        <v>31</v>
      </c>
    </row>
    <row r="2970" customFormat="false" ht="15" hidden="false" customHeight="false" outlineLevel="0" collapsed="false">
      <c r="A2970" s="3" t="n">
        <v>2020</v>
      </c>
      <c r="B2970" s="3" t="n">
        <v>2</v>
      </c>
      <c r="C2970" s="3" t="n">
        <v>16</v>
      </c>
      <c r="D2970" s="3" t="s">
        <v>2974</v>
      </c>
      <c r="E2970" s="4" t="n">
        <v>77</v>
      </c>
    </row>
    <row r="2971" customFormat="false" ht="15" hidden="false" customHeight="false" outlineLevel="0" collapsed="false">
      <c r="A2971" s="3" t="n">
        <v>2020</v>
      </c>
      <c r="B2971" s="3" t="n">
        <v>2</v>
      </c>
      <c r="C2971" s="3" t="n">
        <v>17</v>
      </c>
      <c r="D2971" s="3" t="s">
        <v>2975</v>
      </c>
      <c r="E2971" s="4" t="n">
        <v>0</v>
      </c>
    </row>
    <row r="2972" customFormat="false" ht="15" hidden="false" customHeight="false" outlineLevel="0" collapsed="false">
      <c r="A2972" s="3" t="n">
        <v>2020</v>
      </c>
      <c r="B2972" s="3" t="n">
        <v>2</v>
      </c>
      <c r="C2972" s="3" t="n">
        <v>18</v>
      </c>
      <c r="D2972" s="3" t="s">
        <v>2976</v>
      </c>
      <c r="E2972" s="4" t="n">
        <v>0</v>
      </c>
    </row>
    <row r="2973" customFormat="false" ht="15" hidden="false" customHeight="false" outlineLevel="0" collapsed="false">
      <c r="A2973" s="3" t="n">
        <v>2020</v>
      </c>
      <c r="B2973" s="3" t="n">
        <v>2</v>
      </c>
      <c r="C2973" s="3" t="n">
        <v>19</v>
      </c>
      <c r="D2973" s="3" t="s">
        <v>2977</v>
      </c>
      <c r="E2973" s="4" t="n">
        <v>0</v>
      </c>
    </row>
    <row r="2974" customFormat="false" ht="15" hidden="false" customHeight="false" outlineLevel="0" collapsed="false">
      <c r="A2974" s="3" t="n">
        <v>2020</v>
      </c>
      <c r="B2974" s="3" t="n">
        <v>2</v>
      </c>
      <c r="C2974" s="3" t="n">
        <v>20</v>
      </c>
      <c r="D2974" s="3" t="s">
        <v>2978</v>
      </c>
      <c r="E2974" s="4" t="n">
        <v>0</v>
      </c>
    </row>
    <row r="2975" customFormat="false" ht="15" hidden="false" customHeight="false" outlineLevel="0" collapsed="false">
      <c r="A2975" s="3" t="n">
        <v>2020</v>
      </c>
      <c r="B2975" s="3" t="n">
        <v>2</v>
      </c>
      <c r="C2975" s="3" t="n">
        <v>21</v>
      </c>
      <c r="D2975" s="3" t="s">
        <v>2979</v>
      </c>
      <c r="E2975" s="4" t="n">
        <v>27</v>
      </c>
    </row>
    <row r="2976" customFormat="false" ht="15" hidden="false" customHeight="false" outlineLevel="0" collapsed="false">
      <c r="A2976" s="3" t="n">
        <v>2020</v>
      </c>
      <c r="B2976" s="3" t="n">
        <v>2</v>
      </c>
      <c r="C2976" s="3" t="n">
        <v>22</v>
      </c>
      <c r="D2976" s="3" t="s">
        <v>2980</v>
      </c>
      <c r="E2976" s="4" t="n">
        <v>9</v>
      </c>
    </row>
    <row r="2977" customFormat="false" ht="15" hidden="false" customHeight="false" outlineLevel="0" collapsed="false">
      <c r="A2977" s="3" t="n">
        <v>2020</v>
      </c>
      <c r="B2977" s="3" t="n">
        <v>2</v>
      </c>
      <c r="C2977" s="3" t="n">
        <v>23</v>
      </c>
      <c r="D2977" s="3" t="s">
        <v>2981</v>
      </c>
      <c r="E2977" s="4" t="n">
        <v>1</v>
      </c>
    </row>
    <row r="2978" customFormat="false" ht="15" hidden="false" customHeight="false" outlineLevel="0" collapsed="false">
      <c r="A2978" s="3" t="n">
        <v>2020</v>
      </c>
      <c r="B2978" s="3" t="n">
        <v>2</v>
      </c>
      <c r="C2978" s="3" t="n">
        <v>24</v>
      </c>
      <c r="D2978" s="3" t="s">
        <v>2982</v>
      </c>
      <c r="E2978" s="4" t="n">
        <v>6</v>
      </c>
    </row>
    <row r="2979" customFormat="false" ht="15" hidden="false" customHeight="false" outlineLevel="0" collapsed="false">
      <c r="A2979" s="3" t="n">
        <v>2020</v>
      </c>
      <c r="B2979" s="3" t="n">
        <v>2</v>
      </c>
      <c r="C2979" s="3" t="n">
        <v>25</v>
      </c>
      <c r="D2979" s="3" t="s">
        <v>2983</v>
      </c>
      <c r="E2979" s="4" t="n">
        <v>0</v>
      </c>
    </row>
    <row r="2980" customFormat="false" ht="15" hidden="false" customHeight="false" outlineLevel="0" collapsed="false">
      <c r="A2980" s="3" t="n">
        <v>2020</v>
      </c>
      <c r="B2980" s="3" t="n">
        <v>2</v>
      </c>
      <c r="C2980" s="3" t="n">
        <v>26</v>
      </c>
      <c r="D2980" s="3" t="s">
        <v>2984</v>
      </c>
      <c r="E2980" s="4" t="n">
        <v>27</v>
      </c>
    </row>
    <row r="2981" customFormat="false" ht="15" hidden="false" customHeight="false" outlineLevel="0" collapsed="false">
      <c r="A2981" s="3" t="n">
        <v>2020</v>
      </c>
      <c r="B2981" s="3" t="n">
        <v>2</v>
      </c>
      <c r="C2981" s="3" t="n">
        <v>27</v>
      </c>
      <c r="D2981" s="3" t="s">
        <v>2985</v>
      </c>
      <c r="E2981" s="4" t="n">
        <v>14</v>
      </c>
    </row>
    <row r="2982" customFormat="false" ht="15" hidden="false" customHeight="false" outlineLevel="0" collapsed="false">
      <c r="A2982" s="3" t="n">
        <v>2020</v>
      </c>
      <c r="B2982" s="3" t="n">
        <v>2</v>
      </c>
      <c r="C2982" s="3" t="n">
        <v>28</v>
      </c>
      <c r="D2982" s="3" t="s">
        <v>2986</v>
      </c>
      <c r="E2982" s="4" t="n">
        <v>9</v>
      </c>
    </row>
    <row r="2983" customFormat="false" ht="15" hidden="false" customHeight="false" outlineLevel="0" collapsed="false">
      <c r="A2983" s="3" t="n">
        <v>2020</v>
      </c>
      <c r="B2983" s="3" t="n">
        <v>2</v>
      </c>
      <c r="C2983" s="3" t="n">
        <v>29</v>
      </c>
      <c r="D2983" s="3" t="s">
        <v>2987</v>
      </c>
      <c r="E2983" s="4" t="n">
        <v>4</v>
      </c>
    </row>
    <row r="2984" customFormat="false" ht="15" hidden="false" customHeight="false" outlineLevel="0" collapsed="false">
      <c r="A2984" s="3" t="n">
        <v>2020</v>
      </c>
      <c r="B2984" s="3" t="n">
        <v>3</v>
      </c>
      <c r="C2984" s="3" t="n">
        <v>1</v>
      </c>
      <c r="D2984" s="3" t="s">
        <v>2988</v>
      </c>
      <c r="E2984" s="4" t="n">
        <v>0</v>
      </c>
    </row>
    <row r="2985" customFormat="false" ht="15" hidden="false" customHeight="false" outlineLevel="0" collapsed="false">
      <c r="A2985" s="3" t="n">
        <v>2020</v>
      </c>
      <c r="B2985" s="3" t="n">
        <v>3</v>
      </c>
      <c r="C2985" s="3" t="n">
        <v>2</v>
      </c>
      <c r="D2985" s="3" t="s">
        <v>2989</v>
      </c>
      <c r="E2985" s="4" t="n">
        <v>50</v>
      </c>
    </row>
    <row r="2986" customFormat="false" ht="15" hidden="false" customHeight="false" outlineLevel="0" collapsed="false">
      <c r="A2986" s="3" t="n">
        <v>2020</v>
      </c>
      <c r="B2986" s="3" t="n">
        <v>3</v>
      </c>
      <c r="C2986" s="3" t="n">
        <v>3</v>
      </c>
      <c r="D2986" s="3" t="s">
        <v>2990</v>
      </c>
      <c r="E2986" s="4" t="n">
        <v>1</v>
      </c>
    </row>
    <row r="2987" customFormat="false" ht="15" hidden="false" customHeight="false" outlineLevel="0" collapsed="false">
      <c r="A2987" s="3" t="n">
        <v>2020</v>
      </c>
      <c r="B2987" s="3" t="n">
        <v>3</v>
      </c>
      <c r="C2987" s="3" t="n">
        <v>4</v>
      </c>
      <c r="D2987" s="3" t="s">
        <v>2991</v>
      </c>
      <c r="E2987" s="4" t="n">
        <v>1</v>
      </c>
    </row>
    <row r="2988" customFormat="false" ht="15" hidden="false" customHeight="false" outlineLevel="0" collapsed="false">
      <c r="A2988" s="3" t="n">
        <v>2020</v>
      </c>
      <c r="B2988" s="3" t="n">
        <v>3</v>
      </c>
      <c r="C2988" s="3" t="n">
        <v>5</v>
      </c>
      <c r="D2988" s="3" t="s">
        <v>2992</v>
      </c>
      <c r="E2988" s="4" t="n">
        <v>0</v>
      </c>
    </row>
    <row r="2989" customFormat="false" ht="15" hidden="false" customHeight="false" outlineLevel="0" collapsed="false">
      <c r="A2989" s="3" t="n">
        <v>2020</v>
      </c>
      <c r="B2989" s="3" t="n">
        <v>3</v>
      </c>
      <c r="C2989" s="3" t="n">
        <v>6</v>
      </c>
      <c r="D2989" s="3" t="s">
        <v>2993</v>
      </c>
      <c r="E2989" s="4" t="n">
        <v>0</v>
      </c>
    </row>
    <row r="2990" customFormat="false" ht="15" hidden="false" customHeight="false" outlineLevel="0" collapsed="false">
      <c r="A2990" s="3" t="n">
        <v>2020</v>
      </c>
      <c r="B2990" s="3" t="n">
        <v>3</v>
      </c>
      <c r="C2990" s="3" t="n">
        <v>7</v>
      </c>
      <c r="D2990" s="3" t="s">
        <v>2994</v>
      </c>
      <c r="E2990" s="4" t="n">
        <v>0</v>
      </c>
    </row>
    <row r="2991" customFormat="false" ht="15" hidden="false" customHeight="false" outlineLevel="0" collapsed="false">
      <c r="A2991" s="3" t="n">
        <v>2020</v>
      </c>
      <c r="B2991" s="3" t="n">
        <v>3</v>
      </c>
      <c r="C2991" s="3" t="n">
        <v>8</v>
      </c>
      <c r="D2991" s="3" t="s">
        <v>2995</v>
      </c>
      <c r="E2991" s="4" t="n">
        <v>0</v>
      </c>
    </row>
    <row r="2992" customFormat="false" ht="15" hidden="false" customHeight="false" outlineLevel="0" collapsed="false">
      <c r="A2992" s="3" t="n">
        <v>2020</v>
      </c>
      <c r="B2992" s="3" t="n">
        <v>3</v>
      </c>
      <c r="C2992" s="3" t="n">
        <v>9</v>
      </c>
      <c r="D2992" s="3" t="s">
        <v>2996</v>
      </c>
      <c r="E2992" s="4" t="n">
        <v>0</v>
      </c>
    </row>
    <row r="2993" customFormat="false" ht="15" hidden="false" customHeight="false" outlineLevel="0" collapsed="false">
      <c r="A2993" s="3" t="n">
        <v>2020</v>
      </c>
      <c r="B2993" s="3" t="n">
        <v>3</v>
      </c>
      <c r="C2993" s="3" t="n">
        <v>10</v>
      </c>
      <c r="D2993" s="3" t="s">
        <v>2997</v>
      </c>
      <c r="E2993" s="4" t="n">
        <v>0</v>
      </c>
    </row>
    <row r="2994" customFormat="false" ht="15" hidden="false" customHeight="false" outlineLevel="0" collapsed="false">
      <c r="A2994" s="3" t="n">
        <v>2020</v>
      </c>
      <c r="B2994" s="3" t="n">
        <v>3</v>
      </c>
      <c r="C2994" s="3" t="n">
        <v>11</v>
      </c>
      <c r="D2994" s="3" t="s">
        <v>2998</v>
      </c>
      <c r="E2994" s="4" t="n">
        <v>0</v>
      </c>
    </row>
    <row r="2995" customFormat="false" ht="15" hidden="false" customHeight="false" outlineLevel="0" collapsed="false">
      <c r="A2995" s="3" t="n">
        <v>2020</v>
      </c>
      <c r="B2995" s="3" t="n">
        <v>3</v>
      </c>
      <c r="C2995" s="3" t="n">
        <v>12</v>
      </c>
      <c r="D2995" s="3" t="s">
        <v>2999</v>
      </c>
      <c r="E2995" s="4" t="n">
        <v>0</v>
      </c>
    </row>
    <row r="2996" customFormat="false" ht="15" hidden="false" customHeight="false" outlineLevel="0" collapsed="false">
      <c r="A2996" s="3" t="n">
        <v>2020</v>
      </c>
      <c r="B2996" s="3" t="n">
        <v>3</v>
      </c>
      <c r="C2996" s="3" t="n">
        <v>13</v>
      </c>
      <c r="D2996" s="3" t="s">
        <v>3000</v>
      </c>
      <c r="E2996" s="4" t="n">
        <v>0</v>
      </c>
    </row>
    <row r="2997" customFormat="false" ht="15" hidden="false" customHeight="false" outlineLevel="0" collapsed="false">
      <c r="A2997" s="3" t="n">
        <v>2020</v>
      </c>
      <c r="B2997" s="3" t="n">
        <v>3</v>
      </c>
      <c r="C2997" s="3" t="n">
        <v>14</v>
      </c>
      <c r="D2997" s="3" t="s">
        <v>3001</v>
      </c>
      <c r="E2997" s="4" t="n">
        <v>40</v>
      </c>
    </row>
    <row r="2998" customFormat="false" ht="15" hidden="false" customHeight="false" outlineLevel="0" collapsed="false">
      <c r="A2998" s="3" t="n">
        <v>2020</v>
      </c>
      <c r="B2998" s="3" t="n">
        <v>3</v>
      </c>
      <c r="C2998" s="3" t="n">
        <v>15</v>
      </c>
      <c r="D2998" s="3" t="s">
        <v>3002</v>
      </c>
      <c r="E2998" s="4" t="n">
        <v>0</v>
      </c>
    </row>
    <row r="2999" customFormat="false" ht="15" hidden="false" customHeight="false" outlineLevel="0" collapsed="false">
      <c r="A2999" s="3" t="n">
        <v>2020</v>
      </c>
      <c r="B2999" s="3" t="n">
        <v>3</v>
      </c>
      <c r="C2999" s="3" t="n">
        <v>16</v>
      </c>
      <c r="D2999" s="3" t="s">
        <v>3003</v>
      </c>
      <c r="E2999" s="4" t="n">
        <v>31</v>
      </c>
    </row>
    <row r="3000" customFormat="false" ht="15" hidden="false" customHeight="false" outlineLevel="0" collapsed="false">
      <c r="A3000" s="3" t="n">
        <v>2020</v>
      </c>
      <c r="B3000" s="3" t="n">
        <v>3</v>
      </c>
      <c r="C3000" s="3" t="n">
        <v>17</v>
      </c>
      <c r="D3000" s="3" t="s">
        <v>3004</v>
      </c>
      <c r="E3000" s="4" t="n">
        <v>24</v>
      </c>
    </row>
    <row r="3001" customFormat="false" ht="15" hidden="false" customHeight="false" outlineLevel="0" collapsed="false">
      <c r="A3001" s="3" t="n">
        <v>2020</v>
      </c>
      <c r="B3001" s="3" t="n">
        <v>3</v>
      </c>
      <c r="C3001" s="3" t="n">
        <v>18</v>
      </c>
      <c r="D3001" s="3" t="s">
        <v>3005</v>
      </c>
      <c r="E3001" s="4" t="n">
        <v>0</v>
      </c>
    </row>
    <row r="3002" customFormat="false" ht="15" hidden="false" customHeight="false" outlineLevel="0" collapsed="false">
      <c r="A3002" s="3" t="n">
        <v>2020</v>
      </c>
      <c r="B3002" s="3" t="n">
        <v>3</v>
      </c>
      <c r="C3002" s="3" t="n">
        <v>19</v>
      </c>
      <c r="D3002" s="3" t="s">
        <v>3006</v>
      </c>
      <c r="E3002" s="4" t="n">
        <v>24</v>
      </c>
    </row>
    <row r="3003" customFormat="false" ht="15" hidden="false" customHeight="false" outlineLevel="0" collapsed="false">
      <c r="A3003" s="3" t="n">
        <v>2020</v>
      </c>
      <c r="B3003" s="3" t="n">
        <v>3</v>
      </c>
      <c r="C3003" s="3" t="n">
        <v>20</v>
      </c>
      <c r="D3003" s="3" t="s">
        <v>3007</v>
      </c>
      <c r="E3003" s="4" t="n">
        <v>33</v>
      </c>
    </row>
    <row r="3004" customFormat="false" ht="15" hidden="false" customHeight="false" outlineLevel="0" collapsed="false">
      <c r="A3004" s="3" t="n">
        <v>2020</v>
      </c>
      <c r="B3004" s="3" t="n">
        <v>3</v>
      </c>
      <c r="C3004" s="3" t="n">
        <v>21</v>
      </c>
      <c r="D3004" s="3" t="s">
        <v>3008</v>
      </c>
      <c r="E3004" s="4" t="n">
        <v>15</v>
      </c>
    </row>
    <row r="3005" customFormat="false" ht="15" hidden="false" customHeight="false" outlineLevel="0" collapsed="false">
      <c r="A3005" s="3" t="n">
        <v>2020</v>
      </c>
      <c r="B3005" s="3" t="n">
        <v>3</v>
      </c>
      <c r="C3005" s="3" t="n">
        <v>22</v>
      </c>
      <c r="D3005" s="3" t="s">
        <v>3009</v>
      </c>
      <c r="E3005" s="4" t="n">
        <v>0</v>
      </c>
    </row>
    <row r="3006" customFormat="false" ht="15" hidden="false" customHeight="false" outlineLevel="0" collapsed="false">
      <c r="A3006" s="3" t="n">
        <v>2020</v>
      </c>
      <c r="B3006" s="3" t="n">
        <v>3</v>
      </c>
      <c r="C3006" s="3" t="n">
        <v>23</v>
      </c>
      <c r="D3006" s="3" t="s">
        <v>3010</v>
      </c>
      <c r="E3006" s="4" t="n">
        <v>0</v>
      </c>
    </row>
    <row r="3007" customFormat="false" ht="15" hidden="false" customHeight="false" outlineLevel="0" collapsed="false">
      <c r="A3007" s="3" t="n">
        <v>2020</v>
      </c>
      <c r="B3007" s="3" t="n">
        <v>3</v>
      </c>
      <c r="C3007" s="3" t="n">
        <v>24</v>
      </c>
      <c r="D3007" s="3" t="s">
        <v>3011</v>
      </c>
      <c r="E3007" s="4" t="n">
        <v>0</v>
      </c>
    </row>
    <row r="3008" customFormat="false" ht="15" hidden="false" customHeight="false" outlineLevel="0" collapsed="false">
      <c r="A3008" s="3" t="n">
        <v>2020</v>
      </c>
      <c r="B3008" s="3" t="n">
        <v>3</v>
      </c>
      <c r="C3008" s="3" t="n">
        <v>25</v>
      </c>
      <c r="D3008" s="3" t="s">
        <v>3012</v>
      </c>
      <c r="E3008" s="4" t="n">
        <v>0</v>
      </c>
    </row>
    <row r="3009" customFormat="false" ht="15" hidden="false" customHeight="false" outlineLevel="0" collapsed="false">
      <c r="A3009" s="3" t="n">
        <v>2020</v>
      </c>
      <c r="B3009" s="3" t="n">
        <v>3</v>
      </c>
      <c r="C3009" s="3" t="n">
        <v>26</v>
      </c>
      <c r="D3009" s="3" t="s">
        <v>3013</v>
      </c>
      <c r="E3009" s="4" t="n">
        <v>0</v>
      </c>
    </row>
    <row r="3010" customFormat="false" ht="15" hidden="false" customHeight="false" outlineLevel="0" collapsed="false">
      <c r="A3010" s="3" t="n">
        <v>2020</v>
      </c>
      <c r="B3010" s="3" t="n">
        <v>3</v>
      </c>
      <c r="C3010" s="3" t="n">
        <v>27</v>
      </c>
      <c r="D3010" s="3" t="s">
        <v>3014</v>
      </c>
      <c r="E3010" s="4" t="n">
        <v>0</v>
      </c>
    </row>
    <row r="3011" customFormat="false" ht="15" hidden="false" customHeight="false" outlineLevel="0" collapsed="false">
      <c r="A3011" s="3" t="n">
        <v>2020</v>
      </c>
      <c r="B3011" s="3" t="n">
        <v>3</v>
      </c>
      <c r="C3011" s="3" t="n">
        <v>28</v>
      </c>
      <c r="D3011" s="3" t="s">
        <v>3015</v>
      </c>
      <c r="E3011" s="4" t="n">
        <v>0</v>
      </c>
    </row>
    <row r="3012" customFormat="false" ht="15" hidden="false" customHeight="false" outlineLevel="0" collapsed="false">
      <c r="A3012" s="3" t="n">
        <v>2020</v>
      </c>
      <c r="B3012" s="3" t="n">
        <v>3</v>
      </c>
      <c r="C3012" s="3" t="n">
        <v>29</v>
      </c>
      <c r="D3012" s="3" t="s">
        <v>3016</v>
      </c>
      <c r="E3012" s="4" t="n">
        <v>0</v>
      </c>
    </row>
    <row r="3013" customFormat="false" ht="15" hidden="false" customHeight="false" outlineLevel="0" collapsed="false">
      <c r="A3013" s="3" t="n">
        <v>2020</v>
      </c>
      <c r="B3013" s="3" t="n">
        <v>3</v>
      </c>
      <c r="C3013" s="3" t="n">
        <v>30</v>
      </c>
      <c r="D3013" s="3" t="s">
        <v>3017</v>
      </c>
      <c r="E3013" s="4" t="n">
        <v>0</v>
      </c>
    </row>
    <row r="3014" customFormat="false" ht="15" hidden="false" customHeight="false" outlineLevel="0" collapsed="false">
      <c r="A3014" s="3" t="n">
        <v>2020</v>
      </c>
      <c r="B3014" s="3" t="n">
        <v>3</v>
      </c>
      <c r="C3014" s="3" t="n">
        <v>31</v>
      </c>
      <c r="D3014" s="3" t="s">
        <v>3018</v>
      </c>
      <c r="E3014" s="4" t="n">
        <v>0</v>
      </c>
    </row>
    <row r="3015" customFormat="false" ht="15" hidden="false" customHeight="false" outlineLevel="0" collapsed="false">
      <c r="A3015" s="3" t="n">
        <v>2020</v>
      </c>
      <c r="B3015" s="3" t="n">
        <v>4</v>
      </c>
      <c r="C3015" s="3" t="n">
        <v>1</v>
      </c>
      <c r="D3015" s="3" t="s">
        <v>3019</v>
      </c>
      <c r="E3015" s="4" t="n">
        <v>0</v>
      </c>
    </row>
    <row r="3016" customFormat="false" ht="15" hidden="false" customHeight="false" outlineLevel="0" collapsed="false">
      <c r="A3016" s="3" t="n">
        <v>2020</v>
      </c>
      <c r="B3016" s="3" t="n">
        <v>4</v>
      </c>
      <c r="C3016" s="3" t="n">
        <v>2</v>
      </c>
      <c r="D3016" s="3" t="s">
        <v>3020</v>
      </c>
      <c r="E3016" s="4" t="n">
        <v>0</v>
      </c>
    </row>
    <row r="3017" customFormat="false" ht="15" hidden="false" customHeight="false" outlineLevel="0" collapsed="false">
      <c r="A3017" s="3" t="n">
        <v>2020</v>
      </c>
      <c r="B3017" s="3" t="n">
        <v>4</v>
      </c>
      <c r="C3017" s="3" t="n">
        <v>3</v>
      </c>
      <c r="D3017" s="3" t="s">
        <v>3021</v>
      </c>
      <c r="E3017" s="4" t="n">
        <v>0</v>
      </c>
    </row>
    <row r="3018" customFormat="false" ht="15" hidden="false" customHeight="false" outlineLevel="0" collapsed="false">
      <c r="A3018" s="3" t="n">
        <v>2020</v>
      </c>
      <c r="B3018" s="3" t="n">
        <v>4</v>
      </c>
      <c r="C3018" s="3" t="n">
        <v>4</v>
      </c>
      <c r="D3018" s="3" t="s">
        <v>3022</v>
      </c>
      <c r="E3018" s="4" t="n">
        <v>0</v>
      </c>
    </row>
    <row r="3019" customFormat="false" ht="15" hidden="false" customHeight="false" outlineLevel="0" collapsed="false">
      <c r="A3019" s="3" t="n">
        <v>2020</v>
      </c>
      <c r="B3019" s="3" t="n">
        <v>4</v>
      </c>
      <c r="C3019" s="3" t="n">
        <v>5</v>
      </c>
      <c r="D3019" s="3" t="s">
        <v>3023</v>
      </c>
      <c r="E3019" s="4" t="n">
        <v>2</v>
      </c>
    </row>
    <row r="3020" customFormat="false" ht="15" hidden="false" customHeight="false" outlineLevel="0" collapsed="false">
      <c r="A3020" s="3" t="n">
        <v>2020</v>
      </c>
      <c r="B3020" s="3" t="n">
        <v>4</v>
      </c>
      <c r="C3020" s="3" t="n">
        <v>6</v>
      </c>
      <c r="D3020" s="3" t="s">
        <v>3024</v>
      </c>
      <c r="E3020" s="4" t="n">
        <v>63</v>
      </c>
    </row>
    <row r="3021" customFormat="false" ht="15" hidden="false" customHeight="false" outlineLevel="0" collapsed="false">
      <c r="A3021" s="3" t="n">
        <v>2020</v>
      </c>
      <c r="B3021" s="3" t="n">
        <v>4</v>
      </c>
      <c r="C3021" s="3" t="n">
        <v>7</v>
      </c>
      <c r="D3021" s="3" t="s">
        <v>3025</v>
      </c>
      <c r="E3021" s="4" t="n">
        <v>13</v>
      </c>
    </row>
    <row r="3022" customFormat="false" ht="15" hidden="false" customHeight="false" outlineLevel="0" collapsed="false">
      <c r="A3022" s="3" t="n">
        <v>2020</v>
      </c>
      <c r="B3022" s="3" t="n">
        <v>4</v>
      </c>
      <c r="C3022" s="3" t="n">
        <v>8</v>
      </c>
      <c r="D3022" s="3" t="s">
        <v>3026</v>
      </c>
      <c r="E3022" s="4" t="n">
        <v>0</v>
      </c>
    </row>
    <row r="3023" customFormat="false" ht="15" hidden="false" customHeight="false" outlineLevel="0" collapsed="false">
      <c r="A3023" s="3" t="n">
        <v>2020</v>
      </c>
      <c r="B3023" s="3" t="n">
        <v>4</v>
      </c>
      <c r="C3023" s="3" t="n">
        <v>9</v>
      </c>
      <c r="D3023" s="3" t="s">
        <v>3027</v>
      </c>
      <c r="E3023" s="4" t="n">
        <v>0</v>
      </c>
    </row>
    <row r="3024" customFormat="false" ht="15" hidden="false" customHeight="false" outlineLevel="0" collapsed="false">
      <c r="A3024" s="3" t="n">
        <v>2020</v>
      </c>
      <c r="B3024" s="3" t="n">
        <v>4</v>
      </c>
      <c r="C3024" s="3" t="n">
        <v>10</v>
      </c>
      <c r="D3024" s="3" t="s">
        <v>3028</v>
      </c>
      <c r="E3024" s="4" t="n">
        <v>13</v>
      </c>
    </row>
    <row r="3025" customFormat="false" ht="15" hidden="false" customHeight="false" outlineLevel="0" collapsed="false">
      <c r="A3025" s="3" t="n">
        <v>2020</v>
      </c>
      <c r="B3025" s="3" t="n">
        <v>4</v>
      </c>
      <c r="C3025" s="3" t="n">
        <v>11</v>
      </c>
      <c r="D3025" s="3" t="s">
        <v>3029</v>
      </c>
      <c r="E3025" s="4" t="n">
        <v>3</v>
      </c>
    </row>
    <row r="3026" customFormat="false" ht="15" hidden="false" customHeight="false" outlineLevel="0" collapsed="false">
      <c r="A3026" s="3" t="n">
        <v>2020</v>
      </c>
      <c r="B3026" s="3" t="n">
        <v>4</v>
      </c>
      <c r="C3026" s="3" t="n">
        <v>12</v>
      </c>
      <c r="D3026" s="3" t="s">
        <v>3030</v>
      </c>
      <c r="E3026" s="4" t="n">
        <v>33</v>
      </c>
    </row>
    <row r="3027" customFormat="false" ht="15" hidden="false" customHeight="false" outlineLevel="0" collapsed="false">
      <c r="A3027" s="3" t="n">
        <v>2020</v>
      </c>
      <c r="B3027" s="3" t="n">
        <v>4</v>
      </c>
      <c r="C3027" s="3" t="n">
        <v>13</v>
      </c>
      <c r="D3027" s="3" t="s">
        <v>3031</v>
      </c>
      <c r="E3027" s="4" t="n">
        <v>2</v>
      </c>
    </row>
    <row r="3028" customFormat="false" ht="15" hidden="false" customHeight="false" outlineLevel="0" collapsed="false">
      <c r="A3028" s="3" t="n">
        <v>2020</v>
      </c>
      <c r="B3028" s="3" t="n">
        <v>4</v>
      </c>
      <c r="C3028" s="3" t="n">
        <v>14</v>
      </c>
      <c r="D3028" s="3" t="s">
        <v>3032</v>
      </c>
      <c r="E3028" s="4" t="n">
        <v>0</v>
      </c>
    </row>
    <row r="3029" customFormat="false" ht="15" hidden="false" customHeight="false" outlineLevel="0" collapsed="false">
      <c r="A3029" s="3" t="n">
        <v>2020</v>
      </c>
      <c r="B3029" s="3" t="n">
        <v>4</v>
      </c>
      <c r="C3029" s="3" t="n">
        <v>15</v>
      </c>
      <c r="D3029" s="3" t="s">
        <v>3033</v>
      </c>
      <c r="E3029" s="4" t="n">
        <v>0</v>
      </c>
    </row>
    <row r="3030" customFormat="false" ht="15" hidden="false" customHeight="false" outlineLevel="0" collapsed="false">
      <c r="A3030" s="3" t="n">
        <v>2020</v>
      </c>
      <c r="B3030" s="3" t="n">
        <v>4</v>
      </c>
      <c r="C3030" s="3" t="n">
        <v>16</v>
      </c>
      <c r="D3030" s="3" t="s">
        <v>3034</v>
      </c>
      <c r="E3030" s="4" t="n">
        <v>29</v>
      </c>
    </row>
    <row r="3031" customFormat="false" ht="15" hidden="false" customHeight="false" outlineLevel="0" collapsed="false">
      <c r="A3031" s="3" t="n">
        <v>2020</v>
      </c>
      <c r="B3031" s="3" t="n">
        <v>4</v>
      </c>
      <c r="C3031" s="3" t="n">
        <v>17</v>
      </c>
      <c r="D3031" s="3" t="s">
        <v>3035</v>
      </c>
      <c r="E3031" s="4" t="n">
        <v>40</v>
      </c>
    </row>
    <row r="3032" customFormat="false" ht="15" hidden="false" customHeight="false" outlineLevel="0" collapsed="false">
      <c r="A3032" s="3" t="n">
        <v>2020</v>
      </c>
      <c r="B3032" s="3" t="n">
        <v>4</v>
      </c>
      <c r="C3032" s="3" t="n">
        <v>18</v>
      </c>
      <c r="D3032" s="3" t="s">
        <v>3036</v>
      </c>
      <c r="E3032" s="4" t="n">
        <v>0</v>
      </c>
    </row>
    <row r="3033" customFormat="false" ht="15" hidden="false" customHeight="false" outlineLevel="0" collapsed="false">
      <c r="A3033" s="3" t="n">
        <v>2020</v>
      </c>
      <c r="B3033" s="3" t="n">
        <v>4</v>
      </c>
      <c r="C3033" s="3" t="n">
        <v>19</v>
      </c>
      <c r="D3033" s="3" t="s">
        <v>3037</v>
      </c>
      <c r="E3033" s="4" t="n">
        <v>0</v>
      </c>
    </row>
    <row r="3034" customFormat="false" ht="15" hidden="false" customHeight="false" outlineLevel="0" collapsed="false">
      <c r="A3034" s="3" t="n">
        <v>2020</v>
      </c>
      <c r="B3034" s="3" t="n">
        <v>4</v>
      </c>
      <c r="C3034" s="3" t="n">
        <v>20</v>
      </c>
      <c r="D3034" s="3" t="s">
        <v>3038</v>
      </c>
      <c r="E3034" s="4" t="n">
        <v>0</v>
      </c>
    </row>
    <row r="3035" customFormat="false" ht="15" hidden="false" customHeight="false" outlineLevel="0" collapsed="false">
      <c r="A3035" s="3" t="n">
        <v>2020</v>
      </c>
      <c r="B3035" s="3" t="n">
        <v>4</v>
      </c>
      <c r="C3035" s="3" t="n">
        <v>21</v>
      </c>
      <c r="D3035" s="3" t="s">
        <v>3039</v>
      </c>
      <c r="E3035" s="4" t="n">
        <v>0</v>
      </c>
    </row>
    <row r="3036" customFormat="false" ht="15" hidden="false" customHeight="false" outlineLevel="0" collapsed="false">
      <c r="A3036" s="3" t="n">
        <v>2020</v>
      </c>
      <c r="B3036" s="3" t="n">
        <v>4</v>
      </c>
      <c r="C3036" s="3" t="n">
        <v>22</v>
      </c>
      <c r="D3036" s="3" t="s">
        <v>3040</v>
      </c>
      <c r="E3036" s="4" t="n">
        <v>14</v>
      </c>
    </row>
    <row r="3037" customFormat="false" ht="15" hidden="false" customHeight="false" outlineLevel="0" collapsed="false">
      <c r="A3037" s="3" t="n">
        <v>2020</v>
      </c>
      <c r="B3037" s="3" t="n">
        <v>4</v>
      </c>
      <c r="C3037" s="3" t="n">
        <v>23</v>
      </c>
      <c r="D3037" s="3" t="s">
        <v>3041</v>
      </c>
      <c r="E3037" s="4" t="n">
        <v>0</v>
      </c>
    </row>
    <row r="3038" customFormat="false" ht="15" hidden="false" customHeight="false" outlineLevel="0" collapsed="false">
      <c r="A3038" s="3" t="n">
        <v>2020</v>
      </c>
      <c r="B3038" s="3" t="n">
        <v>4</v>
      </c>
      <c r="C3038" s="3" t="n">
        <v>24</v>
      </c>
      <c r="D3038" s="3" t="s">
        <v>3042</v>
      </c>
      <c r="E3038" s="4" t="n">
        <v>7</v>
      </c>
    </row>
    <row r="3039" customFormat="false" ht="15" hidden="false" customHeight="false" outlineLevel="0" collapsed="false">
      <c r="A3039" s="3" t="n">
        <v>2020</v>
      </c>
      <c r="B3039" s="3" t="n">
        <v>4</v>
      </c>
      <c r="C3039" s="3" t="n">
        <v>25</v>
      </c>
      <c r="D3039" s="3" t="s">
        <v>3043</v>
      </c>
      <c r="E3039" s="4" t="n">
        <v>31</v>
      </c>
    </row>
    <row r="3040" customFormat="false" ht="15" hidden="false" customHeight="false" outlineLevel="0" collapsed="false">
      <c r="A3040" s="3" t="n">
        <v>2020</v>
      </c>
      <c r="B3040" s="3" t="n">
        <v>4</v>
      </c>
      <c r="C3040" s="3" t="n">
        <v>26</v>
      </c>
      <c r="D3040" s="3" t="s">
        <v>3044</v>
      </c>
      <c r="E3040" s="4" t="n">
        <v>0</v>
      </c>
    </row>
    <row r="3041" customFormat="false" ht="15" hidden="false" customHeight="false" outlineLevel="0" collapsed="false">
      <c r="A3041" s="3" t="n">
        <v>2020</v>
      </c>
      <c r="B3041" s="3" t="n">
        <v>4</v>
      </c>
      <c r="C3041" s="3" t="n">
        <v>27</v>
      </c>
      <c r="D3041" s="3" t="s">
        <v>3045</v>
      </c>
      <c r="E3041" s="4" t="n">
        <v>6</v>
      </c>
    </row>
    <row r="3042" customFormat="false" ht="15" hidden="false" customHeight="false" outlineLevel="0" collapsed="false">
      <c r="A3042" s="3" t="n">
        <v>2020</v>
      </c>
      <c r="B3042" s="3" t="n">
        <v>4</v>
      </c>
      <c r="C3042" s="3" t="n">
        <v>28</v>
      </c>
      <c r="D3042" s="3" t="s">
        <v>3046</v>
      </c>
      <c r="E3042" s="4" t="n">
        <v>96</v>
      </c>
    </row>
    <row r="3043" customFormat="false" ht="15" hidden="false" customHeight="false" outlineLevel="0" collapsed="false">
      <c r="A3043" s="3" t="n">
        <v>2020</v>
      </c>
      <c r="B3043" s="3" t="n">
        <v>4</v>
      </c>
      <c r="C3043" s="3" t="n">
        <v>29</v>
      </c>
      <c r="D3043" s="3" t="s">
        <v>3047</v>
      </c>
      <c r="E3043" s="4" t="n">
        <v>1</v>
      </c>
    </row>
    <row r="3044" customFormat="false" ht="15" hidden="false" customHeight="false" outlineLevel="0" collapsed="false">
      <c r="A3044" s="3" t="n">
        <v>2020</v>
      </c>
      <c r="B3044" s="3" t="n">
        <v>4</v>
      </c>
      <c r="C3044" s="3" t="n">
        <v>30</v>
      </c>
      <c r="D3044" s="3" t="s">
        <v>3048</v>
      </c>
      <c r="E3044" s="4" t="n">
        <v>5</v>
      </c>
    </row>
    <row r="3045" customFormat="false" ht="15" hidden="false" customHeight="false" outlineLevel="0" collapsed="false">
      <c r="A3045" s="3" t="n">
        <v>2020</v>
      </c>
      <c r="B3045" s="3" t="n">
        <v>5</v>
      </c>
      <c r="C3045" s="3" t="n">
        <v>1</v>
      </c>
      <c r="D3045" s="3" t="s">
        <v>3049</v>
      </c>
      <c r="E3045" s="4" t="n">
        <v>3</v>
      </c>
    </row>
    <row r="3046" customFormat="false" ht="15" hidden="false" customHeight="false" outlineLevel="0" collapsed="false">
      <c r="A3046" s="3" t="n">
        <v>2020</v>
      </c>
      <c r="B3046" s="3" t="n">
        <v>5</v>
      </c>
      <c r="C3046" s="3" t="n">
        <v>2</v>
      </c>
      <c r="D3046" s="3" t="s">
        <v>3050</v>
      </c>
      <c r="E3046" s="4" t="n">
        <v>20</v>
      </c>
    </row>
    <row r="3047" customFormat="false" ht="15" hidden="false" customHeight="false" outlineLevel="0" collapsed="false">
      <c r="A3047" s="3" t="n">
        <v>2020</v>
      </c>
      <c r="B3047" s="3" t="n">
        <v>5</v>
      </c>
      <c r="C3047" s="3" t="n">
        <v>3</v>
      </c>
      <c r="D3047" s="3" t="s">
        <v>3051</v>
      </c>
      <c r="E3047" s="4" t="n">
        <v>22</v>
      </c>
    </row>
    <row r="3048" customFormat="false" ht="15" hidden="false" customHeight="false" outlineLevel="0" collapsed="false">
      <c r="A3048" s="3" t="n">
        <v>2020</v>
      </c>
      <c r="B3048" s="3" t="n">
        <v>5</v>
      </c>
      <c r="C3048" s="3" t="n">
        <v>4</v>
      </c>
      <c r="D3048" s="3" t="s">
        <v>3052</v>
      </c>
      <c r="E3048" s="4" t="n">
        <v>0</v>
      </c>
    </row>
    <row r="3049" customFormat="false" ht="15" hidden="false" customHeight="false" outlineLevel="0" collapsed="false">
      <c r="A3049" s="3" t="n">
        <v>2020</v>
      </c>
      <c r="B3049" s="3" t="n">
        <v>5</v>
      </c>
      <c r="C3049" s="3" t="n">
        <v>5</v>
      </c>
      <c r="D3049" s="3" t="s">
        <v>3053</v>
      </c>
      <c r="E3049" s="4" t="n">
        <v>0</v>
      </c>
    </row>
    <row r="3050" customFormat="false" ht="15" hidden="false" customHeight="false" outlineLevel="0" collapsed="false">
      <c r="A3050" s="3" t="n">
        <v>2020</v>
      </c>
      <c r="B3050" s="3" t="n">
        <v>5</v>
      </c>
      <c r="C3050" s="3" t="n">
        <v>6</v>
      </c>
      <c r="D3050" s="3" t="s">
        <v>3054</v>
      </c>
      <c r="E3050" s="4" t="n">
        <v>0</v>
      </c>
    </row>
    <row r="3051" customFormat="false" ht="15" hidden="false" customHeight="false" outlineLevel="0" collapsed="false">
      <c r="A3051" s="3" t="n">
        <v>2020</v>
      </c>
      <c r="B3051" s="3" t="n">
        <v>5</v>
      </c>
      <c r="C3051" s="3" t="n">
        <v>7</v>
      </c>
      <c r="D3051" s="3" t="s">
        <v>3055</v>
      </c>
      <c r="E3051" s="4" t="n">
        <v>2</v>
      </c>
    </row>
    <row r="3052" customFormat="false" ht="15" hidden="false" customHeight="false" outlineLevel="0" collapsed="false">
      <c r="A3052" s="3" t="n">
        <v>2020</v>
      </c>
      <c r="B3052" s="3" t="n">
        <v>5</v>
      </c>
      <c r="C3052" s="3" t="n">
        <v>8</v>
      </c>
      <c r="D3052" s="3" t="s">
        <v>3056</v>
      </c>
      <c r="E3052" s="4" t="n">
        <v>0</v>
      </c>
    </row>
    <row r="3053" customFormat="false" ht="15" hidden="false" customHeight="false" outlineLevel="0" collapsed="false">
      <c r="A3053" s="3" t="n">
        <v>2020</v>
      </c>
      <c r="B3053" s="3" t="n">
        <v>5</v>
      </c>
      <c r="C3053" s="3" t="n">
        <v>9</v>
      </c>
      <c r="D3053" s="3" t="s">
        <v>3057</v>
      </c>
      <c r="E3053" s="4" t="n">
        <v>16</v>
      </c>
    </row>
    <row r="3054" customFormat="false" ht="15" hidden="false" customHeight="false" outlineLevel="0" collapsed="false">
      <c r="A3054" s="3" t="n">
        <v>2020</v>
      </c>
      <c r="B3054" s="3" t="n">
        <v>5</v>
      </c>
      <c r="C3054" s="3" t="n">
        <v>10</v>
      </c>
      <c r="D3054" s="3" t="s">
        <v>3058</v>
      </c>
      <c r="E3054" s="4" t="n">
        <v>22</v>
      </c>
    </row>
    <row r="3055" customFormat="false" ht="15" hidden="false" customHeight="false" outlineLevel="0" collapsed="false">
      <c r="A3055" s="3" t="n">
        <v>2020</v>
      </c>
      <c r="B3055" s="3" t="n">
        <v>5</v>
      </c>
      <c r="C3055" s="3" t="n">
        <v>11</v>
      </c>
      <c r="D3055" s="3" t="s">
        <v>3059</v>
      </c>
      <c r="E3055" s="4" t="n">
        <v>0</v>
      </c>
    </row>
    <row r="3056" customFormat="false" ht="15" hidden="false" customHeight="false" outlineLevel="0" collapsed="false">
      <c r="A3056" s="3" t="n">
        <v>2020</v>
      </c>
      <c r="B3056" s="3" t="n">
        <v>5</v>
      </c>
      <c r="C3056" s="3" t="n">
        <v>12</v>
      </c>
      <c r="D3056" s="3" t="s">
        <v>3060</v>
      </c>
      <c r="E3056" s="4" t="n">
        <v>43</v>
      </c>
    </row>
    <row r="3057" customFormat="false" ht="15" hidden="false" customHeight="false" outlineLevel="0" collapsed="false">
      <c r="A3057" s="3" t="n">
        <v>2020</v>
      </c>
      <c r="B3057" s="3" t="n">
        <v>5</v>
      </c>
      <c r="C3057" s="3" t="n">
        <v>13</v>
      </c>
      <c r="D3057" s="3" t="s">
        <v>3061</v>
      </c>
      <c r="E3057" s="4" t="n">
        <v>21</v>
      </c>
    </row>
    <row r="3058" customFormat="false" ht="15" hidden="false" customHeight="false" outlineLevel="0" collapsed="false">
      <c r="A3058" s="3" t="n">
        <v>2020</v>
      </c>
      <c r="B3058" s="3" t="n">
        <v>5</v>
      </c>
      <c r="C3058" s="3" t="n">
        <v>14</v>
      </c>
      <c r="D3058" s="3" t="s">
        <v>3062</v>
      </c>
      <c r="E3058" s="4" t="n">
        <v>11</v>
      </c>
    </row>
    <row r="3059" customFormat="false" ht="15" hidden="false" customHeight="false" outlineLevel="0" collapsed="false">
      <c r="A3059" s="3" t="n">
        <v>2020</v>
      </c>
      <c r="B3059" s="3" t="n">
        <v>5</v>
      </c>
      <c r="C3059" s="3" t="n">
        <v>15</v>
      </c>
      <c r="D3059" s="3" t="s">
        <v>3063</v>
      </c>
      <c r="E3059" s="4" t="n">
        <v>1</v>
      </c>
    </row>
    <row r="3060" customFormat="false" ht="15" hidden="false" customHeight="false" outlineLevel="0" collapsed="false">
      <c r="A3060" s="3" t="n">
        <v>2020</v>
      </c>
      <c r="B3060" s="3" t="n">
        <v>5</v>
      </c>
      <c r="C3060" s="3" t="n">
        <v>16</v>
      </c>
      <c r="D3060" s="3" t="s">
        <v>3064</v>
      </c>
      <c r="E3060" s="4" t="n">
        <v>0</v>
      </c>
    </row>
    <row r="3061" customFormat="false" ht="15" hidden="false" customHeight="false" outlineLevel="0" collapsed="false">
      <c r="A3061" s="3" t="n">
        <v>2020</v>
      </c>
      <c r="B3061" s="3" t="n">
        <v>5</v>
      </c>
      <c r="C3061" s="3" t="n">
        <v>17</v>
      </c>
      <c r="D3061" s="3" t="s">
        <v>3065</v>
      </c>
      <c r="E3061" s="4" t="n">
        <v>53</v>
      </c>
    </row>
    <row r="3062" customFormat="false" ht="15" hidden="false" customHeight="false" outlineLevel="0" collapsed="false">
      <c r="A3062" s="3" t="n">
        <v>2020</v>
      </c>
      <c r="B3062" s="3" t="n">
        <v>5</v>
      </c>
      <c r="C3062" s="3" t="n">
        <v>18</v>
      </c>
      <c r="D3062" s="3" t="s">
        <v>3066</v>
      </c>
      <c r="E3062" s="4" t="n">
        <v>0</v>
      </c>
    </row>
    <row r="3063" customFormat="false" ht="15" hidden="false" customHeight="false" outlineLevel="0" collapsed="false">
      <c r="A3063" s="3" t="n">
        <v>2020</v>
      </c>
      <c r="B3063" s="3" t="n">
        <v>5</v>
      </c>
      <c r="C3063" s="3" t="n">
        <v>19</v>
      </c>
      <c r="D3063" s="3" t="s">
        <v>3067</v>
      </c>
      <c r="E3063" s="4" t="n">
        <v>0</v>
      </c>
    </row>
    <row r="3064" customFormat="false" ht="15" hidden="false" customHeight="false" outlineLevel="0" collapsed="false">
      <c r="A3064" s="3" t="n">
        <v>2020</v>
      </c>
      <c r="B3064" s="3" t="n">
        <v>5</v>
      </c>
      <c r="C3064" s="3" t="n">
        <v>20</v>
      </c>
      <c r="D3064" s="3" t="s">
        <v>3068</v>
      </c>
      <c r="E3064" s="4" t="n">
        <v>2</v>
      </c>
    </row>
    <row r="3065" customFormat="false" ht="15" hidden="false" customHeight="false" outlineLevel="0" collapsed="false">
      <c r="A3065" s="3" t="n">
        <v>2020</v>
      </c>
      <c r="B3065" s="3" t="n">
        <v>5</v>
      </c>
      <c r="C3065" s="3" t="n">
        <v>21</v>
      </c>
      <c r="D3065" s="3" t="s">
        <v>3069</v>
      </c>
      <c r="E3065" s="4" t="n">
        <v>0</v>
      </c>
    </row>
    <row r="3066" customFormat="false" ht="15" hidden="false" customHeight="false" outlineLevel="0" collapsed="false">
      <c r="A3066" s="3" t="n">
        <v>2020</v>
      </c>
      <c r="B3066" s="3" t="n">
        <v>5</v>
      </c>
      <c r="C3066" s="3" t="n">
        <v>22</v>
      </c>
      <c r="D3066" s="3" t="s">
        <v>3070</v>
      </c>
      <c r="E3066" s="4" t="n">
        <v>28</v>
      </c>
    </row>
    <row r="3067" customFormat="false" ht="15" hidden="false" customHeight="false" outlineLevel="0" collapsed="false">
      <c r="A3067" s="3" t="n">
        <v>2020</v>
      </c>
      <c r="B3067" s="3" t="n">
        <v>5</v>
      </c>
      <c r="C3067" s="3" t="n">
        <v>23</v>
      </c>
      <c r="D3067" s="3" t="s">
        <v>3071</v>
      </c>
      <c r="E3067" s="4" t="n">
        <v>0</v>
      </c>
    </row>
    <row r="3068" customFormat="false" ht="15" hidden="false" customHeight="false" outlineLevel="0" collapsed="false">
      <c r="A3068" s="3" t="n">
        <v>2020</v>
      </c>
      <c r="B3068" s="3" t="n">
        <v>5</v>
      </c>
      <c r="C3068" s="3" t="n">
        <v>24</v>
      </c>
      <c r="D3068" s="3" t="s">
        <v>3072</v>
      </c>
      <c r="E3068" s="4" t="n">
        <v>0</v>
      </c>
    </row>
    <row r="3069" customFormat="false" ht="15" hidden="false" customHeight="false" outlineLevel="0" collapsed="false">
      <c r="A3069" s="3" t="n">
        <v>2020</v>
      </c>
      <c r="B3069" s="3" t="n">
        <v>5</v>
      </c>
      <c r="C3069" s="3" t="n">
        <v>25</v>
      </c>
      <c r="D3069" s="3" t="s">
        <v>3073</v>
      </c>
      <c r="E3069" s="4" t="n">
        <v>0</v>
      </c>
    </row>
    <row r="3070" customFormat="false" ht="15" hidden="false" customHeight="false" outlineLevel="0" collapsed="false">
      <c r="A3070" s="3" t="n">
        <v>2020</v>
      </c>
      <c r="B3070" s="3" t="n">
        <v>5</v>
      </c>
      <c r="C3070" s="3" t="n">
        <v>26</v>
      </c>
      <c r="D3070" s="3" t="s">
        <v>3074</v>
      </c>
      <c r="E3070" s="4" t="n">
        <v>0</v>
      </c>
    </row>
    <row r="3071" customFormat="false" ht="15" hidden="false" customHeight="false" outlineLevel="0" collapsed="false">
      <c r="A3071" s="3" t="n">
        <v>2020</v>
      </c>
      <c r="B3071" s="3" t="n">
        <v>5</v>
      </c>
      <c r="C3071" s="3" t="n">
        <v>27</v>
      </c>
      <c r="D3071" s="3" t="s">
        <v>3075</v>
      </c>
      <c r="E3071" s="4" t="n">
        <v>3</v>
      </c>
    </row>
    <row r="3072" customFormat="false" ht="15" hidden="false" customHeight="false" outlineLevel="0" collapsed="false">
      <c r="A3072" s="3" t="n">
        <v>2020</v>
      </c>
      <c r="B3072" s="3" t="n">
        <v>5</v>
      </c>
      <c r="C3072" s="3" t="n">
        <v>28</v>
      </c>
      <c r="D3072" s="3" t="s">
        <v>3076</v>
      </c>
      <c r="E3072" s="4" t="n">
        <v>26</v>
      </c>
    </row>
    <row r="3073" customFormat="false" ht="15" hidden="false" customHeight="false" outlineLevel="0" collapsed="false">
      <c r="A3073" s="3" t="n">
        <v>2020</v>
      </c>
      <c r="B3073" s="3" t="n">
        <v>5</v>
      </c>
      <c r="C3073" s="3" t="n">
        <v>29</v>
      </c>
      <c r="D3073" s="3" t="s">
        <v>3077</v>
      </c>
      <c r="E3073" s="4" t="n">
        <v>0</v>
      </c>
    </row>
    <row r="3074" customFormat="false" ht="15" hidden="false" customHeight="false" outlineLevel="0" collapsed="false">
      <c r="A3074" s="3" t="n">
        <v>2020</v>
      </c>
      <c r="B3074" s="3" t="n">
        <v>5</v>
      </c>
      <c r="C3074" s="3" t="n">
        <v>30</v>
      </c>
      <c r="D3074" s="3" t="s">
        <v>3078</v>
      </c>
      <c r="E3074" s="4" t="n">
        <v>8</v>
      </c>
    </row>
    <row r="3075" customFormat="false" ht="15" hidden="false" customHeight="false" outlineLevel="0" collapsed="false">
      <c r="A3075" s="3" t="n">
        <v>2020</v>
      </c>
      <c r="B3075" s="3" t="n">
        <v>5</v>
      </c>
      <c r="C3075" s="3" t="n">
        <v>31</v>
      </c>
      <c r="D3075" s="3" t="s">
        <v>3079</v>
      </c>
      <c r="E3075" s="4" t="n">
        <v>24</v>
      </c>
    </row>
    <row r="3076" customFormat="false" ht="15" hidden="false" customHeight="false" outlineLevel="0" collapsed="false">
      <c r="A3076" s="3" t="n">
        <v>2020</v>
      </c>
      <c r="B3076" s="3" t="n">
        <v>6</v>
      </c>
      <c r="C3076" s="3" t="n">
        <v>1</v>
      </c>
      <c r="D3076" s="3" t="s">
        <v>3080</v>
      </c>
      <c r="E3076" s="4" t="n">
        <v>9</v>
      </c>
    </row>
    <row r="3077" customFormat="false" ht="15" hidden="false" customHeight="false" outlineLevel="0" collapsed="false">
      <c r="A3077" s="3" t="n">
        <v>2020</v>
      </c>
      <c r="B3077" s="3" t="n">
        <v>6</v>
      </c>
      <c r="C3077" s="3" t="n">
        <v>2</v>
      </c>
      <c r="D3077" s="3" t="s">
        <v>3081</v>
      </c>
      <c r="E3077" s="4" t="n">
        <v>5</v>
      </c>
    </row>
    <row r="3078" customFormat="false" ht="15" hidden="false" customHeight="false" outlineLevel="0" collapsed="false">
      <c r="A3078" s="3" t="n">
        <v>2020</v>
      </c>
      <c r="B3078" s="3" t="n">
        <v>6</v>
      </c>
      <c r="C3078" s="3" t="n">
        <v>3</v>
      </c>
      <c r="D3078" s="3" t="s">
        <v>3082</v>
      </c>
      <c r="E3078" s="4" t="n">
        <v>0</v>
      </c>
    </row>
    <row r="3079" customFormat="false" ht="15" hidden="false" customHeight="false" outlineLevel="0" collapsed="false">
      <c r="A3079" s="3" t="n">
        <v>2020</v>
      </c>
      <c r="B3079" s="3" t="n">
        <v>6</v>
      </c>
      <c r="C3079" s="3" t="n">
        <v>4</v>
      </c>
      <c r="D3079" s="3" t="s">
        <v>3083</v>
      </c>
      <c r="E3079" s="4" t="n">
        <v>32</v>
      </c>
    </row>
    <row r="3080" customFormat="false" ht="15" hidden="false" customHeight="false" outlineLevel="0" collapsed="false">
      <c r="A3080" s="3" t="n">
        <v>2020</v>
      </c>
      <c r="B3080" s="3" t="n">
        <v>6</v>
      </c>
      <c r="C3080" s="3" t="n">
        <v>5</v>
      </c>
      <c r="D3080" s="3" t="s">
        <v>3084</v>
      </c>
      <c r="E3080" s="4" t="n">
        <v>0</v>
      </c>
    </row>
    <row r="3081" customFormat="false" ht="15" hidden="false" customHeight="false" outlineLevel="0" collapsed="false">
      <c r="A3081" s="3" t="n">
        <v>2020</v>
      </c>
      <c r="B3081" s="3" t="n">
        <v>6</v>
      </c>
      <c r="C3081" s="3" t="n">
        <v>6</v>
      </c>
      <c r="D3081" s="3" t="s">
        <v>3085</v>
      </c>
      <c r="E3081" s="4" t="n">
        <v>18</v>
      </c>
    </row>
    <row r="3082" customFormat="false" ht="15" hidden="false" customHeight="false" outlineLevel="0" collapsed="false">
      <c r="A3082" s="3" t="n">
        <v>2020</v>
      </c>
      <c r="B3082" s="3" t="n">
        <v>6</v>
      </c>
      <c r="C3082" s="3" t="n">
        <v>7</v>
      </c>
      <c r="D3082" s="3" t="s">
        <v>3086</v>
      </c>
      <c r="E3082" s="4" t="n">
        <v>23</v>
      </c>
    </row>
    <row r="3083" customFormat="false" ht="15" hidden="false" customHeight="false" outlineLevel="0" collapsed="false">
      <c r="A3083" s="3" t="n">
        <v>2020</v>
      </c>
      <c r="B3083" s="3" t="n">
        <v>6</v>
      </c>
      <c r="C3083" s="3" t="n">
        <v>8</v>
      </c>
      <c r="D3083" s="3" t="s">
        <v>3087</v>
      </c>
      <c r="E3083" s="4" t="n">
        <v>0</v>
      </c>
    </row>
    <row r="3084" customFormat="false" ht="15" hidden="false" customHeight="false" outlineLevel="0" collapsed="false">
      <c r="A3084" s="3" t="n">
        <v>2020</v>
      </c>
      <c r="B3084" s="3" t="n">
        <v>6</v>
      </c>
      <c r="C3084" s="3" t="n">
        <v>9</v>
      </c>
      <c r="D3084" s="3" t="s">
        <v>3088</v>
      </c>
      <c r="E3084" s="4" t="n">
        <v>0</v>
      </c>
    </row>
    <row r="3085" customFormat="false" ht="15" hidden="false" customHeight="false" outlineLevel="0" collapsed="false">
      <c r="A3085" s="3" t="n">
        <v>2020</v>
      </c>
      <c r="B3085" s="3" t="n">
        <v>6</v>
      </c>
      <c r="C3085" s="3" t="n">
        <v>10</v>
      </c>
      <c r="D3085" s="3" t="s">
        <v>3089</v>
      </c>
      <c r="E3085" s="4" t="n">
        <v>0</v>
      </c>
    </row>
    <row r="3086" customFormat="false" ht="15" hidden="false" customHeight="false" outlineLevel="0" collapsed="false">
      <c r="A3086" s="3" t="n">
        <v>2020</v>
      </c>
      <c r="B3086" s="3" t="n">
        <v>6</v>
      </c>
      <c r="C3086" s="3" t="n">
        <v>11</v>
      </c>
      <c r="D3086" s="3" t="s">
        <v>3090</v>
      </c>
      <c r="E3086" s="4" t="n">
        <v>0</v>
      </c>
    </row>
    <row r="3087" customFormat="false" ht="15" hidden="false" customHeight="false" outlineLevel="0" collapsed="false">
      <c r="A3087" s="3" t="n">
        <v>2020</v>
      </c>
      <c r="B3087" s="3" t="n">
        <v>6</v>
      </c>
      <c r="C3087" s="3" t="n">
        <v>12</v>
      </c>
      <c r="D3087" s="3" t="s">
        <v>3091</v>
      </c>
      <c r="E3087" s="4" t="n">
        <v>0</v>
      </c>
    </row>
    <row r="3088" customFormat="false" ht="15" hidden="false" customHeight="false" outlineLevel="0" collapsed="false">
      <c r="A3088" s="3" t="n">
        <v>2020</v>
      </c>
      <c r="B3088" s="3" t="n">
        <v>6</v>
      </c>
      <c r="C3088" s="3" t="n">
        <v>13</v>
      </c>
      <c r="D3088" s="3" t="s">
        <v>3092</v>
      </c>
      <c r="E3088" s="4" t="n">
        <v>0</v>
      </c>
    </row>
    <row r="3089" customFormat="false" ht="15" hidden="false" customHeight="false" outlineLevel="0" collapsed="false">
      <c r="A3089" s="3" t="n">
        <v>2020</v>
      </c>
      <c r="B3089" s="3" t="n">
        <v>6</v>
      </c>
      <c r="C3089" s="3" t="n">
        <v>14</v>
      </c>
      <c r="D3089" s="3" t="s">
        <v>3093</v>
      </c>
      <c r="E3089" s="4" t="n">
        <v>43</v>
      </c>
    </row>
    <row r="3090" customFormat="false" ht="15" hidden="false" customHeight="false" outlineLevel="0" collapsed="false">
      <c r="A3090" s="3" t="n">
        <v>2020</v>
      </c>
      <c r="B3090" s="3" t="n">
        <v>6</v>
      </c>
      <c r="C3090" s="3" t="n">
        <v>15</v>
      </c>
      <c r="D3090" s="3" t="s">
        <v>3094</v>
      </c>
      <c r="E3090" s="4" t="n">
        <v>0</v>
      </c>
    </row>
    <row r="3091" customFormat="false" ht="15" hidden="false" customHeight="false" outlineLevel="0" collapsed="false">
      <c r="A3091" s="3" t="n">
        <v>2020</v>
      </c>
      <c r="B3091" s="3" t="n">
        <v>6</v>
      </c>
      <c r="C3091" s="3" t="n">
        <v>16</v>
      </c>
      <c r="D3091" s="3" t="s">
        <v>3095</v>
      </c>
      <c r="E3091" s="4" t="n">
        <v>54</v>
      </c>
    </row>
    <row r="3092" customFormat="false" ht="15" hidden="false" customHeight="false" outlineLevel="0" collapsed="false">
      <c r="A3092" s="3" t="n">
        <v>2020</v>
      </c>
      <c r="B3092" s="3" t="n">
        <v>6</v>
      </c>
      <c r="C3092" s="3" t="n">
        <v>17</v>
      </c>
      <c r="D3092" s="3" t="s">
        <v>3096</v>
      </c>
      <c r="E3092" s="4" t="n">
        <v>0</v>
      </c>
    </row>
    <row r="3093" customFormat="false" ht="15" hidden="false" customHeight="false" outlineLevel="0" collapsed="false">
      <c r="A3093" s="3" t="n">
        <v>2020</v>
      </c>
      <c r="B3093" s="3" t="n">
        <v>6</v>
      </c>
      <c r="C3093" s="3" t="n">
        <v>18</v>
      </c>
      <c r="D3093" s="3" t="s">
        <v>3097</v>
      </c>
      <c r="E3093" s="4" t="n">
        <v>54</v>
      </c>
    </row>
    <row r="3094" customFormat="false" ht="15" hidden="false" customHeight="false" outlineLevel="0" collapsed="false">
      <c r="A3094" s="3" t="n">
        <v>2020</v>
      </c>
      <c r="B3094" s="3" t="n">
        <v>6</v>
      </c>
      <c r="C3094" s="3" t="n">
        <v>19</v>
      </c>
      <c r="D3094" s="3" t="s">
        <v>3098</v>
      </c>
      <c r="E3094" s="4" t="n">
        <v>37</v>
      </c>
    </row>
    <row r="3095" customFormat="false" ht="15" hidden="false" customHeight="false" outlineLevel="0" collapsed="false">
      <c r="A3095" s="3" t="n">
        <v>2020</v>
      </c>
      <c r="B3095" s="3" t="n">
        <v>6</v>
      </c>
      <c r="C3095" s="3" t="n">
        <v>20</v>
      </c>
      <c r="D3095" s="3" t="s">
        <v>3099</v>
      </c>
      <c r="E3095" s="4" t="n">
        <v>0</v>
      </c>
    </row>
    <row r="3096" customFormat="false" ht="15" hidden="false" customHeight="false" outlineLevel="0" collapsed="false">
      <c r="A3096" s="3" t="n">
        <v>2020</v>
      </c>
      <c r="B3096" s="3" t="n">
        <v>6</v>
      </c>
      <c r="C3096" s="3" t="n">
        <v>21</v>
      </c>
      <c r="D3096" s="3" t="s">
        <v>3100</v>
      </c>
      <c r="E3096" s="4" t="n">
        <v>9</v>
      </c>
    </row>
    <row r="3097" customFormat="false" ht="15" hidden="false" customHeight="false" outlineLevel="0" collapsed="false">
      <c r="A3097" s="3" t="n">
        <v>2020</v>
      </c>
      <c r="B3097" s="3" t="n">
        <v>6</v>
      </c>
      <c r="C3097" s="3" t="n">
        <v>22</v>
      </c>
      <c r="D3097" s="3" t="s">
        <v>3101</v>
      </c>
      <c r="E3097" s="4" t="n">
        <v>63</v>
      </c>
    </row>
    <row r="3098" customFormat="false" ht="15" hidden="false" customHeight="false" outlineLevel="0" collapsed="false">
      <c r="A3098" s="3" t="n">
        <v>2020</v>
      </c>
      <c r="B3098" s="3" t="n">
        <v>6</v>
      </c>
      <c r="C3098" s="3" t="n">
        <v>23</v>
      </c>
      <c r="D3098" s="3" t="s">
        <v>3102</v>
      </c>
      <c r="E3098" s="4" t="n">
        <v>27</v>
      </c>
    </row>
    <row r="3099" customFormat="false" ht="15" hidden="false" customHeight="false" outlineLevel="0" collapsed="false">
      <c r="A3099" s="3" t="n">
        <v>2020</v>
      </c>
      <c r="B3099" s="3" t="n">
        <v>6</v>
      </c>
      <c r="C3099" s="3" t="n">
        <v>24</v>
      </c>
      <c r="D3099" s="3" t="s">
        <v>3103</v>
      </c>
      <c r="E3099" s="4" t="n">
        <v>8</v>
      </c>
    </row>
    <row r="3100" customFormat="false" ht="15" hidden="false" customHeight="false" outlineLevel="0" collapsed="false">
      <c r="A3100" s="3" t="n">
        <v>2020</v>
      </c>
      <c r="B3100" s="3" t="n">
        <v>6</v>
      </c>
      <c r="C3100" s="3" t="n">
        <v>25</v>
      </c>
      <c r="D3100" s="3" t="s">
        <v>3104</v>
      </c>
      <c r="E3100" s="4" t="n">
        <v>0</v>
      </c>
    </row>
    <row r="3101" customFormat="false" ht="15" hidden="false" customHeight="false" outlineLevel="0" collapsed="false">
      <c r="A3101" s="3" t="n">
        <v>2020</v>
      </c>
      <c r="B3101" s="3" t="n">
        <v>6</v>
      </c>
      <c r="C3101" s="3" t="n">
        <v>26</v>
      </c>
      <c r="D3101" s="3" t="s">
        <v>3105</v>
      </c>
      <c r="E3101" s="4" t="n">
        <v>0</v>
      </c>
    </row>
    <row r="3102" customFormat="false" ht="15" hidden="false" customHeight="false" outlineLevel="0" collapsed="false">
      <c r="A3102" s="3" t="n">
        <v>2020</v>
      </c>
      <c r="B3102" s="3" t="n">
        <v>6</v>
      </c>
      <c r="C3102" s="3" t="n">
        <v>27</v>
      </c>
      <c r="D3102" s="3" t="s">
        <v>3106</v>
      </c>
      <c r="E3102" s="4" t="n">
        <v>6</v>
      </c>
    </row>
    <row r="3103" customFormat="false" ht="15" hidden="false" customHeight="false" outlineLevel="0" collapsed="false">
      <c r="A3103" s="3" t="n">
        <v>2020</v>
      </c>
      <c r="B3103" s="3" t="n">
        <v>6</v>
      </c>
      <c r="C3103" s="3" t="n">
        <v>28</v>
      </c>
      <c r="D3103" s="3" t="s">
        <v>3107</v>
      </c>
      <c r="E3103" s="4" t="n">
        <v>0</v>
      </c>
    </row>
    <row r="3104" customFormat="false" ht="15" hidden="false" customHeight="false" outlineLevel="0" collapsed="false">
      <c r="A3104" s="3" t="n">
        <v>2020</v>
      </c>
      <c r="B3104" s="3" t="n">
        <v>6</v>
      </c>
      <c r="C3104" s="3" t="n">
        <v>29</v>
      </c>
      <c r="D3104" s="3" t="s">
        <v>3108</v>
      </c>
      <c r="E3104" s="4" t="n">
        <v>0</v>
      </c>
    </row>
    <row r="3105" customFormat="false" ht="15" hidden="false" customHeight="false" outlineLevel="0" collapsed="false">
      <c r="A3105" s="3" t="n">
        <v>2020</v>
      </c>
      <c r="B3105" s="3" t="n">
        <v>6</v>
      </c>
      <c r="C3105" s="3" t="n">
        <v>30</v>
      </c>
      <c r="D3105" s="3" t="s">
        <v>3109</v>
      </c>
      <c r="E3105" s="4" t="n">
        <v>0</v>
      </c>
    </row>
    <row r="3106" customFormat="false" ht="15" hidden="false" customHeight="false" outlineLevel="0" collapsed="false">
      <c r="A3106" s="3" t="n">
        <v>2020</v>
      </c>
      <c r="B3106" s="3" t="n">
        <v>7</v>
      </c>
      <c r="C3106" s="3" t="n">
        <v>1</v>
      </c>
      <c r="D3106" s="3" t="s">
        <v>3110</v>
      </c>
      <c r="E3106" s="4" t="n">
        <v>0</v>
      </c>
    </row>
    <row r="3107" customFormat="false" ht="15" hidden="false" customHeight="false" outlineLevel="0" collapsed="false">
      <c r="A3107" s="3" t="n">
        <v>2020</v>
      </c>
      <c r="B3107" s="3" t="n">
        <v>7</v>
      </c>
      <c r="C3107" s="3" t="n">
        <v>2</v>
      </c>
      <c r="D3107" s="3" t="s">
        <v>3111</v>
      </c>
      <c r="E3107" s="4" t="n">
        <v>72</v>
      </c>
    </row>
    <row r="3108" customFormat="false" ht="15" hidden="false" customHeight="false" outlineLevel="0" collapsed="false">
      <c r="A3108" s="3" t="n">
        <v>2020</v>
      </c>
      <c r="B3108" s="3" t="n">
        <v>7</v>
      </c>
      <c r="C3108" s="3" t="n">
        <v>3</v>
      </c>
      <c r="D3108" s="3" t="s">
        <v>3112</v>
      </c>
      <c r="E3108" s="4" t="n">
        <v>0</v>
      </c>
    </row>
    <row r="3109" customFormat="false" ht="15" hidden="false" customHeight="false" outlineLevel="0" collapsed="false">
      <c r="A3109" s="3" t="n">
        <v>2020</v>
      </c>
      <c r="B3109" s="3" t="n">
        <v>7</v>
      </c>
      <c r="C3109" s="3" t="n">
        <v>4</v>
      </c>
      <c r="D3109" s="3" t="s">
        <v>3113</v>
      </c>
      <c r="E3109" s="4" t="n">
        <v>0</v>
      </c>
    </row>
    <row r="3110" customFormat="false" ht="15" hidden="false" customHeight="false" outlineLevel="0" collapsed="false">
      <c r="A3110" s="3" t="n">
        <v>2020</v>
      </c>
      <c r="B3110" s="3" t="n">
        <v>7</v>
      </c>
      <c r="C3110" s="3" t="n">
        <v>5</v>
      </c>
      <c r="D3110" s="3" t="s">
        <v>3114</v>
      </c>
      <c r="E3110" s="4" t="n">
        <v>0</v>
      </c>
    </row>
    <row r="3111" customFormat="false" ht="15" hidden="false" customHeight="false" outlineLevel="0" collapsed="false">
      <c r="A3111" s="3" t="n">
        <v>2020</v>
      </c>
      <c r="B3111" s="3" t="n">
        <v>7</v>
      </c>
      <c r="C3111" s="3" t="n">
        <v>6</v>
      </c>
      <c r="D3111" s="3" t="s">
        <v>3115</v>
      </c>
      <c r="E3111" s="4" t="n">
        <v>9</v>
      </c>
    </row>
    <row r="3112" customFormat="false" ht="15" hidden="false" customHeight="false" outlineLevel="0" collapsed="false">
      <c r="A3112" s="3" t="n">
        <v>2020</v>
      </c>
      <c r="B3112" s="3" t="n">
        <v>7</v>
      </c>
      <c r="C3112" s="3" t="n">
        <v>7</v>
      </c>
      <c r="D3112" s="3" t="s">
        <v>3116</v>
      </c>
      <c r="E3112" s="4" t="n">
        <v>0</v>
      </c>
    </row>
    <row r="3113" customFormat="false" ht="15" hidden="false" customHeight="false" outlineLevel="0" collapsed="false">
      <c r="A3113" s="3" t="n">
        <v>2020</v>
      </c>
      <c r="B3113" s="3" t="n">
        <v>7</v>
      </c>
      <c r="C3113" s="3" t="n">
        <v>8</v>
      </c>
      <c r="D3113" s="3" t="s">
        <v>3117</v>
      </c>
      <c r="E3113" s="4" t="n">
        <v>0</v>
      </c>
    </row>
    <row r="3114" customFormat="false" ht="15" hidden="false" customHeight="false" outlineLevel="0" collapsed="false">
      <c r="A3114" s="3" t="n">
        <v>2020</v>
      </c>
      <c r="B3114" s="3" t="n">
        <v>7</v>
      </c>
      <c r="C3114" s="3" t="n">
        <v>9</v>
      </c>
      <c r="D3114" s="3" t="s">
        <v>3118</v>
      </c>
      <c r="E3114" s="4" t="n">
        <v>4</v>
      </c>
    </row>
    <row r="3115" customFormat="false" ht="15" hidden="false" customHeight="false" outlineLevel="0" collapsed="false">
      <c r="A3115" s="3" t="n">
        <v>2020</v>
      </c>
      <c r="B3115" s="3" t="n">
        <v>7</v>
      </c>
      <c r="C3115" s="3" t="n">
        <v>10</v>
      </c>
      <c r="D3115" s="3" t="s">
        <v>3119</v>
      </c>
      <c r="E3115" s="4" t="n">
        <v>29</v>
      </c>
    </row>
    <row r="3116" customFormat="false" ht="15" hidden="false" customHeight="false" outlineLevel="0" collapsed="false">
      <c r="A3116" s="3" t="n">
        <v>2020</v>
      </c>
      <c r="B3116" s="3" t="n">
        <v>7</v>
      </c>
      <c r="C3116" s="3" t="n">
        <v>11</v>
      </c>
      <c r="D3116" s="3" t="s">
        <v>3120</v>
      </c>
      <c r="E3116" s="4" t="n">
        <v>9</v>
      </c>
    </row>
    <row r="3117" customFormat="false" ht="15" hidden="false" customHeight="false" outlineLevel="0" collapsed="false">
      <c r="A3117" s="3" t="n">
        <v>2020</v>
      </c>
      <c r="B3117" s="3" t="n">
        <v>7</v>
      </c>
      <c r="C3117" s="3" t="n">
        <v>12</v>
      </c>
      <c r="D3117" s="3" t="s">
        <v>3121</v>
      </c>
      <c r="E3117" s="4" t="n">
        <v>0</v>
      </c>
    </row>
    <row r="3118" customFormat="false" ht="15" hidden="false" customHeight="false" outlineLevel="0" collapsed="false">
      <c r="A3118" s="3" t="n">
        <v>2020</v>
      </c>
      <c r="B3118" s="3" t="n">
        <v>7</v>
      </c>
      <c r="C3118" s="3" t="n">
        <v>13</v>
      </c>
      <c r="D3118" s="3" t="s">
        <v>3122</v>
      </c>
      <c r="E3118" s="4" t="n">
        <v>53</v>
      </c>
    </row>
    <row r="3119" customFormat="false" ht="15" hidden="false" customHeight="false" outlineLevel="0" collapsed="false">
      <c r="A3119" s="3" t="n">
        <v>2020</v>
      </c>
      <c r="B3119" s="3" t="n">
        <v>7</v>
      </c>
      <c r="C3119" s="3" t="n">
        <v>14</v>
      </c>
      <c r="D3119" s="3" t="s">
        <v>3123</v>
      </c>
      <c r="E3119" s="4" t="n">
        <v>10</v>
      </c>
    </row>
    <row r="3120" customFormat="false" ht="15" hidden="false" customHeight="false" outlineLevel="0" collapsed="false">
      <c r="A3120" s="3" t="n">
        <v>2020</v>
      </c>
      <c r="B3120" s="3" t="n">
        <v>7</v>
      </c>
      <c r="C3120" s="3" t="n">
        <v>15</v>
      </c>
      <c r="D3120" s="3" t="s">
        <v>3124</v>
      </c>
      <c r="E3120" s="4" t="n">
        <v>220</v>
      </c>
    </row>
    <row r="3121" customFormat="false" ht="15" hidden="false" customHeight="false" outlineLevel="0" collapsed="false">
      <c r="A3121" s="3" t="n">
        <v>2020</v>
      </c>
      <c r="B3121" s="3" t="n">
        <v>7</v>
      </c>
      <c r="C3121" s="3" t="n">
        <v>16</v>
      </c>
      <c r="D3121" s="3" t="s">
        <v>3125</v>
      </c>
      <c r="E3121" s="4" t="n">
        <v>0</v>
      </c>
    </row>
    <row r="3122" customFormat="false" ht="15" hidden="false" customHeight="false" outlineLevel="0" collapsed="false">
      <c r="A3122" s="3" t="n">
        <v>2020</v>
      </c>
      <c r="B3122" s="3" t="n">
        <v>7</v>
      </c>
      <c r="C3122" s="3" t="n">
        <v>17</v>
      </c>
      <c r="D3122" s="3" t="s">
        <v>3126</v>
      </c>
      <c r="E3122" s="4" t="n">
        <v>12</v>
      </c>
    </row>
    <row r="3123" customFormat="false" ht="15" hidden="false" customHeight="false" outlineLevel="0" collapsed="false">
      <c r="A3123" s="3" t="n">
        <v>2020</v>
      </c>
      <c r="B3123" s="3" t="n">
        <v>7</v>
      </c>
      <c r="C3123" s="3" t="n">
        <v>18</v>
      </c>
      <c r="D3123" s="3" t="s">
        <v>3127</v>
      </c>
      <c r="E3123" s="4" t="n">
        <v>9</v>
      </c>
    </row>
    <row r="3124" customFormat="false" ht="15" hidden="false" customHeight="false" outlineLevel="0" collapsed="false">
      <c r="A3124" s="3" t="n">
        <v>2020</v>
      </c>
      <c r="B3124" s="3" t="n">
        <v>7</v>
      </c>
      <c r="C3124" s="3" t="n">
        <v>19</v>
      </c>
      <c r="D3124" s="3" t="s">
        <v>3128</v>
      </c>
      <c r="E3124" s="4" t="n">
        <v>0</v>
      </c>
    </row>
    <row r="3125" customFormat="false" ht="15" hidden="false" customHeight="false" outlineLevel="0" collapsed="false">
      <c r="A3125" s="3" t="n">
        <v>2020</v>
      </c>
      <c r="B3125" s="3" t="n">
        <v>7</v>
      </c>
      <c r="C3125" s="3" t="n">
        <v>20</v>
      </c>
      <c r="D3125" s="3" t="s">
        <v>3129</v>
      </c>
      <c r="E3125" s="4" t="n">
        <v>0</v>
      </c>
    </row>
    <row r="3126" customFormat="false" ht="15" hidden="false" customHeight="false" outlineLevel="0" collapsed="false">
      <c r="A3126" s="3" t="n">
        <v>2020</v>
      </c>
      <c r="B3126" s="3" t="n">
        <v>7</v>
      </c>
      <c r="C3126" s="3" t="n">
        <v>21</v>
      </c>
      <c r="D3126" s="3" t="s">
        <v>3130</v>
      </c>
      <c r="E3126" s="4" t="n">
        <v>8</v>
      </c>
    </row>
    <row r="3127" customFormat="false" ht="15" hidden="false" customHeight="false" outlineLevel="0" collapsed="false">
      <c r="A3127" s="3" t="n">
        <v>2020</v>
      </c>
      <c r="B3127" s="3" t="n">
        <v>7</v>
      </c>
      <c r="C3127" s="3" t="n">
        <v>22</v>
      </c>
      <c r="D3127" s="3" t="s">
        <v>3131</v>
      </c>
      <c r="E3127" s="4" t="n">
        <v>0</v>
      </c>
    </row>
    <row r="3128" customFormat="false" ht="15" hidden="false" customHeight="false" outlineLevel="0" collapsed="false">
      <c r="A3128" s="3" t="n">
        <v>2020</v>
      </c>
      <c r="B3128" s="3" t="n">
        <v>7</v>
      </c>
      <c r="C3128" s="3" t="n">
        <v>23</v>
      </c>
      <c r="D3128" s="3" t="s">
        <v>3132</v>
      </c>
      <c r="E3128" s="4" t="n">
        <v>5</v>
      </c>
    </row>
    <row r="3129" customFormat="false" ht="15" hidden="false" customHeight="false" outlineLevel="0" collapsed="false">
      <c r="A3129" s="3" t="n">
        <v>2020</v>
      </c>
      <c r="B3129" s="3" t="n">
        <v>7</v>
      </c>
      <c r="C3129" s="3" t="n">
        <v>24</v>
      </c>
      <c r="D3129" s="3" t="s">
        <v>3133</v>
      </c>
      <c r="E3129" s="4" t="n">
        <v>39</v>
      </c>
    </row>
    <row r="3130" customFormat="false" ht="15" hidden="false" customHeight="false" outlineLevel="0" collapsed="false">
      <c r="A3130" s="3" t="n">
        <v>2020</v>
      </c>
      <c r="B3130" s="3" t="n">
        <v>7</v>
      </c>
      <c r="C3130" s="3" t="n">
        <v>25</v>
      </c>
      <c r="D3130" s="3" t="s">
        <v>3134</v>
      </c>
      <c r="E3130" s="4" t="n">
        <v>5</v>
      </c>
    </row>
    <row r="3131" customFormat="false" ht="15" hidden="false" customHeight="false" outlineLevel="0" collapsed="false">
      <c r="A3131" s="3" t="n">
        <v>2020</v>
      </c>
      <c r="B3131" s="3" t="n">
        <v>7</v>
      </c>
      <c r="C3131" s="3" t="n">
        <v>26</v>
      </c>
      <c r="D3131" s="3" t="s">
        <v>3135</v>
      </c>
      <c r="E3131" s="4" t="n">
        <v>10</v>
      </c>
    </row>
    <row r="3132" customFormat="false" ht="15" hidden="false" customHeight="false" outlineLevel="0" collapsed="false">
      <c r="A3132" s="3" t="n">
        <v>2020</v>
      </c>
      <c r="B3132" s="3" t="n">
        <v>7</v>
      </c>
      <c r="C3132" s="3" t="n">
        <v>27</v>
      </c>
      <c r="D3132" s="3" t="s">
        <v>3136</v>
      </c>
      <c r="E3132" s="4" t="n">
        <v>5</v>
      </c>
    </row>
    <row r="3133" customFormat="false" ht="15" hidden="false" customHeight="false" outlineLevel="0" collapsed="false">
      <c r="A3133" s="3" t="n">
        <v>2020</v>
      </c>
      <c r="B3133" s="3" t="n">
        <v>7</v>
      </c>
      <c r="C3133" s="3" t="n">
        <v>28</v>
      </c>
      <c r="D3133" s="3" t="s">
        <v>3137</v>
      </c>
      <c r="E3133" s="4" t="n">
        <v>8</v>
      </c>
    </row>
    <row r="3134" customFormat="false" ht="15" hidden="false" customHeight="false" outlineLevel="0" collapsed="false">
      <c r="A3134" s="3" t="n">
        <v>2020</v>
      </c>
      <c r="B3134" s="3" t="n">
        <v>7</v>
      </c>
      <c r="C3134" s="3" t="n">
        <v>29</v>
      </c>
      <c r="D3134" s="3" t="s">
        <v>3138</v>
      </c>
      <c r="E3134" s="4" t="n">
        <v>0</v>
      </c>
    </row>
    <row r="3135" customFormat="false" ht="15" hidden="false" customHeight="false" outlineLevel="0" collapsed="false">
      <c r="A3135" s="3" t="n">
        <v>2020</v>
      </c>
      <c r="B3135" s="3" t="n">
        <v>7</v>
      </c>
      <c r="C3135" s="3" t="n">
        <v>30</v>
      </c>
      <c r="D3135" s="3" t="s">
        <v>3139</v>
      </c>
      <c r="E3135" s="4" t="n">
        <v>0</v>
      </c>
    </row>
    <row r="3136" customFormat="false" ht="15" hidden="false" customHeight="false" outlineLevel="0" collapsed="false">
      <c r="A3136" s="3" t="n">
        <v>2020</v>
      </c>
      <c r="B3136" s="3" t="n">
        <v>7</v>
      </c>
      <c r="C3136" s="3" t="n">
        <v>31</v>
      </c>
      <c r="D3136" s="3" t="s">
        <v>3140</v>
      </c>
      <c r="E3136" s="4" t="n">
        <v>0</v>
      </c>
    </row>
    <row r="3137" customFormat="false" ht="15" hidden="false" customHeight="false" outlineLevel="0" collapsed="false">
      <c r="A3137" s="3" t="n">
        <v>2020</v>
      </c>
      <c r="B3137" s="3" t="n">
        <v>8</v>
      </c>
      <c r="C3137" s="3" t="n">
        <v>1</v>
      </c>
      <c r="D3137" s="3" t="s">
        <v>3141</v>
      </c>
      <c r="E3137" s="4" t="n">
        <v>0</v>
      </c>
    </row>
    <row r="3138" customFormat="false" ht="15" hidden="false" customHeight="false" outlineLevel="0" collapsed="false">
      <c r="A3138" s="3" t="n">
        <v>2020</v>
      </c>
      <c r="B3138" s="3" t="n">
        <v>8</v>
      </c>
      <c r="C3138" s="3" t="n">
        <v>2</v>
      </c>
      <c r="D3138" s="3" t="s">
        <v>3142</v>
      </c>
      <c r="E3138" s="4" t="n">
        <v>0</v>
      </c>
    </row>
    <row r="3139" customFormat="false" ht="15" hidden="false" customHeight="false" outlineLevel="0" collapsed="false">
      <c r="A3139" s="3" t="n">
        <v>2020</v>
      </c>
      <c r="B3139" s="3" t="n">
        <v>8</v>
      </c>
      <c r="C3139" s="3" t="n">
        <v>3</v>
      </c>
      <c r="D3139" s="3" t="s">
        <v>3143</v>
      </c>
      <c r="E3139" s="4" t="n">
        <v>2</v>
      </c>
    </row>
    <row r="3140" customFormat="false" ht="15" hidden="false" customHeight="false" outlineLevel="0" collapsed="false">
      <c r="A3140" s="3" t="n">
        <v>2020</v>
      </c>
      <c r="B3140" s="3" t="n">
        <v>8</v>
      </c>
      <c r="C3140" s="3" t="n">
        <v>4</v>
      </c>
      <c r="D3140" s="3" t="s">
        <v>3144</v>
      </c>
      <c r="E3140" s="4" t="n">
        <v>0</v>
      </c>
    </row>
    <row r="3141" customFormat="false" ht="15" hidden="false" customHeight="false" outlineLevel="0" collapsed="false">
      <c r="A3141" s="3" t="n">
        <v>2020</v>
      </c>
      <c r="B3141" s="3" t="n">
        <v>8</v>
      </c>
      <c r="C3141" s="3" t="n">
        <v>5</v>
      </c>
      <c r="D3141" s="3" t="s">
        <v>3145</v>
      </c>
      <c r="E3141" s="4" t="n">
        <v>48</v>
      </c>
    </row>
    <row r="3142" customFormat="false" ht="15" hidden="false" customHeight="false" outlineLevel="0" collapsed="false">
      <c r="A3142" s="3" t="n">
        <v>2020</v>
      </c>
      <c r="B3142" s="3" t="n">
        <v>8</v>
      </c>
      <c r="C3142" s="3" t="n">
        <v>6</v>
      </c>
      <c r="D3142" s="3" t="s">
        <v>3146</v>
      </c>
      <c r="E3142" s="4" t="n">
        <v>0</v>
      </c>
    </row>
    <row r="3143" customFormat="false" ht="15" hidden="false" customHeight="false" outlineLevel="0" collapsed="false">
      <c r="A3143" s="3" t="n">
        <v>2020</v>
      </c>
      <c r="B3143" s="3" t="n">
        <v>8</v>
      </c>
      <c r="C3143" s="3" t="n">
        <v>7</v>
      </c>
      <c r="D3143" s="3" t="s">
        <v>3147</v>
      </c>
      <c r="E3143" s="4" t="n">
        <v>0</v>
      </c>
    </row>
    <row r="3144" customFormat="false" ht="15" hidden="false" customHeight="false" outlineLevel="0" collapsed="false">
      <c r="A3144" s="3" t="n">
        <v>2020</v>
      </c>
      <c r="B3144" s="3" t="n">
        <v>8</v>
      </c>
      <c r="C3144" s="3" t="n">
        <v>8</v>
      </c>
      <c r="D3144" s="3" t="s">
        <v>3148</v>
      </c>
      <c r="E3144" s="4" t="n">
        <v>0</v>
      </c>
    </row>
    <row r="3145" customFormat="false" ht="15" hidden="false" customHeight="false" outlineLevel="0" collapsed="false">
      <c r="A3145" s="3" t="n">
        <v>2020</v>
      </c>
      <c r="B3145" s="3" t="n">
        <v>8</v>
      </c>
      <c r="C3145" s="3" t="n">
        <v>9</v>
      </c>
      <c r="D3145" s="3" t="s">
        <v>3149</v>
      </c>
      <c r="E3145" s="4" t="n">
        <v>0</v>
      </c>
    </row>
    <row r="3146" customFormat="false" ht="15" hidden="false" customHeight="false" outlineLevel="0" collapsed="false">
      <c r="A3146" s="3" t="n">
        <v>2020</v>
      </c>
      <c r="B3146" s="3" t="n">
        <v>8</v>
      </c>
      <c r="C3146" s="3" t="n">
        <v>10</v>
      </c>
      <c r="D3146" s="3" t="s">
        <v>3150</v>
      </c>
      <c r="E3146" s="4" t="n">
        <v>0</v>
      </c>
    </row>
    <row r="3147" customFormat="false" ht="15" hidden="false" customHeight="false" outlineLevel="0" collapsed="false">
      <c r="A3147" s="3" t="n">
        <v>2020</v>
      </c>
      <c r="B3147" s="3" t="n">
        <v>8</v>
      </c>
      <c r="C3147" s="3" t="n">
        <v>11</v>
      </c>
      <c r="D3147" s="3" t="s">
        <v>3151</v>
      </c>
      <c r="E3147" s="4" t="n">
        <v>0</v>
      </c>
    </row>
    <row r="3148" customFormat="false" ht="15" hidden="false" customHeight="false" outlineLevel="0" collapsed="false">
      <c r="A3148" s="3" t="n">
        <v>2020</v>
      </c>
      <c r="B3148" s="3" t="n">
        <v>8</v>
      </c>
      <c r="C3148" s="3" t="n">
        <v>12</v>
      </c>
      <c r="D3148" s="3" t="s">
        <v>3152</v>
      </c>
      <c r="E3148" s="4" t="n">
        <v>0</v>
      </c>
    </row>
    <row r="3149" customFormat="false" ht="15" hidden="false" customHeight="false" outlineLevel="0" collapsed="false">
      <c r="A3149" s="3" t="n">
        <v>2020</v>
      </c>
      <c r="B3149" s="3" t="n">
        <v>8</v>
      </c>
      <c r="C3149" s="3" t="n">
        <v>13</v>
      </c>
      <c r="D3149" s="3" t="s">
        <v>3153</v>
      </c>
      <c r="E3149" s="4" t="n">
        <v>0</v>
      </c>
    </row>
    <row r="3150" customFormat="false" ht="15" hidden="false" customHeight="false" outlineLevel="0" collapsed="false">
      <c r="A3150" s="3" t="n">
        <v>2020</v>
      </c>
      <c r="B3150" s="3" t="n">
        <v>8</v>
      </c>
      <c r="C3150" s="3" t="n">
        <v>14</v>
      </c>
      <c r="D3150" s="3" t="s">
        <v>3154</v>
      </c>
      <c r="E3150" s="4" t="n">
        <v>0</v>
      </c>
    </row>
    <row r="3151" customFormat="false" ht="15" hidden="false" customHeight="false" outlineLevel="0" collapsed="false">
      <c r="A3151" s="3" t="n">
        <v>2020</v>
      </c>
      <c r="B3151" s="3" t="n">
        <v>8</v>
      </c>
      <c r="C3151" s="3" t="n">
        <v>15</v>
      </c>
      <c r="D3151" s="3" t="s">
        <v>3155</v>
      </c>
      <c r="E3151" s="4" t="n">
        <v>50</v>
      </c>
    </row>
    <row r="3152" customFormat="false" ht="15" hidden="false" customHeight="false" outlineLevel="0" collapsed="false">
      <c r="A3152" s="3" t="n">
        <v>2020</v>
      </c>
      <c r="B3152" s="3" t="n">
        <v>8</v>
      </c>
      <c r="C3152" s="3" t="n">
        <v>16</v>
      </c>
      <c r="D3152" s="3" t="s">
        <v>3156</v>
      </c>
      <c r="E3152" s="4" t="n">
        <v>0</v>
      </c>
    </row>
    <row r="3153" customFormat="false" ht="15" hidden="false" customHeight="false" outlineLevel="0" collapsed="false">
      <c r="A3153" s="3" t="n">
        <v>2020</v>
      </c>
      <c r="B3153" s="3" t="n">
        <v>8</v>
      </c>
      <c r="C3153" s="3" t="n">
        <v>17</v>
      </c>
      <c r="D3153" s="3" t="s">
        <v>3157</v>
      </c>
      <c r="E3153" s="4" t="n">
        <v>0</v>
      </c>
    </row>
    <row r="3154" customFormat="false" ht="15" hidden="false" customHeight="false" outlineLevel="0" collapsed="false">
      <c r="A3154" s="3" t="n">
        <v>2020</v>
      </c>
      <c r="B3154" s="3" t="n">
        <v>8</v>
      </c>
      <c r="C3154" s="3" t="n">
        <v>18</v>
      </c>
      <c r="D3154" s="3" t="s">
        <v>3158</v>
      </c>
      <c r="E3154" s="4" t="n">
        <v>42</v>
      </c>
    </row>
    <row r="3155" customFormat="false" ht="15" hidden="false" customHeight="false" outlineLevel="0" collapsed="false">
      <c r="A3155" s="3" t="n">
        <v>2020</v>
      </c>
      <c r="B3155" s="3" t="n">
        <v>8</v>
      </c>
      <c r="C3155" s="3" t="n">
        <v>19</v>
      </c>
      <c r="D3155" s="3" t="s">
        <v>3159</v>
      </c>
      <c r="E3155" s="4" t="n">
        <v>10</v>
      </c>
    </row>
    <row r="3156" customFormat="false" ht="15" hidden="false" customHeight="false" outlineLevel="0" collapsed="false">
      <c r="A3156" s="3" t="n">
        <v>2020</v>
      </c>
      <c r="B3156" s="3" t="n">
        <v>8</v>
      </c>
      <c r="C3156" s="3" t="n">
        <v>20</v>
      </c>
      <c r="D3156" s="3" t="s">
        <v>3160</v>
      </c>
      <c r="E3156" s="4" t="n">
        <v>0</v>
      </c>
    </row>
    <row r="3157" customFormat="false" ht="15" hidden="false" customHeight="false" outlineLevel="0" collapsed="false">
      <c r="A3157" s="3" t="n">
        <v>2020</v>
      </c>
      <c r="B3157" s="3" t="n">
        <v>8</v>
      </c>
      <c r="C3157" s="3" t="n">
        <v>21</v>
      </c>
      <c r="D3157" s="3" t="s">
        <v>3161</v>
      </c>
      <c r="E3157" s="4" t="n">
        <v>0</v>
      </c>
    </row>
    <row r="3158" customFormat="false" ht="15" hidden="false" customHeight="false" outlineLevel="0" collapsed="false">
      <c r="A3158" s="3" t="n">
        <v>2020</v>
      </c>
      <c r="B3158" s="3" t="n">
        <v>8</v>
      </c>
      <c r="C3158" s="3" t="n">
        <v>22</v>
      </c>
      <c r="D3158" s="3" t="s">
        <v>3162</v>
      </c>
      <c r="E3158" s="4" t="n">
        <v>0</v>
      </c>
    </row>
    <row r="3159" customFormat="false" ht="15" hidden="false" customHeight="false" outlineLevel="0" collapsed="false">
      <c r="A3159" s="3" t="n">
        <v>2020</v>
      </c>
      <c r="B3159" s="3" t="n">
        <v>8</v>
      </c>
      <c r="C3159" s="3" t="n">
        <v>23</v>
      </c>
      <c r="D3159" s="3" t="s">
        <v>3163</v>
      </c>
      <c r="E3159" s="4" t="n">
        <v>14</v>
      </c>
    </row>
    <row r="3160" customFormat="false" ht="15" hidden="false" customHeight="false" outlineLevel="0" collapsed="false">
      <c r="A3160" s="3" t="n">
        <v>2020</v>
      </c>
      <c r="B3160" s="3" t="n">
        <v>8</v>
      </c>
      <c r="C3160" s="3" t="n">
        <v>24</v>
      </c>
      <c r="D3160" s="3" t="s">
        <v>3164</v>
      </c>
      <c r="E3160" s="4" t="n">
        <v>0</v>
      </c>
    </row>
    <row r="3161" customFormat="false" ht="15" hidden="false" customHeight="false" outlineLevel="0" collapsed="false">
      <c r="A3161" s="3" t="n">
        <v>2020</v>
      </c>
      <c r="B3161" s="3" t="n">
        <v>8</v>
      </c>
      <c r="C3161" s="3" t="n">
        <v>25</v>
      </c>
      <c r="D3161" s="3" t="s">
        <v>3165</v>
      </c>
      <c r="E3161" s="4" t="n">
        <v>3</v>
      </c>
    </row>
    <row r="3162" customFormat="false" ht="15" hidden="false" customHeight="false" outlineLevel="0" collapsed="false">
      <c r="A3162" s="3" t="n">
        <v>2020</v>
      </c>
      <c r="B3162" s="3" t="n">
        <v>8</v>
      </c>
      <c r="C3162" s="3" t="n">
        <v>26</v>
      </c>
      <c r="D3162" s="3" t="s">
        <v>3166</v>
      </c>
      <c r="E3162" s="4" t="n">
        <v>0</v>
      </c>
    </row>
    <row r="3163" customFormat="false" ht="15" hidden="false" customHeight="false" outlineLevel="0" collapsed="false">
      <c r="A3163" s="3" t="n">
        <v>2020</v>
      </c>
      <c r="B3163" s="3" t="n">
        <v>8</v>
      </c>
      <c r="C3163" s="3" t="n">
        <v>27</v>
      </c>
      <c r="D3163" s="3" t="s">
        <v>3167</v>
      </c>
      <c r="E3163" s="4" t="n">
        <v>16</v>
      </c>
    </row>
    <row r="3164" customFormat="false" ht="15" hidden="false" customHeight="false" outlineLevel="0" collapsed="false">
      <c r="A3164" s="3" t="n">
        <v>2020</v>
      </c>
      <c r="B3164" s="3" t="n">
        <v>8</v>
      </c>
      <c r="C3164" s="3" t="n">
        <v>28</v>
      </c>
      <c r="D3164" s="3" t="s">
        <v>3168</v>
      </c>
      <c r="E3164" s="4" t="n">
        <v>20</v>
      </c>
    </row>
    <row r="3165" customFormat="false" ht="15" hidden="false" customHeight="false" outlineLevel="0" collapsed="false">
      <c r="A3165" s="3" t="n">
        <v>2020</v>
      </c>
      <c r="B3165" s="3" t="n">
        <v>8</v>
      </c>
      <c r="C3165" s="3" t="n">
        <v>29</v>
      </c>
      <c r="D3165" s="3" t="s">
        <v>3169</v>
      </c>
      <c r="E3165" s="4" t="n">
        <v>7</v>
      </c>
    </row>
    <row r="3166" customFormat="false" ht="15" hidden="false" customHeight="false" outlineLevel="0" collapsed="false">
      <c r="A3166" s="3" t="n">
        <v>2020</v>
      </c>
      <c r="B3166" s="3" t="n">
        <v>8</v>
      </c>
      <c r="C3166" s="3" t="n">
        <v>30</v>
      </c>
      <c r="D3166" s="3" t="s">
        <v>3170</v>
      </c>
      <c r="E3166" s="4" t="n">
        <v>0</v>
      </c>
    </row>
    <row r="3167" customFormat="false" ht="15" hidden="false" customHeight="false" outlineLevel="0" collapsed="false">
      <c r="A3167" s="3" t="n">
        <v>2020</v>
      </c>
      <c r="B3167" s="3" t="n">
        <v>8</v>
      </c>
      <c r="C3167" s="3" t="n">
        <v>31</v>
      </c>
      <c r="D3167" s="3" t="s">
        <v>3171</v>
      </c>
      <c r="E3167" s="4" t="n">
        <v>0</v>
      </c>
    </row>
    <row r="3168" customFormat="false" ht="15" hidden="false" customHeight="false" outlineLevel="0" collapsed="false">
      <c r="A3168" s="3" t="n">
        <v>2020</v>
      </c>
      <c r="B3168" s="3" t="n">
        <v>9</v>
      </c>
      <c r="C3168" s="3" t="n">
        <v>1</v>
      </c>
      <c r="D3168" s="3" t="s">
        <v>3172</v>
      </c>
      <c r="E3168" s="4" t="n">
        <v>46</v>
      </c>
    </row>
    <row r="3169" customFormat="false" ht="15" hidden="false" customHeight="false" outlineLevel="0" collapsed="false">
      <c r="A3169" s="3" t="n">
        <v>2020</v>
      </c>
      <c r="B3169" s="3" t="n">
        <v>9</v>
      </c>
      <c r="C3169" s="3" t="n">
        <v>2</v>
      </c>
      <c r="D3169" s="3" t="s">
        <v>3173</v>
      </c>
      <c r="E3169" s="4" t="n">
        <v>98</v>
      </c>
    </row>
    <row r="3170" customFormat="false" ht="15" hidden="false" customHeight="false" outlineLevel="0" collapsed="false">
      <c r="A3170" s="3" t="n">
        <v>2020</v>
      </c>
      <c r="B3170" s="3" t="n">
        <v>9</v>
      </c>
      <c r="C3170" s="3" t="n">
        <v>3</v>
      </c>
      <c r="D3170" s="3" t="s">
        <v>3174</v>
      </c>
      <c r="E3170" s="4" t="n">
        <v>0</v>
      </c>
    </row>
    <row r="3171" customFormat="false" ht="15" hidden="false" customHeight="false" outlineLevel="0" collapsed="false">
      <c r="A3171" s="3" t="n">
        <v>2020</v>
      </c>
      <c r="B3171" s="3" t="n">
        <v>9</v>
      </c>
      <c r="C3171" s="3" t="n">
        <v>4</v>
      </c>
      <c r="D3171" s="3" t="s">
        <v>3175</v>
      </c>
      <c r="E3171" s="4" t="n">
        <v>2</v>
      </c>
    </row>
    <row r="3172" customFormat="false" ht="15" hidden="false" customHeight="false" outlineLevel="0" collapsed="false">
      <c r="A3172" s="3" t="n">
        <v>2020</v>
      </c>
      <c r="B3172" s="3" t="n">
        <v>9</v>
      </c>
      <c r="C3172" s="3" t="n">
        <v>5</v>
      </c>
      <c r="D3172" s="3" t="s">
        <v>3176</v>
      </c>
      <c r="E3172" s="4" t="n">
        <v>15</v>
      </c>
    </row>
    <row r="3173" customFormat="false" ht="15" hidden="false" customHeight="false" outlineLevel="0" collapsed="false">
      <c r="A3173" s="3" t="n">
        <v>2020</v>
      </c>
      <c r="B3173" s="3" t="n">
        <v>9</v>
      </c>
      <c r="C3173" s="3" t="n">
        <v>6</v>
      </c>
      <c r="D3173" s="3" t="s">
        <v>3177</v>
      </c>
      <c r="E3173" s="4" t="n">
        <v>20</v>
      </c>
    </row>
    <row r="3174" customFormat="false" ht="15" hidden="false" customHeight="false" outlineLevel="0" collapsed="false">
      <c r="A3174" s="3" t="n">
        <v>2020</v>
      </c>
      <c r="B3174" s="3" t="n">
        <v>9</v>
      </c>
      <c r="C3174" s="3" t="n">
        <v>7</v>
      </c>
      <c r="D3174" s="3" t="s">
        <v>3178</v>
      </c>
      <c r="E3174" s="4" t="n">
        <v>1</v>
      </c>
    </row>
    <row r="3175" customFormat="false" ht="15" hidden="false" customHeight="false" outlineLevel="0" collapsed="false">
      <c r="A3175" s="3" t="n">
        <v>2020</v>
      </c>
      <c r="B3175" s="3" t="n">
        <v>9</v>
      </c>
      <c r="C3175" s="3" t="n">
        <v>8</v>
      </c>
      <c r="D3175" s="3" t="s">
        <v>3179</v>
      </c>
      <c r="E3175" s="4" t="n">
        <v>0</v>
      </c>
    </row>
    <row r="3176" customFormat="false" ht="15" hidden="false" customHeight="false" outlineLevel="0" collapsed="false">
      <c r="A3176" s="3" t="n">
        <v>2020</v>
      </c>
      <c r="B3176" s="3" t="n">
        <v>9</v>
      </c>
      <c r="C3176" s="3" t="n">
        <v>9</v>
      </c>
      <c r="D3176" s="3" t="s">
        <v>3180</v>
      </c>
      <c r="E3176" s="4" t="n">
        <v>31</v>
      </c>
    </row>
    <row r="3177" customFormat="false" ht="15" hidden="false" customHeight="false" outlineLevel="0" collapsed="false">
      <c r="A3177" s="3" t="n">
        <v>2020</v>
      </c>
      <c r="B3177" s="3" t="n">
        <v>9</v>
      </c>
      <c r="C3177" s="3" t="n">
        <v>10</v>
      </c>
      <c r="D3177" s="3" t="s">
        <v>3181</v>
      </c>
      <c r="E3177" s="4" t="n">
        <v>29</v>
      </c>
    </row>
    <row r="3178" customFormat="false" ht="15" hidden="false" customHeight="false" outlineLevel="0" collapsed="false">
      <c r="A3178" s="3" t="n">
        <v>2020</v>
      </c>
      <c r="B3178" s="3" t="n">
        <v>9</v>
      </c>
      <c r="C3178" s="3" t="n">
        <v>11</v>
      </c>
      <c r="D3178" s="3" t="s">
        <v>3182</v>
      </c>
      <c r="E3178" s="4" t="n">
        <v>0</v>
      </c>
    </row>
    <row r="3179" customFormat="false" ht="15" hidden="false" customHeight="false" outlineLevel="0" collapsed="false">
      <c r="A3179" s="3" t="n">
        <v>2020</v>
      </c>
      <c r="B3179" s="3" t="n">
        <v>9</v>
      </c>
      <c r="C3179" s="3" t="n">
        <v>12</v>
      </c>
      <c r="D3179" s="3" t="s">
        <v>3183</v>
      </c>
      <c r="E3179" s="4" t="n">
        <v>8</v>
      </c>
    </row>
    <row r="3180" customFormat="false" ht="15" hidden="false" customHeight="false" outlineLevel="0" collapsed="false">
      <c r="A3180" s="3" t="n">
        <v>2020</v>
      </c>
      <c r="B3180" s="3" t="n">
        <v>9</v>
      </c>
      <c r="C3180" s="3" t="n">
        <v>13</v>
      </c>
      <c r="D3180" s="3" t="s">
        <v>3184</v>
      </c>
      <c r="E3180" s="4" t="n">
        <v>15</v>
      </c>
    </row>
    <row r="3181" customFormat="false" ht="15" hidden="false" customHeight="false" outlineLevel="0" collapsed="false">
      <c r="A3181" s="3" t="n">
        <v>2020</v>
      </c>
      <c r="B3181" s="3" t="n">
        <v>9</v>
      </c>
      <c r="C3181" s="3" t="n">
        <v>14</v>
      </c>
      <c r="D3181" s="3" t="s">
        <v>3185</v>
      </c>
      <c r="E3181" s="4" t="n">
        <v>33</v>
      </c>
    </row>
    <row r="3182" customFormat="false" ht="15" hidden="false" customHeight="false" outlineLevel="0" collapsed="false">
      <c r="A3182" s="3" t="n">
        <v>2020</v>
      </c>
      <c r="B3182" s="3" t="n">
        <v>9</v>
      </c>
      <c r="C3182" s="3" t="n">
        <v>15</v>
      </c>
      <c r="D3182" s="3" t="s">
        <v>3186</v>
      </c>
      <c r="E3182" s="4" t="n">
        <v>0</v>
      </c>
    </row>
    <row r="3183" customFormat="false" ht="15" hidden="false" customHeight="false" outlineLevel="0" collapsed="false">
      <c r="A3183" s="3" t="n">
        <v>2020</v>
      </c>
      <c r="B3183" s="3" t="n">
        <v>9</v>
      </c>
      <c r="C3183" s="3" t="n">
        <v>16</v>
      </c>
      <c r="D3183" s="3" t="s">
        <v>3187</v>
      </c>
      <c r="E3183" s="4" t="n">
        <v>0</v>
      </c>
    </row>
    <row r="3184" customFormat="false" ht="15" hidden="false" customHeight="false" outlineLevel="0" collapsed="false">
      <c r="A3184" s="3" t="n">
        <v>2020</v>
      </c>
      <c r="B3184" s="3" t="n">
        <v>9</v>
      </c>
      <c r="C3184" s="3" t="n">
        <v>17</v>
      </c>
      <c r="D3184" s="3" t="s">
        <v>3188</v>
      </c>
      <c r="E3184" s="4" t="n">
        <v>0</v>
      </c>
    </row>
    <row r="3185" customFormat="false" ht="15" hidden="false" customHeight="false" outlineLevel="0" collapsed="false">
      <c r="A3185" s="3" t="n">
        <v>2020</v>
      </c>
      <c r="B3185" s="3" t="n">
        <v>9</v>
      </c>
      <c r="C3185" s="3" t="n">
        <v>18</v>
      </c>
      <c r="D3185" s="3" t="s">
        <v>3189</v>
      </c>
      <c r="E3185" s="4" t="n">
        <v>0</v>
      </c>
    </row>
    <row r="3186" customFormat="false" ht="15" hidden="false" customHeight="false" outlineLevel="0" collapsed="false">
      <c r="A3186" s="3" t="n">
        <v>2020</v>
      </c>
      <c r="B3186" s="3" t="n">
        <v>9</v>
      </c>
      <c r="C3186" s="3" t="n">
        <v>19</v>
      </c>
      <c r="D3186" s="3" t="s">
        <v>3190</v>
      </c>
      <c r="E3186" s="4" t="n">
        <v>0</v>
      </c>
    </row>
    <row r="3187" customFormat="false" ht="15" hidden="false" customHeight="false" outlineLevel="0" collapsed="false">
      <c r="A3187" s="3" t="n">
        <v>2020</v>
      </c>
      <c r="B3187" s="3" t="n">
        <v>9</v>
      </c>
      <c r="C3187" s="3" t="n">
        <v>20</v>
      </c>
      <c r="D3187" s="3" t="s">
        <v>3191</v>
      </c>
      <c r="E3187" s="4" t="n">
        <v>0</v>
      </c>
    </row>
    <row r="3188" customFormat="false" ht="15" hidden="false" customHeight="false" outlineLevel="0" collapsed="false">
      <c r="A3188" s="3" t="n">
        <v>2020</v>
      </c>
      <c r="B3188" s="3" t="n">
        <v>9</v>
      </c>
      <c r="C3188" s="3" t="n">
        <v>21</v>
      </c>
      <c r="D3188" s="3" t="s">
        <v>3192</v>
      </c>
      <c r="E3188" s="4" t="n">
        <v>59</v>
      </c>
    </row>
    <row r="3189" customFormat="false" ht="15" hidden="false" customHeight="false" outlineLevel="0" collapsed="false">
      <c r="A3189" s="3" t="n">
        <v>2020</v>
      </c>
      <c r="B3189" s="3" t="n">
        <v>9</v>
      </c>
      <c r="C3189" s="3" t="n">
        <v>22</v>
      </c>
      <c r="D3189" s="3" t="s">
        <v>3193</v>
      </c>
      <c r="E3189" s="4" t="n">
        <v>16</v>
      </c>
    </row>
    <row r="3190" customFormat="false" ht="15" hidden="false" customHeight="false" outlineLevel="0" collapsed="false">
      <c r="A3190" s="3" t="n">
        <v>2020</v>
      </c>
      <c r="B3190" s="3" t="n">
        <v>9</v>
      </c>
      <c r="C3190" s="3" t="n">
        <v>23</v>
      </c>
      <c r="D3190" s="3" t="s">
        <v>3194</v>
      </c>
      <c r="E3190" s="4" t="n">
        <v>0</v>
      </c>
    </row>
    <row r="3191" customFormat="false" ht="15" hidden="false" customHeight="false" outlineLevel="0" collapsed="false">
      <c r="A3191" s="3" t="n">
        <v>2020</v>
      </c>
      <c r="B3191" s="3" t="n">
        <v>9</v>
      </c>
      <c r="C3191" s="3" t="n">
        <v>24</v>
      </c>
      <c r="D3191" s="3" t="s">
        <v>3195</v>
      </c>
      <c r="E3191" s="4" t="n">
        <v>2</v>
      </c>
    </row>
    <row r="3192" customFormat="false" ht="15" hidden="false" customHeight="false" outlineLevel="0" collapsed="false">
      <c r="A3192" s="3" t="n">
        <v>2020</v>
      </c>
      <c r="B3192" s="3" t="n">
        <v>9</v>
      </c>
      <c r="C3192" s="3" t="n">
        <v>25</v>
      </c>
      <c r="D3192" s="3" t="s">
        <v>3196</v>
      </c>
      <c r="E3192" s="4" t="n">
        <v>1</v>
      </c>
    </row>
    <row r="3193" customFormat="false" ht="15" hidden="false" customHeight="false" outlineLevel="0" collapsed="false">
      <c r="A3193" s="3" t="n">
        <v>2020</v>
      </c>
      <c r="B3193" s="3" t="n">
        <v>9</v>
      </c>
      <c r="C3193" s="3" t="n">
        <v>26</v>
      </c>
      <c r="D3193" s="3" t="s">
        <v>3197</v>
      </c>
      <c r="E3193" s="4" t="n">
        <v>0</v>
      </c>
    </row>
    <row r="3194" customFormat="false" ht="15" hidden="false" customHeight="false" outlineLevel="0" collapsed="false">
      <c r="A3194" s="3" t="n">
        <v>2020</v>
      </c>
      <c r="B3194" s="3" t="n">
        <v>9</v>
      </c>
      <c r="C3194" s="3" t="n">
        <v>27</v>
      </c>
      <c r="D3194" s="3" t="s">
        <v>3198</v>
      </c>
      <c r="E3194" s="4" t="n">
        <v>53</v>
      </c>
    </row>
    <row r="3195" customFormat="false" ht="15" hidden="false" customHeight="false" outlineLevel="0" collapsed="false">
      <c r="A3195" s="3" t="n">
        <v>2020</v>
      </c>
      <c r="B3195" s="3" t="n">
        <v>9</v>
      </c>
      <c r="C3195" s="3" t="n">
        <v>28</v>
      </c>
      <c r="D3195" s="3" t="s">
        <v>3199</v>
      </c>
      <c r="E3195" s="4" t="n">
        <v>0</v>
      </c>
    </row>
    <row r="3196" customFormat="false" ht="15" hidden="false" customHeight="false" outlineLevel="0" collapsed="false">
      <c r="A3196" s="3" t="n">
        <v>2020</v>
      </c>
      <c r="B3196" s="3" t="n">
        <v>9</v>
      </c>
      <c r="C3196" s="3" t="n">
        <v>29</v>
      </c>
      <c r="D3196" s="3" t="s">
        <v>3200</v>
      </c>
      <c r="E3196" s="4" t="n">
        <v>0</v>
      </c>
    </row>
    <row r="3197" customFormat="false" ht="15" hidden="false" customHeight="false" outlineLevel="0" collapsed="false">
      <c r="A3197" s="3" t="n">
        <v>2020</v>
      </c>
      <c r="B3197" s="3" t="n">
        <v>9</v>
      </c>
      <c r="C3197" s="3" t="n">
        <v>30</v>
      </c>
      <c r="D3197" s="3" t="s">
        <v>3201</v>
      </c>
      <c r="E3197" s="4" t="n">
        <v>31</v>
      </c>
    </row>
    <row r="3198" customFormat="false" ht="15" hidden="false" customHeight="false" outlineLevel="0" collapsed="false">
      <c r="A3198" s="3" t="n">
        <v>2020</v>
      </c>
      <c r="B3198" s="3" t="n">
        <v>10</v>
      </c>
      <c r="C3198" s="3" t="n">
        <v>1</v>
      </c>
      <c r="D3198" s="3" t="s">
        <v>3202</v>
      </c>
      <c r="E3198" s="4" t="n">
        <v>9</v>
      </c>
    </row>
    <row r="3199" customFormat="false" ht="15" hidden="false" customHeight="false" outlineLevel="0" collapsed="false">
      <c r="A3199" s="3" t="n">
        <v>2020</v>
      </c>
      <c r="B3199" s="3" t="n">
        <v>10</v>
      </c>
      <c r="C3199" s="3" t="n">
        <v>2</v>
      </c>
      <c r="D3199" s="3" t="s">
        <v>3203</v>
      </c>
      <c r="E3199" s="4" t="n">
        <v>51</v>
      </c>
    </row>
    <row r="3200" customFormat="false" ht="15" hidden="false" customHeight="false" outlineLevel="0" collapsed="false">
      <c r="A3200" s="3" t="n">
        <v>2020</v>
      </c>
      <c r="B3200" s="3" t="n">
        <v>10</v>
      </c>
      <c r="C3200" s="3" t="n">
        <v>3</v>
      </c>
      <c r="D3200" s="3" t="s">
        <v>3204</v>
      </c>
      <c r="E3200" s="4" t="n">
        <v>0</v>
      </c>
    </row>
    <row r="3201" customFormat="false" ht="15" hidden="false" customHeight="false" outlineLevel="0" collapsed="false">
      <c r="A3201" s="3" t="n">
        <v>2020</v>
      </c>
      <c r="B3201" s="3" t="n">
        <v>10</v>
      </c>
      <c r="C3201" s="3" t="n">
        <v>4</v>
      </c>
      <c r="D3201" s="3" t="s">
        <v>3205</v>
      </c>
      <c r="E3201" s="4" t="n">
        <v>0</v>
      </c>
    </row>
    <row r="3202" customFormat="false" ht="15" hidden="false" customHeight="false" outlineLevel="0" collapsed="false">
      <c r="A3202" s="3" t="n">
        <v>2020</v>
      </c>
      <c r="B3202" s="3" t="n">
        <v>10</v>
      </c>
      <c r="C3202" s="3" t="n">
        <v>5</v>
      </c>
      <c r="D3202" s="3" t="s">
        <v>3206</v>
      </c>
      <c r="E3202" s="4" t="n">
        <v>0</v>
      </c>
    </row>
    <row r="3203" customFormat="false" ht="15" hidden="false" customHeight="false" outlineLevel="0" collapsed="false">
      <c r="A3203" s="3" t="n">
        <v>2020</v>
      </c>
      <c r="B3203" s="3" t="n">
        <v>10</v>
      </c>
      <c r="C3203" s="3" t="n">
        <v>6</v>
      </c>
      <c r="D3203" s="3" t="s">
        <v>3207</v>
      </c>
      <c r="E3203" s="4" t="n">
        <v>0</v>
      </c>
    </row>
    <row r="3204" customFormat="false" ht="15" hidden="false" customHeight="false" outlineLevel="0" collapsed="false">
      <c r="A3204" s="3" t="n">
        <v>2020</v>
      </c>
      <c r="B3204" s="3" t="n">
        <v>10</v>
      </c>
      <c r="C3204" s="3" t="n">
        <v>7</v>
      </c>
      <c r="D3204" s="3" t="s">
        <v>3208</v>
      </c>
      <c r="E3204" s="4" t="n">
        <v>0</v>
      </c>
    </row>
    <row r="3205" customFormat="false" ht="15" hidden="false" customHeight="false" outlineLevel="0" collapsed="false">
      <c r="A3205" s="3" t="n">
        <v>2020</v>
      </c>
      <c r="B3205" s="3" t="n">
        <v>10</v>
      </c>
      <c r="C3205" s="3" t="n">
        <v>8</v>
      </c>
      <c r="D3205" s="3" t="s">
        <v>3209</v>
      </c>
      <c r="E3205" s="4" t="n">
        <v>0</v>
      </c>
    </row>
    <row r="3206" customFormat="false" ht="15" hidden="false" customHeight="false" outlineLevel="0" collapsed="false">
      <c r="A3206" s="3" t="n">
        <v>2020</v>
      </c>
      <c r="B3206" s="3" t="n">
        <v>10</v>
      </c>
      <c r="C3206" s="3" t="n">
        <v>9</v>
      </c>
      <c r="D3206" s="3" t="s">
        <v>3210</v>
      </c>
      <c r="E3206" s="4" t="n">
        <v>19</v>
      </c>
    </row>
    <row r="3207" customFormat="false" ht="15" hidden="false" customHeight="false" outlineLevel="0" collapsed="false">
      <c r="A3207" s="3" t="n">
        <v>2020</v>
      </c>
      <c r="B3207" s="3" t="n">
        <v>10</v>
      </c>
      <c r="C3207" s="3" t="n">
        <v>10</v>
      </c>
      <c r="D3207" s="3" t="s">
        <v>3211</v>
      </c>
      <c r="E3207" s="4" t="n">
        <v>5</v>
      </c>
    </row>
    <row r="3208" customFormat="false" ht="15" hidden="false" customHeight="false" outlineLevel="0" collapsed="false">
      <c r="A3208" s="3" t="n">
        <v>2020</v>
      </c>
      <c r="B3208" s="3" t="n">
        <v>10</v>
      </c>
      <c r="C3208" s="3" t="n">
        <v>11</v>
      </c>
      <c r="D3208" s="3" t="s">
        <v>3212</v>
      </c>
      <c r="E3208" s="4" t="n">
        <v>57</v>
      </c>
    </row>
    <row r="3209" customFormat="false" ht="15" hidden="false" customHeight="false" outlineLevel="0" collapsed="false">
      <c r="A3209" s="3" t="n">
        <v>2020</v>
      </c>
      <c r="B3209" s="3" t="n">
        <v>10</v>
      </c>
      <c r="C3209" s="3" t="n">
        <v>12</v>
      </c>
      <c r="D3209" s="3" t="s">
        <v>3213</v>
      </c>
      <c r="E3209" s="4" t="n">
        <v>0</v>
      </c>
    </row>
    <row r="3210" customFormat="false" ht="15" hidden="false" customHeight="false" outlineLevel="0" collapsed="false">
      <c r="A3210" s="3" t="n">
        <v>2020</v>
      </c>
      <c r="B3210" s="3" t="n">
        <v>10</v>
      </c>
      <c r="C3210" s="3" t="n">
        <v>13</v>
      </c>
      <c r="D3210" s="3" t="s">
        <v>3214</v>
      </c>
      <c r="E3210" s="4" t="n">
        <v>0</v>
      </c>
    </row>
    <row r="3211" customFormat="false" ht="15" hidden="false" customHeight="false" outlineLevel="0" collapsed="false">
      <c r="A3211" s="3" t="n">
        <v>2020</v>
      </c>
      <c r="B3211" s="3" t="n">
        <v>10</v>
      </c>
      <c r="C3211" s="3" t="n">
        <v>14</v>
      </c>
      <c r="D3211" s="3" t="s">
        <v>3215</v>
      </c>
      <c r="E3211" s="4" t="n">
        <v>0</v>
      </c>
    </row>
    <row r="3212" customFormat="false" ht="15" hidden="false" customHeight="false" outlineLevel="0" collapsed="false">
      <c r="A3212" s="3" t="n">
        <v>2020</v>
      </c>
      <c r="B3212" s="3" t="n">
        <v>10</v>
      </c>
      <c r="C3212" s="3" t="n">
        <v>15</v>
      </c>
      <c r="D3212" s="3" t="s">
        <v>3216</v>
      </c>
      <c r="E3212" s="4" t="n">
        <v>0</v>
      </c>
    </row>
    <row r="3213" customFormat="false" ht="15" hidden="false" customHeight="false" outlineLevel="0" collapsed="false">
      <c r="A3213" s="3" t="n">
        <v>2020</v>
      </c>
      <c r="B3213" s="3" t="n">
        <v>10</v>
      </c>
      <c r="C3213" s="3" t="n">
        <v>16</v>
      </c>
      <c r="D3213" s="3" t="s">
        <v>3217</v>
      </c>
      <c r="E3213" s="4" t="n">
        <v>0</v>
      </c>
    </row>
    <row r="3214" customFormat="false" ht="15" hidden="false" customHeight="false" outlineLevel="0" collapsed="false">
      <c r="A3214" s="3" t="n">
        <v>2020</v>
      </c>
      <c r="B3214" s="3" t="n">
        <v>10</v>
      </c>
      <c r="C3214" s="3" t="n">
        <v>17</v>
      </c>
      <c r="D3214" s="3" t="s">
        <v>3218</v>
      </c>
      <c r="E3214" s="4" t="n">
        <v>0</v>
      </c>
    </row>
    <row r="3215" customFormat="false" ht="15" hidden="false" customHeight="false" outlineLevel="0" collapsed="false">
      <c r="A3215" s="3" t="n">
        <v>2020</v>
      </c>
      <c r="B3215" s="3" t="n">
        <v>10</v>
      </c>
      <c r="C3215" s="3" t="n">
        <v>18</v>
      </c>
      <c r="D3215" s="3" t="s">
        <v>3219</v>
      </c>
      <c r="E3215" s="4" t="n">
        <v>0</v>
      </c>
    </row>
    <row r="3216" customFormat="false" ht="15" hidden="false" customHeight="false" outlineLevel="0" collapsed="false">
      <c r="A3216" s="3" t="n">
        <v>2020</v>
      </c>
      <c r="B3216" s="3" t="n">
        <v>10</v>
      </c>
      <c r="C3216" s="3" t="n">
        <v>19</v>
      </c>
      <c r="D3216" s="3" t="s">
        <v>3220</v>
      </c>
      <c r="E3216" s="4" t="n">
        <v>8</v>
      </c>
    </row>
    <row r="3217" customFormat="false" ht="15" hidden="false" customHeight="false" outlineLevel="0" collapsed="false">
      <c r="A3217" s="3" t="n">
        <v>2020</v>
      </c>
      <c r="B3217" s="3" t="n">
        <v>10</v>
      </c>
      <c r="C3217" s="3" t="n">
        <v>20</v>
      </c>
      <c r="D3217" s="3" t="s">
        <v>3221</v>
      </c>
      <c r="E3217" s="4" t="n">
        <v>0</v>
      </c>
    </row>
    <row r="3218" customFormat="false" ht="15" hidden="false" customHeight="false" outlineLevel="0" collapsed="false">
      <c r="A3218" s="3" t="n">
        <v>2020</v>
      </c>
      <c r="B3218" s="3" t="n">
        <v>10</v>
      </c>
      <c r="C3218" s="3" t="n">
        <v>21</v>
      </c>
      <c r="D3218" s="3" t="s">
        <v>3222</v>
      </c>
      <c r="E3218" s="4" t="n">
        <v>0</v>
      </c>
    </row>
    <row r="3219" customFormat="false" ht="15" hidden="false" customHeight="false" outlineLevel="0" collapsed="false">
      <c r="A3219" s="3" t="n">
        <v>2020</v>
      </c>
      <c r="B3219" s="3" t="n">
        <v>10</v>
      </c>
      <c r="C3219" s="3" t="n">
        <v>22</v>
      </c>
      <c r="D3219" s="3" t="s">
        <v>3223</v>
      </c>
      <c r="E3219" s="4" t="n">
        <v>32</v>
      </c>
    </row>
    <row r="3220" customFormat="false" ht="15" hidden="false" customHeight="false" outlineLevel="0" collapsed="false">
      <c r="A3220" s="3" t="n">
        <v>2020</v>
      </c>
      <c r="B3220" s="3" t="n">
        <v>10</v>
      </c>
      <c r="C3220" s="3" t="n">
        <v>23</v>
      </c>
      <c r="D3220" s="3" t="s">
        <v>3224</v>
      </c>
      <c r="E3220" s="4" t="n">
        <v>18</v>
      </c>
    </row>
    <row r="3221" customFormat="false" ht="15" hidden="false" customHeight="false" outlineLevel="0" collapsed="false">
      <c r="A3221" s="3" t="n">
        <v>2020</v>
      </c>
      <c r="B3221" s="3" t="n">
        <v>10</v>
      </c>
      <c r="C3221" s="3" t="n">
        <v>24</v>
      </c>
      <c r="D3221" s="3" t="s">
        <v>3225</v>
      </c>
      <c r="E3221" s="4" t="n">
        <v>2</v>
      </c>
    </row>
    <row r="3222" customFormat="false" ht="15" hidden="false" customHeight="false" outlineLevel="0" collapsed="false">
      <c r="A3222" s="3" t="n">
        <v>2020</v>
      </c>
      <c r="B3222" s="3" t="n">
        <v>10</v>
      </c>
      <c r="C3222" s="3" t="n">
        <v>25</v>
      </c>
      <c r="D3222" s="3" t="s">
        <v>3226</v>
      </c>
      <c r="E3222" s="4" t="n">
        <v>4</v>
      </c>
    </row>
    <row r="3223" customFormat="false" ht="15" hidden="false" customHeight="false" outlineLevel="0" collapsed="false">
      <c r="A3223" s="3" t="n">
        <v>2020</v>
      </c>
      <c r="B3223" s="3" t="n">
        <v>10</v>
      </c>
      <c r="C3223" s="3" t="n">
        <v>26</v>
      </c>
      <c r="D3223" s="3" t="s">
        <v>3227</v>
      </c>
      <c r="E3223" s="4" t="n">
        <v>11</v>
      </c>
    </row>
    <row r="3224" customFormat="false" ht="15" hidden="false" customHeight="false" outlineLevel="0" collapsed="false">
      <c r="A3224" s="3" t="n">
        <v>2020</v>
      </c>
      <c r="B3224" s="3" t="n">
        <v>10</v>
      </c>
      <c r="C3224" s="3" t="n">
        <v>27</v>
      </c>
      <c r="D3224" s="3" t="s">
        <v>3228</v>
      </c>
      <c r="E3224" s="4" t="n">
        <v>8</v>
      </c>
    </row>
    <row r="3225" customFormat="false" ht="15" hidden="false" customHeight="false" outlineLevel="0" collapsed="false">
      <c r="A3225" s="3" t="n">
        <v>2020</v>
      </c>
      <c r="B3225" s="3" t="n">
        <v>10</v>
      </c>
      <c r="C3225" s="3" t="n">
        <v>28</v>
      </c>
      <c r="D3225" s="3" t="s">
        <v>3229</v>
      </c>
      <c r="E3225" s="4" t="n">
        <v>0</v>
      </c>
    </row>
    <row r="3226" customFormat="false" ht="15" hidden="false" customHeight="false" outlineLevel="0" collapsed="false">
      <c r="A3226" s="3" t="n">
        <v>2020</v>
      </c>
      <c r="B3226" s="3" t="n">
        <v>10</v>
      </c>
      <c r="C3226" s="3" t="n">
        <v>29</v>
      </c>
      <c r="D3226" s="3" t="s">
        <v>3230</v>
      </c>
      <c r="E3226" s="4" t="n">
        <v>0</v>
      </c>
    </row>
    <row r="3227" customFormat="false" ht="15" hidden="false" customHeight="false" outlineLevel="0" collapsed="false">
      <c r="A3227" s="3" t="n">
        <v>2020</v>
      </c>
      <c r="B3227" s="3" t="n">
        <v>10</v>
      </c>
      <c r="C3227" s="3" t="n">
        <v>30</v>
      </c>
      <c r="D3227" s="3" t="s">
        <v>3231</v>
      </c>
      <c r="E3227" s="4" t="n">
        <v>20</v>
      </c>
    </row>
    <row r="3228" customFormat="false" ht="15" hidden="false" customHeight="false" outlineLevel="0" collapsed="false">
      <c r="A3228" s="3" t="n">
        <v>2020</v>
      </c>
      <c r="B3228" s="3" t="n">
        <v>10</v>
      </c>
      <c r="C3228" s="3" t="n">
        <v>31</v>
      </c>
      <c r="D3228" s="3" t="s">
        <v>3232</v>
      </c>
      <c r="E3228" s="4" t="n">
        <v>12</v>
      </c>
    </row>
    <row r="3229" customFormat="false" ht="15" hidden="false" customHeight="false" outlineLevel="0" collapsed="false">
      <c r="A3229" s="3" t="n">
        <v>2020</v>
      </c>
      <c r="B3229" s="3" t="n">
        <v>11</v>
      </c>
      <c r="C3229" s="3" t="n">
        <v>1</v>
      </c>
      <c r="D3229" s="3" t="s">
        <v>3233</v>
      </c>
      <c r="E3229" s="4" t="n">
        <v>1</v>
      </c>
    </row>
    <row r="3230" customFormat="false" ht="15" hidden="false" customHeight="false" outlineLevel="0" collapsed="false">
      <c r="A3230" s="3" t="n">
        <v>2020</v>
      </c>
      <c r="B3230" s="3" t="n">
        <v>11</v>
      </c>
      <c r="C3230" s="3" t="n">
        <v>2</v>
      </c>
      <c r="D3230" s="3" t="s">
        <v>3234</v>
      </c>
      <c r="E3230" s="4" t="n">
        <v>2</v>
      </c>
    </row>
    <row r="3231" customFormat="false" ht="15" hidden="false" customHeight="false" outlineLevel="0" collapsed="false">
      <c r="A3231" s="3" t="n">
        <v>2020</v>
      </c>
      <c r="B3231" s="3" t="n">
        <v>11</v>
      </c>
      <c r="C3231" s="3" t="n">
        <v>3</v>
      </c>
      <c r="D3231" s="3" t="s">
        <v>3235</v>
      </c>
      <c r="E3231" s="4" t="n">
        <v>11</v>
      </c>
    </row>
    <row r="3232" customFormat="false" ht="15" hidden="false" customHeight="false" outlineLevel="0" collapsed="false">
      <c r="A3232" s="3" t="n">
        <v>2020</v>
      </c>
      <c r="B3232" s="3" t="n">
        <v>11</v>
      </c>
      <c r="C3232" s="3" t="n">
        <v>4</v>
      </c>
      <c r="D3232" s="3" t="s">
        <v>3236</v>
      </c>
      <c r="E3232" s="4" t="n">
        <v>4</v>
      </c>
    </row>
    <row r="3233" customFormat="false" ht="15" hidden="false" customHeight="false" outlineLevel="0" collapsed="false">
      <c r="A3233" s="3" t="n">
        <v>2020</v>
      </c>
      <c r="B3233" s="3" t="n">
        <v>11</v>
      </c>
      <c r="C3233" s="3" t="n">
        <v>5</v>
      </c>
      <c r="D3233" s="3" t="s">
        <v>3237</v>
      </c>
      <c r="E3233" s="4" t="n">
        <v>9</v>
      </c>
    </row>
    <row r="3234" customFormat="false" ht="15" hidden="false" customHeight="false" outlineLevel="0" collapsed="false">
      <c r="A3234" s="3" t="n">
        <v>2020</v>
      </c>
      <c r="B3234" s="3" t="n">
        <v>11</v>
      </c>
      <c r="C3234" s="3" t="n">
        <v>6</v>
      </c>
      <c r="D3234" s="3" t="s">
        <v>3238</v>
      </c>
      <c r="E3234" s="4" t="n">
        <v>0</v>
      </c>
    </row>
    <row r="3235" customFormat="false" ht="15" hidden="false" customHeight="false" outlineLevel="0" collapsed="false">
      <c r="A3235" s="3" t="n">
        <v>2020</v>
      </c>
      <c r="B3235" s="3" t="n">
        <v>11</v>
      </c>
      <c r="C3235" s="3" t="n">
        <v>7</v>
      </c>
      <c r="D3235" s="3" t="s">
        <v>3239</v>
      </c>
      <c r="E3235" s="4" t="n">
        <v>10</v>
      </c>
    </row>
    <row r="3236" customFormat="false" ht="15" hidden="false" customHeight="false" outlineLevel="0" collapsed="false">
      <c r="A3236" s="3" t="n">
        <v>2020</v>
      </c>
      <c r="B3236" s="3" t="n">
        <v>11</v>
      </c>
      <c r="C3236" s="3" t="n">
        <v>8</v>
      </c>
      <c r="D3236" s="3" t="s">
        <v>3240</v>
      </c>
      <c r="E3236" s="4" t="n">
        <v>2</v>
      </c>
    </row>
    <row r="3237" customFormat="false" ht="15" hidden="false" customHeight="false" outlineLevel="0" collapsed="false">
      <c r="A3237" s="3" t="n">
        <v>2020</v>
      </c>
      <c r="B3237" s="3" t="n">
        <v>11</v>
      </c>
      <c r="C3237" s="3" t="n">
        <v>9</v>
      </c>
      <c r="D3237" s="3" t="s">
        <v>3241</v>
      </c>
      <c r="E3237" s="4" t="n">
        <v>4</v>
      </c>
    </row>
    <row r="3238" customFormat="false" ht="15" hidden="false" customHeight="false" outlineLevel="0" collapsed="false">
      <c r="A3238" s="3" t="n">
        <v>2020</v>
      </c>
      <c r="B3238" s="3" t="n">
        <v>11</v>
      </c>
      <c r="C3238" s="3" t="n">
        <v>10</v>
      </c>
      <c r="D3238" s="3" t="s">
        <v>3242</v>
      </c>
      <c r="E3238" s="4" t="n">
        <v>28</v>
      </c>
    </row>
    <row r="3239" customFormat="false" ht="15" hidden="false" customHeight="false" outlineLevel="0" collapsed="false">
      <c r="A3239" s="3" t="n">
        <v>2020</v>
      </c>
      <c r="B3239" s="3" t="n">
        <v>11</v>
      </c>
      <c r="C3239" s="3" t="n">
        <v>11</v>
      </c>
      <c r="D3239" s="3" t="s">
        <v>3243</v>
      </c>
      <c r="E3239" s="4" t="n">
        <v>24</v>
      </c>
    </row>
    <row r="3240" customFormat="false" ht="15" hidden="false" customHeight="false" outlineLevel="0" collapsed="false">
      <c r="A3240" s="3" t="n">
        <v>2020</v>
      </c>
      <c r="B3240" s="3" t="n">
        <v>11</v>
      </c>
      <c r="C3240" s="3" t="n">
        <v>12</v>
      </c>
      <c r="D3240" s="3" t="s">
        <v>3244</v>
      </c>
      <c r="E3240" s="4" t="n">
        <v>0</v>
      </c>
    </row>
    <row r="3241" customFormat="false" ht="15" hidden="false" customHeight="false" outlineLevel="0" collapsed="false">
      <c r="A3241" s="3" t="n">
        <v>2020</v>
      </c>
      <c r="B3241" s="3" t="n">
        <v>11</v>
      </c>
      <c r="C3241" s="3" t="n">
        <v>13</v>
      </c>
      <c r="D3241" s="3" t="s">
        <v>3245</v>
      </c>
      <c r="E3241" s="4" t="n">
        <v>15</v>
      </c>
    </row>
    <row r="3242" customFormat="false" ht="15" hidden="false" customHeight="false" outlineLevel="0" collapsed="false">
      <c r="A3242" s="3" t="n">
        <v>2020</v>
      </c>
      <c r="B3242" s="3" t="n">
        <v>11</v>
      </c>
      <c r="C3242" s="3" t="n">
        <v>14</v>
      </c>
      <c r="D3242" s="3" t="s">
        <v>3246</v>
      </c>
      <c r="E3242" s="4" t="n">
        <v>5</v>
      </c>
    </row>
    <row r="3243" customFormat="false" ht="15" hidden="false" customHeight="false" outlineLevel="0" collapsed="false">
      <c r="A3243" s="3" t="n">
        <v>2020</v>
      </c>
      <c r="B3243" s="3" t="n">
        <v>11</v>
      </c>
      <c r="C3243" s="3" t="n">
        <v>15</v>
      </c>
      <c r="D3243" s="3" t="s">
        <v>3247</v>
      </c>
      <c r="E3243" s="4" t="n">
        <v>64</v>
      </c>
    </row>
    <row r="3244" customFormat="false" ht="15" hidden="false" customHeight="false" outlineLevel="0" collapsed="false">
      <c r="A3244" s="3" t="n">
        <v>2020</v>
      </c>
      <c r="B3244" s="3" t="n">
        <v>11</v>
      </c>
      <c r="C3244" s="3" t="n">
        <v>16</v>
      </c>
      <c r="D3244" s="3" t="s">
        <v>3248</v>
      </c>
      <c r="E3244" s="4" t="n">
        <v>0</v>
      </c>
    </row>
    <row r="3245" customFormat="false" ht="15" hidden="false" customHeight="false" outlineLevel="0" collapsed="false">
      <c r="A3245" s="3" t="n">
        <v>2020</v>
      </c>
      <c r="B3245" s="3" t="n">
        <v>11</v>
      </c>
      <c r="C3245" s="3" t="n">
        <v>17</v>
      </c>
      <c r="D3245" s="3" t="s">
        <v>3249</v>
      </c>
      <c r="E3245" s="4" t="n">
        <v>59</v>
      </c>
    </row>
    <row r="3246" customFormat="false" ht="15" hidden="false" customHeight="false" outlineLevel="0" collapsed="false">
      <c r="A3246" s="3" t="n">
        <v>2020</v>
      </c>
      <c r="B3246" s="3" t="n">
        <v>11</v>
      </c>
      <c r="C3246" s="3" t="n">
        <v>18</v>
      </c>
      <c r="D3246" s="3" t="s">
        <v>3250</v>
      </c>
      <c r="E3246" s="4" t="n">
        <v>6</v>
      </c>
    </row>
    <row r="3247" customFormat="false" ht="15" hidden="false" customHeight="false" outlineLevel="0" collapsed="false">
      <c r="A3247" s="3" t="n">
        <v>2020</v>
      </c>
      <c r="B3247" s="3" t="n">
        <v>11</v>
      </c>
      <c r="C3247" s="3" t="n">
        <v>19</v>
      </c>
      <c r="D3247" s="3" t="s">
        <v>3251</v>
      </c>
      <c r="E3247" s="4" t="n">
        <v>21</v>
      </c>
    </row>
    <row r="3248" customFormat="false" ht="15" hidden="false" customHeight="false" outlineLevel="0" collapsed="false">
      <c r="A3248" s="3" t="n">
        <v>2020</v>
      </c>
      <c r="B3248" s="3" t="n">
        <v>11</v>
      </c>
      <c r="C3248" s="3" t="n">
        <v>20</v>
      </c>
      <c r="D3248" s="3" t="s">
        <v>3252</v>
      </c>
      <c r="E3248" s="4" t="n">
        <v>126</v>
      </c>
    </row>
    <row r="3249" customFormat="false" ht="15" hidden="false" customHeight="false" outlineLevel="0" collapsed="false">
      <c r="A3249" s="3" t="n">
        <v>2020</v>
      </c>
      <c r="B3249" s="3" t="n">
        <v>11</v>
      </c>
      <c r="C3249" s="3" t="n">
        <v>21</v>
      </c>
      <c r="D3249" s="3" t="s">
        <v>3253</v>
      </c>
      <c r="E3249" s="4" t="n">
        <v>13</v>
      </c>
    </row>
    <row r="3250" customFormat="false" ht="15" hidden="false" customHeight="false" outlineLevel="0" collapsed="false">
      <c r="A3250" s="3" t="n">
        <v>2020</v>
      </c>
      <c r="B3250" s="3" t="n">
        <v>11</v>
      </c>
      <c r="C3250" s="3" t="n">
        <v>22</v>
      </c>
      <c r="D3250" s="3" t="s">
        <v>3254</v>
      </c>
      <c r="E3250" s="4" t="n">
        <v>35</v>
      </c>
    </row>
    <row r="3251" customFormat="false" ht="15" hidden="false" customHeight="false" outlineLevel="0" collapsed="false">
      <c r="A3251" s="3" t="n">
        <v>2020</v>
      </c>
      <c r="B3251" s="3" t="n">
        <v>11</v>
      </c>
      <c r="C3251" s="3" t="n">
        <v>23</v>
      </c>
      <c r="D3251" s="3" t="s">
        <v>3255</v>
      </c>
      <c r="E3251" s="4" t="n">
        <v>10</v>
      </c>
    </row>
    <row r="3252" customFormat="false" ht="15" hidden="false" customHeight="false" outlineLevel="0" collapsed="false">
      <c r="A3252" s="3" t="n">
        <v>2020</v>
      </c>
      <c r="B3252" s="3" t="n">
        <v>11</v>
      </c>
      <c r="C3252" s="3" t="n">
        <v>24</v>
      </c>
      <c r="D3252" s="3" t="s">
        <v>3256</v>
      </c>
      <c r="E3252" s="4" t="n">
        <v>6</v>
      </c>
    </row>
    <row r="3253" customFormat="false" ht="15" hidden="false" customHeight="false" outlineLevel="0" collapsed="false">
      <c r="A3253" s="3" t="n">
        <v>2020</v>
      </c>
      <c r="B3253" s="3" t="n">
        <v>11</v>
      </c>
      <c r="C3253" s="3" t="n">
        <v>25</v>
      </c>
      <c r="D3253" s="3" t="s">
        <v>3257</v>
      </c>
      <c r="E3253" s="4" t="n">
        <v>34</v>
      </c>
    </row>
    <row r="3254" customFormat="false" ht="15" hidden="false" customHeight="false" outlineLevel="0" collapsed="false">
      <c r="A3254" s="3" t="n">
        <v>2020</v>
      </c>
      <c r="B3254" s="3" t="n">
        <v>11</v>
      </c>
      <c r="C3254" s="3" t="n">
        <v>26</v>
      </c>
      <c r="D3254" s="3" t="s">
        <v>3258</v>
      </c>
      <c r="E3254" s="4" t="n">
        <v>4</v>
      </c>
    </row>
    <row r="3255" customFormat="false" ht="15" hidden="false" customHeight="false" outlineLevel="0" collapsed="false">
      <c r="A3255" s="3" t="n">
        <v>2020</v>
      </c>
      <c r="B3255" s="3" t="n">
        <v>11</v>
      </c>
      <c r="C3255" s="3" t="n">
        <v>27</v>
      </c>
      <c r="D3255" s="3" t="s">
        <v>3259</v>
      </c>
      <c r="E3255" s="4" t="n">
        <v>6</v>
      </c>
    </row>
    <row r="3256" customFormat="false" ht="15" hidden="false" customHeight="false" outlineLevel="0" collapsed="false">
      <c r="A3256" s="3" t="n">
        <v>2020</v>
      </c>
      <c r="B3256" s="3" t="n">
        <v>11</v>
      </c>
      <c r="C3256" s="3" t="n">
        <v>28</v>
      </c>
      <c r="D3256" s="3" t="s">
        <v>3260</v>
      </c>
      <c r="E3256" s="4" t="n">
        <v>2</v>
      </c>
    </row>
    <row r="3257" customFormat="false" ht="15" hidden="false" customHeight="false" outlineLevel="0" collapsed="false">
      <c r="A3257" s="3" t="n">
        <v>2020</v>
      </c>
      <c r="B3257" s="3" t="n">
        <v>11</v>
      </c>
      <c r="C3257" s="3" t="n">
        <v>29</v>
      </c>
      <c r="D3257" s="3" t="s">
        <v>3261</v>
      </c>
      <c r="E3257" s="4" t="n">
        <v>0</v>
      </c>
    </row>
    <row r="3258" customFormat="false" ht="15" hidden="false" customHeight="false" outlineLevel="0" collapsed="false">
      <c r="A3258" s="3" t="n">
        <v>2020</v>
      </c>
      <c r="B3258" s="3" t="n">
        <v>11</v>
      </c>
      <c r="C3258" s="3" t="n">
        <v>30</v>
      </c>
      <c r="D3258" s="3" t="s">
        <v>3262</v>
      </c>
      <c r="E3258" s="4" t="n">
        <v>67</v>
      </c>
    </row>
    <row r="3259" customFormat="false" ht="15" hidden="false" customHeight="false" outlineLevel="0" collapsed="false">
      <c r="A3259" s="3" t="n">
        <v>2020</v>
      </c>
      <c r="B3259" s="3" t="n">
        <v>12</v>
      </c>
      <c r="C3259" s="3" t="n">
        <v>1</v>
      </c>
      <c r="D3259" s="3" t="s">
        <v>3263</v>
      </c>
      <c r="E3259" s="4" t="n">
        <v>0</v>
      </c>
    </row>
    <row r="3260" customFormat="false" ht="15" hidden="false" customHeight="false" outlineLevel="0" collapsed="false">
      <c r="A3260" s="3" t="n">
        <v>2020</v>
      </c>
      <c r="B3260" s="3" t="n">
        <v>12</v>
      </c>
      <c r="C3260" s="3" t="n">
        <v>2</v>
      </c>
      <c r="D3260" s="3" t="s">
        <v>3264</v>
      </c>
      <c r="E3260" s="4" t="n">
        <v>0</v>
      </c>
    </row>
    <row r="3261" customFormat="false" ht="15" hidden="false" customHeight="false" outlineLevel="0" collapsed="false">
      <c r="A3261" s="3" t="n">
        <v>2020</v>
      </c>
      <c r="B3261" s="3" t="n">
        <v>12</v>
      </c>
      <c r="C3261" s="3" t="n">
        <v>3</v>
      </c>
      <c r="D3261" s="3" t="s">
        <v>3265</v>
      </c>
      <c r="E3261" s="4" t="n">
        <v>0</v>
      </c>
    </row>
    <row r="3262" customFormat="false" ht="15" hidden="false" customHeight="false" outlineLevel="0" collapsed="false">
      <c r="A3262" s="3" t="n">
        <v>2020</v>
      </c>
      <c r="B3262" s="3" t="n">
        <v>12</v>
      </c>
      <c r="C3262" s="3" t="n">
        <v>4</v>
      </c>
      <c r="D3262" s="3" t="s">
        <v>3266</v>
      </c>
      <c r="E3262" s="4" t="n">
        <v>0</v>
      </c>
    </row>
    <row r="3263" customFormat="false" ht="15" hidden="false" customHeight="false" outlineLevel="0" collapsed="false">
      <c r="A3263" s="3" t="n">
        <v>2020</v>
      </c>
      <c r="B3263" s="3" t="n">
        <v>12</v>
      </c>
      <c r="C3263" s="3" t="n">
        <v>5</v>
      </c>
      <c r="D3263" s="3" t="s">
        <v>3267</v>
      </c>
      <c r="E3263" s="4" t="n">
        <v>0</v>
      </c>
    </row>
    <row r="3264" customFormat="false" ht="15" hidden="false" customHeight="false" outlineLevel="0" collapsed="false">
      <c r="A3264" s="3" t="n">
        <v>2020</v>
      </c>
      <c r="B3264" s="3" t="n">
        <v>12</v>
      </c>
      <c r="C3264" s="3" t="n">
        <v>6</v>
      </c>
      <c r="D3264" s="3" t="s">
        <v>3268</v>
      </c>
      <c r="E3264" s="4" t="n">
        <v>17</v>
      </c>
    </row>
    <row r="3265" customFormat="false" ht="15" hidden="false" customHeight="false" outlineLevel="0" collapsed="false">
      <c r="A3265" s="3" t="n">
        <v>2020</v>
      </c>
      <c r="B3265" s="3" t="n">
        <v>12</v>
      </c>
      <c r="C3265" s="3" t="n">
        <v>7</v>
      </c>
      <c r="D3265" s="3" t="s">
        <v>3269</v>
      </c>
      <c r="E3265" s="4" t="n">
        <v>0</v>
      </c>
    </row>
    <row r="3266" customFormat="false" ht="15" hidden="false" customHeight="false" outlineLevel="0" collapsed="false">
      <c r="A3266" s="3" t="n">
        <v>2020</v>
      </c>
      <c r="B3266" s="3" t="n">
        <v>12</v>
      </c>
      <c r="C3266" s="3" t="n">
        <v>8</v>
      </c>
      <c r="D3266" s="3" t="s">
        <v>3270</v>
      </c>
      <c r="E3266" s="4" t="n">
        <v>0</v>
      </c>
    </row>
    <row r="3267" customFormat="false" ht="15" hidden="false" customHeight="false" outlineLevel="0" collapsed="false">
      <c r="A3267" s="3" t="n">
        <v>2020</v>
      </c>
      <c r="B3267" s="3" t="n">
        <v>12</v>
      </c>
      <c r="C3267" s="3" t="n">
        <v>9</v>
      </c>
      <c r="D3267" s="3" t="s">
        <v>3271</v>
      </c>
      <c r="E3267" s="4" t="n">
        <v>0</v>
      </c>
    </row>
    <row r="3268" customFormat="false" ht="15" hidden="false" customHeight="false" outlineLevel="0" collapsed="false">
      <c r="A3268" s="3" t="n">
        <v>2020</v>
      </c>
      <c r="B3268" s="3" t="n">
        <v>12</v>
      </c>
      <c r="C3268" s="3" t="n">
        <v>10</v>
      </c>
      <c r="D3268" s="3" t="s">
        <v>3272</v>
      </c>
      <c r="E3268" s="4" t="n">
        <v>0</v>
      </c>
    </row>
    <row r="3269" customFormat="false" ht="15" hidden="false" customHeight="false" outlineLevel="0" collapsed="false">
      <c r="A3269" s="3" t="n">
        <v>2020</v>
      </c>
      <c r="B3269" s="3" t="n">
        <v>12</v>
      </c>
      <c r="C3269" s="3" t="n">
        <v>11</v>
      </c>
      <c r="D3269" s="3" t="s">
        <v>3273</v>
      </c>
      <c r="E3269" s="4" t="n">
        <v>0</v>
      </c>
    </row>
    <row r="3270" customFormat="false" ht="15" hidden="false" customHeight="false" outlineLevel="0" collapsed="false">
      <c r="A3270" s="3" t="n">
        <v>2020</v>
      </c>
      <c r="B3270" s="3" t="n">
        <v>12</v>
      </c>
      <c r="C3270" s="3" t="n">
        <v>12</v>
      </c>
      <c r="D3270" s="3" t="s">
        <v>3274</v>
      </c>
      <c r="E3270" s="4" t="n">
        <v>2</v>
      </c>
    </row>
    <row r="3271" customFormat="false" ht="15" hidden="false" customHeight="false" outlineLevel="0" collapsed="false">
      <c r="A3271" s="3" t="n">
        <v>2020</v>
      </c>
      <c r="B3271" s="3" t="n">
        <v>12</v>
      </c>
      <c r="C3271" s="3" t="n">
        <v>13</v>
      </c>
      <c r="D3271" s="3" t="s">
        <v>3275</v>
      </c>
      <c r="E3271" s="4" t="n">
        <v>18</v>
      </c>
    </row>
    <row r="3272" customFormat="false" ht="15" hidden="false" customHeight="false" outlineLevel="0" collapsed="false">
      <c r="A3272" s="3" t="n">
        <v>2020</v>
      </c>
      <c r="B3272" s="3" t="n">
        <v>12</v>
      </c>
      <c r="C3272" s="3" t="n">
        <v>14</v>
      </c>
      <c r="D3272" s="3" t="s">
        <v>3276</v>
      </c>
      <c r="E3272" s="4" t="n">
        <v>36</v>
      </c>
    </row>
    <row r="3273" customFormat="false" ht="15" hidden="false" customHeight="false" outlineLevel="0" collapsed="false">
      <c r="A3273" s="3" t="n">
        <v>2020</v>
      </c>
      <c r="B3273" s="3" t="n">
        <v>12</v>
      </c>
      <c r="C3273" s="3" t="n">
        <v>15</v>
      </c>
      <c r="D3273" s="3" t="s">
        <v>3277</v>
      </c>
      <c r="E3273" s="4" t="n">
        <v>11</v>
      </c>
    </row>
    <row r="3274" customFormat="false" ht="15" hidden="false" customHeight="false" outlineLevel="0" collapsed="false">
      <c r="A3274" s="3" t="n">
        <v>2020</v>
      </c>
      <c r="B3274" s="3" t="n">
        <v>12</v>
      </c>
      <c r="C3274" s="3" t="n">
        <v>16</v>
      </c>
      <c r="D3274" s="3" t="s">
        <v>3278</v>
      </c>
      <c r="E3274" s="4" t="n">
        <v>4</v>
      </c>
    </row>
    <row r="3275" customFormat="false" ht="15" hidden="false" customHeight="false" outlineLevel="0" collapsed="false">
      <c r="A3275" s="3" t="n">
        <v>2020</v>
      </c>
      <c r="B3275" s="3" t="n">
        <v>12</v>
      </c>
      <c r="C3275" s="3" t="n">
        <v>17</v>
      </c>
      <c r="D3275" s="3" t="s">
        <v>3279</v>
      </c>
      <c r="E3275" s="4" t="n">
        <v>8</v>
      </c>
    </row>
    <row r="3276" customFormat="false" ht="15" hidden="false" customHeight="false" outlineLevel="0" collapsed="false">
      <c r="A3276" s="3" t="n">
        <v>2020</v>
      </c>
      <c r="B3276" s="3" t="n">
        <v>12</v>
      </c>
      <c r="C3276" s="3" t="n">
        <v>18</v>
      </c>
      <c r="D3276" s="3" t="s">
        <v>3280</v>
      </c>
      <c r="E3276" s="4" t="n">
        <v>8</v>
      </c>
    </row>
    <row r="3277" customFormat="false" ht="15" hidden="false" customHeight="false" outlineLevel="0" collapsed="false">
      <c r="A3277" s="3" t="n">
        <v>2020</v>
      </c>
      <c r="B3277" s="3" t="n">
        <v>12</v>
      </c>
      <c r="C3277" s="3" t="n">
        <v>19</v>
      </c>
      <c r="D3277" s="3" t="s">
        <v>3281</v>
      </c>
      <c r="E3277" s="4" t="n">
        <v>34</v>
      </c>
    </row>
    <row r="3278" customFormat="false" ht="15" hidden="false" customHeight="false" outlineLevel="0" collapsed="false">
      <c r="A3278" s="3" t="n">
        <v>2020</v>
      </c>
      <c r="B3278" s="3" t="n">
        <v>12</v>
      </c>
      <c r="C3278" s="3" t="n">
        <v>20</v>
      </c>
      <c r="D3278" s="3" t="s">
        <v>3282</v>
      </c>
      <c r="E3278" s="4" t="n">
        <v>0</v>
      </c>
    </row>
    <row r="3279" customFormat="false" ht="15" hidden="false" customHeight="false" outlineLevel="0" collapsed="false">
      <c r="A3279" s="3" t="n">
        <v>2020</v>
      </c>
      <c r="B3279" s="3" t="n">
        <v>12</v>
      </c>
      <c r="C3279" s="3" t="n">
        <v>21</v>
      </c>
      <c r="D3279" s="3" t="s">
        <v>3283</v>
      </c>
      <c r="E3279" s="4" t="n">
        <v>5</v>
      </c>
    </row>
    <row r="3280" customFormat="false" ht="15" hidden="false" customHeight="false" outlineLevel="0" collapsed="false">
      <c r="A3280" s="3" t="n">
        <v>2020</v>
      </c>
      <c r="B3280" s="3" t="n">
        <v>12</v>
      </c>
      <c r="C3280" s="3" t="n">
        <v>22</v>
      </c>
      <c r="D3280" s="3" t="s">
        <v>3284</v>
      </c>
      <c r="E3280" s="4" t="n">
        <v>8</v>
      </c>
    </row>
    <row r="3281" customFormat="false" ht="15" hidden="false" customHeight="false" outlineLevel="0" collapsed="false">
      <c r="A3281" s="3" t="n">
        <v>2020</v>
      </c>
      <c r="B3281" s="3" t="n">
        <v>12</v>
      </c>
      <c r="C3281" s="3" t="n">
        <v>23</v>
      </c>
      <c r="D3281" s="3" t="s">
        <v>3285</v>
      </c>
      <c r="E3281" s="4" t="n">
        <v>0</v>
      </c>
    </row>
    <row r="3282" customFormat="false" ht="15" hidden="false" customHeight="false" outlineLevel="0" collapsed="false">
      <c r="A3282" s="3" t="n">
        <v>2020</v>
      </c>
      <c r="B3282" s="3" t="n">
        <v>12</v>
      </c>
      <c r="C3282" s="3" t="n">
        <v>24</v>
      </c>
      <c r="D3282" s="3" t="s">
        <v>3286</v>
      </c>
      <c r="E3282" s="4" t="n">
        <v>0</v>
      </c>
    </row>
    <row r="3283" customFormat="false" ht="15" hidden="false" customHeight="false" outlineLevel="0" collapsed="false">
      <c r="A3283" s="3" t="n">
        <v>2020</v>
      </c>
      <c r="B3283" s="3" t="n">
        <v>12</v>
      </c>
      <c r="C3283" s="3" t="n">
        <v>25</v>
      </c>
      <c r="D3283" s="3" t="s">
        <v>3287</v>
      </c>
      <c r="E3283" s="4" t="n">
        <v>20</v>
      </c>
    </row>
    <row r="3284" customFormat="false" ht="15" hidden="false" customHeight="false" outlineLevel="0" collapsed="false">
      <c r="A3284" s="3" t="n">
        <v>2020</v>
      </c>
      <c r="B3284" s="3" t="n">
        <v>12</v>
      </c>
      <c r="C3284" s="3" t="n">
        <v>26</v>
      </c>
      <c r="D3284" s="3" t="s">
        <v>3288</v>
      </c>
      <c r="E3284" s="4" t="n">
        <v>90</v>
      </c>
    </row>
    <row r="3285" customFormat="false" ht="15" hidden="false" customHeight="false" outlineLevel="0" collapsed="false">
      <c r="A3285" s="3" t="n">
        <v>2020</v>
      </c>
      <c r="B3285" s="3" t="n">
        <v>12</v>
      </c>
      <c r="C3285" s="3" t="n">
        <v>27</v>
      </c>
      <c r="D3285" s="3" t="s">
        <v>3289</v>
      </c>
      <c r="E3285" s="4" t="n">
        <v>6</v>
      </c>
    </row>
    <row r="3286" customFormat="false" ht="15" hidden="false" customHeight="false" outlineLevel="0" collapsed="false">
      <c r="A3286" s="3" t="n">
        <v>2020</v>
      </c>
      <c r="B3286" s="3" t="n">
        <v>12</v>
      </c>
      <c r="C3286" s="3" t="n">
        <v>28</v>
      </c>
      <c r="D3286" s="3" t="s">
        <v>3290</v>
      </c>
      <c r="E3286" s="4" t="n">
        <v>0</v>
      </c>
    </row>
    <row r="3287" customFormat="false" ht="15" hidden="false" customHeight="false" outlineLevel="0" collapsed="false">
      <c r="A3287" s="3" t="n">
        <v>2020</v>
      </c>
      <c r="B3287" s="3" t="n">
        <v>12</v>
      </c>
      <c r="C3287" s="3" t="n">
        <v>29</v>
      </c>
      <c r="D3287" s="3" t="s">
        <v>3291</v>
      </c>
      <c r="E3287" s="4" t="n">
        <v>0</v>
      </c>
    </row>
    <row r="3288" customFormat="false" ht="15" hidden="false" customHeight="false" outlineLevel="0" collapsed="false">
      <c r="A3288" s="3" t="n">
        <v>2020</v>
      </c>
      <c r="B3288" s="3" t="n">
        <v>12</v>
      </c>
      <c r="C3288" s="3" t="n">
        <v>30</v>
      </c>
      <c r="D3288" s="3" t="s">
        <v>3292</v>
      </c>
      <c r="E3288" s="4" t="n">
        <v>0</v>
      </c>
    </row>
    <row r="3289" customFormat="false" ht="15" hidden="false" customHeight="false" outlineLevel="0" collapsed="false">
      <c r="A3289" s="3" t="n">
        <v>2020</v>
      </c>
      <c r="B3289" s="3" t="n">
        <v>12</v>
      </c>
      <c r="C3289" s="3" t="n">
        <v>31</v>
      </c>
      <c r="D3289" s="3" t="s">
        <v>3293</v>
      </c>
      <c r="E3289" s="4" t="n">
        <v>7</v>
      </c>
    </row>
    <row r="3290" customFormat="false" ht="15" hidden="false" customHeight="false" outlineLevel="0" collapsed="false">
      <c r="A3290" s="3" t="n">
        <v>2021</v>
      </c>
      <c r="B3290" s="3" t="n">
        <v>1</v>
      </c>
      <c r="C3290" s="3" t="n">
        <v>1</v>
      </c>
      <c r="D3290" s="3" t="s">
        <v>3294</v>
      </c>
      <c r="E3290" s="4" t="n">
        <v>17</v>
      </c>
    </row>
    <row r="3291" customFormat="false" ht="15" hidden="false" customHeight="false" outlineLevel="0" collapsed="false">
      <c r="A3291" s="3" t="n">
        <v>2021</v>
      </c>
      <c r="B3291" s="3" t="n">
        <v>1</v>
      </c>
      <c r="C3291" s="3" t="n">
        <v>2</v>
      </c>
      <c r="D3291" s="3" t="s">
        <v>3295</v>
      </c>
      <c r="E3291" s="4" t="n">
        <v>0</v>
      </c>
    </row>
    <row r="3292" customFormat="false" ht="15" hidden="false" customHeight="false" outlineLevel="0" collapsed="false">
      <c r="A3292" s="3" t="n">
        <v>2021</v>
      </c>
      <c r="B3292" s="3" t="n">
        <v>1</v>
      </c>
      <c r="C3292" s="3" t="n">
        <v>3</v>
      </c>
      <c r="D3292" s="3" t="s">
        <v>3296</v>
      </c>
      <c r="E3292" s="4" t="n">
        <v>9</v>
      </c>
    </row>
    <row r="3293" customFormat="false" ht="15" hidden="false" customHeight="false" outlineLevel="0" collapsed="false">
      <c r="A3293" s="3" t="n">
        <v>2021</v>
      </c>
      <c r="B3293" s="3" t="n">
        <v>1</v>
      </c>
      <c r="C3293" s="3" t="n">
        <v>4</v>
      </c>
      <c r="D3293" s="3" t="s">
        <v>3297</v>
      </c>
      <c r="E3293" s="4" t="n">
        <v>2</v>
      </c>
    </row>
    <row r="3294" customFormat="false" ht="15" hidden="false" customHeight="false" outlineLevel="0" collapsed="false">
      <c r="A3294" s="3" t="n">
        <v>2021</v>
      </c>
      <c r="B3294" s="3" t="n">
        <v>1</v>
      </c>
      <c r="C3294" s="3" t="n">
        <v>5</v>
      </c>
      <c r="D3294" s="3" t="s">
        <v>3298</v>
      </c>
      <c r="E3294" s="4" t="n">
        <v>10</v>
      </c>
    </row>
    <row r="3295" customFormat="false" ht="15" hidden="false" customHeight="false" outlineLevel="0" collapsed="false">
      <c r="A3295" s="3" t="n">
        <v>2021</v>
      </c>
      <c r="B3295" s="3" t="n">
        <v>1</v>
      </c>
      <c r="C3295" s="3" t="n">
        <v>6</v>
      </c>
      <c r="D3295" s="3" t="s">
        <v>3299</v>
      </c>
      <c r="E3295" s="4" t="n">
        <v>0</v>
      </c>
    </row>
    <row r="3296" customFormat="false" ht="15" hidden="false" customHeight="false" outlineLevel="0" collapsed="false">
      <c r="A3296" s="3" t="n">
        <v>2021</v>
      </c>
      <c r="B3296" s="3" t="n">
        <v>1</v>
      </c>
      <c r="C3296" s="3" t="n">
        <v>7</v>
      </c>
      <c r="D3296" s="3" t="s">
        <v>3300</v>
      </c>
      <c r="E3296" s="4" t="n">
        <v>2</v>
      </c>
    </row>
    <row r="3297" customFormat="false" ht="15" hidden="false" customHeight="false" outlineLevel="0" collapsed="false">
      <c r="A3297" s="3" t="n">
        <v>2021</v>
      </c>
      <c r="B3297" s="3" t="n">
        <v>1</v>
      </c>
      <c r="C3297" s="3" t="n">
        <v>8</v>
      </c>
      <c r="D3297" s="3" t="s">
        <v>3301</v>
      </c>
      <c r="E3297" s="4" t="n">
        <v>78</v>
      </c>
    </row>
    <row r="3298" customFormat="false" ht="15" hidden="false" customHeight="false" outlineLevel="0" collapsed="false">
      <c r="A3298" s="3" t="n">
        <v>2021</v>
      </c>
      <c r="B3298" s="3" t="n">
        <v>1</v>
      </c>
      <c r="C3298" s="3" t="n">
        <v>9</v>
      </c>
      <c r="D3298" s="3" t="s">
        <v>3302</v>
      </c>
      <c r="E3298" s="4" t="n">
        <v>0</v>
      </c>
    </row>
    <row r="3299" customFormat="false" ht="15" hidden="false" customHeight="false" outlineLevel="0" collapsed="false">
      <c r="A3299" s="3" t="n">
        <v>2021</v>
      </c>
      <c r="B3299" s="3" t="n">
        <v>1</v>
      </c>
      <c r="C3299" s="3" t="n">
        <v>10</v>
      </c>
      <c r="D3299" s="3" t="s">
        <v>3303</v>
      </c>
      <c r="E3299" s="4" t="n">
        <v>34</v>
      </c>
    </row>
    <row r="3300" customFormat="false" ht="15" hidden="false" customHeight="false" outlineLevel="0" collapsed="false">
      <c r="A3300" s="3" t="n">
        <v>2021</v>
      </c>
      <c r="B3300" s="3" t="n">
        <v>1</v>
      </c>
      <c r="C3300" s="3" t="n">
        <v>11</v>
      </c>
      <c r="D3300" s="3" t="s">
        <v>3304</v>
      </c>
      <c r="E3300" s="4" t="n">
        <v>14</v>
      </c>
    </row>
    <row r="3301" customFormat="false" ht="15" hidden="false" customHeight="false" outlineLevel="0" collapsed="false">
      <c r="A3301" s="3" t="n">
        <v>2021</v>
      </c>
      <c r="B3301" s="3" t="n">
        <v>1</v>
      </c>
      <c r="C3301" s="3" t="n">
        <v>12</v>
      </c>
      <c r="D3301" s="3" t="s">
        <v>3305</v>
      </c>
      <c r="E3301" s="4" t="n">
        <v>0</v>
      </c>
    </row>
    <row r="3302" customFormat="false" ht="15" hidden="false" customHeight="false" outlineLevel="0" collapsed="false">
      <c r="A3302" s="3" t="n">
        <v>2021</v>
      </c>
      <c r="B3302" s="3" t="n">
        <v>1</v>
      </c>
      <c r="C3302" s="3" t="n">
        <v>13</v>
      </c>
      <c r="D3302" s="3" t="s">
        <v>3306</v>
      </c>
      <c r="E3302" s="4" t="n">
        <v>37</v>
      </c>
    </row>
    <row r="3303" customFormat="false" ht="15" hidden="false" customHeight="false" outlineLevel="0" collapsed="false">
      <c r="A3303" s="3" t="n">
        <v>2021</v>
      </c>
      <c r="B3303" s="3" t="n">
        <v>1</v>
      </c>
      <c r="C3303" s="3" t="n">
        <v>14</v>
      </c>
      <c r="D3303" s="3" t="s">
        <v>3307</v>
      </c>
      <c r="E3303" s="4" t="n">
        <v>50</v>
      </c>
    </row>
    <row r="3304" customFormat="false" ht="15" hidden="false" customHeight="false" outlineLevel="0" collapsed="false">
      <c r="A3304" s="3" t="n">
        <v>2021</v>
      </c>
      <c r="B3304" s="3" t="n">
        <v>1</v>
      </c>
      <c r="C3304" s="3" t="n">
        <v>15</v>
      </c>
      <c r="D3304" s="3" t="s">
        <v>3308</v>
      </c>
      <c r="E3304" s="4" t="n">
        <v>20</v>
      </c>
    </row>
    <row r="3305" customFormat="false" ht="15" hidden="false" customHeight="false" outlineLevel="0" collapsed="false">
      <c r="A3305" s="3" t="n">
        <v>2021</v>
      </c>
      <c r="B3305" s="3" t="n">
        <v>1</v>
      </c>
      <c r="C3305" s="3" t="n">
        <v>16</v>
      </c>
      <c r="D3305" s="3" t="s">
        <v>3309</v>
      </c>
      <c r="E3305" s="4" t="n">
        <v>1</v>
      </c>
    </row>
    <row r="3306" customFormat="false" ht="15" hidden="false" customHeight="false" outlineLevel="0" collapsed="false">
      <c r="A3306" s="3" t="n">
        <v>2021</v>
      </c>
      <c r="B3306" s="3" t="n">
        <v>1</v>
      </c>
      <c r="C3306" s="3" t="n">
        <v>17</v>
      </c>
      <c r="D3306" s="3" t="s">
        <v>3310</v>
      </c>
      <c r="E3306" s="4" t="n">
        <v>0</v>
      </c>
    </row>
    <row r="3307" customFormat="false" ht="15" hidden="false" customHeight="false" outlineLevel="0" collapsed="false">
      <c r="A3307" s="3" t="n">
        <v>2021</v>
      </c>
      <c r="B3307" s="3" t="n">
        <v>1</v>
      </c>
      <c r="C3307" s="3" t="n">
        <v>18</v>
      </c>
      <c r="D3307" s="3" t="s">
        <v>3311</v>
      </c>
      <c r="E3307" s="4" t="n">
        <v>0</v>
      </c>
    </row>
    <row r="3308" customFormat="false" ht="15" hidden="false" customHeight="false" outlineLevel="0" collapsed="false">
      <c r="A3308" s="3" t="n">
        <v>2021</v>
      </c>
      <c r="B3308" s="3" t="n">
        <v>1</v>
      </c>
      <c r="C3308" s="3" t="n">
        <v>19</v>
      </c>
      <c r="D3308" s="3" t="s">
        <v>3312</v>
      </c>
      <c r="E3308" s="4" t="n">
        <v>0</v>
      </c>
    </row>
    <row r="3309" customFormat="false" ht="15" hidden="false" customHeight="false" outlineLevel="0" collapsed="false">
      <c r="A3309" s="3" t="n">
        <v>2021</v>
      </c>
      <c r="B3309" s="3" t="n">
        <v>1</v>
      </c>
      <c r="C3309" s="3" t="n">
        <v>20</v>
      </c>
      <c r="D3309" s="3" t="s">
        <v>3313</v>
      </c>
      <c r="E3309" s="4" t="n">
        <v>0</v>
      </c>
    </row>
    <row r="3310" customFormat="false" ht="15" hidden="false" customHeight="false" outlineLevel="0" collapsed="false">
      <c r="A3310" s="3" t="n">
        <v>2021</v>
      </c>
      <c r="B3310" s="3" t="n">
        <v>1</v>
      </c>
      <c r="C3310" s="3" t="n">
        <v>21</v>
      </c>
      <c r="D3310" s="3" t="s">
        <v>3314</v>
      </c>
      <c r="E3310" s="4" t="n">
        <v>0</v>
      </c>
    </row>
    <row r="3311" customFormat="false" ht="15" hidden="false" customHeight="false" outlineLevel="0" collapsed="false">
      <c r="A3311" s="3" t="n">
        <v>2021</v>
      </c>
      <c r="B3311" s="3" t="n">
        <v>1</v>
      </c>
      <c r="C3311" s="3" t="n">
        <v>22</v>
      </c>
      <c r="D3311" s="3" t="s">
        <v>3315</v>
      </c>
      <c r="E3311" s="4" t="n">
        <v>0</v>
      </c>
    </row>
    <row r="3312" customFormat="false" ht="15" hidden="false" customHeight="false" outlineLevel="0" collapsed="false">
      <c r="A3312" s="3" t="n">
        <v>2021</v>
      </c>
      <c r="B3312" s="3" t="n">
        <v>1</v>
      </c>
      <c r="C3312" s="3" t="n">
        <v>23</v>
      </c>
      <c r="D3312" s="3" t="s">
        <v>3316</v>
      </c>
      <c r="E3312" s="4" t="n">
        <v>0</v>
      </c>
    </row>
    <row r="3313" customFormat="false" ht="15" hidden="false" customHeight="false" outlineLevel="0" collapsed="false">
      <c r="A3313" s="3" t="n">
        <v>2021</v>
      </c>
      <c r="B3313" s="3" t="n">
        <v>1</v>
      </c>
      <c r="C3313" s="3" t="n">
        <v>24</v>
      </c>
      <c r="D3313" s="3" t="s">
        <v>3317</v>
      </c>
      <c r="E3313" s="4" t="n">
        <v>0</v>
      </c>
    </row>
    <row r="3314" customFormat="false" ht="15" hidden="false" customHeight="false" outlineLevel="0" collapsed="false">
      <c r="A3314" s="3" t="n">
        <v>2021</v>
      </c>
      <c r="B3314" s="3" t="n">
        <v>1</v>
      </c>
      <c r="C3314" s="3" t="n">
        <v>25</v>
      </c>
      <c r="D3314" s="3" t="s">
        <v>3318</v>
      </c>
      <c r="E3314" s="4" t="n">
        <v>4</v>
      </c>
    </row>
    <row r="3315" customFormat="false" ht="15" hidden="false" customHeight="false" outlineLevel="0" collapsed="false">
      <c r="A3315" s="3" t="n">
        <v>2021</v>
      </c>
      <c r="B3315" s="3" t="n">
        <v>1</v>
      </c>
      <c r="C3315" s="3" t="n">
        <v>26</v>
      </c>
      <c r="D3315" s="3" t="s">
        <v>3319</v>
      </c>
      <c r="E3315" s="4" t="n">
        <v>0</v>
      </c>
    </row>
    <row r="3316" customFormat="false" ht="15" hidden="false" customHeight="false" outlineLevel="0" collapsed="false">
      <c r="A3316" s="3" t="n">
        <v>2021</v>
      </c>
      <c r="B3316" s="3" t="n">
        <v>1</v>
      </c>
      <c r="C3316" s="3" t="n">
        <v>27</v>
      </c>
      <c r="D3316" s="3" t="s">
        <v>3320</v>
      </c>
      <c r="E3316" s="4" t="n">
        <v>0</v>
      </c>
    </row>
    <row r="3317" customFormat="false" ht="15" hidden="false" customHeight="false" outlineLevel="0" collapsed="false">
      <c r="A3317" s="3" t="n">
        <v>2021</v>
      </c>
      <c r="B3317" s="3" t="n">
        <v>1</v>
      </c>
      <c r="C3317" s="3" t="n">
        <v>28</v>
      </c>
      <c r="D3317" s="3" t="s">
        <v>3321</v>
      </c>
      <c r="E3317" s="4" t="n">
        <v>3</v>
      </c>
    </row>
    <row r="3318" customFormat="false" ht="15" hidden="false" customHeight="false" outlineLevel="0" collapsed="false">
      <c r="A3318" s="3" t="n">
        <v>2021</v>
      </c>
      <c r="B3318" s="3" t="n">
        <v>1</v>
      </c>
      <c r="C3318" s="3" t="n">
        <v>29</v>
      </c>
      <c r="D3318" s="3" t="s">
        <v>3322</v>
      </c>
      <c r="E3318" s="4" t="n">
        <v>27</v>
      </c>
    </row>
    <row r="3319" customFormat="false" ht="15" hidden="false" customHeight="false" outlineLevel="0" collapsed="false">
      <c r="A3319" s="3" t="n">
        <v>2021</v>
      </c>
      <c r="B3319" s="3" t="n">
        <v>1</v>
      </c>
      <c r="C3319" s="3" t="n">
        <v>30</v>
      </c>
      <c r="D3319" s="3" t="s">
        <v>3323</v>
      </c>
      <c r="E3319" s="4" t="n">
        <v>2</v>
      </c>
    </row>
    <row r="3320" customFormat="false" ht="15" hidden="false" customHeight="false" outlineLevel="0" collapsed="false">
      <c r="A3320" s="3" t="n">
        <v>2021</v>
      </c>
      <c r="B3320" s="3" t="n">
        <v>1</v>
      </c>
      <c r="C3320" s="3" t="n">
        <v>31</v>
      </c>
      <c r="D3320" s="3" t="s">
        <v>3324</v>
      </c>
      <c r="E3320" s="4" t="n">
        <v>0</v>
      </c>
    </row>
    <row r="3321" customFormat="false" ht="15" hidden="false" customHeight="false" outlineLevel="0" collapsed="false">
      <c r="A3321" s="3" t="n">
        <v>2021</v>
      </c>
      <c r="B3321" s="3" t="n">
        <v>2</v>
      </c>
      <c r="C3321" s="3" t="n">
        <v>1</v>
      </c>
      <c r="D3321" s="3" t="s">
        <v>3325</v>
      </c>
      <c r="E3321" s="4" t="n">
        <v>4</v>
      </c>
    </row>
    <row r="3322" customFormat="false" ht="15" hidden="false" customHeight="false" outlineLevel="0" collapsed="false">
      <c r="A3322" s="3" t="n">
        <v>2021</v>
      </c>
      <c r="B3322" s="3" t="n">
        <v>2</v>
      </c>
      <c r="C3322" s="3" t="n">
        <v>2</v>
      </c>
      <c r="D3322" s="3" t="s">
        <v>3326</v>
      </c>
      <c r="E3322" s="4" t="n">
        <v>40</v>
      </c>
    </row>
    <row r="3323" customFormat="false" ht="15" hidden="false" customHeight="false" outlineLevel="0" collapsed="false">
      <c r="A3323" s="3" t="n">
        <v>2021</v>
      </c>
      <c r="B3323" s="3" t="n">
        <v>2</v>
      </c>
      <c r="C3323" s="3" t="n">
        <v>3</v>
      </c>
      <c r="D3323" s="3" t="s">
        <v>3327</v>
      </c>
      <c r="E3323" s="4" t="n">
        <v>2</v>
      </c>
    </row>
    <row r="3324" customFormat="false" ht="15" hidden="false" customHeight="false" outlineLevel="0" collapsed="false">
      <c r="A3324" s="3" t="n">
        <v>2021</v>
      </c>
      <c r="B3324" s="3" t="n">
        <v>2</v>
      </c>
      <c r="C3324" s="3" t="n">
        <v>4</v>
      </c>
      <c r="D3324" s="3" t="s">
        <v>3328</v>
      </c>
      <c r="E3324" s="4" t="n">
        <v>2</v>
      </c>
    </row>
    <row r="3325" customFormat="false" ht="15" hidden="false" customHeight="false" outlineLevel="0" collapsed="false">
      <c r="A3325" s="3" t="n">
        <v>2021</v>
      </c>
      <c r="B3325" s="3" t="n">
        <v>2</v>
      </c>
      <c r="C3325" s="3" t="n">
        <v>5</v>
      </c>
      <c r="D3325" s="3" t="s">
        <v>3329</v>
      </c>
      <c r="E3325" s="4" t="n">
        <v>0</v>
      </c>
    </row>
    <row r="3326" customFormat="false" ht="15" hidden="false" customHeight="false" outlineLevel="0" collapsed="false">
      <c r="A3326" s="3" t="n">
        <v>2021</v>
      </c>
      <c r="B3326" s="3" t="n">
        <v>2</v>
      </c>
      <c r="C3326" s="3" t="n">
        <v>6</v>
      </c>
      <c r="D3326" s="3" t="s">
        <v>3330</v>
      </c>
      <c r="E3326" s="4" t="n">
        <v>0</v>
      </c>
    </row>
    <row r="3327" customFormat="false" ht="15" hidden="false" customHeight="false" outlineLevel="0" collapsed="false">
      <c r="A3327" s="3" t="n">
        <v>2021</v>
      </c>
      <c r="B3327" s="3" t="n">
        <v>2</v>
      </c>
      <c r="C3327" s="3" t="n">
        <v>7</v>
      </c>
      <c r="D3327" s="3" t="s">
        <v>3331</v>
      </c>
      <c r="E3327" s="4" t="n">
        <v>0</v>
      </c>
    </row>
    <row r="3328" customFormat="false" ht="15" hidden="false" customHeight="false" outlineLevel="0" collapsed="false">
      <c r="A3328" s="3" t="n">
        <v>2021</v>
      </c>
      <c r="B3328" s="3" t="n">
        <v>2</v>
      </c>
      <c r="C3328" s="3" t="n">
        <v>8</v>
      </c>
      <c r="D3328" s="3" t="s">
        <v>3332</v>
      </c>
      <c r="E3328" s="4" t="n">
        <v>0</v>
      </c>
    </row>
    <row r="3329" customFormat="false" ht="15" hidden="false" customHeight="false" outlineLevel="0" collapsed="false">
      <c r="A3329" s="3" t="n">
        <v>2021</v>
      </c>
      <c r="B3329" s="3" t="n">
        <v>2</v>
      </c>
      <c r="C3329" s="3" t="n">
        <v>9</v>
      </c>
      <c r="D3329" s="3" t="s">
        <v>3333</v>
      </c>
      <c r="E3329" s="4" t="n">
        <v>0</v>
      </c>
    </row>
    <row r="3330" customFormat="false" ht="15" hidden="false" customHeight="false" outlineLevel="0" collapsed="false">
      <c r="A3330" s="3" t="n">
        <v>2021</v>
      </c>
      <c r="B3330" s="3" t="n">
        <v>2</v>
      </c>
      <c r="C3330" s="3" t="n">
        <v>10</v>
      </c>
      <c r="D3330" s="3" t="s">
        <v>3334</v>
      </c>
      <c r="E3330" s="4" t="n">
        <v>0</v>
      </c>
    </row>
    <row r="3331" customFormat="false" ht="15" hidden="false" customHeight="false" outlineLevel="0" collapsed="false">
      <c r="A3331" s="3" t="n">
        <v>2021</v>
      </c>
      <c r="B3331" s="3" t="n">
        <v>2</v>
      </c>
      <c r="C3331" s="3" t="n">
        <v>11</v>
      </c>
      <c r="D3331" s="3" t="s">
        <v>3335</v>
      </c>
      <c r="E3331" s="4" t="n">
        <v>0</v>
      </c>
    </row>
    <row r="3332" customFormat="false" ht="15" hidden="false" customHeight="false" outlineLevel="0" collapsed="false">
      <c r="A3332" s="3" t="n">
        <v>2021</v>
      </c>
      <c r="B3332" s="3" t="n">
        <v>2</v>
      </c>
      <c r="C3332" s="3" t="n">
        <v>12</v>
      </c>
      <c r="D3332" s="3" t="s">
        <v>3336</v>
      </c>
      <c r="E3332" s="4" t="n">
        <v>0</v>
      </c>
    </row>
    <row r="3333" customFormat="false" ht="15" hidden="false" customHeight="false" outlineLevel="0" collapsed="false">
      <c r="A3333" s="3" t="n">
        <v>2021</v>
      </c>
      <c r="B3333" s="3" t="n">
        <v>2</v>
      </c>
      <c r="C3333" s="3" t="n">
        <v>13</v>
      </c>
      <c r="D3333" s="3" t="s">
        <v>3337</v>
      </c>
      <c r="E3333" s="4" t="n">
        <v>0</v>
      </c>
    </row>
    <row r="3334" customFormat="false" ht="15" hidden="false" customHeight="false" outlineLevel="0" collapsed="false">
      <c r="A3334" s="3" t="n">
        <v>2021</v>
      </c>
      <c r="B3334" s="3" t="n">
        <v>2</v>
      </c>
      <c r="C3334" s="3" t="n">
        <v>14</v>
      </c>
      <c r="D3334" s="3" t="s">
        <v>3338</v>
      </c>
      <c r="E3334" s="4" t="n">
        <v>0</v>
      </c>
    </row>
    <row r="3335" customFormat="false" ht="15" hidden="false" customHeight="false" outlineLevel="0" collapsed="false">
      <c r="A3335" s="3" t="n">
        <v>2021</v>
      </c>
      <c r="B3335" s="3" t="n">
        <v>2</v>
      </c>
      <c r="C3335" s="3" t="n">
        <v>15</v>
      </c>
      <c r="D3335" s="3" t="s">
        <v>3339</v>
      </c>
      <c r="E3335" s="4" t="n">
        <v>0</v>
      </c>
    </row>
    <row r="3336" customFormat="false" ht="15" hidden="false" customHeight="false" outlineLevel="0" collapsed="false">
      <c r="A3336" s="3" t="n">
        <v>2021</v>
      </c>
      <c r="B3336" s="3" t="n">
        <v>2</v>
      </c>
      <c r="C3336" s="3" t="n">
        <v>16</v>
      </c>
      <c r="D3336" s="3" t="s">
        <v>3340</v>
      </c>
      <c r="E3336" s="4" t="n">
        <v>0</v>
      </c>
    </row>
    <row r="3337" customFormat="false" ht="15" hidden="false" customHeight="false" outlineLevel="0" collapsed="false">
      <c r="A3337" s="3" t="n">
        <v>2021</v>
      </c>
      <c r="B3337" s="3" t="n">
        <v>2</v>
      </c>
      <c r="C3337" s="3" t="n">
        <v>17</v>
      </c>
      <c r="D3337" s="3" t="s">
        <v>3341</v>
      </c>
      <c r="E3337" s="4" t="n">
        <v>0</v>
      </c>
    </row>
    <row r="3338" customFormat="false" ht="15" hidden="false" customHeight="false" outlineLevel="0" collapsed="false">
      <c r="A3338" s="3" t="n">
        <v>2021</v>
      </c>
      <c r="B3338" s="3" t="n">
        <v>2</v>
      </c>
      <c r="C3338" s="3" t="n">
        <v>18</v>
      </c>
      <c r="D3338" s="3" t="s">
        <v>3342</v>
      </c>
      <c r="E3338" s="4" t="n">
        <v>0</v>
      </c>
    </row>
    <row r="3339" customFormat="false" ht="15" hidden="false" customHeight="false" outlineLevel="0" collapsed="false">
      <c r="A3339" s="3" t="n">
        <v>2021</v>
      </c>
      <c r="B3339" s="3" t="n">
        <v>2</v>
      </c>
      <c r="C3339" s="3" t="n">
        <v>19</v>
      </c>
      <c r="D3339" s="3" t="s">
        <v>3343</v>
      </c>
      <c r="E3339" s="4" t="n">
        <v>0</v>
      </c>
    </row>
    <row r="3340" customFormat="false" ht="15" hidden="false" customHeight="false" outlineLevel="0" collapsed="false">
      <c r="A3340" s="3" t="n">
        <v>2021</v>
      </c>
      <c r="B3340" s="3" t="n">
        <v>2</v>
      </c>
      <c r="C3340" s="3" t="n">
        <v>20</v>
      </c>
      <c r="D3340" s="3" t="s">
        <v>3344</v>
      </c>
      <c r="E3340" s="4" t="n">
        <v>0</v>
      </c>
    </row>
    <row r="3341" customFormat="false" ht="15" hidden="false" customHeight="false" outlineLevel="0" collapsed="false">
      <c r="A3341" s="3" t="n">
        <v>2021</v>
      </c>
      <c r="B3341" s="3" t="n">
        <v>2</v>
      </c>
      <c r="C3341" s="3" t="n">
        <v>21</v>
      </c>
      <c r="D3341" s="3" t="s">
        <v>3345</v>
      </c>
      <c r="E3341" s="4" t="n">
        <v>0</v>
      </c>
    </row>
    <row r="3342" customFormat="false" ht="15" hidden="false" customHeight="false" outlineLevel="0" collapsed="false">
      <c r="A3342" s="3" t="n">
        <v>2021</v>
      </c>
      <c r="B3342" s="3" t="n">
        <v>2</v>
      </c>
      <c r="C3342" s="3" t="n">
        <v>22</v>
      </c>
      <c r="D3342" s="3" t="s">
        <v>3346</v>
      </c>
      <c r="E3342" s="4" t="n">
        <v>0</v>
      </c>
    </row>
    <row r="3343" customFormat="false" ht="15" hidden="false" customHeight="false" outlineLevel="0" collapsed="false">
      <c r="A3343" s="3" t="n">
        <v>2021</v>
      </c>
      <c r="B3343" s="3" t="n">
        <v>2</v>
      </c>
      <c r="C3343" s="3" t="n">
        <v>23</v>
      </c>
      <c r="D3343" s="3" t="s">
        <v>3347</v>
      </c>
      <c r="E3343" s="4" t="n">
        <v>0</v>
      </c>
    </row>
    <row r="3344" customFormat="false" ht="15" hidden="false" customHeight="false" outlineLevel="0" collapsed="false">
      <c r="A3344" s="3" t="n">
        <v>2021</v>
      </c>
      <c r="B3344" s="3" t="n">
        <v>2</v>
      </c>
      <c r="C3344" s="3" t="n">
        <v>24</v>
      </c>
      <c r="D3344" s="3" t="s">
        <v>3348</v>
      </c>
      <c r="E3344" s="4" t="n">
        <v>2</v>
      </c>
    </row>
    <row r="3345" customFormat="false" ht="15" hidden="false" customHeight="false" outlineLevel="0" collapsed="false">
      <c r="A3345" s="3" t="n">
        <v>2021</v>
      </c>
      <c r="B3345" s="3" t="n">
        <v>2</v>
      </c>
      <c r="C3345" s="3" t="n">
        <v>25</v>
      </c>
      <c r="D3345" s="3" t="s">
        <v>3349</v>
      </c>
      <c r="E3345" s="4" t="n">
        <v>0</v>
      </c>
    </row>
    <row r="3346" customFormat="false" ht="15" hidden="false" customHeight="false" outlineLevel="0" collapsed="false">
      <c r="A3346" s="3" t="n">
        <v>2021</v>
      </c>
      <c r="B3346" s="3" t="n">
        <v>2</v>
      </c>
      <c r="C3346" s="3" t="n">
        <v>26</v>
      </c>
      <c r="D3346" s="3" t="s">
        <v>3350</v>
      </c>
      <c r="E3346" s="4" t="n">
        <v>0</v>
      </c>
    </row>
    <row r="3347" customFormat="false" ht="15" hidden="false" customHeight="false" outlineLevel="0" collapsed="false">
      <c r="A3347" s="3" t="n">
        <v>2021</v>
      </c>
      <c r="B3347" s="3" t="n">
        <v>2</v>
      </c>
      <c r="C3347" s="3" t="n">
        <v>27</v>
      </c>
      <c r="D3347" s="3" t="s">
        <v>3351</v>
      </c>
      <c r="E3347" s="4" t="n">
        <v>0</v>
      </c>
    </row>
    <row r="3348" customFormat="false" ht="15" hidden="false" customHeight="false" outlineLevel="0" collapsed="false">
      <c r="A3348" s="3" t="n">
        <v>2021</v>
      </c>
      <c r="B3348" s="3" t="n">
        <v>2</v>
      </c>
      <c r="C3348" s="3" t="n">
        <v>28</v>
      </c>
      <c r="D3348" s="3" t="s">
        <v>3352</v>
      </c>
      <c r="E3348" s="4" t="n">
        <v>0</v>
      </c>
    </row>
    <row r="3349" customFormat="false" ht="15" hidden="false" customHeight="false" outlineLevel="0" collapsed="false">
      <c r="A3349" s="3" t="n">
        <v>2021</v>
      </c>
      <c r="B3349" s="3" t="n">
        <v>3</v>
      </c>
      <c r="C3349" s="3" t="n">
        <v>1</v>
      </c>
      <c r="D3349" s="3" t="s">
        <v>3353</v>
      </c>
      <c r="E3349" s="4" t="n">
        <v>0</v>
      </c>
    </row>
    <row r="3350" customFormat="false" ht="15" hidden="false" customHeight="false" outlineLevel="0" collapsed="false">
      <c r="A3350" s="3" t="n">
        <v>2021</v>
      </c>
      <c r="B3350" s="3" t="n">
        <v>3</v>
      </c>
      <c r="C3350" s="3" t="n">
        <v>2</v>
      </c>
      <c r="D3350" s="3" t="s">
        <v>3354</v>
      </c>
      <c r="E3350" s="4" t="n">
        <v>0</v>
      </c>
    </row>
    <row r="3351" customFormat="false" ht="15" hidden="false" customHeight="false" outlineLevel="0" collapsed="false">
      <c r="A3351" s="3" t="n">
        <v>2021</v>
      </c>
      <c r="B3351" s="3" t="n">
        <v>3</v>
      </c>
      <c r="C3351" s="3" t="n">
        <v>3</v>
      </c>
      <c r="D3351" s="3" t="s">
        <v>3355</v>
      </c>
      <c r="E3351" s="4" t="n">
        <v>1</v>
      </c>
    </row>
    <row r="3352" customFormat="false" ht="15" hidden="false" customHeight="false" outlineLevel="0" collapsed="false">
      <c r="A3352" s="3" t="n">
        <v>2021</v>
      </c>
      <c r="B3352" s="3" t="n">
        <v>3</v>
      </c>
      <c r="C3352" s="3" t="n">
        <v>4</v>
      </c>
      <c r="D3352" s="3" t="s">
        <v>3356</v>
      </c>
      <c r="E3352" s="4" t="n">
        <v>8</v>
      </c>
    </row>
    <row r="3353" customFormat="false" ht="15" hidden="false" customHeight="false" outlineLevel="0" collapsed="false">
      <c r="A3353" s="3" t="n">
        <v>2021</v>
      </c>
      <c r="B3353" s="3" t="n">
        <v>3</v>
      </c>
      <c r="C3353" s="3" t="n">
        <v>5</v>
      </c>
      <c r="D3353" s="3" t="s">
        <v>3357</v>
      </c>
      <c r="E3353" s="4" t="n">
        <v>2</v>
      </c>
    </row>
    <row r="3354" customFormat="false" ht="15" hidden="false" customHeight="false" outlineLevel="0" collapsed="false">
      <c r="A3354" s="3" t="n">
        <v>2021</v>
      </c>
      <c r="B3354" s="3" t="n">
        <v>3</v>
      </c>
      <c r="C3354" s="3" t="n">
        <v>6</v>
      </c>
      <c r="D3354" s="3" t="s">
        <v>3358</v>
      </c>
      <c r="E3354" s="4" t="n">
        <v>0</v>
      </c>
    </row>
    <row r="3355" customFormat="false" ht="15" hidden="false" customHeight="false" outlineLevel="0" collapsed="false">
      <c r="A3355" s="3" t="n">
        <v>2021</v>
      </c>
      <c r="B3355" s="3" t="n">
        <v>3</v>
      </c>
      <c r="C3355" s="3" t="n">
        <v>7</v>
      </c>
      <c r="D3355" s="3" t="s">
        <v>3359</v>
      </c>
      <c r="E3355" s="4" t="n">
        <v>14</v>
      </c>
    </row>
    <row r="3356" customFormat="false" ht="15" hidden="false" customHeight="false" outlineLevel="0" collapsed="false">
      <c r="A3356" s="3" t="n">
        <v>2021</v>
      </c>
      <c r="B3356" s="3" t="n">
        <v>3</v>
      </c>
      <c r="C3356" s="3" t="n">
        <v>8</v>
      </c>
      <c r="D3356" s="3" t="s">
        <v>3360</v>
      </c>
      <c r="E3356" s="4" t="n">
        <v>29</v>
      </c>
    </row>
    <row r="3357" customFormat="false" ht="15" hidden="false" customHeight="false" outlineLevel="0" collapsed="false">
      <c r="A3357" s="3" t="n">
        <v>2021</v>
      </c>
      <c r="B3357" s="3" t="n">
        <v>3</v>
      </c>
      <c r="C3357" s="3" t="n">
        <v>9</v>
      </c>
      <c r="D3357" s="3" t="s">
        <v>3361</v>
      </c>
      <c r="E3357" s="4" t="n">
        <v>18</v>
      </c>
    </row>
    <row r="3358" customFormat="false" ht="15" hidden="false" customHeight="false" outlineLevel="0" collapsed="false">
      <c r="A3358" s="3" t="n">
        <v>2021</v>
      </c>
      <c r="B3358" s="3" t="n">
        <v>3</v>
      </c>
      <c r="C3358" s="3" t="n">
        <v>10</v>
      </c>
      <c r="D3358" s="3" t="s">
        <v>3362</v>
      </c>
      <c r="E3358" s="4" t="n">
        <v>0</v>
      </c>
    </row>
    <row r="3359" customFormat="false" ht="15" hidden="false" customHeight="false" outlineLevel="0" collapsed="false">
      <c r="A3359" s="3" t="n">
        <v>2021</v>
      </c>
      <c r="B3359" s="3" t="n">
        <v>3</v>
      </c>
      <c r="C3359" s="3" t="n">
        <v>11</v>
      </c>
      <c r="D3359" s="3" t="s">
        <v>3363</v>
      </c>
      <c r="E3359" s="4" t="n">
        <v>0</v>
      </c>
    </row>
    <row r="3360" customFormat="false" ht="15" hidden="false" customHeight="false" outlineLevel="0" collapsed="false">
      <c r="A3360" s="3" t="n">
        <v>2021</v>
      </c>
      <c r="B3360" s="3" t="n">
        <v>3</v>
      </c>
      <c r="C3360" s="3" t="n">
        <v>12</v>
      </c>
      <c r="D3360" s="3" t="s">
        <v>3364</v>
      </c>
      <c r="E3360" s="4" t="n">
        <v>0</v>
      </c>
    </row>
    <row r="3361" customFormat="false" ht="15" hidden="false" customHeight="false" outlineLevel="0" collapsed="false">
      <c r="A3361" s="3" t="n">
        <v>2021</v>
      </c>
      <c r="B3361" s="3" t="n">
        <v>3</v>
      </c>
      <c r="C3361" s="3" t="n">
        <v>13</v>
      </c>
      <c r="D3361" s="3" t="s">
        <v>3365</v>
      </c>
      <c r="E3361" s="4" t="n">
        <v>0</v>
      </c>
    </row>
    <row r="3362" customFormat="false" ht="15" hidden="false" customHeight="false" outlineLevel="0" collapsed="false">
      <c r="A3362" s="3" t="n">
        <v>2021</v>
      </c>
      <c r="B3362" s="3" t="n">
        <v>3</v>
      </c>
      <c r="C3362" s="3" t="n">
        <v>14</v>
      </c>
      <c r="D3362" s="3" t="s">
        <v>3366</v>
      </c>
      <c r="E3362" s="4" t="n">
        <v>0</v>
      </c>
    </row>
    <row r="3363" customFormat="false" ht="15" hidden="false" customHeight="false" outlineLevel="0" collapsed="false">
      <c r="A3363" s="3" t="n">
        <v>2021</v>
      </c>
      <c r="B3363" s="3" t="n">
        <v>3</v>
      </c>
      <c r="C3363" s="3" t="n">
        <v>15</v>
      </c>
      <c r="D3363" s="3" t="s">
        <v>3367</v>
      </c>
      <c r="E3363" s="4" t="n">
        <v>16</v>
      </c>
    </row>
    <row r="3364" customFormat="false" ht="15" hidden="false" customHeight="false" outlineLevel="0" collapsed="false">
      <c r="A3364" s="3" t="n">
        <v>2021</v>
      </c>
      <c r="B3364" s="3" t="n">
        <v>3</v>
      </c>
      <c r="C3364" s="3" t="n">
        <v>16</v>
      </c>
      <c r="D3364" s="3" t="s">
        <v>3368</v>
      </c>
      <c r="E3364" s="4" t="n">
        <v>0</v>
      </c>
    </row>
    <row r="3365" customFormat="false" ht="15" hidden="false" customHeight="false" outlineLevel="0" collapsed="false">
      <c r="A3365" s="3" t="n">
        <v>2021</v>
      </c>
      <c r="B3365" s="3" t="n">
        <v>3</v>
      </c>
      <c r="C3365" s="3" t="n">
        <v>17</v>
      </c>
      <c r="D3365" s="3" t="s">
        <v>3369</v>
      </c>
      <c r="E3365" s="4" t="n">
        <v>0</v>
      </c>
    </row>
    <row r="3366" customFormat="false" ht="15" hidden="false" customHeight="false" outlineLevel="0" collapsed="false">
      <c r="A3366" s="3" t="n">
        <v>2021</v>
      </c>
      <c r="B3366" s="3" t="n">
        <v>3</v>
      </c>
      <c r="C3366" s="3" t="n">
        <v>18</v>
      </c>
      <c r="D3366" s="3" t="s">
        <v>3370</v>
      </c>
      <c r="E3366" s="4" t="n">
        <v>0</v>
      </c>
    </row>
    <row r="3367" customFormat="false" ht="15" hidden="false" customHeight="false" outlineLevel="0" collapsed="false">
      <c r="A3367" s="3" t="n">
        <v>2021</v>
      </c>
      <c r="B3367" s="3" t="n">
        <v>3</v>
      </c>
      <c r="C3367" s="3" t="n">
        <v>19</v>
      </c>
      <c r="D3367" s="3" t="s">
        <v>3371</v>
      </c>
      <c r="E3367" s="4" t="n">
        <v>0</v>
      </c>
    </row>
    <row r="3368" customFormat="false" ht="15" hidden="false" customHeight="false" outlineLevel="0" collapsed="false">
      <c r="A3368" s="3" t="n">
        <v>2021</v>
      </c>
      <c r="B3368" s="3" t="n">
        <v>3</v>
      </c>
      <c r="C3368" s="3" t="n">
        <v>20</v>
      </c>
      <c r="D3368" s="3" t="s">
        <v>3372</v>
      </c>
      <c r="E3368" s="4" t="n">
        <v>0</v>
      </c>
    </row>
    <row r="3369" customFormat="false" ht="15" hidden="false" customHeight="false" outlineLevel="0" collapsed="false">
      <c r="A3369" s="3" t="n">
        <v>2021</v>
      </c>
      <c r="B3369" s="3" t="n">
        <v>3</v>
      </c>
      <c r="C3369" s="3" t="n">
        <v>21</v>
      </c>
      <c r="D3369" s="3" t="s">
        <v>3373</v>
      </c>
      <c r="E3369" s="4" t="n">
        <v>0</v>
      </c>
    </row>
    <row r="3370" customFormat="false" ht="15" hidden="false" customHeight="false" outlineLevel="0" collapsed="false">
      <c r="A3370" s="3" t="n">
        <v>2021</v>
      </c>
      <c r="B3370" s="3" t="n">
        <v>3</v>
      </c>
      <c r="C3370" s="3" t="n">
        <v>22</v>
      </c>
      <c r="D3370" s="3" t="s">
        <v>3374</v>
      </c>
      <c r="E3370" s="4" t="n">
        <v>47</v>
      </c>
    </row>
    <row r="3371" customFormat="false" ht="15" hidden="false" customHeight="false" outlineLevel="0" collapsed="false">
      <c r="A3371" s="3" t="n">
        <v>2021</v>
      </c>
      <c r="B3371" s="3" t="n">
        <v>3</v>
      </c>
      <c r="C3371" s="3" t="n">
        <v>23</v>
      </c>
      <c r="D3371" s="3" t="s">
        <v>3375</v>
      </c>
      <c r="E3371" s="4" t="n">
        <v>31</v>
      </c>
    </row>
    <row r="3372" customFormat="false" ht="15" hidden="false" customHeight="false" outlineLevel="0" collapsed="false">
      <c r="A3372" s="3" t="n">
        <v>2021</v>
      </c>
      <c r="B3372" s="3" t="n">
        <v>3</v>
      </c>
      <c r="C3372" s="3" t="n">
        <v>24</v>
      </c>
      <c r="D3372" s="3" t="s">
        <v>3376</v>
      </c>
      <c r="E3372" s="4" t="n">
        <v>13</v>
      </c>
    </row>
    <row r="3373" customFormat="false" ht="15" hidden="false" customHeight="false" outlineLevel="0" collapsed="false">
      <c r="A3373" s="3" t="n">
        <v>2021</v>
      </c>
      <c r="B3373" s="3" t="n">
        <v>3</v>
      </c>
      <c r="C3373" s="3" t="n">
        <v>25</v>
      </c>
      <c r="D3373" s="3" t="s">
        <v>3377</v>
      </c>
      <c r="E3373" s="4" t="n">
        <v>39</v>
      </c>
    </row>
    <row r="3374" customFormat="false" ht="15" hidden="false" customHeight="false" outlineLevel="0" collapsed="false">
      <c r="A3374" s="3" t="n">
        <v>2021</v>
      </c>
      <c r="B3374" s="3" t="n">
        <v>3</v>
      </c>
      <c r="C3374" s="3" t="n">
        <v>26</v>
      </c>
      <c r="D3374" s="3" t="s">
        <v>3378</v>
      </c>
      <c r="E3374" s="4" t="n">
        <v>0</v>
      </c>
    </row>
    <row r="3375" customFormat="false" ht="15" hidden="false" customHeight="false" outlineLevel="0" collapsed="false">
      <c r="A3375" s="3" t="n">
        <v>2021</v>
      </c>
      <c r="B3375" s="3" t="n">
        <v>3</v>
      </c>
      <c r="C3375" s="3" t="n">
        <v>27</v>
      </c>
      <c r="D3375" s="3" t="s">
        <v>3379</v>
      </c>
      <c r="E3375" s="4" t="n">
        <v>6</v>
      </c>
    </row>
    <row r="3376" customFormat="false" ht="15" hidden="false" customHeight="false" outlineLevel="0" collapsed="false">
      <c r="A3376" s="3" t="n">
        <v>2021</v>
      </c>
      <c r="B3376" s="3" t="n">
        <v>3</v>
      </c>
      <c r="C3376" s="3" t="n">
        <v>28</v>
      </c>
      <c r="D3376" s="3" t="s">
        <v>3380</v>
      </c>
      <c r="E3376" s="4" t="n">
        <v>0</v>
      </c>
    </row>
    <row r="3377" customFormat="false" ht="15" hidden="false" customHeight="false" outlineLevel="0" collapsed="false">
      <c r="A3377" s="3" t="n">
        <v>2021</v>
      </c>
      <c r="B3377" s="3" t="n">
        <v>3</v>
      </c>
      <c r="C3377" s="3" t="n">
        <v>29</v>
      </c>
      <c r="D3377" s="3" t="s">
        <v>3381</v>
      </c>
      <c r="E3377" s="4" t="n">
        <v>39</v>
      </c>
    </row>
    <row r="3378" customFormat="false" ht="15" hidden="false" customHeight="false" outlineLevel="0" collapsed="false">
      <c r="A3378" s="3" t="n">
        <v>2021</v>
      </c>
      <c r="B3378" s="3" t="n">
        <v>3</v>
      </c>
      <c r="C3378" s="3" t="n">
        <v>30</v>
      </c>
      <c r="D3378" s="3" t="s">
        <v>3382</v>
      </c>
      <c r="E3378" s="4" t="n">
        <v>0</v>
      </c>
    </row>
    <row r="3379" customFormat="false" ht="15" hidden="false" customHeight="false" outlineLevel="0" collapsed="false">
      <c r="A3379" s="3" t="n">
        <v>2021</v>
      </c>
      <c r="B3379" s="3" t="n">
        <v>3</v>
      </c>
      <c r="C3379" s="3" t="n">
        <v>31</v>
      </c>
      <c r="D3379" s="3" t="s">
        <v>3383</v>
      </c>
      <c r="E3379" s="4" t="n">
        <v>0</v>
      </c>
    </row>
    <row r="3380" customFormat="false" ht="15" hidden="false" customHeight="false" outlineLevel="0" collapsed="false">
      <c r="A3380" s="3" t="n">
        <v>2021</v>
      </c>
      <c r="B3380" s="3" t="n">
        <v>4</v>
      </c>
      <c r="C3380" s="3" t="n">
        <v>1</v>
      </c>
      <c r="D3380" s="3" t="s">
        <v>3384</v>
      </c>
      <c r="E3380" s="4" t="n">
        <v>0</v>
      </c>
    </row>
    <row r="3381" customFormat="false" ht="15" hidden="false" customHeight="false" outlineLevel="0" collapsed="false">
      <c r="A3381" s="3" t="n">
        <v>2021</v>
      </c>
      <c r="B3381" s="3" t="n">
        <v>4</v>
      </c>
      <c r="C3381" s="3" t="n">
        <v>2</v>
      </c>
      <c r="D3381" s="3" t="s">
        <v>3385</v>
      </c>
      <c r="E3381" s="4" t="n">
        <v>0</v>
      </c>
    </row>
    <row r="3382" customFormat="false" ht="15" hidden="false" customHeight="false" outlineLevel="0" collapsed="false">
      <c r="A3382" s="3" t="n">
        <v>2021</v>
      </c>
      <c r="B3382" s="3" t="n">
        <v>4</v>
      </c>
      <c r="C3382" s="3" t="n">
        <v>3</v>
      </c>
      <c r="D3382" s="3" t="s">
        <v>3386</v>
      </c>
      <c r="E3382" s="4" t="n">
        <v>0</v>
      </c>
    </row>
    <row r="3383" customFormat="false" ht="15" hidden="false" customHeight="false" outlineLevel="0" collapsed="false">
      <c r="A3383" s="3" t="n">
        <v>2021</v>
      </c>
      <c r="B3383" s="3" t="n">
        <v>4</v>
      </c>
      <c r="C3383" s="3" t="n">
        <v>4</v>
      </c>
      <c r="D3383" s="3" t="s">
        <v>3387</v>
      </c>
      <c r="E3383" s="4" t="n">
        <v>0</v>
      </c>
    </row>
    <row r="3384" customFormat="false" ht="15" hidden="false" customHeight="false" outlineLevel="0" collapsed="false">
      <c r="A3384" s="3" t="n">
        <v>2021</v>
      </c>
      <c r="B3384" s="3" t="n">
        <v>4</v>
      </c>
      <c r="C3384" s="3" t="n">
        <v>5</v>
      </c>
      <c r="D3384" s="3" t="s">
        <v>3388</v>
      </c>
      <c r="E3384" s="4" t="n">
        <v>0</v>
      </c>
    </row>
    <row r="3385" customFormat="false" ht="15" hidden="false" customHeight="false" outlineLevel="0" collapsed="false">
      <c r="A3385" s="3" t="n">
        <v>2021</v>
      </c>
      <c r="B3385" s="3" t="n">
        <v>4</v>
      </c>
      <c r="C3385" s="3" t="n">
        <v>6</v>
      </c>
      <c r="D3385" s="3" t="s">
        <v>3389</v>
      </c>
      <c r="E3385" s="4" t="n">
        <v>0</v>
      </c>
    </row>
    <row r="3386" customFormat="false" ht="15" hidden="false" customHeight="false" outlineLevel="0" collapsed="false">
      <c r="A3386" s="3" t="n">
        <v>2021</v>
      </c>
      <c r="B3386" s="3" t="n">
        <v>4</v>
      </c>
      <c r="C3386" s="3" t="n">
        <v>7</v>
      </c>
      <c r="D3386" s="3" t="s">
        <v>3390</v>
      </c>
      <c r="E3386" s="4" t="n">
        <v>0</v>
      </c>
    </row>
    <row r="3387" customFormat="false" ht="15" hidden="false" customHeight="false" outlineLevel="0" collapsed="false">
      <c r="A3387" s="3" t="n">
        <v>2021</v>
      </c>
      <c r="B3387" s="3" t="n">
        <v>4</v>
      </c>
      <c r="C3387" s="3" t="n">
        <v>8</v>
      </c>
      <c r="D3387" s="3" t="s">
        <v>3391</v>
      </c>
      <c r="E3387" s="4" t="n">
        <v>3</v>
      </c>
    </row>
    <row r="3388" customFormat="false" ht="15" hidden="false" customHeight="false" outlineLevel="0" collapsed="false">
      <c r="A3388" s="3" t="n">
        <v>2021</v>
      </c>
      <c r="B3388" s="3" t="n">
        <v>4</v>
      </c>
      <c r="C3388" s="3" t="n">
        <v>9</v>
      </c>
      <c r="D3388" s="3" t="s">
        <v>3392</v>
      </c>
      <c r="E3388" s="4" t="n">
        <v>0</v>
      </c>
    </row>
    <row r="3389" customFormat="false" ht="15" hidden="false" customHeight="false" outlineLevel="0" collapsed="false">
      <c r="A3389" s="3" t="n">
        <v>2021</v>
      </c>
      <c r="B3389" s="3" t="n">
        <v>4</v>
      </c>
      <c r="C3389" s="3" t="n">
        <v>10</v>
      </c>
      <c r="D3389" s="3" t="s">
        <v>3393</v>
      </c>
      <c r="E3389" s="4" t="n">
        <v>0</v>
      </c>
    </row>
    <row r="3390" customFormat="false" ht="15" hidden="false" customHeight="false" outlineLevel="0" collapsed="false">
      <c r="A3390" s="3" t="n">
        <v>2021</v>
      </c>
      <c r="B3390" s="3" t="n">
        <v>4</v>
      </c>
      <c r="C3390" s="3" t="n">
        <v>11</v>
      </c>
      <c r="D3390" s="3" t="s">
        <v>3394</v>
      </c>
      <c r="E3390" s="4" t="n">
        <v>1</v>
      </c>
    </row>
    <row r="3391" customFormat="false" ht="15" hidden="false" customHeight="false" outlineLevel="0" collapsed="false">
      <c r="A3391" s="3" t="n">
        <v>2021</v>
      </c>
      <c r="B3391" s="3" t="n">
        <v>4</v>
      </c>
      <c r="C3391" s="3" t="n">
        <v>12</v>
      </c>
      <c r="D3391" s="3" t="s">
        <v>3395</v>
      </c>
      <c r="E3391" s="4" t="n">
        <v>4</v>
      </c>
    </row>
    <row r="3392" customFormat="false" ht="15" hidden="false" customHeight="false" outlineLevel="0" collapsed="false">
      <c r="A3392" s="3" t="n">
        <v>2021</v>
      </c>
      <c r="B3392" s="3" t="n">
        <v>4</v>
      </c>
      <c r="C3392" s="3" t="n">
        <v>13</v>
      </c>
      <c r="D3392" s="3" t="s">
        <v>3396</v>
      </c>
      <c r="E3392" s="4" t="n">
        <v>0</v>
      </c>
    </row>
    <row r="3393" customFormat="false" ht="15" hidden="false" customHeight="false" outlineLevel="0" collapsed="false">
      <c r="A3393" s="3" t="n">
        <v>2021</v>
      </c>
      <c r="B3393" s="3" t="n">
        <v>4</v>
      </c>
      <c r="C3393" s="3" t="n">
        <v>14</v>
      </c>
      <c r="D3393" s="3" t="s">
        <v>3397</v>
      </c>
      <c r="E3393" s="4" t="n">
        <v>2</v>
      </c>
    </row>
    <row r="3394" customFormat="false" ht="15" hidden="false" customHeight="false" outlineLevel="0" collapsed="false">
      <c r="A3394" s="3" t="n">
        <v>2021</v>
      </c>
      <c r="B3394" s="3" t="n">
        <v>4</v>
      </c>
      <c r="C3394" s="3" t="n">
        <v>15</v>
      </c>
      <c r="D3394" s="3" t="s">
        <v>3398</v>
      </c>
      <c r="E3394" s="4" t="n">
        <v>8</v>
      </c>
    </row>
    <row r="3395" customFormat="false" ht="15" hidden="false" customHeight="false" outlineLevel="0" collapsed="false">
      <c r="A3395" s="3" t="n">
        <v>2021</v>
      </c>
      <c r="B3395" s="3" t="n">
        <v>4</v>
      </c>
      <c r="C3395" s="3" t="n">
        <v>16</v>
      </c>
      <c r="D3395" s="3" t="s">
        <v>3399</v>
      </c>
      <c r="E3395" s="4" t="n">
        <v>39</v>
      </c>
    </row>
    <row r="3396" customFormat="false" ht="15" hidden="false" customHeight="false" outlineLevel="0" collapsed="false">
      <c r="A3396" s="3" t="n">
        <v>2021</v>
      </c>
      <c r="B3396" s="3" t="n">
        <v>4</v>
      </c>
      <c r="C3396" s="3" t="n">
        <v>17</v>
      </c>
      <c r="D3396" s="3" t="s">
        <v>3400</v>
      </c>
      <c r="E3396" s="4" t="n">
        <v>11</v>
      </c>
    </row>
    <row r="3397" customFormat="false" ht="15" hidden="false" customHeight="false" outlineLevel="0" collapsed="false">
      <c r="A3397" s="3" t="n">
        <v>2021</v>
      </c>
      <c r="B3397" s="3" t="n">
        <v>4</v>
      </c>
      <c r="C3397" s="3" t="n">
        <v>18</v>
      </c>
      <c r="D3397" s="3" t="s">
        <v>3401</v>
      </c>
      <c r="E3397" s="4" t="n">
        <v>13</v>
      </c>
    </row>
    <row r="3398" customFormat="false" ht="15" hidden="false" customHeight="false" outlineLevel="0" collapsed="false">
      <c r="A3398" s="3" t="n">
        <v>2021</v>
      </c>
      <c r="B3398" s="3" t="n">
        <v>4</v>
      </c>
      <c r="C3398" s="3" t="n">
        <v>19</v>
      </c>
      <c r="D3398" s="3" t="s">
        <v>3402</v>
      </c>
      <c r="E3398" s="4" t="n">
        <v>0</v>
      </c>
    </row>
    <row r="3399" customFormat="false" ht="15" hidden="false" customHeight="false" outlineLevel="0" collapsed="false">
      <c r="A3399" s="3" t="n">
        <v>2021</v>
      </c>
      <c r="B3399" s="3" t="n">
        <v>4</v>
      </c>
      <c r="C3399" s="3" t="n">
        <v>20</v>
      </c>
      <c r="D3399" s="3" t="s">
        <v>3403</v>
      </c>
      <c r="E3399" s="4" t="n">
        <v>16</v>
      </c>
    </row>
    <row r="3400" customFormat="false" ht="15" hidden="false" customHeight="false" outlineLevel="0" collapsed="false">
      <c r="A3400" s="3" t="n">
        <v>2021</v>
      </c>
      <c r="B3400" s="3" t="n">
        <v>4</v>
      </c>
      <c r="C3400" s="3" t="n">
        <v>21</v>
      </c>
      <c r="D3400" s="3" t="s">
        <v>3404</v>
      </c>
      <c r="E3400" s="4" t="n">
        <v>24</v>
      </c>
    </row>
    <row r="3401" customFormat="false" ht="15" hidden="false" customHeight="false" outlineLevel="0" collapsed="false">
      <c r="A3401" s="3" t="n">
        <v>2021</v>
      </c>
      <c r="B3401" s="3" t="n">
        <v>4</v>
      </c>
      <c r="C3401" s="3" t="n">
        <v>22</v>
      </c>
      <c r="D3401" s="3" t="s">
        <v>3405</v>
      </c>
      <c r="E3401" s="4" t="n">
        <v>0</v>
      </c>
    </row>
    <row r="3402" customFormat="false" ht="15" hidden="false" customHeight="false" outlineLevel="0" collapsed="false">
      <c r="A3402" s="3" t="n">
        <v>2021</v>
      </c>
      <c r="B3402" s="3" t="n">
        <v>4</v>
      </c>
      <c r="C3402" s="3" t="n">
        <v>23</v>
      </c>
      <c r="D3402" s="3" t="s">
        <v>3406</v>
      </c>
      <c r="E3402" s="4" t="n">
        <v>45</v>
      </c>
    </row>
    <row r="3403" customFormat="false" ht="15" hidden="false" customHeight="false" outlineLevel="0" collapsed="false">
      <c r="A3403" s="3" t="n">
        <v>2021</v>
      </c>
      <c r="B3403" s="3" t="n">
        <v>4</v>
      </c>
      <c r="C3403" s="3" t="n">
        <v>24</v>
      </c>
      <c r="D3403" s="3" t="s">
        <v>3407</v>
      </c>
      <c r="E3403" s="4" t="n">
        <v>1</v>
      </c>
    </row>
    <row r="3404" customFormat="false" ht="15" hidden="false" customHeight="false" outlineLevel="0" collapsed="false">
      <c r="A3404" s="3" t="n">
        <v>2021</v>
      </c>
      <c r="B3404" s="3" t="n">
        <v>4</v>
      </c>
      <c r="C3404" s="3" t="n">
        <v>25</v>
      </c>
      <c r="D3404" s="3" t="s">
        <v>3408</v>
      </c>
      <c r="E3404" s="4" t="n">
        <v>0</v>
      </c>
    </row>
    <row r="3405" customFormat="false" ht="15" hidden="false" customHeight="false" outlineLevel="0" collapsed="false">
      <c r="A3405" s="3" t="n">
        <v>2021</v>
      </c>
      <c r="B3405" s="3" t="n">
        <v>4</v>
      </c>
      <c r="C3405" s="3" t="n">
        <v>26</v>
      </c>
      <c r="D3405" s="3" t="s">
        <v>3409</v>
      </c>
      <c r="E3405" s="4" t="n">
        <v>5</v>
      </c>
    </row>
    <row r="3406" customFormat="false" ht="15" hidden="false" customHeight="false" outlineLevel="0" collapsed="false">
      <c r="A3406" s="3" t="n">
        <v>2021</v>
      </c>
      <c r="B3406" s="3" t="n">
        <v>4</v>
      </c>
      <c r="C3406" s="3" t="n">
        <v>27</v>
      </c>
      <c r="D3406" s="3" t="s">
        <v>3410</v>
      </c>
      <c r="E3406" s="4" t="n">
        <v>13</v>
      </c>
    </row>
    <row r="3407" customFormat="false" ht="15" hidden="false" customHeight="false" outlineLevel="0" collapsed="false">
      <c r="A3407" s="3" t="n">
        <v>2021</v>
      </c>
      <c r="B3407" s="3" t="n">
        <v>4</v>
      </c>
      <c r="C3407" s="3" t="n">
        <v>28</v>
      </c>
      <c r="D3407" s="3" t="s">
        <v>3411</v>
      </c>
      <c r="E3407" s="4" t="n">
        <v>32</v>
      </c>
    </row>
    <row r="3408" customFormat="false" ht="15" hidden="false" customHeight="false" outlineLevel="0" collapsed="false">
      <c r="A3408" s="3" t="n">
        <v>2021</v>
      </c>
      <c r="B3408" s="3" t="n">
        <v>4</v>
      </c>
      <c r="C3408" s="3" t="n">
        <v>29</v>
      </c>
      <c r="D3408" s="3" t="s">
        <v>3412</v>
      </c>
      <c r="E3408" s="4" t="n">
        <v>0</v>
      </c>
    </row>
    <row r="3409" customFormat="false" ht="15" hidden="false" customHeight="false" outlineLevel="0" collapsed="false">
      <c r="A3409" s="3" t="n">
        <v>2021</v>
      </c>
      <c r="B3409" s="3" t="n">
        <v>4</v>
      </c>
      <c r="C3409" s="3" t="n">
        <v>30</v>
      </c>
      <c r="D3409" s="3" t="s">
        <v>3413</v>
      </c>
      <c r="E3409" s="4" t="n">
        <v>23</v>
      </c>
    </row>
    <row r="3410" customFormat="false" ht="15" hidden="false" customHeight="false" outlineLevel="0" collapsed="false">
      <c r="A3410" s="3" t="n">
        <v>2021</v>
      </c>
      <c r="B3410" s="3" t="n">
        <v>5</v>
      </c>
      <c r="C3410" s="3" t="n">
        <v>1</v>
      </c>
      <c r="D3410" s="3" t="s">
        <v>3414</v>
      </c>
      <c r="E3410" s="4" t="n">
        <v>0</v>
      </c>
    </row>
    <row r="3411" customFormat="false" ht="15" hidden="false" customHeight="false" outlineLevel="0" collapsed="false">
      <c r="A3411" s="3" t="n">
        <v>2021</v>
      </c>
      <c r="B3411" s="3" t="n">
        <v>5</v>
      </c>
      <c r="C3411" s="3" t="n">
        <v>2</v>
      </c>
      <c r="D3411" s="3" t="s">
        <v>3415</v>
      </c>
      <c r="E3411" s="4" t="n">
        <v>0</v>
      </c>
    </row>
    <row r="3412" customFormat="false" ht="15" hidden="false" customHeight="false" outlineLevel="0" collapsed="false">
      <c r="A3412" s="3" t="n">
        <v>2021</v>
      </c>
      <c r="B3412" s="3" t="n">
        <v>5</v>
      </c>
      <c r="C3412" s="3" t="n">
        <v>3</v>
      </c>
      <c r="D3412" s="3" t="s">
        <v>3416</v>
      </c>
      <c r="E3412" s="4" t="n">
        <v>34</v>
      </c>
    </row>
    <row r="3413" customFormat="false" ht="15" hidden="false" customHeight="false" outlineLevel="0" collapsed="false">
      <c r="A3413" s="3" t="n">
        <v>2021</v>
      </c>
      <c r="B3413" s="3" t="n">
        <v>5</v>
      </c>
      <c r="C3413" s="3" t="n">
        <v>4</v>
      </c>
      <c r="D3413" s="3" t="s">
        <v>3417</v>
      </c>
      <c r="E3413" s="4" t="n">
        <v>0</v>
      </c>
    </row>
    <row r="3414" customFormat="false" ht="15" hidden="false" customHeight="false" outlineLevel="0" collapsed="false">
      <c r="A3414" s="3" t="n">
        <v>2021</v>
      </c>
      <c r="B3414" s="3" t="n">
        <v>5</v>
      </c>
      <c r="C3414" s="3" t="n">
        <v>5</v>
      </c>
      <c r="D3414" s="3" t="s">
        <v>3418</v>
      </c>
      <c r="E3414" s="4" t="n">
        <v>8</v>
      </c>
    </row>
    <row r="3415" customFormat="false" ht="15" hidden="false" customHeight="false" outlineLevel="0" collapsed="false">
      <c r="A3415" s="3" t="n">
        <v>2021</v>
      </c>
      <c r="B3415" s="3" t="n">
        <v>5</v>
      </c>
      <c r="C3415" s="3" t="n">
        <v>6</v>
      </c>
      <c r="D3415" s="3" t="s">
        <v>3419</v>
      </c>
      <c r="E3415" s="4" t="n">
        <v>39</v>
      </c>
    </row>
    <row r="3416" customFormat="false" ht="15" hidden="false" customHeight="false" outlineLevel="0" collapsed="false">
      <c r="A3416" s="3" t="n">
        <v>2021</v>
      </c>
      <c r="B3416" s="3" t="n">
        <v>5</v>
      </c>
      <c r="C3416" s="3" t="n">
        <v>7</v>
      </c>
      <c r="D3416" s="3" t="s">
        <v>3420</v>
      </c>
      <c r="E3416" s="4" t="n">
        <v>3</v>
      </c>
    </row>
    <row r="3417" customFormat="false" ht="15" hidden="false" customHeight="false" outlineLevel="0" collapsed="false">
      <c r="A3417" s="3" t="n">
        <v>2021</v>
      </c>
      <c r="B3417" s="3" t="n">
        <v>5</v>
      </c>
      <c r="C3417" s="3" t="n">
        <v>8</v>
      </c>
      <c r="D3417" s="3" t="s">
        <v>3421</v>
      </c>
      <c r="E3417" s="4" t="n">
        <v>3</v>
      </c>
    </row>
    <row r="3418" customFormat="false" ht="15" hidden="false" customHeight="false" outlineLevel="0" collapsed="false">
      <c r="A3418" s="3" t="n">
        <v>2021</v>
      </c>
      <c r="B3418" s="3" t="n">
        <v>5</v>
      </c>
      <c r="C3418" s="3" t="n">
        <v>9</v>
      </c>
      <c r="D3418" s="3" t="s">
        <v>3422</v>
      </c>
      <c r="E3418" s="4" t="n">
        <v>25</v>
      </c>
    </row>
    <row r="3419" customFormat="false" ht="15" hidden="false" customHeight="false" outlineLevel="0" collapsed="false">
      <c r="A3419" s="3" t="n">
        <v>2021</v>
      </c>
      <c r="B3419" s="3" t="n">
        <v>5</v>
      </c>
      <c r="C3419" s="3" t="n">
        <v>10</v>
      </c>
      <c r="D3419" s="3" t="s">
        <v>3423</v>
      </c>
      <c r="E3419" s="4" t="n">
        <v>12</v>
      </c>
    </row>
    <row r="3420" customFormat="false" ht="15" hidden="false" customHeight="false" outlineLevel="0" collapsed="false">
      <c r="A3420" s="3" t="n">
        <v>2021</v>
      </c>
      <c r="B3420" s="3" t="n">
        <v>5</v>
      </c>
      <c r="C3420" s="3" t="n">
        <v>11</v>
      </c>
      <c r="D3420" s="3" t="s">
        <v>3424</v>
      </c>
      <c r="E3420" s="4" t="n">
        <v>8</v>
      </c>
    </row>
    <row r="3421" customFormat="false" ht="15" hidden="false" customHeight="false" outlineLevel="0" collapsed="false">
      <c r="A3421" s="3" t="n">
        <v>2021</v>
      </c>
      <c r="B3421" s="3" t="n">
        <v>5</v>
      </c>
      <c r="C3421" s="3" t="n">
        <v>12</v>
      </c>
      <c r="D3421" s="3" t="s">
        <v>3425</v>
      </c>
      <c r="E3421" s="4" t="n">
        <v>0</v>
      </c>
    </row>
    <row r="3422" customFormat="false" ht="15" hidden="false" customHeight="false" outlineLevel="0" collapsed="false">
      <c r="A3422" s="3" t="n">
        <v>2021</v>
      </c>
      <c r="B3422" s="3" t="n">
        <v>5</v>
      </c>
      <c r="C3422" s="3" t="n">
        <v>13</v>
      </c>
      <c r="D3422" s="3" t="s">
        <v>3426</v>
      </c>
      <c r="E3422" s="4" t="n">
        <v>17</v>
      </c>
    </row>
    <row r="3423" customFormat="false" ht="15" hidden="false" customHeight="false" outlineLevel="0" collapsed="false">
      <c r="A3423" s="3" t="n">
        <v>2021</v>
      </c>
      <c r="B3423" s="3" t="n">
        <v>5</v>
      </c>
      <c r="C3423" s="3" t="n">
        <v>14</v>
      </c>
      <c r="D3423" s="3" t="s">
        <v>3427</v>
      </c>
      <c r="E3423" s="4" t="n">
        <v>0</v>
      </c>
    </row>
    <row r="3424" customFormat="false" ht="15" hidden="false" customHeight="false" outlineLevel="0" collapsed="false">
      <c r="A3424" s="3" t="n">
        <v>2021</v>
      </c>
      <c r="B3424" s="3" t="n">
        <v>5</v>
      </c>
      <c r="C3424" s="3" t="n">
        <v>15</v>
      </c>
      <c r="D3424" s="3" t="s">
        <v>3428</v>
      </c>
      <c r="E3424" s="4" t="n">
        <v>1</v>
      </c>
    </row>
    <row r="3425" customFormat="false" ht="15" hidden="false" customHeight="false" outlineLevel="0" collapsed="false">
      <c r="A3425" s="3" t="n">
        <v>2021</v>
      </c>
      <c r="B3425" s="3" t="n">
        <v>5</v>
      </c>
      <c r="C3425" s="3" t="n">
        <v>16</v>
      </c>
      <c r="D3425" s="3" t="s">
        <v>3429</v>
      </c>
      <c r="E3425" s="4" t="n">
        <v>2</v>
      </c>
    </row>
    <row r="3426" customFormat="false" ht="15" hidden="false" customHeight="false" outlineLevel="0" collapsed="false">
      <c r="A3426" s="3" t="n">
        <v>2021</v>
      </c>
      <c r="B3426" s="3" t="n">
        <v>5</v>
      </c>
      <c r="C3426" s="3" t="n">
        <v>17</v>
      </c>
      <c r="D3426" s="3" t="s">
        <v>3430</v>
      </c>
      <c r="E3426" s="4" t="n">
        <v>0</v>
      </c>
    </row>
    <row r="3427" customFormat="false" ht="15" hidden="false" customHeight="false" outlineLevel="0" collapsed="false">
      <c r="A3427" s="3" t="n">
        <v>2021</v>
      </c>
      <c r="B3427" s="3" t="n">
        <v>5</v>
      </c>
      <c r="C3427" s="3" t="n">
        <v>18</v>
      </c>
      <c r="D3427" s="3" t="s">
        <v>3431</v>
      </c>
      <c r="E3427" s="4" t="n">
        <v>72</v>
      </c>
    </row>
    <row r="3428" customFormat="false" ht="15" hidden="false" customHeight="false" outlineLevel="0" collapsed="false">
      <c r="A3428" s="3" t="n">
        <v>2021</v>
      </c>
      <c r="B3428" s="3" t="n">
        <v>5</v>
      </c>
      <c r="C3428" s="3" t="n">
        <v>19</v>
      </c>
      <c r="D3428" s="3" t="s">
        <v>3432</v>
      </c>
      <c r="E3428" s="4" t="n">
        <v>36</v>
      </c>
    </row>
    <row r="3429" customFormat="false" ht="15" hidden="false" customHeight="false" outlineLevel="0" collapsed="false">
      <c r="A3429" s="3" t="n">
        <v>2021</v>
      </c>
      <c r="B3429" s="3" t="n">
        <v>5</v>
      </c>
      <c r="C3429" s="3" t="n">
        <v>20</v>
      </c>
      <c r="D3429" s="3" t="s">
        <v>3433</v>
      </c>
      <c r="E3429" s="4" t="n">
        <v>6</v>
      </c>
    </row>
    <row r="3430" customFormat="false" ht="15" hidden="false" customHeight="false" outlineLevel="0" collapsed="false">
      <c r="A3430" s="3" t="n">
        <v>2021</v>
      </c>
      <c r="B3430" s="3" t="n">
        <v>5</v>
      </c>
      <c r="C3430" s="3" t="n">
        <v>21</v>
      </c>
      <c r="D3430" s="3" t="s">
        <v>3434</v>
      </c>
      <c r="E3430" s="4" t="n">
        <v>15</v>
      </c>
    </row>
    <row r="3431" customFormat="false" ht="15" hidden="false" customHeight="false" outlineLevel="0" collapsed="false">
      <c r="A3431" s="3" t="n">
        <v>2021</v>
      </c>
      <c r="B3431" s="3" t="n">
        <v>5</v>
      </c>
      <c r="C3431" s="3" t="n">
        <v>22</v>
      </c>
      <c r="D3431" s="3" t="s">
        <v>3435</v>
      </c>
      <c r="E3431" s="4" t="n">
        <v>2</v>
      </c>
    </row>
    <row r="3432" customFormat="false" ht="15" hidden="false" customHeight="false" outlineLevel="0" collapsed="false">
      <c r="A3432" s="3" t="n">
        <v>2021</v>
      </c>
      <c r="B3432" s="3" t="n">
        <v>5</v>
      </c>
      <c r="C3432" s="3" t="n">
        <v>23</v>
      </c>
      <c r="D3432" s="3" t="s">
        <v>3436</v>
      </c>
      <c r="E3432" s="4" t="n">
        <v>64</v>
      </c>
    </row>
    <row r="3433" customFormat="false" ht="15" hidden="false" customHeight="false" outlineLevel="0" collapsed="false">
      <c r="A3433" s="3" t="n">
        <v>2021</v>
      </c>
      <c r="B3433" s="3" t="n">
        <v>5</v>
      </c>
      <c r="C3433" s="3" t="n">
        <v>24</v>
      </c>
      <c r="D3433" s="3" t="s">
        <v>3437</v>
      </c>
      <c r="E3433" s="4" t="n">
        <v>0</v>
      </c>
    </row>
    <row r="3434" customFormat="false" ht="15" hidden="false" customHeight="false" outlineLevel="0" collapsed="false">
      <c r="A3434" s="3" t="n">
        <v>2021</v>
      </c>
      <c r="B3434" s="3" t="n">
        <v>5</v>
      </c>
      <c r="C3434" s="3" t="n">
        <v>25</v>
      </c>
      <c r="D3434" s="3" t="s">
        <v>3438</v>
      </c>
      <c r="E3434" s="4" t="n">
        <v>0</v>
      </c>
    </row>
    <row r="3435" customFormat="false" ht="15" hidden="false" customHeight="false" outlineLevel="0" collapsed="false">
      <c r="A3435" s="3" t="n">
        <v>2021</v>
      </c>
      <c r="B3435" s="3" t="n">
        <v>5</v>
      </c>
      <c r="C3435" s="3" t="n">
        <v>26</v>
      </c>
      <c r="D3435" s="3" t="s">
        <v>3439</v>
      </c>
      <c r="E3435" s="4" t="n">
        <v>0</v>
      </c>
    </row>
    <row r="3436" customFormat="false" ht="15" hidden="false" customHeight="false" outlineLevel="0" collapsed="false">
      <c r="A3436" s="3" t="n">
        <v>2021</v>
      </c>
      <c r="B3436" s="3" t="n">
        <v>5</v>
      </c>
      <c r="C3436" s="3" t="n">
        <v>27</v>
      </c>
      <c r="D3436" s="3" t="s">
        <v>3440</v>
      </c>
      <c r="E3436" s="4" t="n">
        <v>4</v>
      </c>
    </row>
    <row r="3437" customFormat="false" ht="15" hidden="false" customHeight="false" outlineLevel="0" collapsed="false">
      <c r="A3437" s="3" t="n">
        <v>2021</v>
      </c>
      <c r="B3437" s="3" t="n">
        <v>5</v>
      </c>
      <c r="C3437" s="3" t="n">
        <v>28</v>
      </c>
      <c r="D3437" s="3" t="s">
        <v>3441</v>
      </c>
      <c r="E3437" s="4" t="n">
        <v>0</v>
      </c>
    </row>
    <row r="3438" customFormat="false" ht="15" hidden="false" customHeight="false" outlineLevel="0" collapsed="false">
      <c r="A3438" s="3" t="n">
        <v>2021</v>
      </c>
      <c r="B3438" s="3" t="n">
        <v>5</v>
      </c>
      <c r="C3438" s="3" t="n">
        <v>29</v>
      </c>
      <c r="D3438" s="3" t="s">
        <v>3442</v>
      </c>
      <c r="E3438" s="4" t="n">
        <v>18</v>
      </c>
    </row>
    <row r="3439" customFormat="false" ht="15" hidden="false" customHeight="false" outlineLevel="0" collapsed="false">
      <c r="A3439" s="3" t="n">
        <v>2021</v>
      </c>
      <c r="B3439" s="3" t="n">
        <v>5</v>
      </c>
      <c r="C3439" s="3" t="n">
        <v>30</v>
      </c>
      <c r="D3439" s="3" t="s">
        <v>3443</v>
      </c>
      <c r="E3439" s="4" t="n">
        <v>5</v>
      </c>
    </row>
    <row r="3440" customFormat="false" ht="15" hidden="false" customHeight="false" outlineLevel="0" collapsed="false">
      <c r="A3440" s="3" t="n">
        <v>2021</v>
      </c>
      <c r="B3440" s="3" t="n">
        <v>5</v>
      </c>
      <c r="C3440" s="3" t="n">
        <v>31</v>
      </c>
      <c r="D3440" s="3" t="s">
        <v>3444</v>
      </c>
      <c r="E3440" s="4" t="n">
        <v>91</v>
      </c>
    </row>
    <row r="3441" customFormat="false" ht="15" hidden="false" customHeight="false" outlineLevel="0" collapsed="false">
      <c r="A3441" s="3" t="n">
        <v>2021</v>
      </c>
      <c r="B3441" s="3" t="n">
        <v>6</v>
      </c>
      <c r="C3441" s="3" t="n">
        <v>1</v>
      </c>
      <c r="D3441" s="3" t="s">
        <v>3445</v>
      </c>
      <c r="E3441" s="4" t="n">
        <v>2</v>
      </c>
    </row>
    <row r="3442" customFormat="false" ht="15" hidden="false" customHeight="false" outlineLevel="0" collapsed="false">
      <c r="A3442" s="3" t="n">
        <v>2021</v>
      </c>
      <c r="B3442" s="3" t="n">
        <v>6</v>
      </c>
      <c r="C3442" s="3" t="n">
        <v>2</v>
      </c>
      <c r="D3442" s="3" t="s">
        <v>3446</v>
      </c>
      <c r="E3442" s="4" t="n">
        <v>6</v>
      </c>
    </row>
    <row r="3443" customFormat="false" ht="15" hidden="false" customHeight="false" outlineLevel="0" collapsed="false">
      <c r="A3443" s="3" t="n">
        <v>2021</v>
      </c>
      <c r="B3443" s="3" t="n">
        <v>6</v>
      </c>
      <c r="C3443" s="3" t="n">
        <v>3</v>
      </c>
      <c r="D3443" s="3" t="s">
        <v>3447</v>
      </c>
      <c r="E3443" s="4" t="n">
        <v>2</v>
      </c>
    </row>
    <row r="3444" customFormat="false" ht="15" hidden="false" customHeight="false" outlineLevel="0" collapsed="false">
      <c r="A3444" s="3" t="n">
        <v>2021</v>
      </c>
      <c r="B3444" s="3" t="n">
        <v>6</v>
      </c>
      <c r="C3444" s="3" t="n">
        <v>4</v>
      </c>
      <c r="D3444" s="3" t="s">
        <v>3448</v>
      </c>
      <c r="E3444" s="4" t="n">
        <v>0</v>
      </c>
    </row>
    <row r="3445" customFormat="false" ht="15" hidden="false" customHeight="false" outlineLevel="0" collapsed="false">
      <c r="A3445" s="3" t="n">
        <v>2021</v>
      </c>
      <c r="B3445" s="3" t="n">
        <v>6</v>
      </c>
      <c r="C3445" s="3" t="n">
        <v>5</v>
      </c>
      <c r="D3445" s="3" t="s">
        <v>3449</v>
      </c>
      <c r="E3445" s="4" t="n">
        <v>0</v>
      </c>
    </row>
    <row r="3446" customFormat="false" ht="15" hidden="false" customHeight="false" outlineLevel="0" collapsed="false">
      <c r="A3446" s="3" t="n">
        <v>2021</v>
      </c>
      <c r="B3446" s="3" t="n">
        <v>6</v>
      </c>
      <c r="C3446" s="3" t="n">
        <v>6</v>
      </c>
      <c r="D3446" s="3" t="s">
        <v>3450</v>
      </c>
      <c r="E3446" s="4" t="n">
        <v>2</v>
      </c>
    </row>
    <row r="3447" customFormat="false" ht="15" hidden="false" customHeight="false" outlineLevel="0" collapsed="false">
      <c r="A3447" s="3" t="n">
        <v>2021</v>
      </c>
      <c r="B3447" s="3" t="n">
        <v>6</v>
      </c>
      <c r="C3447" s="3" t="n">
        <v>7</v>
      </c>
      <c r="D3447" s="3" t="s">
        <v>3451</v>
      </c>
      <c r="E3447" s="4" t="n">
        <v>6</v>
      </c>
    </row>
    <row r="3448" customFormat="false" ht="15" hidden="false" customHeight="false" outlineLevel="0" collapsed="false">
      <c r="A3448" s="3" t="n">
        <v>2021</v>
      </c>
      <c r="B3448" s="3" t="n">
        <v>6</v>
      </c>
      <c r="C3448" s="3" t="n">
        <v>8</v>
      </c>
      <c r="D3448" s="3" t="s">
        <v>3452</v>
      </c>
      <c r="E3448" s="4" t="n">
        <v>0</v>
      </c>
    </row>
    <row r="3449" customFormat="false" ht="15" hidden="false" customHeight="false" outlineLevel="0" collapsed="false">
      <c r="A3449" s="3" t="n">
        <v>2021</v>
      </c>
      <c r="B3449" s="3" t="n">
        <v>6</v>
      </c>
      <c r="C3449" s="3" t="n">
        <v>9</v>
      </c>
      <c r="D3449" s="3" t="s">
        <v>3453</v>
      </c>
      <c r="E3449" s="4" t="n">
        <v>12</v>
      </c>
    </row>
    <row r="3450" customFormat="false" ht="15" hidden="false" customHeight="false" outlineLevel="0" collapsed="false">
      <c r="A3450" s="3" t="n">
        <v>2021</v>
      </c>
      <c r="B3450" s="3" t="n">
        <v>6</v>
      </c>
      <c r="C3450" s="3" t="n">
        <v>10</v>
      </c>
      <c r="D3450" s="3" t="s">
        <v>3454</v>
      </c>
      <c r="E3450" s="4" t="n">
        <v>45</v>
      </c>
    </row>
    <row r="3451" customFormat="false" ht="15" hidden="false" customHeight="false" outlineLevel="0" collapsed="false">
      <c r="A3451" s="3" t="n">
        <v>2021</v>
      </c>
      <c r="B3451" s="3" t="n">
        <v>6</v>
      </c>
      <c r="C3451" s="3" t="n">
        <v>11</v>
      </c>
      <c r="D3451" s="3" t="s">
        <v>3455</v>
      </c>
      <c r="E3451" s="4" t="n">
        <v>0</v>
      </c>
    </row>
    <row r="3452" customFormat="false" ht="15" hidden="false" customHeight="false" outlineLevel="0" collapsed="false">
      <c r="A3452" s="3" t="n">
        <v>2021</v>
      </c>
      <c r="B3452" s="3" t="n">
        <v>6</v>
      </c>
      <c r="C3452" s="3" t="n">
        <v>12</v>
      </c>
      <c r="D3452" s="3" t="s">
        <v>3456</v>
      </c>
      <c r="E3452" s="4" t="n">
        <v>34</v>
      </c>
    </row>
    <row r="3453" customFormat="false" ht="15" hidden="false" customHeight="false" outlineLevel="0" collapsed="false">
      <c r="A3453" s="3" t="n">
        <v>2021</v>
      </c>
      <c r="B3453" s="3" t="n">
        <v>6</v>
      </c>
      <c r="C3453" s="3" t="n">
        <v>13</v>
      </c>
      <c r="D3453" s="3" t="s">
        <v>3457</v>
      </c>
      <c r="E3453" s="4" t="n">
        <v>0</v>
      </c>
    </row>
    <row r="3454" customFormat="false" ht="15" hidden="false" customHeight="false" outlineLevel="0" collapsed="false">
      <c r="A3454" s="3" t="n">
        <v>2021</v>
      </c>
      <c r="B3454" s="3" t="n">
        <v>6</v>
      </c>
      <c r="C3454" s="3" t="n">
        <v>14</v>
      </c>
      <c r="D3454" s="3" t="s">
        <v>3458</v>
      </c>
      <c r="E3454" s="4" t="n">
        <v>35</v>
      </c>
    </row>
    <row r="3455" customFormat="false" ht="15" hidden="false" customHeight="false" outlineLevel="0" collapsed="false">
      <c r="A3455" s="3" t="n">
        <v>2021</v>
      </c>
      <c r="B3455" s="3" t="n">
        <v>6</v>
      </c>
      <c r="C3455" s="3" t="n">
        <v>15</v>
      </c>
      <c r="D3455" s="3" t="s">
        <v>3459</v>
      </c>
      <c r="E3455" s="4" t="n">
        <v>0</v>
      </c>
    </row>
    <row r="3456" customFormat="false" ht="15" hidden="false" customHeight="false" outlineLevel="0" collapsed="false">
      <c r="A3456" s="3" t="n">
        <v>2021</v>
      </c>
      <c r="B3456" s="3" t="n">
        <v>6</v>
      </c>
      <c r="C3456" s="3" t="n">
        <v>16</v>
      </c>
      <c r="D3456" s="3" t="s">
        <v>3460</v>
      </c>
      <c r="E3456" s="4" t="n">
        <v>74</v>
      </c>
    </row>
    <row r="3457" customFormat="false" ht="15" hidden="false" customHeight="false" outlineLevel="0" collapsed="false">
      <c r="A3457" s="3" t="n">
        <v>2021</v>
      </c>
      <c r="B3457" s="3" t="n">
        <v>6</v>
      </c>
      <c r="C3457" s="3" t="n">
        <v>17</v>
      </c>
      <c r="D3457" s="3" t="s">
        <v>3461</v>
      </c>
      <c r="E3457" s="4" t="n">
        <v>2</v>
      </c>
    </row>
    <row r="3458" customFormat="false" ht="15" hidden="false" customHeight="false" outlineLevel="0" collapsed="false">
      <c r="A3458" s="3" t="n">
        <v>2021</v>
      </c>
      <c r="B3458" s="3" t="n">
        <v>6</v>
      </c>
      <c r="C3458" s="3" t="n">
        <v>18</v>
      </c>
      <c r="D3458" s="3" t="s">
        <v>3462</v>
      </c>
      <c r="E3458" s="4" t="n">
        <v>79</v>
      </c>
    </row>
    <row r="3459" customFormat="false" ht="15" hidden="false" customHeight="false" outlineLevel="0" collapsed="false">
      <c r="A3459" s="3" t="n">
        <v>2021</v>
      </c>
      <c r="B3459" s="3" t="n">
        <v>6</v>
      </c>
      <c r="C3459" s="3" t="n">
        <v>19</v>
      </c>
      <c r="D3459" s="3" t="s">
        <v>3463</v>
      </c>
      <c r="E3459" s="4" t="n">
        <v>0</v>
      </c>
    </row>
    <row r="3460" customFormat="false" ht="15" hidden="false" customHeight="false" outlineLevel="0" collapsed="false">
      <c r="A3460" s="3" t="n">
        <v>2021</v>
      </c>
      <c r="B3460" s="3" t="n">
        <v>6</v>
      </c>
      <c r="C3460" s="3" t="n">
        <v>20</v>
      </c>
      <c r="D3460" s="3" t="s">
        <v>3464</v>
      </c>
      <c r="E3460" s="4" t="n">
        <v>39</v>
      </c>
    </row>
    <row r="3461" customFormat="false" ht="15" hidden="false" customHeight="false" outlineLevel="0" collapsed="false">
      <c r="A3461" s="3" t="n">
        <v>2021</v>
      </c>
      <c r="B3461" s="3" t="n">
        <v>6</v>
      </c>
      <c r="C3461" s="3" t="n">
        <v>21</v>
      </c>
      <c r="D3461" s="3" t="s">
        <v>3465</v>
      </c>
      <c r="E3461" s="4" t="n">
        <v>29</v>
      </c>
    </row>
    <row r="3462" customFormat="false" ht="15" hidden="false" customHeight="false" outlineLevel="0" collapsed="false">
      <c r="A3462" s="3" t="n">
        <v>2021</v>
      </c>
      <c r="B3462" s="3" t="n">
        <v>6</v>
      </c>
      <c r="C3462" s="3" t="n">
        <v>22</v>
      </c>
      <c r="D3462" s="3" t="s">
        <v>3466</v>
      </c>
      <c r="E3462" s="4" t="n">
        <v>0</v>
      </c>
    </row>
    <row r="3463" customFormat="false" ht="15" hidden="false" customHeight="false" outlineLevel="0" collapsed="false">
      <c r="A3463" s="3" t="n">
        <v>2021</v>
      </c>
      <c r="B3463" s="3" t="n">
        <v>6</v>
      </c>
      <c r="C3463" s="3" t="n">
        <v>23</v>
      </c>
      <c r="D3463" s="3" t="s">
        <v>3467</v>
      </c>
      <c r="E3463" s="4" t="n">
        <v>0</v>
      </c>
    </row>
    <row r="3464" customFormat="false" ht="15" hidden="false" customHeight="false" outlineLevel="0" collapsed="false">
      <c r="A3464" s="3" t="n">
        <v>2021</v>
      </c>
      <c r="B3464" s="3" t="n">
        <v>6</v>
      </c>
      <c r="C3464" s="3" t="n">
        <v>24</v>
      </c>
      <c r="D3464" s="3" t="s">
        <v>3468</v>
      </c>
      <c r="E3464" s="4" t="n">
        <v>3</v>
      </c>
    </row>
    <row r="3465" customFormat="false" ht="15" hidden="false" customHeight="false" outlineLevel="0" collapsed="false">
      <c r="A3465" s="3" t="n">
        <v>2021</v>
      </c>
      <c r="B3465" s="3" t="n">
        <v>6</v>
      </c>
      <c r="C3465" s="3" t="n">
        <v>25</v>
      </c>
      <c r="D3465" s="3" t="s">
        <v>3469</v>
      </c>
      <c r="E3465" s="4" t="n">
        <v>0</v>
      </c>
    </row>
    <row r="3466" customFormat="false" ht="15" hidden="false" customHeight="false" outlineLevel="0" collapsed="false">
      <c r="A3466" s="3" t="n">
        <v>2021</v>
      </c>
      <c r="B3466" s="3" t="n">
        <v>6</v>
      </c>
      <c r="C3466" s="3" t="n">
        <v>26</v>
      </c>
      <c r="D3466" s="3" t="s">
        <v>3470</v>
      </c>
      <c r="E3466" s="4" t="n">
        <v>0</v>
      </c>
    </row>
    <row r="3467" customFormat="false" ht="15" hidden="false" customHeight="false" outlineLevel="0" collapsed="false">
      <c r="A3467" s="3" t="n">
        <v>2021</v>
      </c>
      <c r="B3467" s="3" t="n">
        <v>6</v>
      </c>
      <c r="C3467" s="3" t="n">
        <v>27</v>
      </c>
      <c r="D3467" s="3" t="s">
        <v>3471</v>
      </c>
      <c r="E3467" s="4" t="n">
        <v>0</v>
      </c>
    </row>
    <row r="3468" customFormat="false" ht="15" hidden="false" customHeight="false" outlineLevel="0" collapsed="false">
      <c r="A3468" s="3" t="n">
        <v>2021</v>
      </c>
      <c r="B3468" s="3" t="n">
        <v>6</v>
      </c>
      <c r="C3468" s="3" t="n">
        <v>28</v>
      </c>
      <c r="D3468" s="3" t="s">
        <v>3472</v>
      </c>
      <c r="E3468" s="4" t="n">
        <v>12</v>
      </c>
    </row>
    <row r="3469" customFormat="false" ht="15" hidden="false" customHeight="false" outlineLevel="0" collapsed="false">
      <c r="A3469" s="3" t="n">
        <v>2021</v>
      </c>
      <c r="B3469" s="3" t="n">
        <v>6</v>
      </c>
      <c r="C3469" s="3" t="n">
        <v>29</v>
      </c>
      <c r="D3469" s="3" t="s">
        <v>3473</v>
      </c>
      <c r="E3469" s="4" t="n">
        <v>6</v>
      </c>
    </row>
    <row r="3470" customFormat="false" ht="15" hidden="false" customHeight="false" outlineLevel="0" collapsed="false">
      <c r="A3470" s="3" t="n">
        <v>2021</v>
      </c>
      <c r="B3470" s="3" t="n">
        <v>6</v>
      </c>
      <c r="C3470" s="3" t="n">
        <v>30</v>
      </c>
      <c r="D3470" s="3" t="s">
        <v>3474</v>
      </c>
      <c r="E3470" s="4" t="n">
        <v>2</v>
      </c>
    </row>
    <row r="3471" customFormat="false" ht="15" hidden="false" customHeight="false" outlineLevel="0" collapsed="false">
      <c r="A3471" s="3" t="n">
        <v>2021</v>
      </c>
      <c r="B3471" s="3" t="n">
        <v>7</v>
      </c>
      <c r="C3471" s="3" t="n">
        <v>1</v>
      </c>
      <c r="D3471" s="3" t="s">
        <v>3475</v>
      </c>
      <c r="E3471" s="4" t="n">
        <v>9</v>
      </c>
    </row>
    <row r="3472" customFormat="false" ht="15" hidden="false" customHeight="false" outlineLevel="0" collapsed="false">
      <c r="A3472" s="3" t="n">
        <v>2021</v>
      </c>
      <c r="B3472" s="3" t="n">
        <v>7</v>
      </c>
      <c r="C3472" s="3" t="n">
        <v>2</v>
      </c>
      <c r="D3472" s="3" t="s">
        <v>3476</v>
      </c>
      <c r="E3472" s="4" t="n">
        <v>6</v>
      </c>
    </row>
    <row r="3473" customFormat="false" ht="15" hidden="false" customHeight="false" outlineLevel="0" collapsed="false">
      <c r="A3473" s="3" t="n">
        <v>2021</v>
      </c>
      <c r="B3473" s="3" t="n">
        <v>7</v>
      </c>
      <c r="C3473" s="3" t="n">
        <v>3</v>
      </c>
      <c r="D3473" s="3" t="s">
        <v>3477</v>
      </c>
      <c r="E3473" s="4" t="n">
        <v>0</v>
      </c>
    </row>
    <row r="3474" customFormat="false" ht="15" hidden="false" customHeight="false" outlineLevel="0" collapsed="false">
      <c r="A3474" s="3" t="n">
        <v>2021</v>
      </c>
      <c r="B3474" s="3" t="n">
        <v>7</v>
      </c>
      <c r="C3474" s="3" t="n">
        <v>4</v>
      </c>
      <c r="D3474" s="3" t="s">
        <v>3478</v>
      </c>
      <c r="E3474" s="4" t="n">
        <v>0</v>
      </c>
    </row>
    <row r="3475" customFormat="false" ht="15" hidden="false" customHeight="false" outlineLevel="0" collapsed="false">
      <c r="A3475" s="3" t="n">
        <v>2021</v>
      </c>
      <c r="B3475" s="3" t="n">
        <v>7</v>
      </c>
      <c r="C3475" s="3" t="n">
        <v>5</v>
      </c>
      <c r="D3475" s="3" t="s">
        <v>3479</v>
      </c>
      <c r="E3475" s="4" t="n">
        <v>0</v>
      </c>
    </row>
    <row r="3476" customFormat="false" ht="15" hidden="false" customHeight="false" outlineLevel="0" collapsed="false">
      <c r="A3476" s="3" t="n">
        <v>2021</v>
      </c>
      <c r="B3476" s="3" t="n">
        <v>7</v>
      </c>
      <c r="C3476" s="3" t="n">
        <v>6</v>
      </c>
      <c r="D3476" s="3" t="s">
        <v>3480</v>
      </c>
      <c r="E3476" s="4" t="n">
        <v>0</v>
      </c>
    </row>
    <row r="3477" customFormat="false" ht="15" hidden="false" customHeight="false" outlineLevel="0" collapsed="false">
      <c r="A3477" s="3" t="n">
        <v>2021</v>
      </c>
      <c r="B3477" s="3" t="n">
        <v>7</v>
      </c>
      <c r="C3477" s="3" t="n">
        <v>7</v>
      </c>
      <c r="D3477" s="3" t="s">
        <v>3481</v>
      </c>
      <c r="E3477" s="4" t="n">
        <v>0</v>
      </c>
    </row>
    <row r="3478" customFormat="false" ht="15" hidden="false" customHeight="false" outlineLevel="0" collapsed="false">
      <c r="A3478" s="3" t="n">
        <v>2021</v>
      </c>
      <c r="B3478" s="3" t="n">
        <v>7</v>
      </c>
      <c r="C3478" s="3" t="n">
        <v>8</v>
      </c>
      <c r="D3478" s="3" t="s">
        <v>3482</v>
      </c>
      <c r="E3478" s="4" t="n">
        <v>3</v>
      </c>
    </row>
    <row r="3479" customFormat="false" ht="15" hidden="false" customHeight="false" outlineLevel="0" collapsed="false">
      <c r="A3479" s="3" t="n">
        <v>2021</v>
      </c>
      <c r="B3479" s="3" t="n">
        <v>7</v>
      </c>
      <c r="C3479" s="3" t="n">
        <v>9</v>
      </c>
      <c r="D3479" s="3" t="s">
        <v>3483</v>
      </c>
      <c r="E3479" s="4" t="n">
        <v>51</v>
      </c>
    </row>
    <row r="3480" customFormat="false" ht="15" hidden="false" customHeight="false" outlineLevel="0" collapsed="false">
      <c r="A3480" s="3" t="n">
        <v>2021</v>
      </c>
      <c r="B3480" s="3" t="n">
        <v>7</v>
      </c>
      <c r="C3480" s="3" t="n">
        <v>10</v>
      </c>
      <c r="D3480" s="3" t="s">
        <v>3484</v>
      </c>
      <c r="E3480" s="4" t="n">
        <v>0</v>
      </c>
    </row>
    <row r="3481" customFormat="false" ht="15" hidden="false" customHeight="false" outlineLevel="0" collapsed="false">
      <c r="A3481" s="3" t="n">
        <v>2021</v>
      </c>
      <c r="B3481" s="3" t="n">
        <v>7</v>
      </c>
      <c r="C3481" s="3" t="n">
        <v>11</v>
      </c>
      <c r="D3481" s="3" t="s">
        <v>3485</v>
      </c>
      <c r="E3481" s="4" t="n">
        <v>2</v>
      </c>
    </row>
    <row r="3482" customFormat="false" ht="15" hidden="false" customHeight="false" outlineLevel="0" collapsed="false">
      <c r="A3482" s="3" t="n">
        <v>2021</v>
      </c>
      <c r="B3482" s="3" t="n">
        <v>7</v>
      </c>
      <c r="C3482" s="3" t="n">
        <v>12</v>
      </c>
      <c r="D3482" s="3" t="s">
        <v>3486</v>
      </c>
      <c r="E3482" s="4" t="n">
        <v>2</v>
      </c>
    </row>
    <row r="3483" customFormat="false" ht="15" hidden="false" customHeight="false" outlineLevel="0" collapsed="false">
      <c r="A3483" s="3" t="n">
        <v>2021</v>
      </c>
      <c r="B3483" s="3" t="n">
        <v>7</v>
      </c>
      <c r="C3483" s="3" t="n">
        <v>13</v>
      </c>
      <c r="D3483" s="3" t="s">
        <v>3487</v>
      </c>
      <c r="E3483" s="4" t="n">
        <v>9</v>
      </c>
    </row>
    <row r="3484" customFormat="false" ht="15" hidden="false" customHeight="false" outlineLevel="0" collapsed="false">
      <c r="A3484" s="3" t="n">
        <v>2021</v>
      </c>
      <c r="B3484" s="3" t="n">
        <v>7</v>
      </c>
      <c r="C3484" s="3" t="n">
        <v>14</v>
      </c>
      <c r="D3484" s="3" t="s">
        <v>3488</v>
      </c>
      <c r="E3484" s="4" t="n">
        <v>83</v>
      </c>
    </row>
    <row r="3485" customFormat="false" ht="15" hidden="false" customHeight="false" outlineLevel="0" collapsed="false">
      <c r="A3485" s="3" t="n">
        <v>2021</v>
      </c>
      <c r="B3485" s="3" t="n">
        <v>7</v>
      </c>
      <c r="C3485" s="3" t="n">
        <v>15</v>
      </c>
      <c r="D3485" s="3" t="s">
        <v>3489</v>
      </c>
      <c r="E3485" s="4" t="n">
        <v>14</v>
      </c>
    </row>
    <row r="3486" customFormat="false" ht="15" hidden="false" customHeight="false" outlineLevel="0" collapsed="false">
      <c r="A3486" s="3" t="n">
        <v>2021</v>
      </c>
      <c r="B3486" s="3" t="n">
        <v>7</v>
      </c>
      <c r="C3486" s="3" t="n">
        <v>16</v>
      </c>
      <c r="D3486" s="3" t="s">
        <v>3490</v>
      </c>
      <c r="E3486" s="4" t="n">
        <v>0</v>
      </c>
    </row>
    <row r="3487" customFormat="false" ht="15" hidden="false" customHeight="false" outlineLevel="0" collapsed="false">
      <c r="A3487" s="3" t="n">
        <v>2021</v>
      </c>
      <c r="B3487" s="3" t="n">
        <v>7</v>
      </c>
      <c r="C3487" s="3" t="n">
        <v>17</v>
      </c>
      <c r="D3487" s="3" t="s">
        <v>3491</v>
      </c>
      <c r="E3487" s="4" t="n">
        <v>0</v>
      </c>
    </row>
    <row r="3488" customFormat="false" ht="15" hidden="false" customHeight="false" outlineLevel="0" collapsed="false">
      <c r="A3488" s="3" t="n">
        <v>2021</v>
      </c>
      <c r="B3488" s="3" t="n">
        <v>7</v>
      </c>
      <c r="C3488" s="3" t="n">
        <v>18</v>
      </c>
      <c r="D3488" s="3" t="s">
        <v>3492</v>
      </c>
      <c r="E3488" s="4" t="n">
        <v>0</v>
      </c>
    </row>
    <row r="3489" customFormat="false" ht="15" hidden="false" customHeight="false" outlineLevel="0" collapsed="false">
      <c r="A3489" s="3" t="n">
        <v>2021</v>
      </c>
      <c r="B3489" s="3" t="n">
        <v>7</v>
      </c>
      <c r="C3489" s="3" t="n">
        <v>19</v>
      </c>
      <c r="D3489" s="3" t="s">
        <v>3493</v>
      </c>
      <c r="E3489" s="4" t="n">
        <v>10</v>
      </c>
    </row>
    <row r="3490" customFormat="false" ht="15" hidden="false" customHeight="false" outlineLevel="0" collapsed="false">
      <c r="A3490" s="3" t="n">
        <v>2021</v>
      </c>
      <c r="B3490" s="3" t="n">
        <v>7</v>
      </c>
      <c r="C3490" s="3" t="n">
        <v>20</v>
      </c>
      <c r="D3490" s="3" t="s">
        <v>3494</v>
      </c>
      <c r="E3490" s="4" t="n">
        <v>7</v>
      </c>
    </row>
    <row r="3491" customFormat="false" ht="15" hidden="false" customHeight="false" outlineLevel="0" collapsed="false">
      <c r="A3491" s="3" t="n">
        <v>2021</v>
      </c>
      <c r="B3491" s="3" t="n">
        <v>7</v>
      </c>
      <c r="C3491" s="3" t="n">
        <v>21</v>
      </c>
      <c r="D3491" s="3" t="s">
        <v>3495</v>
      </c>
      <c r="E3491" s="4" t="n">
        <v>6</v>
      </c>
    </row>
    <row r="3492" customFormat="false" ht="15" hidden="false" customHeight="false" outlineLevel="0" collapsed="false">
      <c r="A3492" s="3" t="n">
        <v>2021</v>
      </c>
      <c r="B3492" s="3" t="n">
        <v>7</v>
      </c>
      <c r="C3492" s="3" t="n">
        <v>22</v>
      </c>
      <c r="D3492" s="3" t="s">
        <v>3496</v>
      </c>
      <c r="E3492" s="4" t="n">
        <v>0</v>
      </c>
    </row>
    <row r="3493" customFormat="false" ht="15" hidden="false" customHeight="false" outlineLevel="0" collapsed="false">
      <c r="A3493" s="3" t="n">
        <v>2021</v>
      </c>
      <c r="B3493" s="3" t="n">
        <v>7</v>
      </c>
      <c r="C3493" s="3" t="n">
        <v>23</v>
      </c>
      <c r="D3493" s="3" t="s">
        <v>3497</v>
      </c>
      <c r="E3493" s="4" t="n">
        <v>0</v>
      </c>
    </row>
    <row r="3494" customFormat="false" ht="15" hidden="false" customHeight="false" outlineLevel="0" collapsed="false">
      <c r="A3494" s="3" t="n">
        <v>2021</v>
      </c>
      <c r="B3494" s="3" t="n">
        <v>7</v>
      </c>
      <c r="C3494" s="3" t="n">
        <v>24</v>
      </c>
      <c r="D3494" s="3" t="s">
        <v>3498</v>
      </c>
      <c r="E3494" s="4" t="n">
        <v>0</v>
      </c>
    </row>
    <row r="3495" customFormat="false" ht="15" hidden="false" customHeight="false" outlineLevel="0" collapsed="false">
      <c r="A3495" s="3" t="n">
        <v>2021</v>
      </c>
      <c r="B3495" s="3" t="n">
        <v>7</v>
      </c>
      <c r="C3495" s="3" t="n">
        <v>25</v>
      </c>
      <c r="D3495" s="3" t="s">
        <v>3499</v>
      </c>
      <c r="E3495" s="4" t="n">
        <v>0</v>
      </c>
    </row>
    <row r="3496" customFormat="false" ht="15" hidden="false" customHeight="false" outlineLevel="0" collapsed="false">
      <c r="A3496" s="3" t="n">
        <v>2021</v>
      </c>
      <c r="B3496" s="3" t="n">
        <v>7</v>
      </c>
      <c r="C3496" s="3" t="n">
        <v>26</v>
      </c>
      <c r="D3496" s="3" t="s">
        <v>3500</v>
      </c>
      <c r="E3496" s="4" t="n">
        <v>0</v>
      </c>
    </row>
    <row r="3497" customFormat="false" ht="15" hidden="false" customHeight="false" outlineLevel="0" collapsed="false">
      <c r="A3497" s="3" t="n">
        <v>2021</v>
      </c>
      <c r="B3497" s="3" t="n">
        <v>7</v>
      </c>
      <c r="C3497" s="3" t="n">
        <v>27</v>
      </c>
      <c r="D3497" s="3" t="s">
        <v>3501</v>
      </c>
      <c r="E3497" s="4" t="n">
        <v>0</v>
      </c>
    </row>
    <row r="3498" customFormat="false" ht="15" hidden="false" customHeight="false" outlineLevel="0" collapsed="false">
      <c r="A3498" s="3" t="n">
        <v>2021</v>
      </c>
      <c r="B3498" s="3" t="n">
        <v>7</v>
      </c>
      <c r="C3498" s="3" t="n">
        <v>28</v>
      </c>
      <c r="D3498" s="3" t="s">
        <v>3502</v>
      </c>
      <c r="E3498" s="4" t="n">
        <v>4</v>
      </c>
    </row>
    <row r="3499" customFormat="false" ht="15" hidden="false" customHeight="false" outlineLevel="0" collapsed="false">
      <c r="A3499" s="3" t="n">
        <v>2021</v>
      </c>
      <c r="B3499" s="3" t="n">
        <v>7</v>
      </c>
      <c r="C3499" s="3" t="n">
        <v>29</v>
      </c>
      <c r="D3499" s="3" t="s">
        <v>3503</v>
      </c>
      <c r="E3499" s="4" t="n">
        <v>3</v>
      </c>
    </row>
    <row r="3500" customFormat="false" ht="15" hidden="false" customHeight="false" outlineLevel="0" collapsed="false">
      <c r="A3500" s="3" t="n">
        <v>2021</v>
      </c>
      <c r="B3500" s="3" t="n">
        <v>7</v>
      </c>
      <c r="C3500" s="3" t="n">
        <v>30</v>
      </c>
      <c r="D3500" s="3" t="s">
        <v>3504</v>
      </c>
      <c r="E3500" s="4" t="n">
        <v>2</v>
      </c>
    </row>
    <row r="3501" customFormat="false" ht="15" hidden="false" customHeight="false" outlineLevel="0" collapsed="false">
      <c r="A3501" s="3" t="n">
        <v>2021</v>
      </c>
      <c r="B3501" s="3" t="n">
        <v>7</v>
      </c>
      <c r="C3501" s="3" t="n">
        <v>31</v>
      </c>
      <c r="D3501" s="3" t="s">
        <v>3505</v>
      </c>
      <c r="E3501" s="4" t="n">
        <v>0</v>
      </c>
    </row>
    <row r="3502" customFormat="false" ht="15" hidden="false" customHeight="false" outlineLevel="0" collapsed="false">
      <c r="A3502" s="3" t="n">
        <v>2021</v>
      </c>
      <c r="B3502" s="3" t="n">
        <v>8</v>
      </c>
      <c r="C3502" s="3" t="n">
        <v>1</v>
      </c>
      <c r="D3502" s="3" t="s">
        <v>3506</v>
      </c>
      <c r="E3502" s="4" t="n">
        <v>2</v>
      </c>
    </row>
    <row r="3503" customFormat="false" ht="15" hidden="false" customHeight="false" outlineLevel="0" collapsed="false">
      <c r="A3503" s="3" t="n">
        <v>2021</v>
      </c>
      <c r="B3503" s="3" t="n">
        <v>8</v>
      </c>
      <c r="C3503" s="3" t="n">
        <v>2</v>
      </c>
      <c r="D3503" s="3" t="s">
        <v>3507</v>
      </c>
      <c r="E3503" s="4" t="n">
        <v>35</v>
      </c>
    </row>
    <row r="3504" customFormat="false" ht="15" hidden="false" customHeight="false" outlineLevel="0" collapsed="false">
      <c r="A3504" s="3" t="n">
        <v>2021</v>
      </c>
      <c r="B3504" s="3" t="n">
        <v>8</v>
      </c>
      <c r="C3504" s="3" t="n">
        <v>3</v>
      </c>
      <c r="D3504" s="3" t="s">
        <v>3508</v>
      </c>
      <c r="E3504" s="4" t="n">
        <v>0</v>
      </c>
    </row>
    <row r="3505" customFormat="false" ht="15" hidden="false" customHeight="false" outlineLevel="0" collapsed="false">
      <c r="A3505" s="3" t="n">
        <v>2021</v>
      </c>
      <c r="B3505" s="3" t="n">
        <v>8</v>
      </c>
      <c r="C3505" s="3" t="n">
        <v>4</v>
      </c>
      <c r="D3505" s="3" t="s">
        <v>3509</v>
      </c>
      <c r="E3505" s="4" t="n">
        <v>0</v>
      </c>
    </row>
    <row r="3506" customFormat="false" ht="15" hidden="false" customHeight="false" outlineLevel="0" collapsed="false">
      <c r="A3506" s="3" t="n">
        <v>2021</v>
      </c>
      <c r="B3506" s="3" t="n">
        <v>8</v>
      </c>
      <c r="C3506" s="3" t="n">
        <v>5</v>
      </c>
      <c r="D3506" s="3" t="s">
        <v>3510</v>
      </c>
      <c r="E3506" s="4" t="n">
        <v>14</v>
      </c>
    </row>
    <row r="3507" customFormat="false" ht="15" hidden="false" customHeight="false" outlineLevel="0" collapsed="false">
      <c r="A3507" s="3" t="n">
        <v>2021</v>
      </c>
      <c r="B3507" s="3" t="n">
        <v>8</v>
      </c>
      <c r="C3507" s="3" t="n">
        <v>6</v>
      </c>
      <c r="D3507" s="3" t="s">
        <v>3511</v>
      </c>
      <c r="E3507" s="4" t="n">
        <v>0</v>
      </c>
    </row>
    <row r="3508" customFormat="false" ht="15" hidden="false" customHeight="false" outlineLevel="0" collapsed="false">
      <c r="A3508" s="3" t="n">
        <v>2021</v>
      </c>
      <c r="B3508" s="3" t="n">
        <v>8</v>
      </c>
      <c r="C3508" s="3" t="n">
        <v>7</v>
      </c>
      <c r="D3508" s="3" t="s">
        <v>3512</v>
      </c>
      <c r="E3508" s="4" t="n">
        <v>0</v>
      </c>
    </row>
    <row r="3509" customFormat="false" ht="15" hidden="false" customHeight="false" outlineLevel="0" collapsed="false">
      <c r="A3509" s="3" t="n">
        <v>2021</v>
      </c>
      <c r="B3509" s="3" t="n">
        <v>8</v>
      </c>
      <c r="C3509" s="3" t="n">
        <v>8</v>
      </c>
      <c r="D3509" s="3" t="s">
        <v>3513</v>
      </c>
      <c r="E3509" s="4" t="n">
        <v>28</v>
      </c>
    </row>
    <row r="3510" customFormat="false" ht="15" hidden="false" customHeight="false" outlineLevel="0" collapsed="false">
      <c r="A3510" s="3" t="n">
        <v>2021</v>
      </c>
      <c r="B3510" s="3" t="n">
        <v>8</v>
      </c>
      <c r="C3510" s="3" t="n">
        <v>9</v>
      </c>
      <c r="D3510" s="3" t="s">
        <v>3514</v>
      </c>
      <c r="E3510" s="4" t="n">
        <v>4</v>
      </c>
    </row>
    <row r="3511" customFormat="false" ht="15" hidden="false" customHeight="false" outlineLevel="0" collapsed="false">
      <c r="A3511" s="3" t="n">
        <v>2021</v>
      </c>
      <c r="B3511" s="3" t="n">
        <v>8</v>
      </c>
      <c r="C3511" s="3" t="n">
        <v>10</v>
      </c>
      <c r="D3511" s="3" t="s">
        <v>3515</v>
      </c>
      <c r="E3511" s="4" t="n">
        <v>0</v>
      </c>
    </row>
    <row r="3512" customFormat="false" ht="15" hidden="false" customHeight="false" outlineLevel="0" collapsed="false">
      <c r="A3512" s="3" t="n">
        <v>2021</v>
      </c>
      <c r="B3512" s="3" t="n">
        <v>8</v>
      </c>
      <c r="C3512" s="3" t="n">
        <v>11</v>
      </c>
      <c r="D3512" s="3" t="s">
        <v>3516</v>
      </c>
      <c r="E3512" s="4" t="n">
        <v>0</v>
      </c>
    </row>
    <row r="3513" customFormat="false" ht="15" hidden="false" customHeight="false" outlineLevel="0" collapsed="false">
      <c r="A3513" s="3" t="n">
        <v>2021</v>
      </c>
      <c r="B3513" s="3" t="n">
        <v>8</v>
      </c>
      <c r="C3513" s="3" t="n">
        <v>12</v>
      </c>
      <c r="D3513" s="3" t="s">
        <v>3517</v>
      </c>
      <c r="E3513" s="4" t="n">
        <v>0</v>
      </c>
    </row>
    <row r="3514" customFormat="false" ht="15" hidden="false" customHeight="false" outlineLevel="0" collapsed="false">
      <c r="A3514" s="3" t="n">
        <v>2021</v>
      </c>
      <c r="B3514" s="3" t="n">
        <v>8</v>
      </c>
      <c r="C3514" s="3" t="n">
        <v>13</v>
      </c>
      <c r="D3514" s="3" t="s">
        <v>3518</v>
      </c>
      <c r="E3514" s="4" t="n">
        <v>1</v>
      </c>
    </row>
    <row r="3515" customFormat="false" ht="15" hidden="false" customHeight="false" outlineLevel="0" collapsed="false">
      <c r="A3515" s="3" t="n">
        <v>2021</v>
      </c>
      <c r="B3515" s="3" t="n">
        <v>8</v>
      </c>
      <c r="C3515" s="3" t="n">
        <v>14</v>
      </c>
      <c r="D3515" s="3" t="s">
        <v>3519</v>
      </c>
      <c r="E3515" s="4" t="n">
        <v>5</v>
      </c>
    </row>
    <row r="3516" customFormat="false" ht="15" hidden="false" customHeight="false" outlineLevel="0" collapsed="false">
      <c r="A3516" s="3" t="n">
        <v>2021</v>
      </c>
      <c r="B3516" s="3" t="n">
        <v>8</v>
      </c>
      <c r="C3516" s="3" t="n">
        <v>15</v>
      </c>
      <c r="D3516" s="3" t="s">
        <v>3520</v>
      </c>
      <c r="E3516" s="4" t="n">
        <v>15</v>
      </c>
    </row>
    <row r="3517" customFormat="false" ht="15" hidden="false" customHeight="false" outlineLevel="0" collapsed="false">
      <c r="A3517" s="3" t="n">
        <v>2021</v>
      </c>
      <c r="B3517" s="3" t="n">
        <v>8</v>
      </c>
      <c r="C3517" s="3" t="n">
        <v>16</v>
      </c>
      <c r="D3517" s="3" t="s">
        <v>3521</v>
      </c>
      <c r="E3517" s="4" t="n">
        <v>7</v>
      </c>
    </row>
    <row r="3518" customFormat="false" ht="15" hidden="false" customHeight="false" outlineLevel="0" collapsed="false">
      <c r="A3518" s="3" t="n">
        <v>2021</v>
      </c>
      <c r="B3518" s="3" t="n">
        <v>8</v>
      </c>
      <c r="C3518" s="3" t="n">
        <v>17</v>
      </c>
      <c r="D3518" s="3" t="s">
        <v>3522</v>
      </c>
      <c r="E3518" s="4" t="n">
        <v>23</v>
      </c>
    </row>
    <row r="3519" customFormat="false" ht="15" hidden="false" customHeight="false" outlineLevel="0" collapsed="false">
      <c r="A3519" s="3" t="n">
        <v>2021</v>
      </c>
      <c r="B3519" s="3" t="n">
        <v>8</v>
      </c>
      <c r="C3519" s="3" t="n">
        <v>18</v>
      </c>
      <c r="D3519" s="3" t="s">
        <v>3523</v>
      </c>
      <c r="E3519" s="4" t="n">
        <v>151</v>
      </c>
    </row>
    <row r="3520" customFormat="false" ht="15" hidden="false" customHeight="false" outlineLevel="0" collapsed="false">
      <c r="A3520" s="3" t="n">
        <v>2021</v>
      </c>
      <c r="B3520" s="3" t="n">
        <v>8</v>
      </c>
      <c r="C3520" s="3" t="n">
        <v>19</v>
      </c>
      <c r="D3520" s="3" t="s">
        <v>3524</v>
      </c>
      <c r="E3520" s="4" t="n">
        <v>11</v>
      </c>
    </row>
    <row r="3521" customFormat="false" ht="15" hidden="false" customHeight="false" outlineLevel="0" collapsed="false">
      <c r="A3521" s="3" t="n">
        <v>2021</v>
      </c>
      <c r="B3521" s="3" t="n">
        <v>8</v>
      </c>
      <c r="C3521" s="3" t="n">
        <v>20</v>
      </c>
      <c r="D3521" s="3" t="s">
        <v>3525</v>
      </c>
      <c r="E3521" s="4" t="n">
        <v>13</v>
      </c>
    </row>
    <row r="3522" customFormat="false" ht="15" hidden="false" customHeight="false" outlineLevel="0" collapsed="false">
      <c r="A3522" s="3" t="n">
        <v>2021</v>
      </c>
      <c r="B3522" s="3" t="n">
        <v>8</v>
      </c>
      <c r="C3522" s="3" t="n">
        <v>21</v>
      </c>
      <c r="D3522" s="3" t="s">
        <v>3526</v>
      </c>
      <c r="E3522" s="4" t="n">
        <v>0</v>
      </c>
    </row>
    <row r="3523" customFormat="false" ht="15" hidden="false" customHeight="false" outlineLevel="0" collapsed="false">
      <c r="A3523" s="3" t="n">
        <v>2021</v>
      </c>
      <c r="B3523" s="3" t="n">
        <v>8</v>
      </c>
      <c r="C3523" s="3" t="n">
        <v>22</v>
      </c>
      <c r="D3523" s="3" t="s">
        <v>3527</v>
      </c>
      <c r="E3523" s="4" t="n">
        <v>145</v>
      </c>
    </row>
    <row r="3524" customFormat="false" ht="15" hidden="false" customHeight="false" outlineLevel="0" collapsed="false">
      <c r="A3524" s="3" t="n">
        <v>2021</v>
      </c>
      <c r="B3524" s="3" t="n">
        <v>8</v>
      </c>
      <c r="C3524" s="3" t="n">
        <v>23</v>
      </c>
      <c r="D3524" s="3" t="s">
        <v>3528</v>
      </c>
      <c r="E3524" s="4" t="n">
        <v>0</v>
      </c>
    </row>
    <row r="3525" customFormat="false" ht="15" hidden="false" customHeight="false" outlineLevel="0" collapsed="false">
      <c r="A3525" s="3" t="n">
        <v>2021</v>
      </c>
      <c r="B3525" s="3" t="n">
        <v>8</v>
      </c>
      <c r="C3525" s="3" t="n">
        <v>24</v>
      </c>
      <c r="D3525" s="3" t="s">
        <v>3529</v>
      </c>
      <c r="E3525" s="4" t="n">
        <v>35</v>
      </c>
    </row>
    <row r="3526" customFormat="false" ht="15" hidden="false" customHeight="false" outlineLevel="0" collapsed="false">
      <c r="A3526" s="3" t="n">
        <v>2021</v>
      </c>
      <c r="B3526" s="3" t="n">
        <v>8</v>
      </c>
      <c r="C3526" s="3" t="n">
        <v>25</v>
      </c>
      <c r="D3526" s="3" t="s">
        <v>3530</v>
      </c>
      <c r="E3526" s="4" t="n">
        <v>0</v>
      </c>
    </row>
    <row r="3527" customFormat="false" ht="15" hidden="false" customHeight="false" outlineLevel="0" collapsed="false">
      <c r="A3527" s="3" t="n">
        <v>2021</v>
      </c>
      <c r="B3527" s="3" t="n">
        <v>8</v>
      </c>
      <c r="C3527" s="3" t="n">
        <v>26</v>
      </c>
      <c r="D3527" s="3" t="s">
        <v>3531</v>
      </c>
      <c r="E3527" s="4" t="n">
        <v>32</v>
      </c>
    </row>
    <row r="3528" customFormat="false" ht="15" hidden="false" customHeight="false" outlineLevel="0" collapsed="false">
      <c r="A3528" s="3" t="n">
        <v>2021</v>
      </c>
      <c r="B3528" s="3" t="n">
        <v>8</v>
      </c>
      <c r="C3528" s="3" t="n">
        <v>27</v>
      </c>
      <c r="D3528" s="3" t="s">
        <v>3532</v>
      </c>
      <c r="E3528" s="4" t="n">
        <v>0</v>
      </c>
    </row>
    <row r="3529" customFormat="false" ht="15" hidden="false" customHeight="false" outlineLevel="0" collapsed="false">
      <c r="A3529" s="3" t="n">
        <v>2021</v>
      </c>
      <c r="B3529" s="3" t="n">
        <v>8</v>
      </c>
      <c r="C3529" s="3" t="n">
        <v>28</v>
      </c>
      <c r="D3529" s="3" t="s">
        <v>3533</v>
      </c>
      <c r="E3529" s="4" t="n">
        <v>14</v>
      </c>
    </row>
    <row r="3530" customFormat="false" ht="15" hidden="false" customHeight="false" outlineLevel="0" collapsed="false">
      <c r="A3530" s="3" t="n">
        <v>2021</v>
      </c>
      <c r="B3530" s="3" t="n">
        <v>8</v>
      </c>
      <c r="C3530" s="3" t="n">
        <v>29</v>
      </c>
      <c r="D3530" s="3" t="s">
        <v>3534</v>
      </c>
      <c r="E3530" s="4" t="n">
        <v>0</v>
      </c>
    </row>
    <row r="3531" customFormat="false" ht="15" hidden="false" customHeight="false" outlineLevel="0" collapsed="false">
      <c r="A3531" s="3" t="n">
        <v>2021</v>
      </c>
      <c r="B3531" s="3" t="n">
        <v>8</v>
      </c>
      <c r="C3531" s="3" t="n">
        <v>30</v>
      </c>
      <c r="D3531" s="3" t="s">
        <v>3535</v>
      </c>
      <c r="E3531" s="4" t="n">
        <v>52</v>
      </c>
    </row>
    <row r="3532" customFormat="false" ht="15" hidden="false" customHeight="false" outlineLevel="0" collapsed="false">
      <c r="A3532" s="3" t="n">
        <v>2021</v>
      </c>
      <c r="B3532" s="3" t="n">
        <v>8</v>
      </c>
      <c r="C3532" s="3" t="n">
        <v>31</v>
      </c>
      <c r="D3532" s="3" t="s">
        <v>3536</v>
      </c>
      <c r="E3532" s="4" t="n">
        <v>0</v>
      </c>
    </row>
    <row r="3533" customFormat="false" ht="15" hidden="false" customHeight="false" outlineLevel="0" collapsed="false">
      <c r="A3533" s="3" t="n">
        <v>2021</v>
      </c>
      <c r="B3533" s="3" t="n">
        <v>9</v>
      </c>
      <c r="C3533" s="3" t="n">
        <v>1</v>
      </c>
      <c r="D3533" s="3" t="s">
        <v>3537</v>
      </c>
      <c r="E3533" s="4" t="n">
        <v>60</v>
      </c>
    </row>
    <row r="3534" customFormat="false" ht="15" hidden="false" customHeight="false" outlineLevel="0" collapsed="false">
      <c r="A3534" s="3" t="n">
        <v>2021</v>
      </c>
      <c r="B3534" s="3" t="n">
        <v>9</v>
      </c>
      <c r="C3534" s="3" t="n">
        <v>2</v>
      </c>
      <c r="D3534" s="3" t="s">
        <v>3538</v>
      </c>
      <c r="E3534" s="4" t="n">
        <v>15</v>
      </c>
    </row>
    <row r="3535" customFormat="false" ht="15" hidden="false" customHeight="false" outlineLevel="0" collapsed="false">
      <c r="A3535" s="3" t="n">
        <v>2021</v>
      </c>
      <c r="B3535" s="3" t="n">
        <v>9</v>
      </c>
      <c r="C3535" s="3" t="n">
        <v>3</v>
      </c>
      <c r="D3535" s="3" t="s">
        <v>3539</v>
      </c>
      <c r="E3535" s="4" t="n">
        <v>4</v>
      </c>
    </row>
    <row r="3536" customFormat="false" ht="15" hidden="false" customHeight="false" outlineLevel="0" collapsed="false">
      <c r="A3536" s="3" t="n">
        <v>2021</v>
      </c>
      <c r="B3536" s="3" t="n">
        <v>9</v>
      </c>
      <c r="C3536" s="3" t="n">
        <v>4</v>
      </c>
      <c r="D3536" s="3" t="s">
        <v>3540</v>
      </c>
      <c r="E3536" s="4" t="n">
        <v>0</v>
      </c>
    </row>
    <row r="3537" customFormat="false" ht="15" hidden="false" customHeight="false" outlineLevel="0" collapsed="false">
      <c r="A3537" s="3" t="n">
        <v>2021</v>
      </c>
      <c r="B3537" s="3" t="n">
        <v>9</v>
      </c>
      <c r="C3537" s="3" t="n">
        <v>5</v>
      </c>
      <c r="D3537" s="3" t="s">
        <v>3541</v>
      </c>
      <c r="E3537" s="4" t="n">
        <v>44</v>
      </c>
    </row>
    <row r="3538" customFormat="false" ht="15" hidden="false" customHeight="false" outlineLevel="0" collapsed="false">
      <c r="A3538" s="3" t="n">
        <v>2021</v>
      </c>
      <c r="B3538" s="3" t="n">
        <v>9</v>
      </c>
      <c r="C3538" s="3" t="n">
        <v>6</v>
      </c>
      <c r="D3538" s="3" t="s">
        <v>3542</v>
      </c>
      <c r="E3538" s="4" t="n">
        <v>5</v>
      </c>
    </row>
    <row r="3539" customFormat="false" ht="15" hidden="false" customHeight="false" outlineLevel="0" collapsed="false">
      <c r="A3539" s="3" t="n">
        <v>2021</v>
      </c>
      <c r="B3539" s="3" t="n">
        <v>9</v>
      </c>
      <c r="C3539" s="3" t="n">
        <v>7</v>
      </c>
      <c r="D3539" s="3" t="s">
        <v>3543</v>
      </c>
      <c r="E3539" s="4" t="n">
        <v>1</v>
      </c>
    </row>
    <row r="3540" customFormat="false" ht="15" hidden="false" customHeight="false" outlineLevel="0" collapsed="false">
      <c r="A3540" s="3" t="n">
        <v>2021</v>
      </c>
      <c r="B3540" s="3" t="n">
        <v>9</v>
      </c>
      <c r="C3540" s="3" t="n">
        <v>8</v>
      </c>
      <c r="D3540" s="3" t="s">
        <v>3544</v>
      </c>
      <c r="E3540" s="4" t="n">
        <v>30</v>
      </c>
    </row>
    <row r="3541" customFormat="false" ht="15" hidden="false" customHeight="false" outlineLevel="0" collapsed="false">
      <c r="A3541" s="3" t="n">
        <v>2021</v>
      </c>
      <c r="B3541" s="3" t="n">
        <v>9</v>
      </c>
      <c r="C3541" s="3" t="n">
        <v>9</v>
      </c>
      <c r="D3541" s="3" t="s">
        <v>3545</v>
      </c>
      <c r="E3541" s="4" t="n">
        <v>10</v>
      </c>
    </row>
    <row r="3542" customFormat="false" ht="15" hidden="false" customHeight="false" outlineLevel="0" collapsed="false">
      <c r="A3542" s="3" t="n">
        <v>2021</v>
      </c>
      <c r="B3542" s="3" t="n">
        <v>9</v>
      </c>
      <c r="C3542" s="3" t="n">
        <v>10</v>
      </c>
      <c r="D3542" s="3" t="s">
        <v>3546</v>
      </c>
      <c r="E3542" s="4" t="n">
        <v>0</v>
      </c>
    </row>
    <row r="3543" customFormat="false" ht="15" hidden="false" customHeight="false" outlineLevel="0" collapsed="false">
      <c r="A3543" s="3" t="n">
        <v>2021</v>
      </c>
      <c r="B3543" s="3" t="n">
        <v>9</v>
      </c>
      <c r="C3543" s="3" t="n">
        <v>11</v>
      </c>
      <c r="D3543" s="3" t="s">
        <v>3547</v>
      </c>
      <c r="E3543" s="4" t="n">
        <v>33</v>
      </c>
    </row>
    <row r="3544" customFormat="false" ht="15" hidden="false" customHeight="false" outlineLevel="0" collapsed="false">
      <c r="A3544" s="3" t="n">
        <v>2021</v>
      </c>
      <c r="B3544" s="3" t="n">
        <v>9</v>
      </c>
      <c r="C3544" s="3" t="n">
        <v>12</v>
      </c>
      <c r="D3544" s="3" t="s">
        <v>3548</v>
      </c>
      <c r="E3544" s="4" t="n">
        <v>0</v>
      </c>
    </row>
    <row r="3545" customFormat="false" ht="15" hidden="false" customHeight="false" outlineLevel="0" collapsed="false">
      <c r="A3545" s="3" t="n">
        <v>2021</v>
      </c>
      <c r="B3545" s="3" t="n">
        <v>9</v>
      </c>
      <c r="C3545" s="3" t="n">
        <v>13</v>
      </c>
      <c r="D3545" s="3" t="s">
        <v>3549</v>
      </c>
      <c r="E3545" s="4" t="n">
        <v>53</v>
      </c>
    </row>
    <row r="3546" customFormat="false" ht="15" hidden="false" customHeight="false" outlineLevel="0" collapsed="false">
      <c r="A3546" s="3" t="n">
        <v>2021</v>
      </c>
      <c r="B3546" s="3" t="n">
        <v>9</v>
      </c>
      <c r="C3546" s="3" t="n">
        <v>14</v>
      </c>
      <c r="D3546" s="3" t="s">
        <v>3550</v>
      </c>
      <c r="E3546" s="4" t="n">
        <v>86</v>
      </c>
    </row>
    <row r="3547" customFormat="false" ht="15" hidden="false" customHeight="false" outlineLevel="0" collapsed="false">
      <c r="A3547" s="3" t="n">
        <v>2021</v>
      </c>
      <c r="B3547" s="3" t="n">
        <v>9</v>
      </c>
      <c r="C3547" s="3" t="n">
        <v>15</v>
      </c>
      <c r="D3547" s="3" t="s">
        <v>3551</v>
      </c>
      <c r="E3547" s="4" t="n">
        <v>1</v>
      </c>
    </row>
    <row r="3548" customFormat="false" ht="15" hidden="false" customHeight="false" outlineLevel="0" collapsed="false">
      <c r="A3548" s="3" t="n">
        <v>2021</v>
      </c>
      <c r="B3548" s="3" t="n">
        <v>9</v>
      </c>
      <c r="C3548" s="3" t="n">
        <v>16</v>
      </c>
      <c r="D3548" s="3" t="s">
        <v>3552</v>
      </c>
      <c r="E3548" s="4" t="n">
        <v>0</v>
      </c>
    </row>
    <row r="3549" customFormat="false" ht="15" hidden="false" customHeight="false" outlineLevel="0" collapsed="false">
      <c r="A3549" s="3" t="n">
        <v>2021</v>
      </c>
      <c r="B3549" s="3" t="n">
        <v>9</v>
      </c>
      <c r="C3549" s="3" t="n">
        <v>17</v>
      </c>
      <c r="D3549" s="3" t="s">
        <v>3553</v>
      </c>
      <c r="E3549" s="4" t="n">
        <v>0</v>
      </c>
    </row>
    <row r="3550" customFormat="false" ht="15" hidden="false" customHeight="false" outlineLevel="0" collapsed="false">
      <c r="A3550" s="3" t="n">
        <v>2021</v>
      </c>
      <c r="B3550" s="3" t="n">
        <v>9</v>
      </c>
      <c r="C3550" s="3" t="n">
        <v>18</v>
      </c>
      <c r="D3550" s="3" t="s">
        <v>3554</v>
      </c>
      <c r="E3550" s="4" t="n">
        <v>12</v>
      </c>
    </row>
    <row r="3551" customFormat="false" ht="15" hidden="false" customHeight="false" outlineLevel="0" collapsed="false">
      <c r="A3551" s="3" t="n">
        <v>2021</v>
      </c>
      <c r="B3551" s="3" t="n">
        <v>9</v>
      </c>
      <c r="C3551" s="3" t="n">
        <v>19</v>
      </c>
      <c r="D3551" s="3" t="s">
        <v>3555</v>
      </c>
      <c r="E3551" s="4" t="n">
        <v>34</v>
      </c>
    </row>
    <row r="3552" customFormat="false" ht="15" hidden="false" customHeight="false" outlineLevel="0" collapsed="false">
      <c r="A3552" s="3" t="n">
        <v>2021</v>
      </c>
      <c r="B3552" s="3" t="n">
        <v>9</v>
      </c>
      <c r="C3552" s="3" t="n">
        <v>20</v>
      </c>
      <c r="D3552" s="3" t="s">
        <v>3556</v>
      </c>
      <c r="E3552" s="4" t="n">
        <v>0</v>
      </c>
    </row>
    <row r="3553" customFormat="false" ht="15" hidden="false" customHeight="false" outlineLevel="0" collapsed="false">
      <c r="A3553" s="3" t="n">
        <v>2021</v>
      </c>
      <c r="B3553" s="3" t="n">
        <v>9</v>
      </c>
      <c r="C3553" s="3" t="n">
        <v>21</v>
      </c>
      <c r="D3553" s="3" t="s">
        <v>3557</v>
      </c>
      <c r="E3553" s="4" t="n">
        <v>0</v>
      </c>
    </row>
    <row r="3554" customFormat="false" ht="15" hidden="false" customHeight="false" outlineLevel="0" collapsed="false">
      <c r="A3554" s="3" t="n">
        <v>2021</v>
      </c>
      <c r="B3554" s="3" t="n">
        <v>9</v>
      </c>
      <c r="C3554" s="3" t="n">
        <v>22</v>
      </c>
      <c r="D3554" s="3" t="s">
        <v>3558</v>
      </c>
      <c r="E3554" s="4" t="n">
        <v>0</v>
      </c>
    </row>
    <row r="3555" customFormat="false" ht="15" hidden="false" customHeight="false" outlineLevel="0" collapsed="false">
      <c r="A3555" s="3" t="n">
        <v>2021</v>
      </c>
      <c r="B3555" s="3" t="n">
        <v>9</v>
      </c>
      <c r="C3555" s="3" t="n">
        <v>23</v>
      </c>
      <c r="D3555" s="3" t="s">
        <v>3559</v>
      </c>
      <c r="E3555" s="4" t="n">
        <v>0</v>
      </c>
    </row>
    <row r="3556" customFormat="false" ht="15" hidden="false" customHeight="false" outlineLevel="0" collapsed="false">
      <c r="A3556" s="3" t="n">
        <v>2021</v>
      </c>
      <c r="B3556" s="3" t="n">
        <v>9</v>
      </c>
      <c r="C3556" s="3" t="n">
        <v>24</v>
      </c>
      <c r="D3556" s="3" t="s">
        <v>3560</v>
      </c>
      <c r="E3556" s="4" t="n">
        <v>108</v>
      </c>
    </row>
    <row r="3557" customFormat="false" ht="15" hidden="false" customHeight="false" outlineLevel="0" collapsed="false">
      <c r="A3557" s="3" t="n">
        <v>2021</v>
      </c>
      <c r="B3557" s="3" t="n">
        <v>9</v>
      </c>
      <c r="C3557" s="3" t="n">
        <v>25</v>
      </c>
      <c r="D3557" s="3" t="s">
        <v>3561</v>
      </c>
      <c r="E3557" s="4" t="n">
        <v>15</v>
      </c>
    </row>
    <row r="3558" customFormat="false" ht="15" hidden="false" customHeight="false" outlineLevel="0" collapsed="false">
      <c r="A3558" s="3" t="n">
        <v>2021</v>
      </c>
      <c r="B3558" s="3" t="n">
        <v>9</v>
      </c>
      <c r="C3558" s="3" t="n">
        <v>26</v>
      </c>
      <c r="D3558" s="3" t="s">
        <v>3562</v>
      </c>
      <c r="E3558" s="4" t="n">
        <v>3</v>
      </c>
    </row>
    <row r="3559" customFormat="false" ht="15" hidden="false" customHeight="false" outlineLevel="0" collapsed="false">
      <c r="A3559" s="3" t="n">
        <v>2021</v>
      </c>
      <c r="B3559" s="3" t="n">
        <v>9</v>
      </c>
      <c r="C3559" s="3" t="n">
        <v>27</v>
      </c>
      <c r="D3559" s="3" t="s">
        <v>3563</v>
      </c>
      <c r="E3559" s="4" t="n">
        <v>6</v>
      </c>
    </row>
    <row r="3560" customFormat="false" ht="15" hidden="false" customHeight="false" outlineLevel="0" collapsed="false">
      <c r="A3560" s="3" t="n">
        <v>2021</v>
      </c>
      <c r="B3560" s="3" t="n">
        <v>9</v>
      </c>
      <c r="C3560" s="3" t="n">
        <v>28</v>
      </c>
      <c r="D3560" s="3" t="s">
        <v>3564</v>
      </c>
      <c r="E3560" s="4" t="n">
        <v>0</v>
      </c>
    </row>
    <row r="3561" customFormat="false" ht="15" hidden="false" customHeight="false" outlineLevel="0" collapsed="false">
      <c r="A3561" s="3" t="n">
        <v>2021</v>
      </c>
      <c r="B3561" s="3" t="n">
        <v>9</v>
      </c>
      <c r="C3561" s="3" t="n">
        <v>29</v>
      </c>
      <c r="D3561" s="3" t="s">
        <v>3565</v>
      </c>
      <c r="E3561" s="4" t="n">
        <v>4</v>
      </c>
    </row>
    <row r="3562" customFormat="false" ht="15" hidden="false" customHeight="false" outlineLevel="0" collapsed="false">
      <c r="A3562" s="3" t="n">
        <v>2021</v>
      </c>
      <c r="B3562" s="3" t="n">
        <v>9</v>
      </c>
      <c r="C3562" s="3" t="n">
        <v>30</v>
      </c>
      <c r="D3562" s="3" t="s">
        <v>3566</v>
      </c>
      <c r="E3562" s="4" t="n">
        <v>0</v>
      </c>
    </row>
    <row r="3563" customFormat="false" ht="15" hidden="false" customHeight="false" outlineLevel="0" collapsed="false">
      <c r="A3563" s="3" t="n">
        <v>2021</v>
      </c>
      <c r="B3563" s="3" t="n">
        <v>10</v>
      </c>
      <c r="C3563" s="3" t="n">
        <v>1</v>
      </c>
      <c r="D3563" s="3" t="s">
        <v>3567</v>
      </c>
      <c r="E3563" s="4" t="n">
        <v>73</v>
      </c>
    </row>
    <row r="3564" customFormat="false" ht="15" hidden="false" customHeight="false" outlineLevel="0" collapsed="false">
      <c r="A3564" s="3" t="n">
        <v>2021</v>
      </c>
      <c r="B3564" s="3" t="n">
        <v>10</v>
      </c>
      <c r="C3564" s="3" t="n">
        <v>2</v>
      </c>
      <c r="D3564" s="3" t="s">
        <v>3568</v>
      </c>
      <c r="E3564" s="4" t="n">
        <v>4</v>
      </c>
    </row>
    <row r="3565" customFormat="false" ht="15" hidden="false" customHeight="false" outlineLevel="0" collapsed="false">
      <c r="A3565" s="3" t="n">
        <v>2021</v>
      </c>
      <c r="B3565" s="3" t="n">
        <v>10</v>
      </c>
      <c r="C3565" s="3" t="n">
        <v>3</v>
      </c>
      <c r="D3565" s="3" t="s">
        <v>3569</v>
      </c>
      <c r="E3565" s="4" t="n">
        <v>0</v>
      </c>
    </row>
    <row r="3566" customFormat="false" ht="15" hidden="false" customHeight="false" outlineLevel="0" collapsed="false">
      <c r="A3566" s="3" t="n">
        <v>2021</v>
      </c>
      <c r="B3566" s="3" t="n">
        <v>10</v>
      </c>
      <c r="C3566" s="3" t="n">
        <v>4</v>
      </c>
      <c r="D3566" s="3" t="s">
        <v>3570</v>
      </c>
      <c r="E3566" s="4" t="n">
        <v>13</v>
      </c>
    </row>
    <row r="3567" customFormat="false" ht="15" hidden="false" customHeight="false" outlineLevel="0" collapsed="false">
      <c r="A3567" s="3" t="n">
        <v>2021</v>
      </c>
      <c r="B3567" s="3" t="n">
        <v>10</v>
      </c>
      <c r="C3567" s="3" t="n">
        <v>5</v>
      </c>
      <c r="D3567" s="3" t="s">
        <v>3571</v>
      </c>
      <c r="E3567" s="4" t="n">
        <v>0</v>
      </c>
    </row>
    <row r="3568" customFormat="false" ht="15" hidden="false" customHeight="false" outlineLevel="0" collapsed="false">
      <c r="A3568" s="3" t="n">
        <v>2021</v>
      </c>
      <c r="B3568" s="3" t="n">
        <v>10</v>
      </c>
      <c r="C3568" s="3" t="n">
        <v>6</v>
      </c>
      <c r="D3568" s="3" t="s">
        <v>3572</v>
      </c>
      <c r="E3568" s="4" t="n">
        <v>0</v>
      </c>
    </row>
    <row r="3569" customFormat="false" ht="15" hidden="false" customHeight="false" outlineLevel="0" collapsed="false">
      <c r="A3569" s="3" t="n">
        <v>2021</v>
      </c>
      <c r="B3569" s="3" t="n">
        <v>10</v>
      </c>
      <c r="C3569" s="3" t="n">
        <v>7</v>
      </c>
      <c r="D3569" s="3" t="s">
        <v>3573</v>
      </c>
      <c r="E3569" s="4" t="n">
        <v>0</v>
      </c>
    </row>
    <row r="3570" customFormat="false" ht="15" hidden="false" customHeight="false" outlineLevel="0" collapsed="false">
      <c r="A3570" s="3" t="n">
        <v>2021</v>
      </c>
      <c r="B3570" s="3" t="n">
        <v>10</v>
      </c>
      <c r="C3570" s="3" t="n">
        <v>8</v>
      </c>
      <c r="D3570" s="3" t="s">
        <v>3574</v>
      </c>
      <c r="E3570" s="4" t="n">
        <v>30</v>
      </c>
    </row>
    <row r="3571" customFormat="false" ht="15" hidden="false" customHeight="false" outlineLevel="0" collapsed="false">
      <c r="A3571" s="3" t="n">
        <v>2021</v>
      </c>
      <c r="B3571" s="3" t="n">
        <v>10</v>
      </c>
      <c r="C3571" s="3" t="n">
        <v>9</v>
      </c>
      <c r="D3571" s="3" t="s">
        <v>3575</v>
      </c>
      <c r="E3571" s="4" t="n">
        <v>0</v>
      </c>
    </row>
    <row r="3572" customFormat="false" ht="15" hidden="false" customHeight="false" outlineLevel="0" collapsed="false">
      <c r="A3572" s="3" t="n">
        <v>2021</v>
      </c>
      <c r="B3572" s="3" t="n">
        <v>10</v>
      </c>
      <c r="C3572" s="3" t="n">
        <v>10</v>
      </c>
      <c r="D3572" s="3" t="s">
        <v>3576</v>
      </c>
      <c r="E3572" s="4" t="n">
        <v>0</v>
      </c>
    </row>
    <row r="3573" customFormat="false" ht="15" hidden="false" customHeight="false" outlineLevel="0" collapsed="false">
      <c r="A3573" s="3" t="n">
        <v>2021</v>
      </c>
      <c r="B3573" s="3" t="n">
        <v>10</v>
      </c>
      <c r="C3573" s="3" t="n">
        <v>11</v>
      </c>
      <c r="D3573" s="3" t="s">
        <v>3577</v>
      </c>
      <c r="E3573" s="4" t="n">
        <v>0</v>
      </c>
    </row>
    <row r="3574" customFormat="false" ht="15" hidden="false" customHeight="false" outlineLevel="0" collapsed="false">
      <c r="A3574" s="3" t="n">
        <v>2021</v>
      </c>
      <c r="B3574" s="3" t="n">
        <v>10</v>
      </c>
      <c r="C3574" s="3" t="n">
        <v>12</v>
      </c>
      <c r="D3574" s="3" t="s">
        <v>3578</v>
      </c>
      <c r="E3574" s="4" t="n">
        <v>0</v>
      </c>
    </row>
    <row r="3575" customFormat="false" ht="15" hidden="false" customHeight="false" outlineLevel="0" collapsed="false">
      <c r="A3575" s="3" t="n">
        <v>2021</v>
      </c>
      <c r="B3575" s="3" t="n">
        <v>10</v>
      </c>
      <c r="C3575" s="3" t="n">
        <v>13</v>
      </c>
      <c r="D3575" s="3" t="s">
        <v>3579</v>
      </c>
      <c r="E3575" s="4" t="n">
        <v>0</v>
      </c>
    </row>
    <row r="3576" customFormat="false" ht="15" hidden="false" customHeight="false" outlineLevel="0" collapsed="false">
      <c r="A3576" s="3" t="n">
        <v>2021</v>
      </c>
      <c r="B3576" s="3" t="n">
        <v>10</v>
      </c>
      <c r="C3576" s="3" t="n">
        <v>14</v>
      </c>
      <c r="D3576" s="3" t="s">
        <v>3580</v>
      </c>
      <c r="E3576" s="4" t="n">
        <v>0</v>
      </c>
    </row>
    <row r="3577" customFormat="false" ht="15" hidden="false" customHeight="false" outlineLevel="0" collapsed="false">
      <c r="A3577" s="3" t="n">
        <v>2021</v>
      </c>
      <c r="B3577" s="3" t="n">
        <v>10</v>
      </c>
      <c r="C3577" s="3" t="n">
        <v>15</v>
      </c>
      <c r="D3577" s="3" t="s">
        <v>3581</v>
      </c>
      <c r="E3577" s="4" t="n">
        <v>0</v>
      </c>
    </row>
    <row r="3578" customFormat="false" ht="15" hidden="false" customHeight="false" outlineLevel="0" collapsed="false">
      <c r="A3578" s="3" t="n">
        <v>2021</v>
      </c>
      <c r="B3578" s="3" t="n">
        <v>10</v>
      </c>
      <c r="C3578" s="3" t="n">
        <v>16</v>
      </c>
      <c r="D3578" s="3" t="s">
        <v>3582</v>
      </c>
      <c r="E3578" s="4" t="n">
        <v>10</v>
      </c>
    </row>
    <row r="3579" customFormat="false" ht="15" hidden="false" customHeight="false" outlineLevel="0" collapsed="false">
      <c r="A3579" s="3" t="n">
        <v>2021</v>
      </c>
      <c r="B3579" s="3" t="n">
        <v>10</v>
      </c>
      <c r="C3579" s="3" t="n">
        <v>17</v>
      </c>
      <c r="D3579" s="3" t="s">
        <v>3583</v>
      </c>
      <c r="E3579" s="4" t="n">
        <v>3</v>
      </c>
    </row>
    <row r="3580" customFormat="false" ht="15" hidden="false" customHeight="false" outlineLevel="0" collapsed="false">
      <c r="A3580" s="3" t="n">
        <v>2021</v>
      </c>
      <c r="B3580" s="3" t="n">
        <v>10</v>
      </c>
      <c r="C3580" s="3" t="n">
        <v>18</v>
      </c>
      <c r="D3580" s="3" t="s">
        <v>3584</v>
      </c>
      <c r="E3580" s="4" t="n">
        <v>0</v>
      </c>
    </row>
    <row r="3581" customFormat="false" ht="15" hidden="false" customHeight="false" outlineLevel="0" collapsed="false">
      <c r="A3581" s="3" t="n">
        <v>2021</v>
      </c>
      <c r="B3581" s="3" t="n">
        <v>10</v>
      </c>
      <c r="C3581" s="3" t="n">
        <v>19</v>
      </c>
      <c r="D3581" s="3" t="s">
        <v>3585</v>
      </c>
      <c r="E3581" s="4" t="n">
        <v>7</v>
      </c>
    </row>
    <row r="3582" customFormat="false" ht="15" hidden="false" customHeight="false" outlineLevel="0" collapsed="false">
      <c r="A3582" s="3" t="n">
        <v>2021</v>
      </c>
      <c r="B3582" s="3" t="n">
        <v>10</v>
      </c>
      <c r="C3582" s="3" t="n">
        <v>20</v>
      </c>
      <c r="D3582" s="3" t="s">
        <v>3586</v>
      </c>
      <c r="E3582" s="4" t="n">
        <v>14</v>
      </c>
    </row>
    <row r="3583" customFormat="false" ht="15" hidden="false" customHeight="false" outlineLevel="0" collapsed="false">
      <c r="A3583" s="3" t="n">
        <v>2021</v>
      </c>
      <c r="B3583" s="3" t="n">
        <v>10</v>
      </c>
      <c r="C3583" s="3" t="n">
        <v>21</v>
      </c>
      <c r="D3583" s="3" t="s">
        <v>3587</v>
      </c>
      <c r="E3583" s="4" t="n">
        <v>3</v>
      </c>
    </row>
    <row r="3584" customFormat="false" ht="15" hidden="false" customHeight="false" outlineLevel="0" collapsed="false">
      <c r="A3584" s="3" t="n">
        <v>2021</v>
      </c>
      <c r="B3584" s="3" t="n">
        <v>10</v>
      </c>
      <c r="C3584" s="3" t="n">
        <v>22</v>
      </c>
      <c r="D3584" s="3" t="s">
        <v>3588</v>
      </c>
      <c r="E3584" s="4" t="n">
        <v>1</v>
      </c>
    </row>
    <row r="3585" customFormat="false" ht="15" hidden="false" customHeight="false" outlineLevel="0" collapsed="false">
      <c r="A3585" s="3" t="n">
        <v>2021</v>
      </c>
      <c r="B3585" s="3" t="n">
        <v>10</v>
      </c>
      <c r="C3585" s="3" t="n">
        <v>23</v>
      </c>
      <c r="D3585" s="3" t="s">
        <v>3589</v>
      </c>
      <c r="E3585" s="4" t="n">
        <v>3</v>
      </c>
    </row>
    <row r="3586" customFormat="false" ht="15" hidden="false" customHeight="false" outlineLevel="0" collapsed="false">
      <c r="A3586" s="3" t="n">
        <v>2021</v>
      </c>
      <c r="B3586" s="3" t="n">
        <v>10</v>
      </c>
      <c r="C3586" s="3" t="n">
        <v>24</v>
      </c>
      <c r="D3586" s="3" t="s">
        <v>3590</v>
      </c>
      <c r="E3586" s="4" t="n">
        <v>0</v>
      </c>
    </row>
    <row r="3587" customFormat="false" ht="15" hidden="false" customHeight="false" outlineLevel="0" collapsed="false">
      <c r="A3587" s="3" t="n">
        <v>2021</v>
      </c>
      <c r="B3587" s="3" t="n">
        <v>10</v>
      </c>
      <c r="C3587" s="3" t="n">
        <v>25</v>
      </c>
      <c r="D3587" s="3" t="s">
        <v>3591</v>
      </c>
      <c r="E3587" s="4" t="n">
        <v>0</v>
      </c>
    </row>
    <row r="3588" customFormat="false" ht="15" hidden="false" customHeight="false" outlineLevel="0" collapsed="false">
      <c r="A3588" s="3" t="n">
        <v>2021</v>
      </c>
      <c r="B3588" s="3" t="n">
        <v>10</v>
      </c>
      <c r="C3588" s="3" t="n">
        <v>26</v>
      </c>
      <c r="D3588" s="3" t="s">
        <v>3592</v>
      </c>
      <c r="E3588" s="4" t="n">
        <v>0</v>
      </c>
    </row>
    <row r="3589" customFormat="false" ht="15" hidden="false" customHeight="false" outlineLevel="0" collapsed="false">
      <c r="A3589" s="3" t="n">
        <v>2021</v>
      </c>
      <c r="B3589" s="3" t="n">
        <v>10</v>
      </c>
      <c r="C3589" s="3" t="n">
        <v>27</v>
      </c>
      <c r="D3589" s="3" t="s">
        <v>3593</v>
      </c>
      <c r="E3589" s="4" t="n">
        <v>0</v>
      </c>
    </row>
    <row r="3590" customFormat="false" ht="15" hidden="false" customHeight="false" outlineLevel="0" collapsed="false">
      <c r="A3590" s="3" t="n">
        <v>2021</v>
      </c>
      <c r="B3590" s="3" t="n">
        <v>10</v>
      </c>
      <c r="C3590" s="3" t="n">
        <v>28</v>
      </c>
      <c r="D3590" s="3" t="s">
        <v>3594</v>
      </c>
      <c r="E3590" s="4" t="n">
        <v>82</v>
      </c>
    </row>
    <row r="3591" customFormat="false" ht="15" hidden="false" customHeight="false" outlineLevel="0" collapsed="false">
      <c r="A3591" s="3" t="n">
        <v>2021</v>
      </c>
      <c r="B3591" s="3" t="n">
        <v>10</v>
      </c>
      <c r="C3591" s="3" t="n">
        <v>29</v>
      </c>
      <c r="D3591" s="3" t="s">
        <v>3595</v>
      </c>
      <c r="E3591" s="4" t="n">
        <v>9</v>
      </c>
    </row>
    <row r="3592" customFormat="false" ht="15" hidden="false" customHeight="false" outlineLevel="0" collapsed="false">
      <c r="A3592" s="3" t="n">
        <v>2021</v>
      </c>
      <c r="B3592" s="3" t="n">
        <v>10</v>
      </c>
      <c r="C3592" s="3" t="n">
        <v>30</v>
      </c>
      <c r="D3592" s="3" t="s">
        <v>3596</v>
      </c>
      <c r="E3592" s="4" t="n">
        <v>0</v>
      </c>
    </row>
    <row r="3593" customFormat="false" ht="15" hidden="false" customHeight="false" outlineLevel="0" collapsed="false">
      <c r="A3593" s="3" t="n">
        <v>2021</v>
      </c>
      <c r="B3593" s="3" t="n">
        <v>10</v>
      </c>
      <c r="C3593" s="3" t="n">
        <v>31</v>
      </c>
      <c r="D3593" s="3" t="s">
        <v>3597</v>
      </c>
      <c r="E3593" s="4" t="n">
        <v>0</v>
      </c>
    </row>
    <row r="3594" customFormat="false" ht="15" hidden="false" customHeight="false" outlineLevel="0" collapsed="false">
      <c r="A3594" s="3" t="n">
        <v>2021</v>
      </c>
      <c r="B3594" s="3" t="n">
        <v>11</v>
      </c>
      <c r="C3594" s="3" t="n">
        <v>1</v>
      </c>
      <c r="D3594" s="3" t="s">
        <v>3598</v>
      </c>
      <c r="E3594" s="4" t="n">
        <v>7</v>
      </c>
    </row>
    <row r="3595" customFormat="false" ht="15" hidden="false" customHeight="false" outlineLevel="0" collapsed="false">
      <c r="A3595" s="3" t="n">
        <v>2021</v>
      </c>
      <c r="B3595" s="3" t="n">
        <v>11</v>
      </c>
      <c r="C3595" s="3" t="n">
        <v>2</v>
      </c>
      <c r="D3595" s="3" t="s">
        <v>3599</v>
      </c>
      <c r="E3595" s="4" t="n">
        <v>27</v>
      </c>
    </row>
    <row r="3596" customFormat="false" ht="15" hidden="false" customHeight="false" outlineLevel="0" collapsed="false">
      <c r="A3596" s="3" t="n">
        <v>2021</v>
      </c>
      <c r="B3596" s="3" t="n">
        <v>11</v>
      </c>
      <c r="C3596" s="3" t="n">
        <v>3</v>
      </c>
      <c r="D3596" s="3" t="s">
        <v>3600</v>
      </c>
      <c r="E3596" s="4" t="n">
        <v>11</v>
      </c>
    </row>
    <row r="3597" customFormat="false" ht="15" hidden="false" customHeight="false" outlineLevel="0" collapsed="false">
      <c r="A3597" s="3" t="n">
        <v>2021</v>
      </c>
      <c r="B3597" s="3" t="n">
        <v>11</v>
      </c>
      <c r="C3597" s="3" t="n">
        <v>4</v>
      </c>
      <c r="D3597" s="3" t="s">
        <v>3601</v>
      </c>
      <c r="E3597" s="4" t="n">
        <v>18</v>
      </c>
    </row>
    <row r="3598" customFormat="false" ht="15" hidden="false" customHeight="false" outlineLevel="0" collapsed="false">
      <c r="A3598" s="3" t="n">
        <v>2021</v>
      </c>
      <c r="B3598" s="3" t="n">
        <v>11</v>
      </c>
      <c r="C3598" s="3" t="n">
        <v>5</v>
      </c>
      <c r="D3598" s="3" t="s">
        <v>3602</v>
      </c>
      <c r="E3598" s="4" t="n">
        <v>6</v>
      </c>
    </row>
    <row r="3599" customFormat="false" ht="15" hidden="false" customHeight="false" outlineLevel="0" collapsed="false">
      <c r="A3599" s="3" t="n">
        <v>2021</v>
      </c>
      <c r="B3599" s="3" t="n">
        <v>11</v>
      </c>
      <c r="C3599" s="3" t="n">
        <v>6</v>
      </c>
      <c r="D3599" s="3" t="s">
        <v>3603</v>
      </c>
      <c r="E3599" s="4" t="n">
        <v>15</v>
      </c>
    </row>
    <row r="3600" customFormat="false" ht="15" hidden="false" customHeight="false" outlineLevel="0" collapsed="false">
      <c r="A3600" s="3" t="n">
        <v>2021</v>
      </c>
      <c r="B3600" s="3" t="n">
        <v>11</v>
      </c>
      <c r="C3600" s="3" t="n">
        <v>7</v>
      </c>
      <c r="D3600" s="3" t="s">
        <v>3604</v>
      </c>
      <c r="E3600" s="4" t="n">
        <v>3</v>
      </c>
    </row>
    <row r="3601" customFormat="false" ht="15" hidden="false" customHeight="false" outlineLevel="0" collapsed="false">
      <c r="A3601" s="3" t="n">
        <v>2021</v>
      </c>
      <c r="B3601" s="3" t="n">
        <v>11</v>
      </c>
      <c r="C3601" s="3" t="n">
        <v>8</v>
      </c>
      <c r="D3601" s="3" t="s">
        <v>3605</v>
      </c>
      <c r="E3601" s="4" t="n">
        <v>0</v>
      </c>
    </row>
    <row r="3602" customFormat="false" ht="15" hidden="false" customHeight="false" outlineLevel="0" collapsed="false">
      <c r="A3602" s="3" t="n">
        <v>2021</v>
      </c>
      <c r="B3602" s="3" t="n">
        <v>11</v>
      </c>
      <c r="C3602" s="3" t="n">
        <v>9</v>
      </c>
      <c r="D3602" s="3" t="s">
        <v>3606</v>
      </c>
      <c r="E3602" s="4" t="n">
        <v>0</v>
      </c>
    </row>
    <row r="3603" customFormat="false" ht="15" hidden="false" customHeight="false" outlineLevel="0" collapsed="false">
      <c r="A3603" s="3" t="n">
        <v>2021</v>
      </c>
      <c r="B3603" s="3" t="n">
        <v>11</v>
      </c>
      <c r="C3603" s="3" t="n">
        <v>10</v>
      </c>
      <c r="D3603" s="3" t="s">
        <v>3607</v>
      </c>
      <c r="E3603" s="4" t="n">
        <v>0</v>
      </c>
    </row>
    <row r="3604" customFormat="false" ht="15" hidden="false" customHeight="false" outlineLevel="0" collapsed="false">
      <c r="A3604" s="3" t="n">
        <v>2021</v>
      </c>
      <c r="B3604" s="3" t="n">
        <v>11</v>
      </c>
      <c r="C3604" s="3" t="n">
        <v>11</v>
      </c>
      <c r="D3604" s="3" t="s">
        <v>3608</v>
      </c>
      <c r="E3604" s="4" t="n">
        <v>67</v>
      </c>
    </row>
    <row r="3605" customFormat="false" ht="15" hidden="false" customHeight="false" outlineLevel="0" collapsed="false">
      <c r="A3605" s="3" t="n">
        <v>2021</v>
      </c>
      <c r="B3605" s="3" t="n">
        <v>11</v>
      </c>
      <c r="C3605" s="3" t="n">
        <v>12</v>
      </c>
      <c r="D3605" s="3" t="s">
        <v>3609</v>
      </c>
      <c r="E3605" s="4" t="n">
        <v>0</v>
      </c>
    </row>
    <row r="3606" customFormat="false" ht="15" hidden="false" customHeight="false" outlineLevel="0" collapsed="false">
      <c r="A3606" s="3" t="n">
        <v>2021</v>
      </c>
      <c r="B3606" s="3" t="n">
        <v>11</v>
      </c>
      <c r="C3606" s="3" t="n">
        <v>13</v>
      </c>
      <c r="D3606" s="3" t="s">
        <v>3610</v>
      </c>
      <c r="E3606" s="4" t="n">
        <v>8</v>
      </c>
    </row>
    <row r="3607" customFormat="false" ht="15" hidden="false" customHeight="false" outlineLevel="0" collapsed="false">
      <c r="A3607" s="3" t="n">
        <v>2021</v>
      </c>
      <c r="B3607" s="3" t="n">
        <v>11</v>
      </c>
      <c r="C3607" s="3" t="n">
        <v>14</v>
      </c>
      <c r="D3607" s="3" t="s">
        <v>3611</v>
      </c>
      <c r="E3607" s="4" t="n">
        <v>0</v>
      </c>
    </row>
    <row r="3608" customFormat="false" ht="15" hidden="false" customHeight="false" outlineLevel="0" collapsed="false">
      <c r="A3608" s="3" t="n">
        <v>2021</v>
      </c>
      <c r="B3608" s="3" t="n">
        <v>11</v>
      </c>
      <c r="C3608" s="3" t="n">
        <v>15</v>
      </c>
      <c r="D3608" s="3" t="s">
        <v>3612</v>
      </c>
      <c r="E3608" s="4" t="n">
        <v>8</v>
      </c>
    </row>
    <row r="3609" customFormat="false" ht="15" hidden="false" customHeight="false" outlineLevel="0" collapsed="false">
      <c r="A3609" s="3" t="n">
        <v>2021</v>
      </c>
      <c r="B3609" s="3" t="n">
        <v>11</v>
      </c>
      <c r="C3609" s="3" t="n">
        <v>16</v>
      </c>
      <c r="D3609" s="3" t="s">
        <v>3613</v>
      </c>
      <c r="E3609" s="4" t="n">
        <v>1</v>
      </c>
    </row>
    <row r="3610" customFormat="false" ht="15" hidden="false" customHeight="false" outlineLevel="0" collapsed="false">
      <c r="A3610" s="3" t="n">
        <v>2021</v>
      </c>
      <c r="B3610" s="3" t="n">
        <v>11</v>
      </c>
      <c r="C3610" s="3" t="n">
        <v>17</v>
      </c>
      <c r="D3610" s="3" t="s">
        <v>3614</v>
      </c>
      <c r="E3610" s="4" t="n">
        <v>0</v>
      </c>
    </row>
    <row r="3611" customFormat="false" ht="15" hidden="false" customHeight="false" outlineLevel="0" collapsed="false">
      <c r="A3611" s="3" t="n">
        <v>2021</v>
      </c>
      <c r="B3611" s="3" t="n">
        <v>11</v>
      </c>
      <c r="C3611" s="3" t="n">
        <v>18</v>
      </c>
      <c r="D3611" s="3" t="s">
        <v>3615</v>
      </c>
      <c r="E3611" s="4" t="n">
        <v>4</v>
      </c>
    </row>
    <row r="3612" customFormat="false" ht="15" hidden="false" customHeight="false" outlineLevel="0" collapsed="false">
      <c r="A3612" s="3" t="n">
        <v>2021</v>
      </c>
      <c r="B3612" s="3" t="n">
        <v>11</v>
      </c>
      <c r="C3612" s="3" t="n">
        <v>19</v>
      </c>
      <c r="D3612" s="3" t="s">
        <v>3616</v>
      </c>
      <c r="E3612" s="4" t="n">
        <v>12</v>
      </c>
    </row>
    <row r="3613" customFormat="false" ht="15" hidden="false" customHeight="false" outlineLevel="0" collapsed="false">
      <c r="A3613" s="3" t="n">
        <v>2021</v>
      </c>
      <c r="B3613" s="3" t="n">
        <v>11</v>
      </c>
      <c r="C3613" s="3" t="n">
        <v>20</v>
      </c>
      <c r="D3613" s="3" t="s">
        <v>3617</v>
      </c>
      <c r="E3613" s="4" t="n">
        <v>21</v>
      </c>
    </row>
    <row r="3614" customFormat="false" ht="15" hidden="false" customHeight="false" outlineLevel="0" collapsed="false">
      <c r="A3614" s="3" t="n">
        <v>2021</v>
      </c>
      <c r="B3614" s="3" t="n">
        <v>11</v>
      </c>
      <c r="C3614" s="3" t="n">
        <v>21</v>
      </c>
      <c r="D3614" s="3" t="s">
        <v>3618</v>
      </c>
      <c r="E3614" s="4" t="n">
        <v>0</v>
      </c>
    </row>
    <row r="3615" customFormat="false" ht="15" hidden="false" customHeight="false" outlineLevel="0" collapsed="false">
      <c r="A3615" s="3" t="n">
        <v>2021</v>
      </c>
      <c r="B3615" s="3" t="n">
        <v>11</v>
      </c>
      <c r="C3615" s="3" t="n">
        <v>22</v>
      </c>
      <c r="D3615" s="3" t="s">
        <v>3619</v>
      </c>
      <c r="E3615" s="4" t="n">
        <v>0</v>
      </c>
    </row>
    <row r="3616" customFormat="false" ht="15" hidden="false" customHeight="false" outlineLevel="0" collapsed="false">
      <c r="A3616" s="3" t="n">
        <v>2021</v>
      </c>
      <c r="B3616" s="3" t="n">
        <v>11</v>
      </c>
      <c r="C3616" s="3" t="n">
        <v>23</v>
      </c>
      <c r="D3616" s="3" t="s">
        <v>3620</v>
      </c>
      <c r="E3616" s="4" t="n">
        <v>0</v>
      </c>
    </row>
    <row r="3617" customFormat="false" ht="15" hidden="false" customHeight="false" outlineLevel="0" collapsed="false">
      <c r="A3617" s="3" t="n">
        <v>2021</v>
      </c>
      <c r="B3617" s="3" t="n">
        <v>11</v>
      </c>
      <c r="C3617" s="3" t="n">
        <v>24</v>
      </c>
      <c r="D3617" s="3" t="s">
        <v>3621</v>
      </c>
      <c r="E3617" s="4" t="n">
        <v>24</v>
      </c>
    </row>
    <row r="3618" customFormat="false" ht="15" hidden="false" customHeight="false" outlineLevel="0" collapsed="false">
      <c r="A3618" s="3" t="n">
        <v>2021</v>
      </c>
      <c r="B3618" s="3" t="n">
        <v>11</v>
      </c>
      <c r="C3618" s="3" t="n">
        <v>25</v>
      </c>
      <c r="D3618" s="3" t="s">
        <v>3622</v>
      </c>
      <c r="E3618" s="4" t="n">
        <v>6</v>
      </c>
    </row>
    <row r="3619" customFormat="false" ht="15" hidden="false" customHeight="false" outlineLevel="0" collapsed="false">
      <c r="A3619" s="3" t="n">
        <v>2021</v>
      </c>
      <c r="B3619" s="3" t="n">
        <v>11</v>
      </c>
      <c r="C3619" s="3" t="n">
        <v>26</v>
      </c>
      <c r="D3619" s="3" t="s">
        <v>3623</v>
      </c>
      <c r="E3619" s="4" t="n">
        <v>0</v>
      </c>
    </row>
    <row r="3620" customFormat="false" ht="15" hidden="false" customHeight="false" outlineLevel="0" collapsed="false">
      <c r="A3620" s="3" t="n">
        <v>2021</v>
      </c>
      <c r="B3620" s="3" t="n">
        <v>11</v>
      </c>
      <c r="C3620" s="3" t="n">
        <v>27</v>
      </c>
      <c r="D3620" s="3" t="s">
        <v>3624</v>
      </c>
      <c r="E3620" s="4" t="n">
        <v>0</v>
      </c>
    </row>
    <row r="3621" customFormat="false" ht="15" hidden="false" customHeight="false" outlineLevel="0" collapsed="false">
      <c r="A3621" s="3" t="n">
        <v>2021</v>
      </c>
      <c r="B3621" s="3" t="n">
        <v>11</v>
      </c>
      <c r="C3621" s="3" t="n">
        <v>28</v>
      </c>
      <c r="D3621" s="3" t="s">
        <v>3625</v>
      </c>
      <c r="E3621" s="4" t="n">
        <v>12</v>
      </c>
    </row>
    <row r="3622" customFormat="false" ht="15" hidden="false" customHeight="false" outlineLevel="0" collapsed="false">
      <c r="A3622" s="3" t="n">
        <v>2021</v>
      </c>
      <c r="B3622" s="3" t="n">
        <v>11</v>
      </c>
      <c r="C3622" s="3" t="n">
        <v>29</v>
      </c>
      <c r="D3622" s="3" t="s">
        <v>3626</v>
      </c>
      <c r="E3622" s="4" t="n">
        <v>2</v>
      </c>
    </row>
    <row r="3623" customFormat="false" ht="15" hidden="false" customHeight="false" outlineLevel="0" collapsed="false">
      <c r="A3623" s="3" t="n">
        <v>2021</v>
      </c>
      <c r="B3623" s="3" t="n">
        <v>11</v>
      </c>
      <c r="C3623" s="3" t="n">
        <v>30</v>
      </c>
      <c r="D3623" s="3" t="s">
        <v>3627</v>
      </c>
      <c r="E3623" s="4" t="n">
        <v>0</v>
      </c>
    </row>
    <row r="3624" customFormat="false" ht="15" hidden="false" customHeight="false" outlineLevel="0" collapsed="false">
      <c r="A3624" s="3" t="n">
        <v>2021</v>
      </c>
      <c r="B3624" s="3" t="n">
        <v>12</v>
      </c>
      <c r="C3624" s="3" t="n">
        <v>1</v>
      </c>
      <c r="D3624" s="3" t="s">
        <v>3628</v>
      </c>
      <c r="E3624" s="4" t="n">
        <v>0</v>
      </c>
    </row>
    <row r="3625" customFormat="false" ht="15" hidden="false" customHeight="false" outlineLevel="0" collapsed="false">
      <c r="A3625" s="3" t="n">
        <v>2021</v>
      </c>
      <c r="B3625" s="3" t="n">
        <v>12</v>
      </c>
      <c r="C3625" s="3" t="n">
        <v>2</v>
      </c>
      <c r="D3625" s="3" t="s">
        <v>3629</v>
      </c>
      <c r="E3625" s="4" t="n">
        <v>0</v>
      </c>
    </row>
    <row r="3626" customFormat="false" ht="15" hidden="false" customHeight="false" outlineLevel="0" collapsed="false">
      <c r="A3626" s="3" t="n">
        <v>2021</v>
      </c>
      <c r="B3626" s="3" t="n">
        <v>12</v>
      </c>
      <c r="C3626" s="3" t="n">
        <v>3</v>
      </c>
      <c r="D3626" s="3" t="s">
        <v>3630</v>
      </c>
      <c r="E3626" s="4" t="n">
        <v>2</v>
      </c>
    </row>
    <row r="3627" customFormat="false" ht="15" hidden="false" customHeight="false" outlineLevel="0" collapsed="false">
      <c r="A3627" s="3" t="n">
        <v>2021</v>
      </c>
      <c r="B3627" s="3" t="n">
        <v>12</v>
      </c>
      <c r="C3627" s="3" t="n">
        <v>4</v>
      </c>
      <c r="D3627" s="3" t="s">
        <v>3631</v>
      </c>
      <c r="E3627" s="4" t="n">
        <v>3</v>
      </c>
    </row>
    <row r="3628" customFormat="false" ht="15" hidden="false" customHeight="false" outlineLevel="0" collapsed="false">
      <c r="A3628" s="3" t="n">
        <v>2021</v>
      </c>
      <c r="B3628" s="3" t="n">
        <v>12</v>
      </c>
      <c r="C3628" s="3" t="n">
        <v>5</v>
      </c>
      <c r="D3628" s="3" t="s">
        <v>3632</v>
      </c>
      <c r="E3628" s="4" t="n">
        <v>0</v>
      </c>
    </row>
    <row r="3629" customFormat="false" ht="15" hidden="false" customHeight="false" outlineLevel="0" collapsed="false">
      <c r="A3629" s="3" t="n">
        <v>2021</v>
      </c>
      <c r="B3629" s="3" t="n">
        <v>12</v>
      </c>
      <c r="C3629" s="3" t="n">
        <v>6</v>
      </c>
      <c r="D3629" s="3" t="s">
        <v>3633</v>
      </c>
      <c r="E3629" s="4" t="n">
        <v>8</v>
      </c>
    </row>
    <row r="3630" customFormat="false" ht="15" hidden="false" customHeight="false" outlineLevel="0" collapsed="false">
      <c r="A3630" s="3" t="n">
        <v>2021</v>
      </c>
      <c r="B3630" s="3" t="n">
        <v>12</v>
      </c>
      <c r="C3630" s="3" t="n">
        <v>7</v>
      </c>
      <c r="D3630" s="3" t="s">
        <v>3634</v>
      </c>
      <c r="E3630" s="4" t="n">
        <v>0</v>
      </c>
    </row>
    <row r="3631" customFormat="false" ht="15" hidden="false" customHeight="false" outlineLevel="0" collapsed="false">
      <c r="A3631" s="3" t="n">
        <v>2021</v>
      </c>
      <c r="B3631" s="3" t="n">
        <v>12</v>
      </c>
      <c r="C3631" s="3" t="n">
        <v>8</v>
      </c>
      <c r="D3631" s="3" t="s">
        <v>3635</v>
      </c>
      <c r="E3631" s="4" t="n">
        <v>0</v>
      </c>
    </row>
    <row r="3632" customFormat="false" ht="15" hidden="false" customHeight="false" outlineLevel="0" collapsed="false">
      <c r="A3632" s="3" t="n">
        <v>2021</v>
      </c>
      <c r="B3632" s="3" t="n">
        <v>12</v>
      </c>
      <c r="C3632" s="3" t="n">
        <v>9</v>
      </c>
      <c r="D3632" s="3" t="s">
        <v>3636</v>
      </c>
      <c r="E3632" s="4" t="n">
        <v>5</v>
      </c>
    </row>
    <row r="3633" customFormat="false" ht="15" hidden="false" customHeight="false" outlineLevel="0" collapsed="false">
      <c r="A3633" s="3" t="n">
        <v>2021</v>
      </c>
      <c r="B3633" s="3" t="n">
        <v>12</v>
      </c>
      <c r="C3633" s="3" t="n">
        <v>10</v>
      </c>
      <c r="D3633" s="3" t="s">
        <v>3637</v>
      </c>
      <c r="E3633" s="4" t="n">
        <v>0</v>
      </c>
    </row>
    <row r="3634" customFormat="false" ht="15" hidden="false" customHeight="false" outlineLevel="0" collapsed="false">
      <c r="A3634" s="3" t="n">
        <v>2021</v>
      </c>
      <c r="B3634" s="3" t="n">
        <v>12</v>
      </c>
      <c r="C3634" s="3" t="n">
        <v>11</v>
      </c>
      <c r="D3634" s="3" t="s">
        <v>3638</v>
      </c>
      <c r="E3634" s="4" t="n">
        <v>0</v>
      </c>
    </row>
    <row r="3635" customFormat="false" ht="15" hidden="false" customHeight="false" outlineLevel="0" collapsed="false">
      <c r="A3635" s="3" t="n">
        <v>2021</v>
      </c>
      <c r="B3635" s="3" t="n">
        <v>12</v>
      </c>
      <c r="C3635" s="3" t="n">
        <v>12</v>
      </c>
      <c r="D3635" s="3" t="s">
        <v>3639</v>
      </c>
      <c r="E3635" s="4" t="n">
        <v>0</v>
      </c>
    </row>
    <row r="3636" customFormat="false" ht="15" hidden="false" customHeight="false" outlineLevel="0" collapsed="false">
      <c r="A3636" s="3" t="n">
        <v>2021</v>
      </c>
      <c r="B3636" s="3" t="n">
        <v>12</v>
      </c>
      <c r="C3636" s="3" t="n">
        <v>13</v>
      </c>
      <c r="D3636" s="3" t="s">
        <v>3640</v>
      </c>
      <c r="E3636" s="4" t="n">
        <v>0</v>
      </c>
    </row>
    <row r="3637" customFormat="false" ht="15" hidden="false" customHeight="false" outlineLevel="0" collapsed="false">
      <c r="A3637" s="3" t="n">
        <v>2021</v>
      </c>
      <c r="B3637" s="3" t="n">
        <v>12</v>
      </c>
      <c r="C3637" s="3" t="n">
        <v>14</v>
      </c>
      <c r="D3637" s="3" t="s">
        <v>3641</v>
      </c>
      <c r="E3637" s="4" t="n">
        <v>16</v>
      </c>
    </row>
    <row r="3638" customFormat="false" ht="15" hidden="false" customHeight="false" outlineLevel="0" collapsed="false">
      <c r="A3638" s="3" t="n">
        <v>2021</v>
      </c>
      <c r="B3638" s="3" t="n">
        <v>12</v>
      </c>
      <c r="C3638" s="3" t="n">
        <v>15</v>
      </c>
      <c r="D3638" s="3" t="s">
        <v>3642</v>
      </c>
      <c r="E3638" s="4" t="n">
        <v>81</v>
      </c>
    </row>
    <row r="3639" customFormat="false" ht="15" hidden="false" customHeight="false" outlineLevel="0" collapsed="false">
      <c r="A3639" s="3" t="n">
        <v>2021</v>
      </c>
      <c r="B3639" s="3" t="n">
        <v>12</v>
      </c>
      <c r="C3639" s="3" t="n">
        <v>16</v>
      </c>
      <c r="D3639" s="3" t="s">
        <v>3643</v>
      </c>
      <c r="E3639" s="4" t="n">
        <v>21</v>
      </c>
    </row>
    <row r="3640" customFormat="false" ht="15" hidden="false" customHeight="false" outlineLevel="0" collapsed="false">
      <c r="A3640" s="3" t="n">
        <v>2021</v>
      </c>
      <c r="B3640" s="3" t="n">
        <v>12</v>
      </c>
      <c r="C3640" s="3" t="n">
        <v>17</v>
      </c>
      <c r="D3640" s="3" t="s">
        <v>3644</v>
      </c>
      <c r="E3640" s="4" t="n">
        <v>0</v>
      </c>
    </row>
    <row r="3641" customFormat="false" ht="15" hidden="false" customHeight="false" outlineLevel="0" collapsed="false">
      <c r="A3641" s="3" t="n">
        <v>2021</v>
      </c>
      <c r="B3641" s="3" t="n">
        <v>12</v>
      </c>
      <c r="C3641" s="3" t="n">
        <v>18</v>
      </c>
      <c r="D3641" s="3" t="s">
        <v>3645</v>
      </c>
      <c r="E3641" s="4" t="n">
        <v>0</v>
      </c>
    </row>
    <row r="3642" customFormat="false" ht="15" hidden="false" customHeight="false" outlineLevel="0" collapsed="false">
      <c r="A3642" s="3" t="n">
        <v>2021</v>
      </c>
      <c r="B3642" s="3" t="n">
        <v>12</v>
      </c>
      <c r="C3642" s="3" t="n">
        <v>19</v>
      </c>
      <c r="D3642" s="3" t="s">
        <v>3646</v>
      </c>
      <c r="E3642" s="4" t="n">
        <v>0</v>
      </c>
    </row>
    <row r="3643" customFormat="false" ht="15" hidden="false" customHeight="false" outlineLevel="0" collapsed="false">
      <c r="A3643" s="3" t="n">
        <v>2021</v>
      </c>
      <c r="B3643" s="3" t="n">
        <v>12</v>
      </c>
      <c r="C3643" s="3" t="n">
        <v>20</v>
      </c>
      <c r="D3643" s="3" t="s">
        <v>3647</v>
      </c>
      <c r="E3643" s="4" t="n">
        <v>0</v>
      </c>
    </row>
    <row r="3644" customFormat="false" ht="15" hidden="false" customHeight="false" outlineLevel="0" collapsed="false">
      <c r="A3644" s="3" t="n">
        <v>2021</v>
      </c>
      <c r="B3644" s="3" t="n">
        <v>12</v>
      </c>
      <c r="C3644" s="3" t="n">
        <v>21</v>
      </c>
      <c r="D3644" s="3" t="s">
        <v>3648</v>
      </c>
      <c r="E3644" s="4" t="n">
        <v>12</v>
      </c>
    </row>
    <row r="3645" customFormat="false" ht="15" hidden="false" customHeight="false" outlineLevel="0" collapsed="false">
      <c r="A3645" s="3" t="n">
        <v>2021</v>
      </c>
      <c r="B3645" s="3" t="n">
        <v>12</v>
      </c>
      <c r="C3645" s="3" t="n">
        <v>22</v>
      </c>
      <c r="D3645" s="3" t="s">
        <v>3649</v>
      </c>
      <c r="E3645" s="4" t="n">
        <v>0</v>
      </c>
    </row>
    <row r="3646" customFormat="false" ht="15" hidden="false" customHeight="false" outlineLevel="0" collapsed="false">
      <c r="A3646" s="3" t="n">
        <v>2021</v>
      </c>
      <c r="B3646" s="3" t="n">
        <v>12</v>
      </c>
      <c r="C3646" s="3" t="n">
        <v>23</v>
      </c>
      <c r="D3646" s="3" t="s">
        <v>3650</v>
      </c>
      <c r="E3646" s="4" t="n">
        <v>0</v>
      </c>
    </row>
    <row r="3647" customFormat="false" ht="15" hidden="false" customHeight="false" outlineLevel="0" collapsed="false">
      <c r="A3647" s="3" t="n">
        <v>2021</v>
      </c>
      <c r="B3647" s="3" t="n">
        <v>12</v>
      </c>
      <c r="C3647" s="3" t="n">
        <v>24</v>
      </c>
      <c r="D3647" s="3" t="s">
        <v>3651</v>
      </c>
      <c r="E3647" s="4" t="n">
        <v>4</v>
      </c>
    </row>
    <row r="3648" customFormat="false" ht="15" hidden="false" customHeight="false" outlineLevel="0" collapsed="false">
      <c r="A3648" s="3" t="n">
        <v>2021</v>
      </c>
      <c r="B3648" s="3" t="n">
        <v>12</v>
      </c>
      <c r="C3648" s="3" t="n">
        <v>25</v>
      </c>
      <c r="D3648" s="3" t="s">
        <v>3652</v>
      </c>
      <c r="E3648" s="4" t="n">
        <v>0</v>
      </c>
    </row>
    <row r="3649" customFormat="false" ht="15" hidden="false" customHeight="false" outlineLevel="0" collapsed="false">
      <c r="A3649" s="3" t="n">
        <v>2021</v>
      </c>
      <c r="B3649" s="3" t="n">
        <v>12</v>
      </c>
      <c r="C3649" s="3" t="n">
        <v>26</v>
      </c>
      <c r="D3649" s="3" t="s">
        <v>3653</v>
      </c>
      <c r="E3649" s="4" t="n">
        <v>0</v>
      </c>
    </row>
    <row r="3650" customFormat="false" ht="15" hidden="false" customHeight="false" outlineLevel="0" collapsed="false">
      <c r="A3650" s="3" t="n">
        <v>2021</v>
      </c>
      <c r="B3650" s="3" t="n">
        <v>12</v>
      </c>
      <c r="C3650" s="3" t="n">
        <v>27</v>
      </c>
      <c r="D3650" s="3" t="s">
        <v>3654</v>
      </c>
      <c r="E3650" s="4" t="n">
        <v>0</v>
      </c>
    </row>
    <row r="3651" customFormat="false" ht="15" hidden="false" customHeight="false" outlineLevel="0" collapsed="false">
      <c r="A3651" s="3" t="n">
        <v>2021</v>
      </c>
      <c r="B3651" s="3" t="n">
        <v>12</v>
      </c>
      <c r="C3651" s="3" t="n">
        <v>28</v>
      </c>
      <c r="D3651" s="3" t="s">
        <v>3655</v>
      </c>
      <c r="E3651" s="4" t="n">
        <v>0</v>
      </c>
    </row>
    <row r="3652" customFormat="false" ht="15" hidden="false" customHeight="false" outlineLevel="0" collapsed="false">
      <c r="A3652" s="3" t="n">
        <v>2021</v>
      </c>
      <c r="B3652" s="3" t="n">
        <v>12</v>
      </c>
      <c r="C3652" s="3" t="n">
        <v>29</v>
      </c>
      <c r="D3652" s="3" t="s">
        <v>3656</v>
      </c>
      <c r="E3652" s="4" t="n">
        <v>0</v>
      </c>
    </row>
    <row r="3653" customFormat="false" ht="15" hidden="false" customHeight="false" outlineLevel="0" collapsed="false">
      <c r="A3653" s="3" t="n">
        <v>2021</v>
      </c>
      <c r="B3653" s="3" t="n">
        <v>12</v>
      </c>
      <c r="C3653" s="3" t="n">
        <v>30</v>
      </c>
      <c r="D3653" s="3" t="s">
        <v>3657</v>
      </c>
      <c r="E3653" s="4" t="n">
        <v>0</v>
      </c>
    </row>
    <row r="3654" customFormat="false" ht="15" hidden="false" customHeight="false" outlineLevel="0" collapsed="false">
      <c r="A3654" s="3" t="n">
        <v>2021</v>
      </c>
      <c r="B3654" s="3" t="n">
        <v>12</v>
      </c>
      <c r="C3654" s="3" t="n">
        <v>31</v>
      </c>
      <c r="D3654" s="3" t="s">
        <v>3658</v>
      </c>
      <c r="E3654" s="4" t="n">
        <v>0</v>
      </c>
    </row>
    <row r="3655" customFormat="false" ht="15" hidden="false" customHeight="false" outlineLevel="0" collapsed="false">
      <c r="A3655" s="3" t="n">
        <v>2022</v>
      </c>
      <c r="B3655" s="3" t="n">
        <v>1</v>
      </c>
      <c r="C3655" s="3" t="n">
        <v>1</v>
      </c>
      <c r="D3655" s="3" t="s">
        <v>3659</v>
      </c>
      <c r="E3655" s="4" t="n">
        <v>15</v>
      </c>
    </row>
    <row r="3656" customFormat="false" ht="15" hidden="false" customHeight="false" outlineLevel="0" collapsed="false">
      <c r="A3656" s="3" t="n">
        <v>2022</v>
      </c>
      <c r="B3656" s="3" t="n">
        <v>1</v>
      </c>
      <c r="C3656" s="3" t="n">
        <v>2</v>
      </c>
      <c r="D3656" s="3" t="s">
        <v>3660</v>
      </c>
      <c r="E3656" s="4" t="n">
        <v>6</v>
      </c>
    </row>
    <row r="3657" customFormat="false" ht="15" hidden="false" customHeight="false" outlineLevel="0" collapsed="false">
      <c r="A3657" s="3" t="n">
        <v>2022</v>
      </c>
      <c r="B3657" s="3" t="n">
        <v>1</v>
      </c>
      <c r="C3657" s="3" t="n">
        <v>3</v>
      </c>
      <c r="D3657" s="3" t="s">
        <v>3661</v>
      </c>
      <c r="E3657" s="4" t="n">
        <v>32</v>
      </c>
    </row>
    <row r="3658" customFormat="false" ht="15" hidden="false" customHeight="false" outlineLevel="0" collapsed="false">
      <c r="A3658" s="3" t="n">
        <v>2022</v>
      </c>
      <c r="B3658" s="3" t="n">
        <v>1</v>
      </c>
      <c r="C3658" s="3" t="n">
        <v>4</v>
      </c>
      <c r="D3658" s="3" t="s">
        <v>3662</v>
      </c>
      <c r="E3658" s="4" t="n">
        <v>0</v>
      </c>
    </row>
    <row r="3659" customFormat="false" ht="15" hidden="false" customHeight="false" outlineLevel="0" collapsed="false">
      <c r="A3659" s="3" t="n">
        <v>2022</v>
      </c>
      <c r="B3659" s="3" t="n">
        <v>1</v>
      </c>
      <c r="C3659" s="3" t="n">
        <v>5</v>
      </c>
      <c r="D3659" s="3" t="s">
        <v>3663</v>
      </c>
      <c r="E3659" s="4" t="n">
        <v>0</v>
      </c>
    </row>
    <row r="3660" customFormat="false" ht="15" hidden="false" customHeight="false" outlineLevel="0" collapsed="false">
      <c r="A3660" s="3" t="n">
        <v>2022</v>
      </c>
      <c r="B3660" s="3" t="n">
        <v>1</v>
      </c>
      <c r="C3660" s="3" t="n">
        <v>6</v>
      </c>
      <c r="D3660" s="3" t="s">
        <v>3664</v>
      </c>
      <c r="E3660" s="4" t="n">
        <v>10</v>
      </c>
    </row>
    <row r="3661" customFormat="false" ht="15" hidden="false" customHeight="false" outlineLevel="0" collapsed="false">
      <c r="A3661" s="3" t="n">
        <v>2022</v>
      </c>
      <c r="B3661" s="3" t="n">
        <v>1</v>
      </c>
      <c r="C3661" s="3" t="n">
        <v>7</v>
      </c>
      <c r="D3661" s="3" t="s">
        <v>3665</v>
      </c>
      <c r="E3661" s="4" t="n">
        <v>12</v>
      </c>
    </row>
    <row r="3662" customFormat="false" ht="15" hidden="false" customHeight="false" outlineLevel="0" collapsed="false">
      <c r="A3662" s="3" t="n">
        <v>2022</v>
      </c>
      <c r="B3662" s="3" t="n">
        <v>1</v>
      </c>
      <c r="C3662" s="3" t="n">
        <v>8</v>
      </c>
      <c r="D3662" s="3" t="s">
        <v>3666</v>
      </c>
      <c r="E3662" s="4" t="n">
        <v>0</v>
      </c>
    </row>
    <row r="3663" customFormat="false" ht="15" hidden="false" customHeight="false" outlineLevel="0" collapsed="false">
      <c r="A3663" s="3" t="n">
        <v>2022</v>
      </c>
      <c r="B3663" s="3" t="n">
        <v>1</v>
      </c>
      <c r="C3663" s="3" t="n">
        <v>9</v>
      </c>
      <c r="D3663" s="3" t="s">
        <v>3667</v>
      </c>
      <c r="E3663" s="4" t="n">
        <v>0</v>
      </c>
    </row>
    <row r="3664" customFormat="false" ht="15" hidden="false" customHeight="false" outlineLevel="0" collapsed="false">
      <c r="A3664" s="3" t="n">
        <v>2022</v>
      </c>
      <c r="B3664" s="3" t="n">
        <v>1</v>
      </c>
      <c r="C3664" s="3" t="n">
        <v>10</v>
      </c>
      <c r="D3664" s="3" t="s">
        <v>3668</v>
      </c>
      <c r="E3664" s="4" t="n">
        <v>4</v>
      </c>
    </row>
    <row r="3665" customFormat="false" ht="15" hidden="false" customHeight="false" outlineLevel="0" collapsed="false">
      <c r="A3665" s="3" t="n">
        <v>2022</v>
      </c>
      <c r="B3665" s="3" t="n">
        <v>1</v>
      </c>
      <c r="C3665" s="3" t="n">
        <v>11</v>
      </c>
      <c r="D3665" s="3" t="s">
        <v>3669</v>
      </c>
      <c r="E3665" s="4" t="n">
        <v>0</v>
      </c>
    </row>
    <row r="3666" customFormat="false" ht="15" hidden="false" customHeight="false" outlineLevel="0" collapsed="false">
      <c r="A3666" s="3" t="n">
        <v>2022</v>
      </c>
      <c r="B3666" s="3" t="n">
        <v>1</v>
      </c>
      <c r="C3666" s="3" t="n">
        <v>12</v>
      </c>
      <c r="D3666" s="3" t="s">
        <v>3670</v>
      </c>
      <c r="E3666" s="4" t="n">
        <v>5</v>
      </c>
    </row>
    <row r="3667" customFormat="false" ht="15" hidden="false" customHeight="false" outlineLevel="0" collapsed="false">
      <c r="A3667" s="3" t="n">
        <v>2022</v>
      </c>
      <c r="B3667" s="3" t="n">
        <v>1</v>
      </c>
      <c r="C3667" s="3" t="n">
        <v>13</v>
      </c>
      <c r="D3667" s="3" t="s">
        <v>3671</v>
      </c>
      <c r="E3667" s="4" t="n">
        <v>2</v>
      </c>
    </row>
    <row r="3668" customFormat="false" ht="15" hidden="false" customHeight="false" outlineLevel="0" collapsed="false">
      <c r="A3668" s="3" t="n">
        <v>2022</v>
      </c>
      <c r="B3668" s="3" t="n">
        <v>1</v>
      </c>
      <c r="C3668" s="3" t="n">
        <v>14</v>
      </c>
      <c r="D3668" s="3" t="s">
        <v>3672</v>
      </c>
      <c r="E3668" s="4" t="n">
        <v>1</v>
      </c>
    </row>
    <row r="3669" customFormat="false" ht="15" hidden="false" customHeight="false" outlineLevel="0" collapsed="false">
      <c r="A3669" s="3" t="n">
        <v>2022</v>
      </c>
      <c r="B3669" s="3" t="n">
        <v>1</v>
      </c>
      <c r="C3669" s="3" t="n">
        <v>15</v>
      </c>
      <c r="D3669" s="3" t="s">
        <v>3673</v>
      </c>
      <c r="E3669" s="4" t="n">
        <v>20</v>
      </c>
    </row>
    <row r="3670" customFormat="false" ht="15" hidden="false" customHeight="false" outlineLevel="0" collapsed="false">
      <c r="A3670" s="3" t="n">
        <v>2022</v>
      </c>
      <c r="B3670" s="3" t="n">
        <v>1</v>
      </c>
      <c r="C3670" s="3" t="n">
        <v>16</v>
      </c>
      <c r="D3670" s="3" t="s">
        <v>3674</v>
      </c>
      <c r="E3670" s="4" t="n">
        <v>0</v>
      </c>
    </row>
    <row r="3671" customFormat="false" ht="15" hidden="false" customHeight="false" outlineLevel="0" collapsed="false">
      <c r="A3671" s="3" t="n">
        <v>2022</v>
      </c>
      <c r="B3671" s="3" t="n">
        <v>1</v>
      </c>
      <c r="C3671" s="3" t="n">
        <v>17</v>
      </c>
      <c r="D3671" s="3" t="s">
        <v>3675</v>
      </c>
      <c r="E3671" s="4" t="n">
        <v>1</v>
      </c>
    </row>
    <row r="3672" customFormat="false" ht="15" hidden="false" customHeight="false" outlineLevel="0" collapsed="false">
      <c r="A3672" s="3" t="n">
        <v>2022</v>
      </c>
      <c r="B3672" s="3" t="n">
        <v>1</v>
      </c>
      <c r="C3672" s="3" t="n">
        <v>18</v>
      </c>
      <c r="D3672" s="3" t="s">
        <v>3676</v>
      </c>
      <c r="E3672" s="4" t="n">
        <v>5</v>
      </c>
    </row>
    <row r="3673" customFormat="false" ht="15" hidden="false" customHeight="false" outlineLevel="0" collapsed="false">
      <c r="A3673" s="3" t="n">
        <v>2022</v>
      </c>
      <c r="B3673" s="3" t="n">
        <v>1</v>
      </c>
      <c r="C3673" s="3" t="n">
        <v>19</v>
      </c>
      <c r="D3673" s="3" t="s">
        <v>3677</v>
      </c>
      <c r="E3673" s="4" t="n">
        <v>0</v>
      </c>
    </row>
    <row r="3674" customFormat="false" ht="15" hidden="false" customHeight="false" outlineLevel="0" collapsed="false">
      <c r="A3674" s="3" t="n">
        <v>2022</v>
      </c>
      <c r="B3674" s="3" t="n">
        <v>1</v>
      </c>
      <c r="C3674" s="3" t="n">
        <v>20</v>
      </c>
      <c r="D3674" s="3" t="s">
        <v>3678</v>
      </c>
      <c r="E3674" s="4" t="n">
        <v>18</v>
      </c>
    </row>
    <row r="3675" customFormat="false" ht="15" hidden="false" customHeight="false" outlineLevel="0" collapsed="false">
      <c r="A3675" s="3" t="n">
        <v>2022</v>
      </c>
      <c r="B3675" s="3" t="n">
        <v>1</v>
      </c>
      <c r="C3675" s="3" t="n">
        <v>21</v>
      </c>
      <c r="D3675" s="3" t="s">
        <v>3679</v>
      </c>
      <c r="E3675" s="4" t="n">
        <v>0</v>
      </c>
    </row>
    <row r="3676" customFormat="false" ht="15" hidden="false" customHeight="false" outlineLevel="0" collapsed="false">
      <c r="A3676" s="3" t="n">
        <v>2022</v>
      </c>
      <c r="B3676" s="3" t="n">
        <v>1</v>
      </c>
      <c r="C3676" s="3" t="n">
        <v>22</v>
      </c>
      <c r="D3676" s="3" t="s">
        <v>3680</v>
      </c>
      <c r="E3676" s="4" t="n">
        <v>0</v>
      </c>
    </row>
    <row r="3677" customFormat="false" ht="15" hidden="false" customHeight="false" outlineLevel="0" collapsed="false">
      <c r="A3677" s="3" t="n">
        <v>2022</v>
      </c>
      <c r="B3677" s="3" t="n">
        <v>1</v>
      </c>
      <c r="C3677" s="3" t="n">
        <v>23</v>
      </c>
      <c r="D3677" s="3" t="s">
        <v>3681</v>
      </c>
      <c r="E3677" s="4" t="n">
        <v>1</v>
      </c>
    </row>
    <row r="3678" customFormat="false" ht="15" hidden="false" customHeight="false" outlineLevel="0" collapsed="false">
      <c r="A3678" s="3" t="n">
        <v>2022</v>
      </c>
      <c r="B3678" s="3" t="n">
        <v>1</v>
      </c>
      <c r="C3678" s="3" t="n">
        <v>24</v>
      </c>
      <c r="D3678" s="3" t="s">
        <v>3682</v>
      </c>
      <c r="E3678" s="4" t="n">
        <v>0</v>
      </c>
    </row>
    <row r="3679" customFormat="false" ht="15" hidden="false" customHeight="false" outlineLevel="0" collapsed="false">
      <c r="A3679" s="3" t="n">
        <v>2022</v>
      </c>
      <c r="B3679" s="3" t="n">
        <v>1</v>
      </c>
      <c r="C3679" s="3" t="n">
        <v>25</v>
      </c>
      <c r="D3679" s="3" t="s">
        <v>3683</v>
      </c>
      <c r="E3679" s="4" t="n">
        <v>0</v>
      </c>
    </row>
    <row r="3680" customFormat="false" ht="15" hidden="false" customHeight="false" outlineLevel="0" collapsed="false">
      <c r="A3680" s="3" t="n">
        <v>2022</v>
      </c>
      <c r="B3680" s="3" t="n">
        <v>1</v>
      </c>
      <c r="C3680" s="3" t="n">
        <v>26</v>
      </c>
      <c r="D3680" s="3" t="s">
        <v>3684</v>
      </c>
      <c r="E3680" s="4" t="n">
        <v>0</v>
      </c>
    </row>
    <row r="3681" customFormat="false" ht="15" hidden="false" customHeight="false" outlineLevel="0" collapsed="false">
      <c r="A3681" s="3" t="n">
        <v>2022</v>
      </c>
      <c r="B3681" s="3" t="n">
        <v>1</v>
      </c>
      <c r="C3681" s="3" t="n">
        <v>27</v>
      </c>
      <c r="D3681" s="3" t="s">
        <v>3685</v>
      </c>
      <c r="E3681" s="4" t="n">
        <v>0</v>
      </c>
    </row>
    <row r="3682" customFormat="false" ht="15" hidden="false" customHeight="false" outlineLevel="0" collapsed="false">
      <c r="A3682" s="3" t="n">
        <v>2022</v>
      </c>
      <c r="B3682" s="3" t="n">
        <v>1</v>
      </c>
      <c r="C3682" s="3" t="n">
        <v>28</v>
      </c>
      <c r="D3682" s="3" t="s">
        <v>3686</v>
      </c>
      <c r="E3682" s="4" t="n">
        <v>13</v>
      </c>
    </row>
    <row r="3683" customFormat="false" ht="15" hidden="false" customHeight="false" outlineLevel="0" collapsed="false">
      <c r="A3683" s="3" t="n">
        <v>2022</v>
      </c>
      <c r="B3683" s="3" t="n">
        <v>1</v>
      </c>
      <c r="C3683" s="3" t="n">
        <v>29</v>
      </c>
      <c r="D3683" s="3" t="s">
        <v>3687</v>
      </c>
      <c r="E3683" s="4" t="n">
        <v>0</v>
      </c>
    </row>
    <row r="3684" customFormat="false" ht="15" hidden="false" customHeight="false" outlineLevel="0" collapsed="false">
      <c r="A3684" s="3" t="n">
        <v>2022</v>
      </c>
      <c r="B3684" s="3" t="n">
        <v>1</v>
      </c>
      <c r="C3684" s="3" t="n">
        <v>30</v>
      </c>
      <c r="D3684" s="3" t="s">
        <v>3688</v>
      </c>
      <c r="E3684" s="4" t="n">
        <v>0</v>
      </c>
    </row>
    <row r="3685" customFormat="false" ht="15" hidden="false" customHeight="false" outlineLevel="0" collapsed="false">
      <c r="A3685" s="3" t="n">
        <v>2022</v>
      </c>
      <c r="B3685" s="3" t="n">
        <v>1</v>
      </c>
      <c r="C3685" s="3" t="n">
        <v>31</v>
      </c>
      <c r="D3685" s="3" t="s">
        <v>3689</v>
      </c>
      <c r="E3685" s="4" t="n">
        <v>0</v>
      </c>
    </row>
    <row r="3686" customFormat="false" ht="15" hidden="false" customHeight="false" outlineLevel="0" collapsed="false">
      <c r="A3686" s="3" t="n">
        <v>2022</v>
      </c>
      <c r="B3686" s="3" t="n">
        <v>2</v>
      </c>
      <c r="C3686" s="3" t="n">
        <v>1</v>
      </c>
      <c r="D3686" s="3" t="s">
        <v>3690</v>
      </c>
      <c r="E3686" s="4" t="n">
        <v>0</v>
      </c>
    </row>
    <row r="3687" customFormat="false" ht="15" hidden="false" customHeight="false" outlineLevel="0" collapsed="false">
      <c r="A3687" s="3" t="n">
        <v>2022</v>
      </c>
      <c r="B3687" s="3" t="n">
        <v>2</v>
      </c>
      <c r="C3687" s="3" t="n">
        <v>2</v>
      </c>
      <c r="D3687" s="3" t="s">
        <v>3691</v>
      </c>
      <c r="E3687" s="4" t="n">
        <v>0</v>
      </c>
    </row>
    <row r="3688" customFormat="false" ht="15" hidden="false" customHeight="false" outlineLevel="0" collapsed="false">
      <c r="A3688" s="3" t="n">
        <v>2022</v>
      </c>
      <c r="B3688" s="3" t="n">
        <v>2</v>
      </c>
      <c r="C3688" s="3" t="n">
        <v>3</v>
      </c>
      <c r="D3688" s="3" t="s">
        <v>3692</v>
      </c>
      <c r="E3688" s="4" t="n">
        <v>0</v>
      </c>
    </row>
    <row r="3689" customFormat="false" ht="15" hidden="false" customHeight="false" outlineLevel="0" collapsed="false">
      <c r="A3689" s="3" t="n">
        <v>2022</v>
      </c>
      <c r="B3689" s="3" t="n">
        <v>2</v>
      </c>
      <c r="C3689" s="3" t="n">
        <v>4</v>
      </c>
      <c r="D3689" s="3" t="s">
        <v>3693</v>
      </c>
      <c r="E3689" s="4" t="n">
        <v>0</v>
      </c>
    </row>
    <row r="3690" customFormat="false" ht="15" hidden="false" customHeight="false" outlineLevel="0" collapsed="false">
      <c r="A3690" s="3" t="n">
        <v>2022</v>
      </c>
      <c r="B3690" s="3" t="n">
        <v>2</v>
      </c>
      <c r="C3690" s="3" t="n">
        <v>5</v>
      </c>
      <c r="D3690" s="3" t="s">
        <v>3694</v>
      </c>
      <c r="E3690" s="4" t="n">
        <v>16</v>
      </c>
    </row>
    <row r="3691" customFormat="false" ht="15" hidden="false" customHeight="false" outlineLevel="0" collapsed="false">
      <c r="A3691" s="3" t="n">
        <v>2022</v>
      </c>
      <c r="B3691" s="3" t="n">
        <v>2</v>
      </c>
      <c r="C3691" s="3" t="n">
        <v>6</v>
      </c>
      <c r="D3691" s="3" t="s">
        <v>3695</v>
      </c>
      <c r="E3691" s="4" t="n">
        <v>8</v>
      </c>
    </row>
    <row r="3692" customFormat="false" ht="15" hidden="false" customHeight="false" outlineLevel="0" collapsed="false">
      <c r="A3692" s="3" t="n">
        <v>2022</v>
      </c>
      <c r="B3692" s="3" t="n">
        <v>2</v>
      </c>
      <c r="C3692" s="3" t="n">
        <v>7</v>
      </c>
      <c r="D3692" s="3" t="s">
        <v>3696</v>
      </c>
      <c r="E3692" s="4" t="n">
        <v>3</v>
      </c>
    </row>
    <row r="3693" customFormat="false" ht="15" hidden="false" customHeight="false" outlineLevel="0" collapsed="false">
      <c r="A3693" s="3" t="n">
        <v>2022</v>
      </c>
      <c r="B3693" s="3" t="n">
        <v>2</v>
      </c>
      <c r="C3693" s="3" t="n">
        <v>8</v>
      </c>
      <c r="D3693" s="3" t="s">
        <v>3697</v>
      </c>
      <c r="E3693" s="4" t="n">
        <v>0</v>
      </c>
    </row>
    <row r="3694" customFormat="false" ht="15" hidden="false" customHeight="false" outlineLevel="0" collapsed="false">
      <c r="A3694" s="3" t="n">
        <v>2022</v>
      </c>
      <c r="B3694" s="3" t="n">
        <v>2</v>
      </c>
      <c r="C3694" s="3" t="n">
        <v>9</v>
      </c>
      <c r="D3694" s="3" t="s">
        <v>3698</v>
      </c>
      <c r="E3694" s="4" t="n">
        <v>20</v>
      </c>
    </row>
    <row r="3695" customFormat="false" ht="15" hidden="false" customHeight="false" outlineLevel="0" collapsed="false">
      <c r="A3695" s="3" t="n">
        <v>2022</v>
      </c>
      <c r="B3695" s="3" t="n">
        <v>2</v>
      </c>
      <c r="C3695" s="3" t="n">
        <v>10</v>
      </c>
      <c r="D3695" s="3" t="s">
        <v>3699</v>
      </c>
      <c r="E3695" s="4" t="n">
        <v>3</v>
      </c>
    </row>
    <row r="3696" customFormat="false" ht="15" hidden="false" customHeight="false" outlineLevel="0" collapsed="false">
      <c r="A3696" s="3" t="n">
        <v>2022</v>
      </c>
      <c r="B3696" s="3" t="n">
        <v>2</v>
      </c>
      <c r="C3696" s="3" t="n">
        <v>11</v>
      </c>
      <c r="D3696" s="3" t="s">
        <v>3700</v>
      </c>
      <c r="E3696" s="4" t="n">
        <v>1</v>
      </c>
    </row>
    <row r="3697" customFormat="false" ht="15" hidden="false" customHeight="false" outlineLevel="0" collapsed="false">
      <c r="A3697" s="3" t="n">
        <v>2022</v>
      </c>
      <c r="B3697" s="3" t="n">
        <v>2</v>
      </c>
      <c r="C3697" s="3" t="n">
        <v>12</v>
      </c>
      <c r="D3697" s="3" t="s">
        <v>3701</v>
      </c>
      <c r="E3697" s="4" t="n">
        <v>1</v>
      </c>
    </row>
    <row r="3698" customFormat="false" ht="15" hidden="false" customHeight="false" outlineLevel="0" collapsed="false">
      <c r="A3698" s="3" t="n">
        <v>2022</v>
      </c>
      <c r="B3698" s="3" t="n">
        <v>2</v>
      </c>
      <c r="C3698" s="3" t="n">
        <v>13</v>
      </c>
      <c r="D3698" s="3" t="s">
        <v>3702</v>
      </c>
      <c r="E3698" s="4" t="n">
        <v>2</v>
      </c>
    </row>
    <row r="3699" customFormat="false" ht="15" hidden="false" customHeight="false" outlineLevel="0" collapsed="false">
      <c r="A3699" s="3" t="n">
        <v>2022</v>
      </c>
      <c r="B3699" s="3" t="n">
        <v>2</v>
      </c>
      <c r="C3699" s="3" t="n">
        <v>14</v>
      </c>
      <c r="D3699" s="3" t="s">
        <v>3703</v>
      </c>
      <c r="E3699" s="4" t="n">
        <v>5</v>
      </c>
    </row>
    <row r="3700" customFormat="false" ht="15" hidden="false" customHeight="false" outlineLevel="0" collapsed="false">
      <c r="A3700" s="3" t="n">
        <v>2022</v>
      </c>
      <c r="B3700" s="3" t="n">
        <v>2</v>
      </c>
      <c r="C3700" s="3" t="n">
        <v>15</v>
      </c>
      <c r="D3700" s="3" t="s">
        <v>3704</v>
      </c>
      <c r="E3700" s="4" t="n">
        <v>35</v>
      </c>
    </row>
    <row r="3701" customFormat="false" ht="15" hidden="false" customHeight="false" outlineLevel="0" collapsed="false">
      <c r="A3701" s="3" t="n">
        <v>2022</v>
      </c>
      <c r="B3701" s="3" t="n">
        <v>2</v>
      </c>
      <c r="C3701" s="3" t="n">
        <v>16</v>
      </c>
      <c r="D3701" s="3" t="s">
        <v>3705</v>
      </c>
      <c r="E3701" s="4" t="n">
        <v>0</v>
      </c>
    </row>
    <row r="3702" customFormat="false" ht="15" hidden="false" customHeight="false" outlineLevel="0" collapsed="false">
      <c r="A3702" s="3" t="n">
        <v>2022</v>
      </c>
      <c r="B3702" s="3" t="n">
        <v>2</v>
      </c>
      <c r="C3702" s="3" t="n">
        <v>17</v>
      </c>
      <c r="D3702" s="3" t="s">
        <v>3706</v>
      </c>
      <c r="E3702" s="4" t="n">
        <v>0</v>
      </c>
    </row>
    <row r="3703" customFormat="false" ht="15" hidden="false" customHeight="false" outlineLevel="0" collapsed="false">
      <c r="A3703" s="3" t="n">
        <v>2022</v>
      </c>
      <c r="B3703" s="3" t="n">
        <v>2</v>
      </c>
      <c r="C3703" s="3" t="n">
        <v>18</v>
      </c>
      <c r="D3703" s="3" t="s">
        <v>3707</v>
      </c>
      <c r="E3703" s="4" t="n">
        <v>0</v>
      </c>
    </row>
    <row r="3704" customFormat="false" ht="15" hidden="false" customHeight="false" outlineLevel="0" collapsed="false">
      <c r="A3704" s="3" t="n">
        <v>2022</v>
      </c>
      <c r="B3704" s="3" t="n">
        <v>2</v>
      </c>
      <c r="C3704" s="3" t="n">
        <v>19</v>
      </c>
      <c r="D3704" s="3" t="s">
        <v>3708</v>
      </c>
      <c r="E3704" s="4" t="n">
        <v>0</v>
      </c>
    </row>
    <row r="3705" customFormat="false" ht="15" hidden="false" customHeight="false" outlineLevel="0" collapsed="false">
      <c r="A3705" s="3" t="n">
        <v>2022</v>
      </c>
      <c r="B3705" s="3" t="n">
        <v>2</v>
      </c>
      <c r="C3705" s="3" t="n">
        <v>20</v>
      </c>
      <c r="D3705" s="3" t="s">
        <v>3709</v>
      </c>
      <c r="E3705" s="4" t="n">
        <v>3</v>
      </c>
    </row>
    <row r="3706" customFormat="false" ht="15" hidden="false" customHeight="false" outlineLevel="0" collapsed="false">
      <c r="A3706" s="3" t="n">
        <v>2022</v>
      </c>
      <c r="B3706" s="3" t="n">
        <v>2</v>
      </c>
      <c r="C3706" s="3" t="n">
        <v>21</v>
      </c>
      <c r="D3706" s="3" t="s">
        <v>3710</v>
      </c>
      <c r="E3706" s="4" t="n">
        <v>2</v>
      </c>
    </row>
    <row r="3707" customFormat="false" ht="15" hidden="false" customHeight="false" outlineLevel="0" collapsed="false">
      <c r="A3707" s="3" t="n">
        <v>2022</v>
      </c>
      <c r="B3707" s="3" t="n">
        <v>2</v>
      </c>
      <c r="C3707" s="3" t="n">
        <v>22</v>
      </c>
      <c r="D3707" s="3" t="s">
        <v>3711</v>
      </c>
      <c r="E3707" s="4" t="n">
        <v>0</v>
      </c>
    </row>
    <row r="3708" customFormat="false" ht="15" hidden="false" customHeight="false" outlineLevel="0" collapsed="false">
      <c r="A3708" s="3" t="n">
        <v>2022</v>
      </c>
      <c r="B3708" s="3" t="n">
        <v>2</v>
      </c>
      <c r="C3708" s="3" t="n">
        <v>23</v>
      </c>
      <c r="D3708" s="3" t="s">
        <v>3712</v>
      </c>
      <c r="E3708" s="4" t="n">
        <v>0</v>
      </c>
    </row>
    <row r="3709" customFormat="false" ht="15" hidden="false" customHeight="false" outlineLevel="0" collapsed="false">
      <c r="A3709" s="3" t="n">
        <v>2022</v>
      </c>
      <c r="B3709" s="3" t="n">
        <v>2</v>
      </c>
      <c r="C3709" s="3" t="n">
        <v>24</v>
      </c>
      <c r="D3709" s="3" t="s">
        <v>3713</v>
      </c>
      <c r="E3709" s="4" t="n">
        <v>0</v>
      </c>
    </row>
    <row r="3710" customFormat="false" ht="15" hidden="false" customHeight="false" outlineLevel="0" collapsed="false">
      <c r="A3710" s="3" t="n">
        <v>2022</v>
      </c>
      <c r="B3710" s="3" t="n">
        <v>2</v>
      </c>
      <c r="C3710" s="3" t="n">
        <v>25</v>
      </c>
      <c r="D3710" s="3" t="s">
        <v>3714</v>
      </c>
      <c r="E3710" s="4" t="n">
        <v>7</v>
      </c>
    </row>
    <row r="3711" customFormat="false" ht="15" hidden="false" customHeight="false" outlineLevel="0" collapsed="false">
      <c r="A3711" s="3" t="n">
        <v>2022</v>
      </c>
      <c r="B3711" s="3" t="n">
        <v>2</v>
      </c>
      <c r="C3711" s="3" t="n">
        <v>26</v>
      </c>
      <c r="D3711" s="3" t="s">
        <v>3715</v>
      </c>
      <c r="E3711" s="4" t="n">
        <v>0</v>
      </c>
    </row>
    <row r="3712" customFormat="false" ht="15" hidden="false" customHeight="false" outlineLevel="0" collapsed="false">
      <c r="A3712" s="3" t="n">
        <v>2022</v>
      </c>
      <c r="B3712" s="3" t="n">
        <v>2</v>
      </c>
      <c r="C3712" s="3" t="n">
        <v>27</v>
      </c>
      <c r="D3712" s="3" t="s">
        <v>3716</v>
      </c>
      <c r="E3712" s="4" t="n">
        <v>0</v>
      </c>
    </row>
    <row r="3713" customFormat="false" ht="15" hidden="false" customHeight="false" outlineLevel="0" collapsed="false">
      <c r="A3713" s="3" t="n">
        <v>2022</v>
      </c>
      <c r="B3713" s="3" t="n">
        <v>2</v>
      </c>
      <c r="C3713" s="3" t="n">
        <v>28</v>
      </c>
      <c r="D3713" s="3" t="s">
        <v>3717</v>
      </c>
      <c r="E3713" s="4" t="n">
        <v>0</v>
      </c>
    </row>
    <row r="3714" customFormat="false" ht="15" hidden="false" customHeight="false" outlineLevel="0" collapsed="false">
      <c r="A3714" s="3" t="n">
        <v>2022</v>
      </c>
      <c r="B3714" s="3" t="n">
        <v>3</v>
      </c>
      <c r="C3714" s="3" t="n">
        <v>1</v>
      </c>
      <c r="D3714" s="3" t="s">
        <v>3718</v>
      </c>
      <c r="E3714" s="4" t="n">
        <v>0</v>
      </c>
    </row>
    <row r="3715" customFormat="false" ht="15" hidden="false" customHeight="false" outlineLevel="0" collapsed="false">
      <c r="A3715" s="3" t="n">
        <v>2022</v>
      </c>
      <c r="B3715" s="3" t="n">
        <v>3</v>
      </c>
      <c r="C3715" s="3" t="n">
        <v>2</v>
      </c>
      <c r="D3715" s="3" t="s">
        <v>3719</v>
      </c>
      <c r="E3715" s="4" t="n">
        <v>0</v>
      </c>
    </row>
    <row r="3716" customFormat="false" ht="15" hidden="false" customHeight="false" outlineLevel="0" collapsed="false">
      <c r="A3716" s="3" t="n">
        <v>2022</v>
      </c>
      <c r="B3716" s="3" t="n">
        <v>3</v>
      </c>
      <c r="C3716" s="3" t="n">
        <v>3</v>
      </c>
      <c r="D3716" s="3" t="s">
        <v>3720</v>
      </c>
      <c r="E3716" s="4" t="n">
        <v>0</v>
      </c>
    </row>
    <row r="3717" customFormat="false" ht="15" hidden="false" customHeight="false" outlineLevel="0" collapsed="false">
      <c r="A3717" s="3" t="n">
        <v>2022</v>
      </c>
      <c r="B3717" s="3" t="n">
        <v>3</v>
      </c>
      <c r="C3717" s="3" t="n">
        <v>4</v>
      </c>
      <c r="D3717" s="3" t="s">
        <v>3721</v>
      </c>
      <c r="E3717" s="4" t="n">
        <v>0</v>
      </c>
    </row>
    <row r="3718" customFormat="false" ht="15" hidden="false" customHeight="false" outlineLevel="0" collapsed="false">
      <c r="A3718" s="3" t="n">
        <v>2022</v>
      </c>
      <c r="B3718" s="3" t="n">
        <v>3</v>
      </c>
      <c r="C3718" s="3" t="n">
        <v>5</v>
      </c>
      <c r="D3718" s="3" t="s">
        <v>3722</v>
      </c>
      <c r="E3718" s="4" t="n">
        <v>2</v>
      </c>
    </row>
    <row r="3719" customFormat="false" ht="15" hidden="false" customHeight="false" outlineLevel="0" collapsed="false">
      <c r="A3719" s="3" t="n">
        <v>2022</v>
      </c>
      <c r="B3719" s="3" t="n">
        <v>3</v>
      </c>
      <c r="C3719" s="3" t="n">
        <v>6</v>
      </c>
      <c r="D3719" s="3" t="s">
        <v>3723</v>
      </c>
      <c r="E3719" s="4" t="n">
        <v>20</v>
      </c>
    </row>
    <row r="3720" customFormat="false" ht="15" hidden="false" customHeight="false" outlineLevel="0" collapsed="false">
      <c r="A3720" s="3" t="n">
        <v>2022</v>
      </c>
      <c r="B3720" s="3" t="n">
        <v>3</v>
      </c>
      <c r="C3720" s="3" t="n">
        <v>7</v>
      </c>
      <c r="D3720" s="3" t="s">
        <v>3724</v>
      </c>
      <c r="E3720" s="4" t="n">
        <v>0</v>
      </c>
    </row>
    <row r="3721" customFormat="false" ht="15" hidden="false" customHeight="false" outlineLevel="0" collapsed="false">
      <c r="A3721" s="3" t="n">
        <v>2022</v>
      </c>
      <c r="B3721" s="3" t="n">
        <v>3</v>
      </c>
      <c r="C3721" s="3" t="n">
        <v>8</v>
      </c>
      <c r="D3721" s="3" t="s">
        <v>3725</v>
      </c>
      <c r="E3721" s="4" t="n">
        <v>1</v>
      </c>
    </row>
    <row r="3722" customFormat="false" ht="15" hidden="false" customHeight="false" outlineLevel="0" collapsed="false">
      <c r="A3722" s="3" t="n">
        <v>2022</v>
      </c>
      <c r="B3722" s="3" t="n">
        <v>3</v>
      </c>
      <c r="C3722" s="3" t="n">
        <v>9</v>
      </c>
      <c r="D3722" s="3" t="s">
        <v>3726</v>
      </c>
      <c r="E3722" s="4" t="n">
        <v>2</v>
      </c>
    </row>
    <row r="3723" customFormat="false" ht="15" hidden="false" customHeight="false" outlineLevel="0" collapsed="false">
      <c r="A3723" s="3" t="n">
        <v>2022</v>
      </c>
      <c r="B3723" s="3" t="n">
        <v>3</v>
      </c>
      <c r="C3723" s="3" t="n">
        <v>10</v>
      </c>
      <c r="D3723" s="3" t="s">
        <v>3727</v>
      </c>
      <c r="E3723" s="4" t="n">
        <v>1</v>
      </c>
    </row>
    <row r="3724" customFormat="false" ht="15" hidden="false" customHeight="false" outlineLevel="0" collapsed="false">
      <c r="A3724" s="3" t="n">
        <v>2022</v>
      </c>
      <c r="B3724" s="3" t="n">
        <v>3</v>
      </c>
      <c r="C3724" s="3" t="n">
        <v>11</v>
      </c>
      <c r="D3724" s="3" t="s">
        <v>3728</v>
      </c>
      <c r="E3724" s="4" t="n">
        <v>0</v>
      </c>
    </row>
    <row r="3725" customFormat="false" ht="15" hidden="false" customHeight="false" outlineLevel="0" collapsed="false">
      <c r="A3725" s="3" t="n">
        <v>2022</v>
      </c>
      <c r="B3725" s="3" t="n">
        <v>3</v>
      </c>
      <c r="C3725" s="3" t="n">
        <v>12</v>
      </c>
      <c r="D3725" s="3" t="s">
        <v>3729</v>
      </c>
      <c r="E3725" s="4" t="n">
        <v>0</v>
      </c>
    </row>
    <row r="3726" customFormat="false" ht="15" hidden="false" customHeight="false" outlineLevel="0" collapsed="false">
      <c r="A3726" s="3" t="n">
        <v>2022</v>
      </c>
      <c r="B3726" s="3" t="n">
        <v>3</v>
      </c>
      <c r="C3726" s="3" t="n">
        <v>13</v>
      </c>
      <c r="D3726" s="3" t="s">
        <v>3730</v>
      </c>
      <c r="E3726" s="4" t="n">
        <v>0</v>
      </c>
    </row>
    <row r="3727" customFormat="false" ht="15" hidden="false" customHeight="false" outlineLevel="0" collapsed="false">
      <c r="A3727" s="3" t="n">
        <v>2022</v>
      </c>
      <c r="B3727" s="3" t="n">
        <v>3</v>
      </c>
      <c r="C3727" s="3" t="n">
        <v>14</v>
      </c>
      <c r="D3727" s="3" t="s">
        <v>3731</v>
      </c>
      <c r="E3727" s="4" t="n">
        <v>0</v>
      </c>
    </row>
    <row r="3728" customFormat="false" ht="15" hidden="false" customHeight="false" outlineLevel="0" collapsed="false">
      <c r="A3728" s="3" t="n">
        <v>2022</v>
      </c>
      <c r="B3728" s="3" t="n">
        <v>3</v>
      </c>
      <c r="C3728" s="3" t="n">
        <v>15</v>
      </c>
      <c r="D3728" s="3" t="s">
        <v>3732</v>
      </c>
      <c r="E3728" s="4" t="n">
        <v>0</v>
      </c>
    </row>
    <row r="3729" customFormat="false" ht="15" hidden="false" customHeight="false" outlineLevel="0" collapsed="false">
      <c r="A3729" s="3" t="n">
        <v>2022</v>
      </c>
      <c r="B3729" s="3" t="n">
        <v>3</v>
      </c>
      <c r="C3729" s="3" t="n">
        <v>16</v>
      </c>
      <c r="D3729" s="3" t="s">
        <v>3733</v>
      </c>
      <c r="E3729" s="4" t="n">
        <v>2</v>
      </c>
    </row>
    <row r="3730" customFormat="false" ht="15" hidden="false" customHeight="false" outlineLevel="0" collapsed="false">
      <c r="A3730" s="3" t="n">
        <v>2022</v>
      </c>
      <c r="B3730" s="3" t="n">
        <v>3</v>
      </c>
      <c r="C3730" s="3" t="n">
        <v>17</v>
      </c>
      <c r="D3730" s="3" t="s">
        <v>3734</v>
      </c>
      <c r="E3730" s="4" t="n">
        <v>0</v>
      </c>
    </row>
    <row r="3731" customFormat="false" ht="15" hidden="false" customHeight="false" outlineLevel="0" collapsed="false">
      <c r="A3731" s="3" t="n">
        <v>2022</v>
      </c>
      <c r="B3731" s="3" t="n">
        <v>3</v>
      </c>
      <c r="C3731" s="3" t="n">
        <v>18</v>
      </c>
      <c r="D3731" s="3" t="s">
        <v>3735</v>
      </c>
      <c r="E3731" s="4" t="n">
        <v>4</v>
      </c>
    </row>
    <row r="3732" customFormat="false" ht="15" hidden="false" customHeight="false" outlineLevel="0" collapsed="false">
      <c r="A3732" s="3" t="n">
        <v>2022</v>
      </c>
      <c r="B3732" s="3" t="n">
        <v>3</v>
      </c>
      <c r="C3732" s="3" t="n">
        <v>19</v>
      </c>
      <c r="D3732" s="3" t="s">
        <v>3736</v>
      </c>
      <c r="E3732" s="4" t="n">
        <v>11</v>
      </c>
    </row>
    <row r="3733" customFormat="false" ht="15" hidden="false" customHeight="false" outlineLevel="0" collapsed="false">
      <c r="A3733" s="3" t="n">
        <v>2022</v>
      </c>
      <c r="B3733" s="3" t="n">
        <v>3</v>
      </c>
      <c r="C3733" s="3" t="n">
        <v>20</v>
      </c>
      <c r="D3733" s="3" t="s">
        <v>3737</v>
      </c>
      <c r="E3733" s="4" t="n">
        <v>0</v>
      </c>
    </row>
    <row r="3734" customFormat="false" ht="15" hidden="false" customHeight="false" outlineLevel="0" collapsed="false">
      <c r="A3734" s="3" t="n">
        <v>2022</v>
      </c>
      <c r="B3734" s="3" t="n">
        <v>3</v>
      </c>
      <c r="C3734" s="3" t="n">
        <v>21</v>
      </c>
      <c r="D3734" s="3" t="s">
        <v>3738</v>
      </c>
      <c r="E3734" s="4" t="n">
        <v>2</v>
      </c>
    </row>
    <row r="3735" customFormat="false" ht="15" hidden="false" customHeight="false" outlineLevel="0" collapsed="false">
      <c r="A3735" s="3" t="n">
        <v>2022</v>
      </c>
      <c r="B3735" s="3" t="n">
        <v>3</v>
      </c>
      <c r="C3735" s="3" t="n">
        <v>22</v>
      </c>
      <c r="D3735" s="3" t="s">
        <v>3739</v>
      </c>
      <c r="E3735" s="4" t="n">
        <v>21</v>
      </c>
    </row>
    <row r="3736" customFormat="false" ht="15" hidden="false" customHeight="false" outlineLevel="0" collapsed="false">
      <c r="A3736" s="3" t="n">
        <v>2022</v>
      </c>
      <c r="B3736" s="3" t="n">
        <v>3</v>
      </c>
      <c r="C3736" s="3" t="n">
        <v>23</v>
      </c>
      <c r="D3736" s="3" t="s">
        <v>3740</v>
      </c>
      <c r="E3736" s="4" t="n">
        <v>0</v>
      </c>
    </row>
    <row r="3737" customFormat="false" ht="15" hidden="false" customHeight="false" outlineLevel="0" collapsed="false">
      <c r="A3737" s="3" t="n">
        <v>2022</v>
      </c>
      <c r="B3737" s="3" t="n">
        <v>3</v>
      </c>
      <c r="C3737" s="3" t="n">
        <v>24</v>
      </c>
      <c r="D3737" s="3" t="s">
        <v>3741</v>
      </c>
      <c r="E3737" s="4" t="n">
        <v>0</v>
      </c>
    </row>
    <row r="3738" customFormat="false" ht="15" hidden="false" customHeight="false" outlineLevel="0" collapsed="false">
      <c r="A3738" s="3" t="n">
        <v>2022</v>
      </c>
      <c r="B3738" s="3" t="n">
        <v>3</v>
      </c>
      <c r="C3738" s="3" t="n">
        <v>25</v>
      </c>
      <c r="D3738" s="3" t="s">
        <v>3742</v>
      </c>
      <c r="E3738" s="4" t="n">
        <v>0</v>
      </c>
    </row>
    <row r="3739" customFormat="false" ht="15" hidden="false" customHeight="false" outlineLevel="0" collapsed="false">
      <c r="A3739" s="3" t="n">
        <v>2022</v>
      </c>
      <c r="B3739" s="3" t="n">
        <v>3</v>
      </c>
      <c r="C3739" s="3" t="n">
        <v>26</v>
      </c>
      <c r="D3739" s="3" t="s">
        <v>3743</v>
      </c>
      <c r="E3739" s="4" t="n">
        <v>38</v>
      </c>
    </row>
    <row r="3740" customFormat="false" ht="15" hidden="false" customHeight="false" outlineLevel="0" collapsed="false">
      <c r="A3740" s="3" t="n">
        <v>2022</v>
      </c>
      <c r="B3740" s="3" t="n">
        <v>3</v>
      </c>
      <c r="C3740" s="3" t="n">
        <v>27</v>
      </c>
      <c r="D3740" s="3" t="s">
        <v>3744</v>
      </c>
      <c r="E3740" s="4" t="n">
        <v>0</v>
      </c>
    </row>
    <row r="3741" customFormat="false" ht="15" hidden="false" customHeight="false" outlineLevel="0" collapsed="false">
      <c r="A3741" s="3" t="n">
        <v>2022</v>
      </c>
      <c r="B3741" s="3" t="n">
        <v>3</v>
      </c>
      <c r="C3741" s="3" t="n">
        <v>28</v>
      </c>
      <c r="D3741" s="3" t="s">
        <v>3745</v>
      </c>
      <c r="E3741" s="4" t="n">
        <v>0</v>
      </c>
    </row>
    <row r="3742" customFormat="false" ht="15" hidden="false" customHeight="false" outlineLevel="0" collapsed="false">
      <c r="A3742" s="3" t="n">
        <v>2022</v>
      </c>
      <c r="B3742" s="3" t="n">
        <v>3</v>
      </c>
      <c r="C3742" s="3" t="n">
        <v>29</v>
      </c>
      <c r="D3742" s="3" t="s">
        <v>3746</v>
      </c>
      <c r="E3742" s="4" t="n">
        <v>0</v>
      </c>
    </row>
    <row r="3743" customFormat="false" ht="15" hidden="false" customHeight="false" outlineLevel="0" collapsed="false">
      <c r="A3743" s="3" t="n">
        <v>2022</v>
      </c>
      <c r="B3743" s="3" t="n">
        <v>3</v>
      </c>
      <c r="C3743" s="3" t="n">
        <v>30</v>
      </c>
      <c r="D3743" s="3" t="s">
        <v>3747</v>
      </c>
      <c r="E3743" s="4" t="n">
        <v>0</v>
      </c>
    </row>
    <row r="3744" customFormat="false" ht="15" hidden="false" customHeight="false" outlineLevel="0" collapsed="false">
      <c r="A3744" s="3" t="n">
        <v>2022</v>
      </c>
      <c r="B3744" s="3" t="n">
        <v>3</v>
      </c>
      <c r="C3744" s="3" t="n">
        <v>31</v>
      </c>
      <c r="D3744" s="3" t="s">
        <v>3748</v>
      </c>
      <c r="E3744" s="4" t="n">
        <v>0</v>
      </c>
    </row>
    <row r="3745" customFormat="false" ht="15" hidden="false" customHeight="false" outlineLevel="0" collapsed="false">
      <c r="A3745" s="3" t="n">
        <v>2022</v>
      </c>
      <c r="B3745" s="3" t="n">
        <v>4</v>
      </c>
      <c r="C3745" s="3" t="n">
        <v>1</v>
      </c>
      <c r="D3745" s="3" t="s">
        <v>3749</v>
      </c>
      <c r="E3745" s="4" t="n">
        <v>9</v>
      </c>
    </row>
    <row r="3746" customFormat="false" ht="15" hidden="false" customHeight="false" outlineLevel="0" collapsed="false">
      <c r="A3746" s="3" t="n">
        <v>2022</v>
      </c>
      <c r="B3746" s="3" t="n">
        <v>4</v>
      </c>
      <c r="C3746" s="3" t="n">
        <v>2</v>
      </c>
      <c r="D3746" s="3" t="s">
        <v>3750</v>
      </c>
      <c r="E3746" s="4" t="n">
        <v>39</v>
      </c>
    </row>
    <row r="3747" customFormat="false" ht="15" hidden="false" customHeight="false" outlineLevel="0" collapsed="false">
      <c r="A3747" s="3" t="n">
        <v>2022</v>
      </c>
      <c r="B3747" s="3" t="n">
        <v>4</v>
      </c>
      <c r="C3747" s="3" t="n">
        <v>3</v>
      </c>
      <c r="D3747" s="3" t="s">
        <v>3751</v>
      </c>
      <c r="E3747" s="4" t="n">
        <v>0</v>
      </c>
    </row>
    <row r="3748" customFormat="false" ht="15" hidden="false" customHeight="false" outlineLevel="0" collapsed="false">
      <c r="A3748" s="3" t="n">
        <v>2022</v>
      </c>
      <c r="B3748" s="3" t="n">
        <v>4</v>
      </c>
      <c r="C3748" s="3" t="n">
        <v>4</v>
      </c>
      <c r="D3748" s="3" t="s">
        <v>3752</v>
      </c>
      <c r="E3748" s="4" t="n">
        <v>0</v>
      </c>
    </row>
    <row r="3749" customFormat="false" ht="15" hidden="false" customHeight="false" outlineLevel="0" collapsed="false">
      <c r="A3749" s="3" t="n">
        <v>2022</v>
      </c>
      <c r="B3749" s="3" t="n">
        <v>4</v>
      </c>
      <c r="C3749" s="3" t="n">
        <v>5</v>
      </c>
      <c r="D3749" s="3" t="s">
        <v>3753</v>
      </c>
      <c r="E3749" s="4" t="n">
        <v>2</v>
      </c>
    </row>
    <row r="3750" customFormat="false" ht="15" hidden="false" customHeight="false" outlineLevel="0" collapsed="false">
      <c r="A3750" s="3" t="n">
        <v>2022</v>
      </c>
      <c r="B3750" s="3" t="n">
        <v>4</v>
      </c>
      <c r="C3750" s="3" t="n">
        <v>6</v>
      </c>
      <c r="D3750" s="3" t="s">
        <v>3754</v>
      </c>
      <c r="E3750" s="4" t="n">
        <v>5</v>
      </c>
    </row>
    <row r="3751" customFormat="false" ht="15" hidden="false" customHeight="false" outlineLevel="0" collapsed="false">
      <c r="A3751" s="3" t="n">
        <v>2022</v>
      </c>
      <c r="B3751" s="3" t="n">
        <v>4</v>
      </c>
      <c r="C3751" s="3" t="n">
        <v>7</v>
      </c>
      <c r="D3751" s="3" t="s">
        <v>3755</v>
      </c>
      <c r="E3751" s="4" t="n">
        <v>11</v>
      </c>
    </row>
    <row r="3752" customFormat="false" ht="15" hidden="false" customHeight="false" outlineLevel="0" collapsed="false">
      <c r="A3752" s="3" t="n">
        <v>2022</v>
      </c>
      <c r="B3752" s="3" t="n">
        <v>4</v>
      </c>
      <c r="C3752" s="3" t="n">
        <v>8</v>
      </c>
      <c r="D3752" s="3" t="s">
        <v>3756</v>
      </c>
      <c r="E3752" s="4" t="n">
        <v>58</v>
      </c>
    </row>
    <row r="3753" customFormat="false" ht="15" hidden="false" customHeight="false" outlineLevel="0" collapsed="false">
      <c r="A3753" s="3" t="n">
        <v>2022</v>
      </c>
      <c r="B3753" s="3" t="n">
        <v>4</v>
      </c>
      <c r="C3753" s="3" t="n">
        <v>9</v>
      </c>
      <c r="D3753" s="3" t="s">
        <v>3757</v>
      </c>
      <c r="E3753" s="4" t="n">
        <v>19</v>
      </c>
    </row>
    <row r="3754" customFormat="false" ht="15" hidden="false" customHeight="false" outlineLevel="0" collapsed="false">
      <c r="A3754" s="3" t="n">
        <v>2022</v>
      </c>
      <c r="B3754" s="3" t="n">
        <v>4</v>
      </c>
      <c r="C3754" s="3" t="n">
        <v>10</v>
      </c>
      <c r="D3754" s="3" t="s">
        <v>3758</v>
      </c>
      <c r="E3754" s="4" t="n">
        <v>6</v>
      </c>
    </row>
    <row r="3755" customFormat="false" ht="15" hidden="false" customHeight="false" outlineLevel="0" collapsed="false">
      <c r="A3755" s="3" t="n">
        <v>2022</v>
      </c>
      <c r="B3755" s="3" t="n">
        <v>4</v>
      </c>
      <c r="C3755" s="3" t="n">
        <v>11</v>
      </c>
      <c r="D3755" s="3" t="s">
        <v>3759</v>
      </c>
      <c r="E3755" s="4" t="n">
        <v>0</v>
      </c>
    </row>
    <row r="3756" customFormat="false" ht="15" hidden="false" customHeight="false" outlineLevel="0" collapsed="false">
      <c r="A3756" s="3" t="n">
        <v>2022</v>
      </c>
      <c r="B3756" s="3" t="n">
        <v>4</v>
      </c>
      <c r="C3756" s="3" t="n">
        <v>12</v>
      </c>
      <c r="D3756" s="3" t="s">
        <v>3760</v>
      </c>
      <c r="E3756" s="4" t="n">
        <v>5</v>
      </c>
    </row>
    <row r="3757" customFormat="false" ht="15" hidden="false" customHeight="false" outlineLevel="0" collapsed="false">
      <c r="A3757" s="3" t="n">
        <v>2022</v>
      </c>
      <c r="B3757" s="3" t="n">
        <v>4</v>
      </c>
      <c r="C3757" s="3" t="n">
        <v>13</v>
      </c>
      <c r="D3757" s="3" t="s">
        <v>3761</v>
      </c>
      <c r="E3757" s="4" t="n">
        <v>3</v>
      </c>
    </row>
    <row r="3758" customFormat="false" ht="15" hidden="false" customHeight="false" outlineLevel="0" collapsed="false">
      <c r="A3758" s="3" t="n">
        <v>2022</v>
      </c>
      <c r="B3758" s="3" t="n">
        <v>4</v>
      </c>
      <c r="C3758" s="3" t="n">
        <v>14</v>
      </c>
      <c r="D3758" s="3" t="s">
        <v>3762</v>
      </c>
      <c r="E3758" s="4" t="n">
        <v>7</v>
      </c>
    </row>
    <row r="3759" customFormat="false" ht="15" hidden="false" customHeight="false" outlineLevel="0" collapsed="false">
      <c r="A3759" s="3" t="n">
        <v>2022</v>
      </c>
      <c r="B3759" s="3" t="n">
        <v>4</v>
      </c>
      <c r="C3759" s="3" t="n">
        <v>15</v>
      </c>
      <c r="D3759" s="3" t="s">
        <v>3763</v>
      </c>
      <c r="E3759" s="4" t="n">
        <v>0</v>
      </c>
    </row>
    <row r="3760" customFormat="false" ht="15" hidden="false" customHeight="false" outlineLevel="0" collapsed="false">
      <c r="A3760" s="3" t="n">
        <v>2022</v>
      </c>
      <c r="B3760" s="3" t="n">
        <v>4</v>
      </c>
      <c r="C3760" s="3" t="n">
        <v>16</v>
      </c>
      <c r="D3760" s="3" t="s">
        <v>3764</v>
      </c>
      <c r="E3760" s="4" t="n">
        <v>19</v>
      </c>
    </row>
    <row r="3761" customFormat="false" ht="15" hidden="false" customHeight="false" outlineLevel="0" collapsed="false">
      <c r="A3761" s="3" t="n">
        <v>2022</v>
      </c>
      <c r="B3761" s="3" t="n">
        <v>4</v>
      </c>
      <c r="C3761" s="3" t="n">
        <v>17</v>
      </c>
      <c r="D3761" s="3" t="s">
        <v>3765</v>
      </c>
      <c r="E3761" s="4" t="n">
        <v>13</v>
      </c>
    </row>
    <row r="3762" customFormat="false" ht="15" hidden="false" customHeight="false" outlineLevel="0" collapsed="false">
      <c r="A3762" s="3" t="n">
        <v>2022</v>
      </c>
      <c r="B3762" s="3" t="n">
        <v>4</v>
      </c>
      <c r="C3762" s="3" t="n">
        <v>18</v>
      </c>
      <c r="D3762" s="3" t="s">
        <v>3766</v>
      </c>
      <c r="E3762" s="4" t="n">
        <v>61</v>
      </c>
    </row>
    <row r="3763" customFormat="false" ht="15" hidden="false" customHeight="false" outlineLevel="0" collapsed="false">
      <c r="A3763" s="3" t="n">
        <v>2022</v>
      </c>
      <c r="B3763" s="3" t="n">
        <v>4</v>
      </c>
      <c r="C3763" s="3" t="n">
        <v>19</v>
      </c>
      <c r="D3763" s="3" t="s">
        <v>3767</v>
      </c>
      <c r="E3763" s="4" t="n">
        <v>16</v>
      </c>
    </row>
    <row r="3764" customFormat="false" ht="15" hidden="false" customHeight="false" outlineLevel="0" collapsed="false">
      <c r="A3764" s="3" t="n">
        <v>2022</v>
      </c>
      <c r="B3764" s="3" t="n">
        <v>4</v>
      </c>
      <c r="C3764" s="3" t="n">
        <v>20</v>
      </c>
      <c r="D3764" s="3" t="s">
        <v>3768</v>
      </c>
      <c r="E3764" s="4" t="n">
        <v>0</v>
      </c>
    </row>
    <row r="3765" customFormat="false" ht="15" hidden="false" customHeight="false" outlineLevel="0" collapsed="false">
      <c r="A3765" s="3" t="n">
        <v>2022</v>
      </c>
      <c r="B3765" s="3" t="n">
        <v>4</v>
      </c>
      <c r="C3765" s="3" t="n">
        <v>21</v>
      </c>
      <c r="D3765" s="3" t="s">
        <v>3769</v>
      </c>
      <c r="E3765" s="4" t="n">
        <v>0</v>
      </c>
    </row>
    <row r="3766" customFormat="false" ht="15" hidden="false" customHeight="false" outlineLevel="0" collapsed="false">
      <c r="A3766" s="3" t="n">
        <v>2022</v>
      </c>
      <c r="B3766" s="3" t="n">
        <v>4</v>
      </c>
      <c r="C3766" s="3" t="n">
        <v>22</v>
      </c>
      <c r="D3766" s="3" t="s">
        <v>3770</v>
      </c>
      <c r="E3766" s="4" t="n">
        <v>4</v>
      </c>
    </row>
    <row r="3767" customFormat="false" ht="15" hidden="false" customHeight="false" outlineLevel="0" collapsed="false">
      <c r="A3767" s="3" t="n">
        <v>2022</v>
      </c>
      <c r="B3767" s="3" t="n">
        <v>4</v>
      </c>
      <c r="C3767" s="3" t="n">
        <v>23</v>
      </c>
      <c r="D3767" s="3" t="s">
        <v>3771</v>
      </c>
      <c r="E3767" s="4" t="n">
        <v>0</v>
      </c>
    </row>
    <row r="3768" customFormat="false" ht="15" hidden="false" customHeight="false" outlineLevel="0" collapsed="false">
      <c r="A3768" s="3" t="n">
        <v>2022</v>
      </c>
      <c r="B3768" s="3" t="n">
        <v>4</v>
      </c>
      <c r="C3768" s="3" t="n">
        <v>24</v>
      </c>
      <c r="D3768" s="3" t="s">
        <v>3772</v>
      </c>
      <c r="E3768" s="4" t="n">
        <v>2</v>
      </c>
    </row>
    <row r="3769" customFormat="false" ht="15" hidden="false" customHeight="false" outlineLevel="0" collapsed="false">
      <c r="A3769" s="3" t="n">
        <v>2022</v>
      </c>
      <c r="B3769" s="3" t="n">
        <v>4</v>
      </c>
      <c r="C3769" s="3" t="n">
        <v>25</v>
      </c>
      <c r="D3769" s="3" t="s">
        <v>3773</v>
      </c>
      <c r="E3769" s="4" t="n">
        <v>0</v>
      </c>
    </row>
    <row r="3770" customFormat="false" ht="15" hidden="false" customHeight="false" outlineLevel="0" collapsed="false">
      <c r="A3770" s="3" t="n">
        <v>2022</v>
      </c>
      <c r="B3770" s="3" t="n">
        <v>4</v>
      </c>
      <c r="C3770" s="3" t="n">
        <v>26</v>
      </c>
      <c r="D3770" s="3" t="s">
        <v>3774</v>
      </c>
      <c r="E3770" s="4" t="n">
        <v>15</v>
      </c>
    </row>
    <row r="3771" customFormat="false" ht="15" hidden="false" customHeight="false" outlineLevel="0" collapsed="false">
      <c r="A3771" s="3" t="n">
        <v>2022</v>
      </c>
      <c r="B3771" s="3" t="n">
        <v>4</v>
      </c>
      <c r="C3771" s="3" t="n">
        <v>27</v>
      </c>
      <c r="D3771" s="3" t="s">
        <v>3775</v>
      </c>
      <c r="E3771" s="4" t="n">
        <v>7</v>
      </c>
    </row>
    <row r="3772" customFormat="false" ht="15" hidden="false" customHeight="false" outlineLevel="0" collapsed="false">
      <c r="A3772" s="3" t="n">
        <v>2022</v>
      </c>
      <c r="B3772" s="3" t="n">
        <v>4</v>
      </c>
      <c r="C3772" s="3" t="n">
        <v>28</v>
      </c>
      <c r="D3772" s="3" t="s">
        <v>3776</v>
      </c>
      <c r="E3772" s="4" t="n">
        <v>0</v>
      </c>
    </row>
    <row r="3773" customFormat="false" ht="15" hidden="false" customHeight="false" outlineLevel="0" collapsed="false">
      <c r="A3773" s="3" t="n">
        <v>2022</v>
      </c>
      <c r="B3773" s="3" t="n">
        <v>4</v>
      </c>
      <c r="C3773" s="3" t="n">
        <v>29</v>
      </c>
      <c r="D3773" s="3" t="s">
        <v>3777</v>
      </c>
      <c r="E3773" s="4" t="n">
        <v>0</v>
      </c>
    </row>
    <row r="3774" customFormat="false" ht="15" hidden="false" customHeight="false" outlineLevel="0" collapsed="false">
      <c r="A3774" s="3" t="n">
        <v>2022</v>
      </c>
      <c r="B3774" s="3" t="n">
        <v>4</v>
      </c>
      <c r="C3774" s="3" t="n">
        <v>30</v>
      </c>
      <c r="D3774" s="3" t="s">
        <v>3778</v>
      </c>
      <c r="E3774" s="4" t="n">
        <v>0</v>
      </c>
    </row>
    <row r="3775" customFormat="false" ht="15" hidden="false" customHeight="false" outlineLevel="0" collapsed="false">
      <c r="A3775" s="3" t="n">
        <v>2022</v>
      </c>
      <c r="B3775" s="3" t="n">
        <v>5</v>
      </c>
      <c r="C3775" s="3" t="n">
        <v>1</v>
      </c>
      <c r="D3775" s="3" t="s">
        <v>3779</v>
      </c>
      <c r="E3775" s="4" t="n">
        <v>19</v>
      </c>
    </row>
    <row r="3776" customFormat="false" ht="15" hidden="false" customHeight="false" outlineLevel="0" collapsed="false">
      <c r="A3776" s="3" t="n">
        <v>2022</v>
      </c>
      <c r="B3776" s="3" t="n">
        <v>5</v>
      </c>
      <c r="C3776" s="3" t="n">
        <v>2</v>
      </c>
      <c r="D3776" s="3" t="s">
        <v>3780</v>
      </c>
      <c r="E3776" s="4" t="n">
        <v>10</v>
      </c>
    </row>
    <row r="3777" customFormat="false" ht="15" hidden="false" customHeight="false" outlineLevel="0" collapsed="false">
      <c r="A3777" s="3" t="n">
        <v>2022</v>
      </c>
      <c r="B3777" s="3" t="n">
        <v>5</v>
      </c>
      <c r="C3777" s="3" t="n">
        <v>3</v>
      </c>
      <c r="D3777" s="3" t="s">
        <v>3781</v>
      </c>
      <c r="E3777" s="4" t="n">
        <v>23</v>
      </c>
    </row>
    <row r="3778" customFormat="false" ht="15" hidden="false" customHeight="false" outlineLevel="0" collapsed="false">
      <c r="A3778" s="3" t="n">
        <v>2022</v>
      </c>
      <c r="B3778" s="3" t="n">
        <v>5</v>
      </c>
      <c r="C3778" s="3" t="n">
        <v>4</v>
      </c>
      <c r="D3778" s="3" t="s">
        <v>3782</v>
      </c>
      <c r="E3778" s="4" t="n">
        <v>4</v>
      </c>
    </row>
    <row r="3779" customFormat="false" ht="15" hidden="false" customHeight="false" outlineLevel="0" collapsed="false">
      <c r="A3779" s="3" t="n">
        <v>2022</v>
      </c>
      <c r="B3779" s="3" t="n">
        <v>5</v>
      </c>
      <c r="C3779" s="3" t="n">
        <v>5</v>
      </c>
      <c r="D3779" s="3" t="s">
        <v>3783</v>
      </c>
      <c r="E3779" s="4" t="n">
        <v>1</v>
      </c>
    </row>
    <row r="3780" customFormat="false" ht="15" hidden="false" customHeight="false" outlineLevel="0" collapsed="false">
      <c r="A3780" s="3" t="n">
        <v>2022</v>
      </c>
      <c r="B3780" s="3" t="n">
        <v>5</v>
      </c>
      <c r="C3780" s="3" t="n">
        <v>6</v>
      </c>
      <c r="D3780" s="3" t="s">
        <v>3784</v>
      </c>
      <c r="E3780" s="4" t="n">
        <v>8</v>
      </c>
    </row>
    <row r="3781" customFormat="false" ht="15" hidden="false" customHeight="false" outlineLevel="0" collapsed="false">
      <c r="A3781" s="3" t="n">
        <v>2022</v>
      </c>
      <c r="B3781" s="3" t="n">
        <v>5</v>
      </c>
      <c r="C3781" s="3" t="n">
        <v>7</v>
      </c>
      <c r="D3781" s="3" t="s">
        <v>3785</v>
      </c>
      <c r="E3781" s="4" t="n">
        <v>2</v>
      </c>
    </row>
    <row r="3782" customFormat="false" ht="15" hidden="false" customHeight="false" outlineLevel="0" collapsed="false">
      <c r="A3782" s="3" t="n">
        <v>2022</v>
      </c>
      <c r="B3782" s="3" t="n">
        <v>5</v>
      </c>
      <c r="C3782" s="3" t="n">
        <v>8</v>
      </c>
      <c r="D3782" s="3" t="s">
        <v>3786</v>
      </c>
      <c r="E3782" s="4" t="n">
        <v>8</v>
      </c>
    </row>
    <row r="3783" customFormat="false" ht="15" hidden="false" customHeight="false" outlineLevel="0" collapsed="false">
      <c r="A3783" s="3" t="n">
        <v>2022</v>
      </c>
      <c r="B3783" s="3" t="n">
        <v>5</v>
      </c>
      <c r="C3783" s="3" t="n">
        <v>9</v>
      </c>
      <c r="D3783" s="3" t="s">
        <v>3787</v>
      </c>
      <c r="E3783" s="4" t="n">
        <v>9</v>
      </c>
    </row>
    <row r="3784" customFormat="false" ht="15" hidden="false" customHeight="false" outlineLevel="0" collapsed="false">
      <c r="A3784" s="3" t="n">
        <v>2022</v>
      </c>
      <c r="B3784" s="3" t="n">
        <v>5</v>
      </c>
      <c r="C3784" s="3" t="n">
        <v>10</v>
      </c>
      <c r="D3784" s="3" t="s">
        <v>3788</v>
      </c>
      <c r="E3784" s="4" t="n">
        <v>0</v>
      </c>
    </row>
    <row r="3785" customFormat="false" ht="15" hidden="false" customHeight="false" outlineLevel="0" collapsed="false">
      <c r="A3785" s="3" t="n">
        <v>2022</v>
      </c>
      <c r="B3785" s="3" t="n">
        <v>5</v>
      </c>
      <c r="C3785" s="3" t="n">
        <v>11</v>
      </c>
      <c r="D3785" s="3" t="s">
        <v>3789</v>
      </c>
      <c r="E3785" s="4" t="n">
        <v>0</v>
      </c>
    </row>
    <row r="3786" customFormat="false" ht="15" hidden="false" customHeight="false" outlineLevel="0" collapsed="false">
      <c r="A3786" s="3" t="n">
        <v>2022</v>
      </c>
      <c r="B3786" s="3" t="n">
        <v>5</v>
      </c>
      <c r="C3786" s="3" t="n">
        <v>12</v>
      </c>
      <c r="D3786" s="3" t="s">
        <v>3790</v>
      </c>
      <c r="E3786" s="4" t="n">
        <v>8</v>
      </c>
    </row>
    <row r="3787" customFormat="false" ht="15" hidden="false" customHeight="false" outlineLevel="0" collapsed="false">
      <c r="A3787" s="3" t="n">
        <v>2022</v>
      </c>
      <c r="B3787" s="3" t="n">
        <v>5</v>
      </c>
      <c r="C3787" s="3" t="n">
        <v>13</v>
      </c>
      <c r="D3787" s="3" t="s">
        <v>3791</v>
      </c>
      <c r="E3787" s="4" t="n">
        <v>7</v>
      </c>
    </row>
    <row r="3788" customFormat="false" ht="15" hidden="false" customHeight="false" outlineLevel="0" collapsed="false">
      <c r="A3788" s="3" t="n">
        <v>2022</v>
      </c>
      <c r="B3788" s="3" t="n">
        <v>5</v>
      </c>
      <c r="C3788" s="3" t="n">
        <v>14</v>
      </c>
      <c r="D3788" s="3" t="s">
        <v>3792</v>
      </c>
      <c r="E3788" s="4" t="n">
        <v>16</v>
      </c>
    </row>
    <row r="3789" customFormat="false" ht="15" hidden="false" customHeight="false" outlineLevel="0" collapsed="false">
      <c r="A3789" s="3" t="n">
        <v>2022</v>
      </c>
      <c r="B3789" s="3" t="n">
        <v>5</v>
      </c>
      <c r="C3789" s="3" t="n">
        <v>15</v>
      </c>
      <c r="D3789" s="3" t="s">
        <v>3793</v>
      </c>
      <c r="E3789" s="4" t="n">
        <v>0</v>
      </c>
    </row>
    <row r="3790" customFormat="false" ht="15" hidden="false" customHeight="false" outlineLevel="0" collapsed="false">
      <c r="A3790" s="3" t="n">
        <v>2022</v>
      </c>
      <c r="B3790" s="3" t="n">
        <v>5</v>
      </c>
      <c r="C3790" s="3" t="n">
        <v>16</v>
      </c>
      <c r="D3790" s="3" t="s">
        <v>3794</v>
      </c>
      <c r="E3790" s="4" t="n">
        <v>0</v>
      </c>
    </row>
    <row r="3791" customFormat="false" ht="15" hidden="false" customHeight="false" outlineLevel="0" collapsed="false">
      <c r="A3791" s="3" t="n">
        <v>2022</v>
      </c>
      <c r="B3791" s="3" t="n">
        <v>5</v>
      </c>
      <c r="C3791" s="3" t="n">
        <v>17</v>
      </c>
      <c r="D3791" s="3" t="s">
        <v>3795</v>
      </c>
      <c r="E3791" s="4" t="n">
        <v>26</v>
      </c>
    </row>
    <row r="3792" customFormat="false" ht="15" hidden="false" customHeight="false" outlineLevel="0" collapsed="false">
      <c r="A3792" s="3" t="n">
        <v>2022</v>
      </c>
      <c r="B3792" s="3" t="n">
        <v>5</v>
      </c>
      <c r="C3792" s="3" t="n">
        <v>18</v>
      </c>
      <c r="D3792" s="3" t="s">
        <v>3796</v>
      </c>
      <c r="E3792" s="4" t="n">
        <v>19</v>
      </c>
    </row>
    <row r="3793" customFormat="false" ht="15" hidden="false" customHeight="false" outlineLevel="0" collapsed="false">
      <c r="A3793" s="3" t="n">
        <v>2022</v>
      </c>
      <c r="B3793" s="3" t="n">
        <v>5</v>
      </c>
      <c r="C3793" s="3" t="n">
        <v>19</v>
      </c>
      <c r="D3793" s="3" t="s">
        <v>3797</v>
      </c>
      <c r="E3793" s="4" t="n">
        <v>0</v>
      </c>
    </row>
    <row r="3794" customFormat="false" ht="15" hidden="false" customHeight="false" outlineLevel="0" collapsed="false">
      <c r="A3794" s="3" t="n">
        <v>2022</v>
      </c>
      <c r="B3794" s="3" t="n">
        <v>5</v>
      </c>
      <c r="C3794" s="3" t="n">
        <v>20</v>
      </c>
      <c r="D3794" s="3" t="s">
        <v>3798</v>
      </c>
      <c r="E3794" s="4" t="n">
        <v>0</v>
      </c>
    </row>
    <row r="3795" customFormat="false" ht="15" hidden="false" customHeight="false" outlineLevel="0" collapsed="false">
      <c r="A3795" s="3" t="n">
        <v>2022</v>
      </c>
      <c r="B3795" s="3" t="n">
        <v>5</v>
      </c>
      <c r="C3795" s="3" t="n">
        <v>21</v>
      </c>
      <c r="D3795" s="3" t="s">
        <v>3799</v>
      </c>
      <c r="E3795" s="4" t="n">
        <v>20</v>
      </c>
    </row>
    <row r="3796" customFormat="false" ht="15" hidden="false" customHeight="false" outlineLevel="0" collapsed="false">
      <c r="A3796" s="3" t="n">
        <v>2022</v>
      </c>
      <c r="B3796" s="3" t="n">
        <v>5</v>
      </c>
      <c r="C3796" s="3" t="n">
        <v>22</v>
      </c>
      <c r="D3796" s="3" t="s">
        <v>3800</v>
      </c>
      <c r="E3796" s="4" t="n">
        <v>0</v>
      </c>
    </row>
    <row r="3797" customFormat="false" ht="15" hidden="false" customHeight="false" outlineLevel="0" collapsed="false">
      <c r="A3797" s="3" t="n">
        <v>2022</v>
      </c>
      <c r="B3797" s="3" t="n">
        <v>5</v>
      </c>
      <c r="C3797" s="3" t="n">
        <v>23</v>
      </c>
      <c r="D3797" s="3" t="s">
        <v>3801</v>
      </c>
      <c r="E3797" s="4" t="n">
        <v>0</v>
      </c>
    </row>
    <row r="3798" customFormat="false" ht="15" hidden="false" customHeight="false" outlineLevel="0" collapsed="false">
      <c r="A3798" s="3" t="n">
        <v>2022</v>
      </c>
      <c r="B3798" s="3" t="n">
        <v>5</v>
      </c>
      <c r="C3798" s="3" t="n">
        <v>24</v>
      </c>
      <c r="D3798" s="3" t="s">
        <v>3802</v>
      </c>
      <c r="E3798" s="4" t="n">
        <v>0</v>
      </c>
    </row>
    <row r="3799" customFormat="false" ht="15" hidden="false" customHeight="false" outlineLevel="0" collapsed="false">
      <c r="A3799" s="3" t="n">
        <v>2022</v>
      </c>
      <c r="B3799" s="3" t="n">
        <v>5</v>
      </c>
      <c r="C3799" s="3" t="n">
        <v>25</v>
      </c>
      <c r="D3799" s="3" t="s">
        <v>3803</v>
      </c>
      <c r="E3799" s="4" t="n">
        <v>0</v>
      </c>
    </row>
    <row r="3800" customFormat="false" ht="15" hidden="false" customHeight="false" outlineLevel="0" collapsed="false">
      <c r="A3800" s="3" t="n">
        <v>2022</v>
      </c>
      <c r="B3800" s="3" t="n">
        <v>5</v>
      </c>
      <c r="C3800" s="3" t="n">
        <v>26</v>
      </c>
      <c r="D3800" s="3" t="s">
        <v>3804</v>
      </c>
      <c r="E3800" s="4" t="n">
        <v>12</v>
      </c>
    </row>
    <row r="3801" customFormat="false" ht="15" hidden="false" customHeight="false" outlineLevel="0" collapsed="false">
      <c r="A3801" s="3" t="n">
        <v>2022</v>
      </c>
      <c r="B3801" s="3" t="n">
        <v>5</v>
      </c>
      <c r="C3801" s="3" t="n">
        <v>27</v>
      </c>
      <c r="D3801" s="3" t="s">
        <v>3805</v>
      </c>
      <c r="E3801" s="4" t="n">
        <v>0</v>
      </c>
    </row>
    <row r="3802" customFormat="false" ht="15" hidden="false" customHeight="false" outlineLevel="0" collapsed="false">
      <c r="A3802" s="3" t="n">
        <v>2022</v>
      </c>
      <c r="B3802" s="3" t="n">
        <v>5</v>
      </c>
      <c r="C3802" s="3" t="n">
        <v>28</v>
      </c>
      <c r="D3802" s="3" t="s">
        <v>3806</v>
      </c>
      <c r="E3802" s="4" t="n">
        <v>9</v>
      </c>
    </row>
    <row r="3803" customFormat="false" ht="15" hidden="false" customHeight="false" outlineLevel="0" collapsed="false">
      <c r="A3803" s="3" t="n">
        <v>2022</v>
      </c>
      <c r="B3803" s="3" t="n">
        <v>5</v>
      </c>
      <c r="C3803" s="3" t="n">
        <v>29</v>
      </c>
      <c r="D3803" s="3" t="s">
        <v>3807</v>
      </c>
      <c r="E3803" s="4" t="n">
        <v>0</v>
      </c>
    </row>
    <row r="3804" customFormat="false" ht="15" hidden="false" customHeight="false" outlineLevel="0" collapsed="false">
      <c r="A3804" s="3" t="n">
        <v>2022</v>
      </c>
      <c r="B3804" s="3" t="n">
        <v>5</v>
      </c>
      <c r="C3804" s="3" t="n">
        <v>30</v>
      </c>
      <c r="D3804" s="3" t="s">
        <v>3808</v>
      </c>
      <c r="E3804" s="4" t="n">
        <v>0</v>
      </c>
    </row>
    <row r="3805" customFormat="false" ht="15" hidden="false" customHeight="false" outlineLevel="0" collapsed="false">
      <c r="A3805" s="3" t="n">
        <v>2022</v>
      </c>
      <c r="B3805" s="3" t="n">
        <v>5</v>
      </c>
      <c r="C3805" s="3" t="n">
        <v>31</v>
      </c>
      <c r="D3805" s="3" t="s">
        <v>3809</v>
      </c>
      <c r="E3805" s="4" t="n">
        <v>0</v>
      </c>
    </row>
    <row r="3806" customFormat="false" ht="15" hidden="false" customHeight="false" outlineLevel="0" collapsed="false">
      <c r="A3806" s="3" t="n">
        <v>2022</v>
      </c>
      <c r="B3806" s="3" t="n">
        <v>6</v>
      </c>
      <c r="C3806" s="3" t="n">
        <v>1</v>
      </c>
      <c r="D3806" s="3" t="s">
        <v>3810</v>
      </c>
      <c r="E3806" s="4" t="n">
        <v>0</v>
      </c>
    </row>
    <row r="3807" customFormat="false" ht="15" hidden="false" customHeight="false" outlineLevel="0" collapsed="false">
      <c r="A3807" s="3" t="n">
        <v>2022</v>
      </c>
      <c r="B3807" s="3" t="n">
        <v>6</v>
      </c>
      <c r="C3807" s="3" t="n">
        <v>2</v>
      </c>
      <c r="D3807" s="3" t="s">
        <v>3811</v>
      </c>
      <c r="E3807" s="4" t="n">
        <v>0</v>
      </c>
    </row>
    <row r="3808" customFormat="false" ht="15" hidden="false" customHeight="false" outlineLevel="0" collapsed="false">
      <c r="A3808" s="3" t="n">
        <v>2022</v>
      </c>
      <c r="B3808" s="3" t="n">
        <v>6</v>
      </c>
      <c r="C3808" s="3" t="n">
        <v>3</v>
      </c>
      <c r="D3808" s="3" t="s">
        <v>3812</v>
      </c>
      <c r="E3808" s="4" t="n">
        <v>22</v>
      </c>
    </row>
    <row r="3809" customFormat="false" ht="15" hidden="false" customHeight="false" outlineLevel="0" collapsed="false">
      <c r="A3809" s="3" t="n">
        <v>2022</v>
      </c>
      <c r="B3809" s="3" t="n">
        <v>6</v>
      </c>
      <c r="C3809" s="3" t="n">
        <v>4</v>
      </c>
      <c r="D3809" s="3" t="s">
        <v>3813</v>
      </c>
      <c r="E3809" s="4" t="n">
        <v>1</v>
      </c>
    </row>
    <row r="3810" customFormat="false" ht="15" hidden="false" customHeight="false" outlineLevel="0" collapsed="false">
      <c r="A3810" s="3" t="n">
        <v>2022</v>
      </c>
      <c r="B3810" s="3" t="n">
        <v>6</v>
      </c>
      <c r="C3810" s="3" t="n">
        <v>5</v>
      </c>
      <c r="D3810" s="3" t="s">
        <v>3814</v>
      </c>
      <c r="E3810" s="4" t="n">
        <v>3</v>
      </c>
    </row>
    <row r="3811" customFormat="false" ht="15" hidden="false" customHeight="false" outlineLevel="0" collapsed="false">
      <c r="A3811" s="3" t="n">
        <v>2022</v>
      </c>
      <c r="B3811" s="3" t="n">
        <v>6</v>
      </c>
      <c r="C3811" s="3" t="n">
        <v>6</v>
      </c>
      <c r="D3811" s="3" t="s">
        <v>3815</v>
      </c>
      <c r="E3811" s="4" t="n">
        <v>91</v>
      </c>
    </row>
    <row r="3812" customFormat="false" ht="15" hidden="false" customHeight="false" outlineLevel="0" collapsed="false">
      <c r="A3812" s="3" t="n">
        <v>2022</v>
      </c>
      <c r="B3812" s="3" t="n">
        <v>6</v>
      </c>
      <c r="C3812" s="3" t="n">
        <v>7</v>
      </c>
      <c r="D3812" s="3" t="s">
        <v>3816</v>
      </c>
      <c r="E3812" s="4" t="n">
        <v>0</v>
      </c>
    </row>
    <row r="3813" customFormat="false" ht="15" hidden="false" customHeight="false" outlineLevel="0" collapsed="false">
      <c r="A3813" s="3" t="n">
        <v>2022</v>
      </c>
      <c r="B3813" s="3" t="n">
        <v>6</v>
      </c>
      <c r="C3813" s="3" t="n">
        <v>8</v>
      </c>
      <c r="D3813" s="3" t="s">
        <v>3817</v>
      </c>
      <c r="E3813" s="4" t="n">
        <v>1</v>
      </c>
    </row>
    <row r="3814" customFormat="false" ht="15" hidden="false" customHeight="false" outlineLevel="0" collapsed="false">
      <c r="A3814" s="3" t="n">
        <v>2022</v>
      </c>
      <c r="B3814" s="3" t="n">
        <v>6</v>
      </c>
      <c r="C3814" s="3" t="n">
        <v>9</v>
      </c>
      <c r="D3814" s="3" t="s">
        <v>3818</v>
      </c>
      <c r="E3814" s="4" t="n">
        <v>7</v>
      </c>
    </row>
    <row r="3815" customFormat="false" ht="15" hidden="false" customHeight="false" outlineLevel="0" collapsed="false">
      <c r="A3815" s="3" t="n">
        <v>2022</v>
      </c>
      <c r="B3815" s="3" t="n">
        <v>6</v>
      </c>
      <c r="C3815" s="3" t="n">
        <v>10</v>
      </c>
      <c r="D3815" s="3" t="s">
        <v>3819</v>
      </c>
      <c r="E3815" s="4" t="n">
        <v>10</v>
      </c>
    </row>
    <row r="3816" customFormat="false" ht="15" hidden="false" customHeight="false" outlineLevel="0" collapsed="false">
      <c r="A3816" s="3" t="n">
        <v>2022</v>
      </c>
      <c r="B3816" s="3" t="n">
        <v>6</v>
      </c>
      <c r="C3816" s="3" t="n">
        <v>11</v>
      </c>
      <c r="D3816" s="3" t="s">
        <v>3820</v>
      </c>
      <c r="E3816" s="4" t="n">
        <v>0</v>
      </c>
    </row>
    <row r="3817" customFormat="false" ht="15" hidden="false" customHeight="false" outlineLevel="0" collapsed="false">
      <c r="A3817" s="3" t="n">
        <v>2022</v>
      </c>
      <c r="B3817" s="3" t="n">
        <v>6</v>
      </c>
      <c r="C3817" s="3" t="n">
        <v>12</v>
      </c>
      <c r="D3817" s="3" t="s">
        <v>3821</v>
      </c>
      <c r="E3817" s="4" t="n">
        <v>6</v>
      </c>
    </row>
    <row r="3818" customFormat="false" ht="15" hidden="false" customHeight="false" outlineLevel="0" collapsed="false">
      <c r="A3818" s="3" t="n">
        <v>2022</v>
      </c>
      <c r="B3818" s="3" t="n">
        <v>6</v>
      </c>
      <c r="C3818" s="3" t="n">
        <v>13</v>
      </c>
      <c r="D3818" s="3" t="s">
        <v>3822</v>
      </c>
      <c r="E3818" s="4" t="n">
        <v>20</v>
      </c>
    </row>
    <row r="3819" customFormat="false" ht="15" hidden="false" customHeight="false" outlineLevel="0" collapsed="false">
      <c r="A3819" s="3" t="n">
        <v>2022</v>
      </c>
      <c r="B3819" s="3" t="n">
        <v>6</v>
      </c>
      <c r="C3819" s="3" t="n">
        <v>14</v>
      </c>
      <c r="D3819" s="3" t="s">
        <v>3823</v>
      </c>
      <c r="E3819" s="4" t="n">
        <v>13</v>
      </c>
    </row>
    <row r="3820" customFormat="false" ht="15" hidden="false" customHeight="false" outlineLevel="0" collapsed="false">
      <c r="A3820" s="3" t="n">
        <v>2022</v>
      </c>
      <c r="B3820" s="3" t="n">
        <v>6</v>
      </c>
      <c r="C3820" s="3" t="n">
        <v>15</v>
      </c>
      <c r="D3820" s="3" t="s">
        <v>3824</v>
      </c>
      <c r="E3820" s="4" t="n">
        <v>0</v>
      </c>
    </row>
    <row r="3821" customFormat="false" ht="15" hidden="false" customHeight="false" outlineLevel="0" collapsed="false">
      <c r="A3821" s="3" t="n">
        <v>2022</v>
      </c>
      <c r="B3821" s="3" t="n">
        <v>6</v>
      </c>
      <c r="C3821" s="3" t="n">
        <v>16</v>
      </c>
      <c r="D3821" s="3" t="s">
        <v>3825</v>
      </c>
      <c r="E3821" s="4" t="n">
        <v>0</v>
      </c>
    </row>
    <row r="3822" customFormat="false" ht="15" hidden="false" customHeight="false" outlineLevel="0" collapsed="false">
      <c r="A3822" s="3" t="n">
        <v>2022</v>
      </c>
      <c r="B3822" s="3" t="n">
        <v>6</v>
      </c>
      <c r="C3822" s="3" t="n">
        <v>17</v>
      </c>
      <c r="D3822" s="3" t="s">
        <v>3826</v>
      </c>
      <c r="E3822" s="4" t="n">
        <v>23</v>
      </c>
    </row>
    <row r="3823" customFormat="false" ht="15" hidden="false" customHeight="false" outlineLevel="0" collapsed="false">
      <c r="A3823" s="3" t="n">
        <v>2022</v>
      </c>
      <c r="B3823" s="3" t="n">
        <v>6</v>
      </c>
      <c r="C3823" s="3" t="n">
        <v>18</v>
      </c>
      <c r="D3823" s="3" t="s">
        <v>3827</v>
      </c>
      <c r="E3823" s="4" t="n">
        <v>14</v>
      </c>
    </row>
    <row r="3824" customFormat="false" ht="15" hidden="false" customHeight="false" outlineLevel="0" collapsed="false">
      <c r="A3824" s="3" t="n">
        <v>2022</v>
      </c>
      <c r="B3824" s="3" t="n">
        <v>6</v>
      </c>
      <c r="C3824" s="3" t="n">
        <v>19</v>
      </c>
      <c r="D3824" s="3" t="s">
        <v>3828</v>
      </c>
      <c r="E3824" s="4" t="n">
        <v>0</v>
      </c>
    </row>
    <row r="3825" customFormat="false" ht="15" hidden="false" customHeight="false" outlineLevel="0" collapsed="false">
      <c r="A3825" s="3" t="n">
        <v>2022</v>
      </c>
      <c r="B3825" s="3" t="n">
        <v>6</v>
      </c>
      <c r="C3825" s="3" t="n">
        <v>20</v>
      </c>
      <c r="D3825" s="3" t="s">
        <v>3829</v>
      </c>
      <c r="E3825" s="4" t="n">
        <v>0</v>
      </c>
    </row>
    <row r="3826" customFormat="false" ht="15" hidden="false" customHeight="false" outlineLevel="0" collapsed="false">
      <c r="A3826" s="3" t="n">
        <v>2022</v>
      </c>
      <c r="B3826" s="3" t="n">
        <v>6</v>
      </c>
      <c r="C3826" s="3" t="n">
        <v>21</v>
      </c>
      <c r="D3826" s="3" t="s">
        <v>3830</v>
      </c>
      <c r="E3826" s="4" t="n">
        <v>10</v>
      </c>
    </row>
    <row r="3827" customFormat="false" ht="15" hidden="false" customHeight="false" outlineLevel="0" collapsed="false">
      <c r="A3827" s="3" t="n">
        <v>2022</v>
      </c>
      <c r="B3827" s="3" t="n">
        <v>6</v>
      </c>
      <c r="C3827" s="3" t="n">
        <v>22</v>
      </c>
      <c r="D3827" s="3" t="s">
        <v>3831</v>
      </c>
      <c r="E3827" s="4" t="n">
        <v>0</v>
      </c>
    </row>
    <row r="3828" customFormat="false" ht="15" hidden="false" customHeight="false" outlineLevel="0" collapsed="false">
      <c r="A3828" s="3" t="n">
        <v>2022</v>
      </c>
      <c r="B3828" s="3" t="n">
        <v>6</v>
      </c>
      <c r="C3828" s="3" t="n">
        <v>23</v>
      </c>
      <c r="D3828" s="3" t="s">
        <v>3832</v>
      </c>
      <c r="E3828" s="4" t="n">
        <v>10</v>
      </c>
    </row>
    <row r="3829" customFormat="false" ht="15" hidden="false" customHeight="false" outlineLevel="0" collapsed="false">
      <c r="A3829" s="3" t="n">
        <v>2022</v>
      </c>
      <c r="B3829" s="3" t="n">
        <v>6</v>
      </c>
      <c r="C3829" s="3" t="n">
        <v>24</v>
      </c>
      <c r="D3829" s="3" t="s">
        <v>3833</v>
      </c>
      <c r="E3829" s="4" t="n">
        <v>5</v>
      </c>
    </row>
    <row r="3830" customFormat="false" ht="15" hidden="false" customHeight="false" outlineLevel="0" collapsed="false">
      <c r="A3830" s="3" t="n">
        <v>2022</v>
      </c>
      <c r="B3830" s="3" t="n">
        <v>6</v>
      </c>
      <c r="C3830" s="3" t="n">
        <v>25</v>
      </c>
      <c r="D3830" s="3" t="s">
        <v>3834</v>
      </c>
      <c r="E3830" s="4" t="n">
        <v>9</v>
      </c>
    </row>
    <row r="3831" customFormat="false" ht="15" hidden="false" customHeight="false" outlineLevel="0" collapsed="false">
      <c r="A3831" s="3" t="n">
        <v>2022</v>
      </c>
      <c r="B3831" s="3" t="n">
        <v>6</v>
      </c>
      <c r="C3831" s="3" t="n">
        <v>26</v>
      </c>
      <c r="D3831" s="3" t="s">
        <v>3835</v>
      </c>
      <c r="E3831" s="4" t="n">
        <v>13</v>
      </c>
    </row>
    <row r="3832" customFormat="false" ht="15" hidden="false" customHeight="false" outlineLevel="0" collapsed="false">
      <c r="A3832" s="3" t="n">
        <v>2022</v>
      </c>
      <c r="B3832" s="3" t="n">
        <v>6</v>
      </c>
      <c r="C3832" s="3" t="n">
        <v>27</v>
      </c>
      <c r="D3832" s="3" t="s">
        <v>3836</v>
      </c>
      <c r="E3832" s="4" t="n">
        <v>0</v>
      </c>
    </row>
    <row r="3833" customFormat="false" ht="15" hidden="false" customHeight="false" outlineLevel="0" collapsed="false">
      <c r="A3833" s="3" t="n">
        <v>2022</v>
      </c>
      <c r="B3833" s="3" t="n">
        <v>6</v>
      </c>
      <c r="C3833" s="3" t="n">
        <v>28</v>
      </c>
      <c r="D3833" s="3" t="s">
        <v>3837</v>
      </c>
      <c r="E3833" s="4" t="n">
        <v>0</v>
      </c>
    </row>
    <row r="3834" customFormat="false" ht="15" hidden="false" customHeight="false" outlineLevel="0" collapsed="false">
      <c r="A3834" s="3" t="n">
        <v>2022</v>
      </c>
      <c r="B3834" s="3" t="n">
        <v>6</v>
      </c>
      <c r="C3834" s="3" t="n">
        <v>29</v>
      </c>
      <c r="D3834" s="3" t="s">
        <v>3838</v>
      </c>
      <c r="E3834" s="4" t="n">
        <v>32</v>
      </c>
    </row>
    <row r="3835" customFormat="false" ht="15" hidden="false" customHeight="false" outlineLevel="0" collapsed="false">
      <c r="A3835" s="3" t="n">
        <v>2022</v>
      </c>
      <c r="B3835" s="3" t="n">
        <v>6</v>
      </c>
      <c r="C3835" s="3" t="n">
        <v>30</v>
      </c>
      <c r="D3835" s="3" t="s">
        <v>3839</v>
      </c>
      <c r="E3835" s="4" t="n">
        <v>3</v>
      </c>
    </row>
    <row r="3836" customFormat="false" ht="15" hidden="false" customHeight="false" outlineLevel="0" collapsed="false">
      <c r="A3836" s="3" t="n">
        <v>2022</v>
      </c>
      <c r="B3836" s="3" t="n">
        <v>7</v>
      </c>
      <c r="C3836" s="3" t="n">
        <v>1</v>
      </c>
      <c r="D3836" s="3" t="s">
        <v>3840</v>
      </c>
      <c r="E3836" s="4" t="n">
        <v>0</v>
      </c>
    </row>
    <row r="3837" customFormat="false" ht="15" hidden="false" customHeight="false" outlineLevel="0" collapsed="false">
      <c r="A3837" s="3" t="n">
        <v>2022</v>
      </c>
      <c r="B3837" s="3" t="n">
        <v>7</v>
      </c>
      <c r="C3837" s="3" t="n">
        <v>2</v>
      </c>
      <c r="D3837" s="3" t="s">
        <v>3841</v>
      </c>
      <c r="E3837" s="4" t="n">
        <v>0</v>
      </c>
    </row>
    <row r="3838" customFormat="false" ht="15" hidden="false" customHeight="false" outlineLevel="0" collapsed="false">
      <c r="A3838" s="3" t="n">
        <v>2022</v>
      </c>
      <c r="B3838" s="3" t="n">
        <v>7</v>
      </c>
      <c r="C3838" s="3" t="n">
        <v>3</v>
      </c>
      <c r="D3838" s="3" t="s">
        <v>3842</v>
      </c>
      <c r="E3838" s="4" t="n">
        <v>5</v>
      </c>
    </row>
    <row r="3839" customFormat="false" ht="15" hidden="false" customHeight="false" outlineLevel="0" collapsed="false">
      <c r="A3839" s="3" t="n">
        <v>2022</v>
      </c>
      <c r="B3839" s="3" t="n">
        <v>7</v>
      </c>
      <c r="C3839" s="3" t="n">
        <v>4</v>
      </c>
      <c r="D3839" s="3" t="s">
        <v>3843</v>
      </c>
      <c r="E3839" s="4" t="n">
        <v>3</v>
      </c>
    </row>
    <row r="3840" customFormat="false" ht="15" hidden="false" customHeight="false" outlineLevel="0" collapsed="false">
      <c r="A3840" s="3" t="n">
        <v>2022</v>
      </c>
      <c r="B3840" s="3" t="n">
        <v>7</v>
      </c>
      <c r="C3840" s="3" t="n">
        <v>5</v>
      </c>
      <c r="D3840" s="3" t="s">
        <v>3844</v>
      </c>
      <c r="E3840" s="4" t="n">
        <v>0</v>
      </c>
    </row>
    <row r="3841" customFormat="false" ht="15" hidden="false" customHeight="false" outlineLevel="0" collapsed="false">
      <c r="A3841" s="3" t="n">
        <v>2022</v>
      </c>
      <c r="B3841" s="3" t="n">
        <v>7</v>
      </c>
      <c r="C3841" s="3" t="n">
        <v>6</v>
      </c>
      <c r="D3841" s="3" t="s">
        <v>3845</v>
      </c>
      <c r="E3841" s="4" t="n">
        <v>2</v>
      </c>
    </row>
    <row r="3842" customFormat="false" ht="15" hidden="false" customHeight="false" outlineLevel="0" collapsed="false">
      <c r="A3842" s="3" t="n">
        <v>2022</v>
      </c>
      <c r="B3842" s="3" t="n">
        <v>7</v>
      </c>
      <c r="C3842" s="3" t="n">
        <v>7</v>
      </c>
      <c r="D3842" s="3" t="s">
        <v>3846</v>
      </c>
      <c r="E3842" s="4" t="n">
        <v>0</v>
      </c>
    </row>
    <row r="3843" customFormat="false" ht="15" hidden="false" customHeight="false" outlineLevel="0" collapsed="false">
      <c r="A3843" s="3" t="n">
        <v>2022</v>
      </c>
      <c r="B3843" s="3" t="n">
        <v>7</v>
      </c>
      <c r="C3843" s="3" t="n">
        <v>8</v>
      </c>
      <c r="D3843" s="3" t="s">
        <v>3847</v>
      </c>
      <c r="E3843" s="4" t="n">
        <v>0</v>
      </c>
    </row>
    <row r="3844" customFormat="false" ht="15" hidden="false" customHeight="false" outlineLevel="0" collapsed="false">
      <c r="A3844" s="3" t="n">
        <v>2022</v>
      </c>
      <c r="B3844" s="3" t="n">
        <v>7</v>
      </c>
      <c r="C3844" s="3" t="n">
        <v>9</v>
      </c>
      <c r="D3844" s="3" t="s">
        <v>3848</v>
      </c>
      <c r="E3844" s="4" t="n">
        <v>6</v>
      </c>
    </row>
    <row r="3845" customFormat="false" ht="15" hidden="false" customHeight="false" outlineLevel="0" collapsed="false">
      <c r="A3845" s="3" t="n">
        <v>2022</v>
      </c>
      <c r="B3845" s="3" t="n">
        <v>7</v>
      </c>
      <c r="C3845" s="3" t="n">
        <v>10</v>
      </c>
      <c r="D3845" s="3" t="s">
        <v>3849</v>
      </c>
      <c r="E3845" s="4" t="n">
        <v>0</v>
      </c>
    </row>
    <row r="3846" customFormat="false" ht="15" hidden="false" customHeight="false" outlineLevel="0" collapsed="false">
      <c r="A3846" s="3" t="n">
        <v>2022</v>
      </c>
      <c r="B3846" s="3" t="n">
        <v>7</v>
      </c>
      <c r="C3846" s="3" t="n">
        <v>11</v>
      </c>
      <c r="D3846" s="3" t="s">
        <v>3850</v>
      </c>
      <c r="E3846" s="4" t="n">
        <v>0</v>
      </c>
    </row>
    <row r="3847" customFormat="false" ht="15" hidden="false" customHeight="false" outlineLevel="0" collapsed="false">
      <c r="A3847" s="3" t="n">
        <v>2022</v>
      </c>
      <c r="B3847" s="3" t="n">
        <v>7</v>
      </c>
      <c r="C3847" s="3" t="n">
        <v>12</v>
      </c>
      <c r="D3847" s="3" t="s">
        <v>3851</v>
      </c>
      <c r="E3847" s="4" t="n">
        <v>11</v>
      </c>
    </row>
    <row r="3848" customFormat="false" ht="15" hidden="false" customHeight="false" outlineLevel="0" collapsed="false">
      <c r="A3848" s="3" t="n">
        <v>2022</v>
      </c>
      <c r="B3848" s="3" t="n">
        <v>7</v>
      </c>
      <c r="C3848" s="3" t="n">
        <v>13</v>
      </c>
      <c r="D3848" s="3" t="s">
        <v>3852</v>
      </c>
      <c r="E3848" s="4" t="n">
        <v>53</v>
      </c>
    </row>
    <row r="3849" customFormat="false" ht="15" hidden="false" customHeight="false" outlineLevel="0" collapsed="false">
      <c r="A3849" s="3" t="n">
        <v>2022</v>
      </c>
      <c r="B3849" s="3" t="n">
        <v>7</v>
      </c>
      <c r="C3849" s="3" t="n">
        <v>14</v>
      </c>
      <c r="D3849" s="3" t="s">
        <v>3853</v>
      </c>
      <c r="E3849" s="4" t="n">
        <v>30</v>
      </c>
    </row>
    <row r="3850" customFormat="false" ht="15" hidden="false" customHeight="false" outlineLevel="0" collapsed="false">
      <c r="A3850" s="3" t="n">
        <v>2022</v>
      </c>
      <c r="B3850" s="3" t="n">
        <v>7</v>
      </c>
      <c r="C3850" s="3" t="n">
        <v>15</v>
      </c>
      <c r="D3850" s="3" t="s">
        <v>3854</v>
      </c>
      <c r="E3850" s="4" t="n">
        <v>0</v>
      </c>
    </row>
    <row r="3851" customFormat="false" ht="15" hidden="false" customHeight="false" outlineLevel="0" collapsed="false">
      <c r="A3851" s="3" t="n">
        <v>2022</v>
      </c>
      <c r="B3851" s="3" t="n">
        <v>7</v>
      </c>
      <c r="C3851" s="3" t="n">
        <v>16</v>
      </c>
      <c r="D3851" s="3" t="s">
        <v>3855</v>
      </c>
      <c r="E3851" s="4" t="n">
        <v>22</v>
      </c>
    </row>
    <row r="3852" customFormat="false" ht="15" hidden="false" customHeight="false" outlineLevel="0" collapsed="false">
      <c r="A3852" s="3" t="n">
        <v>2022</v>
      </c>
      <c r="B3852" s="3" t="n">
        <v>7</v>
      </c>
      <c r="C3852" s="3" t="n">
        <v>17</v>
      </c>
      <c r="D3852" s="3" t="s">
        <v>3856</v>
      </c>
      <c r="E3852" s="4" t="n">
        <v>4</v>
      </c>
    </row>
    <row r="3853" customFormat="false" ht="15" hidden="false" customHeight="false" outlineLevel="0" collapsed="false">
      <c r="A3853" s="3" t="n">
        <v>2022</v>
      </c>
      <c r="B3853" s="3" t="n">
        <v>7</v>
      </c>
      <c r="C3853" s="3" t="n">
        <v>18</v>
      </c>
      <c r="D3853" s="3" t="s">
        <v>3857</v>
      </c>
      <c r="E3853" s="4" t="n">
        <v>0</v>
      </c>
    </row>
    <row r="3854" customFormat="false" ht="15" hidden="false" customHeight="false" outlineLevel="0" collapsed="false">
      <c r="A3854" s="3" t="n">
        <v>2022</v>
      </c>
      <c r="B3854" s="3" t="n">
        <v>7</v>
      </c>
      <c r="C3854" s="3" t="n">
        <v>19</v>
      </c>
      <c r="D3854" s="3" t="s">
        <v>3858</v>
      </c>
      <c r="E3854" s="4" t="n">
        <v>0</v>
      </c>
    </row>
    <row r="3855" customFormat="false" ht="15" hidden="false" customHeight="false" outlineLevel="0" collapsed="false">
      <c r="A3855" s="3" t="n">
        <v>2022</v>
      </c>
      <c r="B3855" s="3" t="n">
        <v>7</v>
      </c>
      <c r="C3855" s="3" t="n">
        <v>20</v>
      </c>
      <c r="D3855" s="3" t="s">
        <v>3859</v>
      </c>
      <c r="E3855" s="4" t="n">
        <v>0</v>
      </c>
    </row>
    <row r="3856" customFormat="false" ht="15" hidden="false" customHeight="false" outlineLevel="0" collapsed="false">
      <c r="A3856" s="3" t="n">
        <v>2022</v>
      </c>
      <c r="B3856" s="3" t="n">
        <v>7</v>
      </c>
      <c r="C3856" s="3" t="n">
        <v>21</v>
      </c>
      <c r="D3856" s="3" t="s">
        <v>3860</v>
      </c>
      <c r="E3856" s="4" t="n">
        <v>21</v>
      </c>
    </row>
    <row r="3857" customFormat="false" ht="15" hidden="false" customHeight="false" outlineLevel="0" collapsed="false">
      <c r="A3857" s="3" t="n">
        <v>2022</v>
      </c>
      <c r="B3857" s="3" t="n">
        <v>7</v>
      </c>
      <c r="C3857" s="3" t="n">
        <v>22</v>
      </c>
      <c r="D3857" s="3" t="s">
        <v>3861</v>
      </c>
      <c r="E3857" s="4" t="n">
        <v>0</v>
      </c>
    </row>
    <row r="3858" customFormat="false" ht="15" hidden="false" customHeight="false" outlineLevel="0" collapsed="false">
      <c r="A3858" s="3" t="n">
        <v>2022</v>
      </c>
      <c r="B3858" s="3" t="n">
        <v>7</v>
      </c>
      <c r="C3858" s="3" t="n">
        <v>23</v>
      </c>
      <c r="D3858" s="3" t="s">
        <v>3862</v>
      </c>
      <c r="E3858" s="4" t="n">
        <v>0</v>
      </c>
    </row>
    <row r="3859" customFormat="false" ht="15" hidden="false" customHeight="false" outlineLevel="0" collapsed="false">
      <c r="A3859" s="3" t="n">
        <v>2022</v>
      </c>
      <c r="B3859" s="3" t="n">
        <v>7</v>
      </c>
      <c r="C3859" s="3" t="n">
        <v>24</v>
      </c>
      <c r="D3859" s="3" t="s">
        <v>3863</v>
      </c>
      <c r="E3859" s="4" t="n">
        <v>13</v>
      </c>
    </row>
    <row r="3860" customFormat="false" ht="15" hidden="false" customHeight="false" outlineLevel="0" collapsed="false">
      <c r="A3860" s="3" t="n">
        <v>2022</v>
      </c>
      <c r="B3860" s="3" t="n">
        <v>7</v>
      </c>
      <c r="C3860" s="3" t="n">
        <v>25</v>
      </c>
      <c r="D3860" s="3" t="s">
        <v>3864</v>
      </c>
      <c r="E3860" s="4" t="n">
        <v>20</v>
      </c>
    </row>
    <row r="3861" customFormat="false" ht="15" hidden="false" customHeight="false" outlineLevel="0" collapsed="false">
      <c r="A3861" s="3" t="n">
        <v>2022</v>
      </c>
      <c r="B3861" s="3" t="n">
        <v>7</v>
      </c>
      <c r="C3861" s="3" t="n">
        <v>26</v>
      </c>
      <c r="D3861" s="3" t="s">
        <v>3865</v>
      </c>
      <c r="E3861" s="4" t="n">
        <v>2</v>
      </c>
    </row>
    <row r="3862" customFormat="false" ht="15" hidden="false" customHeight="false" outlineLevel="0" collapsed="false">
      <c r="A3862" s="3" t="n">
        <v>2022</v>
      </c>
      <c r="B3862" s="3" t="n">
        <v>7</v>
      </c>
      <c r="C3862" s="3" t="n">
        <v>27</v>
      </c>
      <c r="D3862" s="3" t="s">
        <v>3866</v>
      </c>
      <c r="E3862" s="4" t="n">
        <v>75</v>
      </c>
    </row>
    <row r="3863" customFormat="false" ht="15" hidden="false" customHeight="false" outlineLevel="0" collapsed="false">
      <c r="A3863" s="3" t="n">
        <v>2022</v>
      </c>
      <c r="B3863" s="3" t="n">
        <v>7</v>
      </c>
      <c r="C3863" s="3" t="n">
        <v>28</v>
      </c>
      <c r="D3863" s="3" t="s">
        <v>3867</v>
      </c>
      <c r="E3863" s="4" t="n">
        <v>0</v>
      </c>
    </row>
    <row r="3864" customFormat="false" ht="15" hidden="false" customHeight="false" outlineLevel="0" collapsed="false">
      <c r="A3864" s="3" t="n">
        <v>2022</v>
      </c>
      <c r="B3864" s="3" t="n">
        <v>7</v>
      </c>
      <c r="C3864" s="3" t="n">
        <v>29</v>
      </c>
      <c r="D3864" s="3" t="s">
        <v>3868</v>
      </c>
      <c r="E3864" s="4" t="n">
        <v>1</v>
      </c>
    </row>
    <row r="3865" customFormat="false" ht="15" hidden="false" customHeight="false" outlineLevel="0" collapsed="false">
      <c r="A3865" s="3" t="n">
        <v>2022</v>
      </c>
      <c r="B3865" s="3" t="n">
        <v>7</v>
      </c>
      <c r="C3865" s="3" t="n">
        <v>30</v>
      </c>
      <c r="D3865" s="3" t="s">
        <v>3869</v>
      </c>
      <c r="E3865" s="4" t="n">
        <v>2</v>
      </c>
    </row>
    <row r="3866" customFormat="false" ht="15" hidden="false" customHeight="false" outlineLevel="0" collapsed="false">
      <c r="A3866" s="3" t="n">
        <v>2022</v>
      </c>
      <c r="B3866" s="3" t="n">
        <v>7</v>
      </c>
      <c r="C3866" s="3" t="n">
        <v>31</v>
      </c>
      <c r="D3866" s="3" t="s">
        <v>3870</v>
      </c>
      <c r="E3866" s="4" t="n">
        <v>2</v>
      </c>
    </row>
    <row r="3867" customFormat="false" ht="15" hidden="false" customHeight="false" outlineLevel="0" collapsed="false">
      <c r="A3867" s="3" t="n">
        <v>2022</v>
      </c>
      <c r="B3867" s="3" t="n">
        <v>8</v>
      </c>
      <c r="C3867" s="3" t="n">
        <v>1</v>
      </c>
      <c r="D3867" s="3" t="s">
        <v>3871</v>
      </c>
      <c r="E3867" s="4" t="n">
        <v>0</v>
      </c>
    </row>
    <row r="3868" customFormat="false" ht="15" hidden="false" customHeight="false" outlineLevel="0" collapsed="false">
      <c r="A3868" s="3" t="n">
        <v>2022</v>
      </c>
      <c r="B3868" s="3" t="n">
        <v>8</v>
      </c>
      <c r="C3868" s="3" t="n">
        <v>2</v>
      </c>
      <c r="D3868" s="3" t="s">
        <v>3872</v>
      </c>
      <c r="E3868" s="4" t="n">
        <v>12</v>
      </c>
    </row>
    <row r="3869" customFormat="false" ht="15" hidden="false" customHeight="false" outlineLevel="0" collapsed="false">
      <c r="A3869" s="3" t="n">
        <v>2022</v>
      </c>
      <c r="B3869" s="3" t="n">
        <v>8</v>
      </c>
      <c r="C3869" s="3" t="n">
        <v>3</v>
      </c>
      <c r="D3869" s="3" t="s">
        <v>3873</v>
      </c>
      <c r="E3869" s="4" t="n">
        <v>1</v>
      </c>
    </row>
    <row r="3870" customFormat="false" ht="15" hidden="false" customHeight="false" outlineLevel="0" collapsed="false">
      <c r="A3870" s="3" t="n">
        <v>2022</v>
      </c>
      <c r="B3870" s="3" t="n">
        <v>8</v>
      </c>
      <c r="C3870" s="3" t="n">
        <v>4</v>
      </c>
      <c r="D3870" s="3" t="s">
        <v>3874</v>
      </c>
      <c r="E3870" s="4" t="n">
        <v>6</v>
      </c>
    </row>
    <row r="3871" customFormat="false" ht="15" hidden="false" customHeight="false" outlineLevel="0" collapsed="false">
      <c r="A3871" s="3" t="n">
        <v>2022</v>
      </c>
      <c r="B3871" s="3" t="n">
        <v>8</v>
      </c>
      <c r="C3871" s="3" t="n">
        <v>5</v>
      </c>
      <c r="D3871" s="3" t="s">
        <v>3875</v>
      </c>
      <c r="E3871" s="4" t="n">
        <v>36</v>
      </c>
    </row>
    <row r="3872" customFormat="false" ht="15" hidden="false" customHeight="false" outlineLevel="0" collapsed="false">
      <c r="A3872" s="3" t="n">
        <v>2022</v>
      </c>
      <c r="B3872" s="3" t="n">
        <v>8</v>
      </c>
      <c r="C3872" s="3" t="n">
        <v>6</v>
      </c>
      <c r="D3872" s="3" t="s">
        <v>3876</v>
      </c>
      <c r="E3872" s="4" t="n">
        <v>0</v>
      </c>
    </row>
    <row r="3873" customFormat="false" ht="15" hidden="false" customHeight="false" outlineLevel="0" collapsed="false">
      <c r="A3873" s="3" t="n">
        <v>2022</v>
      </c>
      <c r="B3873" s="3" t="n">
        <v>8</v>
      </c>
      <c r="C3873" s="3" t="n">
        <v>7</v>
      </c>
      <c r="D3873" s="3" t="s">
        <v>3877</v>
      </c>
      <c r="E3873" s="4" t="n">
        <v>0</v>
      </c>
    </row>
    <row r="3874" customFormat="false" ht="15" hidden="false" customHeight="false" outlineLevel="0" collapsed="false">
      <c r="A3874" s="3" t="n">
        <v>2022</v>
      </c>
      <c r="B3874" s="3" t="n">
        <v>8</v>
      </c>
      <c r="C3874" s="3" t="n">
        <v>8</v>
      </c>
      <c r="D3874" s="3" t="s">
        <v>3878</v>
      </c>
      <c r="E3874" s="4" t="n">
        <v>0</v>
      </c>
    </row>
    <row r="3875" customFormat="false" ht="15" hidden="false" customHeight="false" outlineLevel="0" collapsed="false">
      <c r="A3875" s="3" t="n">
        <v>2022</v>
      </c>
      <c r="B3875" s="3" t="n">
        <v>8</v>
      </c>
      <c r="C3875" s="3" t="n">
        <v>9</v>
      </c>
      <c r="D3875" s="3" t="s">
        <v>3879</v>
      </c>
      <c r="E3875" s="4" t="n">
        <v>0</v>
      </c>
    </row>
    <row r="3876" customFormat="false" ht="15" hidden="false" customHeight="false" outlineLevel="0" collapsed="false">
      <c r="A3876" s="3" t="n">
        <v>2022</v>
      </c>
      <c r="B3876" s="3" t="n">
        <v>8</v>
      </c>
      <c r="C3876" s="3" t="n">
        <v>10</v>
      </c>
      <c r="D3876" s="3" t="s">
        <v>3880</v>
      </c>
      <c r="E3876" s="4" t="n">
        <v>0</v>
      </c>
    </row>
    <row r="3877" customFormat="false" ht="15" hidden="false" customHeight="false" outlineLevel="0" collapsed="false">
      <c r="A3877" s="3" t="n">
        <v>2022</v>
      </c>
      <c r="B3877" s="3" t="n">
        <v>8</v>
      </c>
      <c r="C3877" s="3" t="n">
        <v>11</v>
      </c>
      <c r="D3877" s="3" t="s">
        <v>3881</v>
      </c>
      <c r="E3877" s="4" t="n">
        <v>2</v>
      </c>
    </row>
    <row r="3878" customFormat="false" ht="15" hidden="false" customHeight="false" outlineLevel="0" collapsed="false">
      <c r="A3878" s="3" t="n">
        <v>2022</v>
      </c>
      <c r="B3878" s="3" t="n">
        <v>8</v>
      </c>
      <c r="C3878" s="3" t="n">
        <v>12</v>
      </c>
      <c r="D3878" s="3" t="s">
        <v>3882</v>
      </c>
      <c r="E3878" s="4" t="n">
        <v>0</v>
      </c>
    </row>
    <row r="3879" customFormat="false" ht="15" hidden="false" customHeight="false" outlineLevel="0" collapsed="false">
      <c r="A3879" s="3" t="n">
        <v>2022</v>
      </c>
      <c r="B3879" s="3" t="n">
        <v>8</v>
      </c>
      <c r="C3879" s="3" t="n">
        <v>13</v>
      </c>
      <c r="D3879" s="3" t="s">
        <v>3883</v>
      </c>
      <c r="E3879" s="4" t="n">
        <v>18</v>
      </c>
    </row>
    <row r="3880" customFormat="false" ht="15" hidden="false" customHeight="false" outlineLevel="0" collapsed="false">
      <c r="A3880" s="3" t="n">
        <v>2022</v>
      </c>
      <c r="B3880" s="3" t="n">
        <v>8</v>
      </c>
      <c r="C3880" s="3" t="n">
        <v>14</v>
      </c>
      <c r="D3880" s="3" t="s">
        <v>3884</v>
      </c>
      <c r="E3880" s="4" t="n">
        <v>30</v>
      </c>
    </row>
    <row r="3881" customFormat="false" ht="15" hidden="false" customHeight="false" outlineLevel="0" collapsed="false">
      <c r="A3881" s="3" t="n">
        <v>2022</v>
      </c>
      <c r="B3881" s="3" t="n">
        <v>8</v>
      </c>
      <c r="C3881" s="3" t="n">
        <v>15</v>
      </c>
      <c r="D3881" s="3" t="s">
        <v>3885</v>
      </c>
      <c r="E3881" s="4" t="n">
        <v>0</v>
      </c>
    </row>
    <row r="3882" customFormat="false" ht="15" hidden="false" customHeight="false" outlineLevel="0" collapsed="false">
      <c r="A3882" s="3" t="n">
        <v>2022</v>
      </c>
      <c r="B3882" s="3" t="n">
        <v>8</v>
      </c>
      <c r="C3882" s="3" t="n">
        <v>16</v>
      </c>
      <c r="D3882" s="3" t="s">
        <v>3886</v>
      </c>
      <c r="E3882" s="4" t="n">
        <v>0</v>
      </c>
    </row>
    <row r="3883" customFormat="false" ht="15" hidden="false" customHeight="false" outlineLevel="0" collapsed="false">
      <c r="A3883" s="3" t="n">
        <v>2022</v>
      </c>
      <c r="B3883" s="3" t="n">
        <v>8</v>
      </c>
      <c r="C3883" s="3" t="n">
        <v>17</v>
      </c>
      <c r="D3883" s="3" t="s">
        <v>3887</v>
      </c>
      <c r="E3883" s="4" t="n">
        <v>0</v>
      </c>
    </row>
    <row r="3884" customFormat="false" ht="15" hidden="false" customHeight="false" outlineLevel="0" collapsed="false">
      <c r="A3884" s="3" t="n">
        <v>2022</v>
      </c>
      <c r="B3884" s="3" t="n">
        <v>8</v>
      </c>
      <c r="C3884" s="3" t="n">
        <v>18</v>
      </c>
      <c r="D3884" s="3" t="s">
        <v>3888</v>
      </c>
      <c r="E3884" s="4" t="n">
        <v>0</v>
      </c>
    </row>
    <row r="3885" customFormat="false" ht="15" hidden="false" customHeight="false" outlineLevel="0" collapsed="false">
      <c r="A3885" s="3" t="n">
        <v>2022</v>
      </c>
      <c r="B3885" s="3" t="n">
        <v>8</v>
      </c>
      <c r="C3885" s="3" t="n">
        <v>19</v>
      </c>
      <c r="D3885" s="3" t="s">
        <v>3889</v>
      </c>
      <c r="E3885" s="4" t="n">
        <v>1</v>
      </c>
    </row>
    <row r="3886" customFormat="false" ht="15" hidden="false" customHeight="false" outlineLevel="0" collapsed="false">
      <c r="A3886" s="3" t="n">
        <v>2022</v>
      </c>
      <c r="B3886" s="3" t="n">
        <v>8</v>
      </c>
      <c r="C3886" s="3" t="n">
        <v>20</v>
      </c>
      <c r="D3886" s="3" t="s">
        <v>3890</v>
      </c>
      <c r="E3886" s="4" t="n">
        <v>2</v>
      </c>
    </row>
    <row r="3887" customFormat="false" ht="15" hidden="false" customHeight="false" outlineLevel="0" collapsed="false">
      <c r="A3887" s="3" t="n">
        <v>2022</v>
      </c>
      <c r="B3887" s="3" t="n">
        <v>8</v>
      </c>
      <c r="C3887" s="3" t="n">
        <v>21</v>
      </c>
      <c r="D3887" s="3" t="s">
        <v>3891</v>
      </c>
      <c r="E3887" s="4" t="n">
        <v>75</v>
      </c>
    </row>
    <row r="3888" customFormat="false" ht="15" hidden="false" customHeight="false" outlineLevel="0" collapsed="false">
      <c r="A3888" s="3" t="n">
        <v>2022</v>
      </c>
      <c r="B3888" s="3" t="n">
        <v>8</v>
      </c>
      <c r="C3888" s="3" t="n">
        <v>22</v>
      </c>
      <c r="D3888" s="3" t="s">
        <v>3892</v>
      </c>
      <c r="E3888" s="4" t="n">
        <v>40</v>
      </c>
    </row>
    <row r="3889" customFormat="false" ht="15" hidden="false" customHeight="false" outlineLevel="0" collapsed="false">
      <c r="A3889" s="3" t="n">
        <v>2022</v>
      </c>
      <c r="B3889" s="3" t="n">
        <v>8</v>
      </c>
      <c r="C3889" s="3" t="n">
        <v>23</v>
      </c>
      <c r="D3889" s="3" t="s">
        <v>3893</v>
      </c>
      <c r="E3889" s="4" t="n">
        <v>0</v>
      </c>
    </row>
    <row r="3890" customFormat="false" ht="15" hidden="false" customHeight="false" outlineLevel="0" collapsed="false">
      <c r="A3890" s="3" t="n">
        <v>2022</v>
      </c>
      <c r="B3890" s="3" t="n">
        <v>8</v>
      </c>
      <c r="C3890" s="3" t="n">
        <v>24</v>
      </c>
      <c r="D3890" s="3" t="s">
        <v>3894</v>
      </c>
      <c r="E3890" s="4" t="n">
        <v>11</v>
      </c>
    </row>
    <row r="3891" customFormat="false" ht="15" hidden="false" customHeight="false" outlineLevel="0" collapsed="false">
      <c r="A3891" s="3" t="n">
        <v>2022</v>
      </c>
      <c r="B3891" s="3" t="n">
        <v>8</v>
      </c>
      <c r="C3891" s="3" t="n">
        <v>25</v>
      </c>
      <c r="D3891" s="3" t="s">
        <v>3895</v>
      </c>
      <c r="E3891" s="4" t="n">
        <v>2</v>
      </c>
    </row>
    <row r="3892" customFormat="false" ht="15" hidden="false" customHeight="false" outlineLevel="0" collapsed="false">
      <c r="A3892" s="3" t="n">
        <v>2022</v>
      </c>
      <c r="B3892" s="3" t="n">
        <v>8</v>
      </c>
      <c r="C3892" s="3" t="n">
        <v>26</v>
      </c>
      <c r="D3892" s="3" t="s">
        <v>3896</v>
      </c>
      <c r="E3892" s="4" t="n">
        <v>0</v>
      </c>
    </row>
    <row r="3893" customFormat="false" ht="15" hidden="false" customHeight="false" outlineLevel="0" collapsed="false">
      <c r="A3893" s="3" t="n">
        <v>2022</v>
      </c>
      <c r="B3893" s="3" t="n">
        <v>8</v>
      </c>
      <c r="C3893" s="3" t="n">
        <v>27</v>
      </c>
      <c r="D3893" s="3" t="s">
        <v>3897</v>
      </c>
      <c r="E3893" s="4" t="n">
        <v>37</v>
      </c>
    </row>
    <row r="3894" customFormat="false" ht="15" hidden="false" customHeight="false" outlineLevel="0" collapsed="false">
      <c r="A3894" s="3" t="n">
        <v>2022</v>
      </c>
      <c r="B3894" s="3" t="n">
        <v>8</v>
      </c>
      <c r="C3894" s="3" t="n">
        <v>28</v>
      </c>
      <c r="D3894" s="3" t="s">
        <v>3898</v>
      </c>
      <c r="E3894" s="4" t="n">
        <v>20</v>
      </c>
    </row>
    <row r="3895" customFormat="false" ht="15" hidden="false" customHeight="false" outlineLevel="0" collapsed="false">
      <c r="A3895" s="3" t="n">
        <v>2022</v>
      </c>
      <c r="B3895" s="3" t="n">
        <v>8</v>
      </c>
      <c r="C3895" s="3" t="n">
        <v>29</v>
      </c>
      <c r="D3895" s="3" t="s">
        <v>3899</v>
      </c>
      <c r="E3895" s="4" t="n">
        <v>0</v>
      </c>
    </row>
    <row r="3896" customFormat="false" ht="15" hidden="false" customHeight="false" outlineLevel="0" collapsed="false">
      <c r="A3896" s="3" t="n">
        <v>2022</v>
      </c>
      <c r="B3896" s="3" t="n">
        <v>8</v>
      </c>
      <c r="C3896" s="3" t="n">
        <v>30</v>
      </c>
      <c r="D3896" s="3" t="s">
        <v>3900</v>
      </c>
      <c r="E3896" s="4" t="n">
        <v>3</v>
      </c>
    </row>
    <row r="3897" customFormat="false" ht="15" hidden="false" customHeight="false" outlineLevel="0" collapsed="false">
      <c r="A3897" s="3" t="n">
        <v>2022</v>
      </c>
      <c r="B3897" s="3" t="n">
        <v>8</v>
      </c>
      <c r="C3897" s="3" t="n">
        <v>31</v>
      </c>
      <c r="D3897" s="3" t="s">
        <v>3901</v>
      </c>
      <c r="E3897" s="4" t="n">
        <v>58</v>
      </c>
    </row>
    <row r="3898" customFormat="false" ht="15" hidden="false" customHeight="false" outlineLevel="0" collapsed="false">
      <c r="A3898" s="3" t="n">
        <v>2022</v>
      </c>
      <c r="B3898" s="3" t="n">
        <v>9</v>
      </c>
      <c r="C3898" s="3" t="n">
        <v>1</v>
      </c>
      <c r="D3898" s="3" t="s">
        <v>3902</v>
      </c>
      <c r="E3898" s="4" t="n">
        <v>2</v>
      </c>
    </row>
    <row r="3899" customFormat="false" ht="15" hidden="false" customHeight="false" outlineLevel="0" collapsed="false">
      <c r="A3899" s="3" t="n">
        <v>2022</v>
      </c>
      <c r="B3899" s="3" t="n">
        <v>9</v>
      </c>
      <c r="C3899" s="3" t="n">
        <v>2</v>
      </c>
      <c r="D3899" s="3" t="s">
        <v>3903</v>
      </c>
      <c r="E3899" s="4" t="n">
        <v>67</v>
      </c>
    </row>
    <row r="3900" customFormat="false" ht="15" hidden="false" customHeight="false" outlineLevel="0" collapsed="false">
      <c r="A3900" s="3" t="n">
        <v>2022</v>
      </c>
      <c r="B3900" s="3" t="n">
        <v>9</v>
      </c>
      <c r="C3900" s="3" t="n">
        <v>3</v>
      </c>
      <c r="D3900" s="3" t="s">
        <v>3904</v>
      </c>
      <c r="E3900" s="4" t="n">
        <v>3</v>
      </c>
    </row>
    <row r="3901" customFormat="false" ht="15" hidden="false" customHeight="false" outlineLevel="0" collapsed="false">
      <c r="A3901" s="3" t="n">
        <v>2022</v>
      </c>
      <c r="B3901" s="3" t="n">
        <v>9</v>
      </c>
      <c r="C3901" s="3" t="n">
        <v>4</v>
      </c>
      <c r="D3901" s="3" t="s">
        <v>3905</v>
      </c>
      <c r="E3901" s="4" t="n">
        <v>0</v>
      </c>
    </row>
    <row r="3902" customFormat="false" ht="15" hidden="false" customHeight="false" outlineLevel="0" collapsed="false">
      <c r="A3902" s="3" t="n">
        <v>2022</v>
      </c>
      <c r="B3902" s="3" t="n">
        <v>9</v>
      </c>
      <c r="C3902" s="3" t="n">
        <v>5</v>
      </c>
      <c r="D3902" s="3" t="s">
        <v>3906</v>
      </c>
      <c r="E3902" s="4" t="n">
        <v>1</v>
      </c>
    </row>
    <row r="3903" customFormat="false" ht="15" hidden="false" customHeight="false" outlineLevel="0" collapsed="false">
      <c r="A3903" s="3" t="n">
        <v>2022</v>
      </c>
      <c r="B3903" s="3" t="n">
        <v>9</v>
      </c>
      <c r="C3903" s="3" t="n">
        <v>6</v>
      </c>
      <c r="D3903" s="3" t="s">
        <v>3907</v>
      </c>
      <c r="E3903" s="4" t="n">
        <v>1</v>
      </c>
    </row>
    <row r="3904" customFormat="false" ht="15" hidden="false" customHeight="false" outlineLevel="0" collapsed="false">
      <c r="A3904" s="3" t="n">
        <v>2022</v>
      </c>
      <c r="B3904" s="3" t="n">
        <v>9</v>
      </c>
      <c r="C3904" s="3" t="n">
        <v>7</v>
      </c>
      <c r="D3904" s="3" t="s">
        <v>3908</v>
      </c>
      <c r="E3904" s="4" t="n">
        <v>0</v>
      </c>
    </row>
    <row r="3905" customFormat="false" ht="15" hidden="false" customHeight="false" outlineLevel="0" collapsed="false">
      <c r="A3905" s="3" t="n">
        <v>2022</v>
      </c>
      <c r="B3905" s="3" t="n">
        <v>9</v>
      </c>
      <c r="C3905" s="3" t="n">
        <v>8</v>
      </c>
      <c r="D3905" s="3" t="s">
        <v>3909</v>
      </c>
      <c r="E3905" s="4" t="n">
        <v>8</v>
      </c>
    </row>
    <row r="3906" customFormat="false" ht="15" hidden="false" customHeight="false" outlineLevel="0" collapsed="false">
      <c r="A3906" s="3" t="n">
        <v>2022</v>
      </c>
      <c r="B3906" s="3" t="n">
        <v>9</v>
      </c>
      <c r="C3906" s="3" t="n">
        <v>9</v>
      </c>
      <c r="D3906" s="3" t="s">
        <v>3910</v>
      </c>
      <c r="E3906" s="4" t="n">
        <v>2</v>
      </c>
    </row>
    <row r="3907" customFormat="false" ht="15" hidden="false" customHeight="false" outlineLevel="0" collapsed="false">
      <c r="A3907" s="3" t="n">
        <v>2022</v>
      </c>
      <c r="B3907" s="3" t="n">
        <v>9</v>
      </c>
      <c r="C3907" s="3" t="n">
        <v>10</v>
      </c>
      <c r="D3907" s="3" t="s">
        <v>3911</v>
      </c>
      <c r="E3907" s="4" t="n">
        <v>1</v>
      </c>
    </row>
    <row r="3908" customFormat="false" ht="15" hidden="false" customHeight="false" outlineLevel="0" collapsed="false">
      <c r="A3908" s="3" t="n">
        <v>2022</v>
      </c>
      <c r="B3908" s="3" t="n">
        <v>9</v>
      </c>
      <c r="C3908" s="3" t="n">
        <v>11</v>
      </c>
      <c r="D3908" s="3" t="s">
        <v>3912</v>
      </c>
      <c r="E3908" s="4" t="n">
        <v>28</v>
      </c>
    </row>
    <row r="3909" customFormat="false" ht="15" hidden="false" customHeight="false" outlineLevel="0" collapsed="false">
      <c r="A3909" s="3" t="n">
        <v>2022</v>
      </c>
      <c r="B3909" s="3" t="n">
        <v>9</v>
      </c>
      <c r="C3909" s="3" t="n">
        <v>12</v>
      </c>
      <c r="D3909" s="3" t="s">
        <v>3913</v>
      </c>
      <c r="E3909" s="4" t="n">
        <v>2</v>
      </c>
    </row>
    <row r="3910" customFormat="false" ht="15" hidden="false" customHeight="false" outlineLevel="0" collapsed="false">
      <c r="A3910" s="3" t="n">
        <v>2022</v>
      </c>
      <c r="B3910" s="3" t="n">
        <v>9</v>
      </c>
      <c r="C3910" s="3" t="n">
        <v>13</v>
      </c>
      <c r="D3910" s="3" t="s">
        <v>3914</v>
      </c>
      <c r="E3910" s="4" t="n">
        <v>31</v>
      </c>
    </row>
    <row r="3911" customFormat="false" ht="15" hidden="false" customHeight="false" outlineLevel="0" collapsed="false">
      <c r="A3911" s="3" t="n">
        <v>2022</v>
      </c>
      <c r="B3911" s="3" t="n">
        <v>9</v>
      </c>
      <c r="C3911" s="3" t="n">
        <v>14</v>
      </c>
      <c r="D3911" s="3" t="s">
        <v>3915</v>
      </c>
      <c r="E3911" s="4" t="n">
        <v>10</v>
      </c>
    </row>
    <row r="3912" customFormat="false" ht="15" hidden="false" customHeight="false" outlineLevel="0" collapsed="false">
      <c r="A3912" s="3" t="n">
        <v>2022</v>
      </c>
      <c r="B3912" s="3" t="n">
        <v>9</v>
      </c>
      <c r="C3912" s="3" t="n">
        <v>15</v>
      </c>
      <c r="D3912" s="3" t="s">
        <v>3916</v>
      </c>
      <c r="E3912" s="4" t="n">
        <v>0</v>
      </c>
    </row>
    <row r="3913" customFormat="false" ht="15" hidden="false" customHeight="false" outlineLevel="0" collapsed="false">
      <c r="A3913" s="3" t="n">
        <v>2022</v>
      </c>
      <c r="B3913" s="3" t="n">
        <v>9</v>
      </c>
      <c r="C3913" s="3" t="n">
        <v>16</v>
      </c>
      <c r="D3913" s="3" t="s">
        <v>3917</v>
      </c>
      <c r="E3913" s="4" t="n">
        <v>2</v>
      </c>
    </row>
    <row r="3914" customFormat="false" ht="15" hidden="false" customHeight="false" outlineLevel="0" collapsed="false">
      <c r="A3914" s="3" t="n">
        <v>2022</v>
      </c>
      <c r="B3914" s="3" t="n">
        <v>9</v>
      </c>
      <c r="C3914" s="3" t="n">
        <v>17</v>
      </c>
      <c r="D3914" s="3" t="s">
        <v>3918</v>
      </c>
      <c r="E3914" s="4" t="n">
        <v>3</v>
      </c>
    </row>
    <row r="3915" customFormat="false" ht="15" hidden="false" customHeight="false" outlineLevel="0" collapsed="false">
      <c r="A3915" s="3" t="n">
        <v>2022</v>
      </c>
      <c r="B3915" s="3" t="n">
        <v>9</v>
      </c>
      <c r="C3915" s="3" t="n">
        <v>18</v>
      </c>
      <c r="D3915" s="3" t="s">
        <v>3919</v>
      </c>
      <c r="E3915" s="4" t="n">
        <v>29</v>
      </c>
    </row>
    <row r="3916" customFormat="false" ht="15" hidden="false" customHeight="false" outlineLevel="0" collapsed="false">
      <c r="A3916" s="3" t="n">
        <v>2022</v>
      </c>
      <c r="B3916" s="3" t="n">
        <v>9</v>
      </c>
      <c r="C3916" s="3" t="n">
        <v>19</v>
      </c>
      <c r="D3916" s="3" t="s">
        <v>3920</v>
      </c>
      <c r="E3916" s="4" t="n">
        <v>12</v>
      </c>
    </row>
    <row r="3917" customFormat="false" ht="15" hidden="false" customHeight="false" outlineLevel="0" collapsed="false">
      <c r="A3917" s="3" t="n">
        <v>2022</v>
      </c>
      <c r="B3917" s="3" t="n">
        <v>9</v>
      </c>
      <c r="C3917" s="3" t="n">
        <v>20</v>
      </c>
      <c r="D3917" s="3" t="s">
        <v>3921</v>
      </c>
      <c r="E3917" s="4" t="n">
        <v>2</v>
      </c>
    </row>
    <row r="3918" customFormat="false" ht="15" hidden="false" customHeight="false" outlineLevel="0" collapsed="false">
      <c r="A3918" s="3" t="n">
        <v>2022</v>
      </c>
      <c r="B3918" s="3" t="n">
        <v>9</v>
      </c>
      <c r="C3918" s="3" t="n">
        <v>21</v>
      </c>
      <c r="D3918" s="3" t="s">
        <v>3922</v>
      </c>
      <c r="E3918" s="4" t="n">
        <v>1</v>
      </c>
    </row>
    <row r="3919" customFormat="false" ht="15" hidden="false" customHeight="false" outlineLevel="0" collapsed="false">
      <c r="A3919" s="3" t="n">
        <v>2022</v>
      </c>
      <c r="B3919" s="3" t="n">
        <v>9</v>
      </c>
      <c r="C3919" s="3" t="n">
        <v>22</v>
      </c>
      <c r="D3919" s="3" t="s">
        <v>3923</v>
      </c>
      <c r="E3919" s="4" t="n">
        <v>0</v>
      </c>
    </row>
    <row r="3920" customFormat="false" ht="15" hidden="false" customHeight="false" outlineLevel="0" collapsed="false">
      <c r="A3920" s="3" t="n">
        <v>2022</v>
      </c>
      <c r="B3920" s="3" t="n">
        <v>9</v>
      </c>
      <c r="C3920" s="3" t="n">
        <v>23</v>
      </c>
      <c r="D3920" s="3" t="s">
        <v>3924</v>
      </c>
      <c r="E3920" s="4" t="n">
        <v>7</v>
      </c>
    </row>
    <row r="3921" customFormat="false" ht="15" hidden="false" customHeight="false" outlineLevel="0" collapsed="false">
      <c r="A3921" s="3" t="n">
        <v>2022</v>
      </c>
      <c r="B3921" s="3" t="n">
        <v>9</v>
      </c>
      <c r="C3921" s="3" t="n">
        <v>24</v>
      </c>
      <c r="D3921" s="3" t="s">
        <v>3925</v>
      </c>
      <c r="E3921" s="4" t="n">
        <v>0</v>
      </c>
    </row>
    <row r="3922" customFormat="false" ht="15" hidden="false" customHeight="false" outlineLevel="0" collapsed="false">
      <c r="A3922" s="3" t="n">
        <v>2022</v>
      </c>
      <c r="B3922" s="3" t="n">
        <v>9</v>
      </c>
      <c r="C3922" s="3" t="n">
        <v>25</v>
      </c>
      <c r="D3922" s="3" t="s">
        <v>3926</v>
      </c>
      <c r="E3922" s="4" t="n">
        <v>1</v>
      </c>
    </row>
    <row r="3923" customFormat="false" ht="15" hidden="false" customHeight="false" outlineLevel="0" collapsed="false">
      <c r="A3923" s="3" t="n">
        <v>2022</v>
      </c>
      <c r="B3923" s="3" t="n">
        <v>9</v>
      </c>
      <c r="C3923" s="3" t="n">
        <v>26</v>
      </c>
      <c r="D3923" s="3" t="s">
        <v>3927</v>
      </c>
      <c r="E3923" s="4" t="n">
        <v>1</v>
      </c>
    </row>
    <row r="3924" customFormat="false" ht="15" hidden="false" customHeight="false" outlineLevel="0" collapsed="false">
      <c r="A3924" s="3" t="n">
        <v>2022</v>
      </c>
      <c r="B3924" s="3" t="n">
        <v>9</v>
      </c>
      <c r="C3924" s="3" t="n">
        <v>27</v>
      </c>
      <c r="D3924" s="3" t="s">
        <v>3928</v>
      </c>
      <c r="E3924" s="4" t="n">
        <v>59</v>
      </c>
    </row>
    <row r="3925" customFormat="false" ht="15" hidden="false" customHeight="false" outlineLevel="0" collapsed="false">
      <c r="A3925" s="3" t="n">
        <v>2022</v>
      </c>
      <c r="B3925" s="3" t="n">
        <v>9</v>
      </c>
      <c r="C3925" s="3" t="n">
        <v>28</v>
      </c>
      <c r="D3925" s="3" t="s">
        <v>3929</v>
      </c>
      <c r="E3925" s="4" t="n">
        <v>0</v>
      </c>
    </row>
    <row r="3926" customFormat="false" ht="15" hidden="false" customHeight="false" outlineLevel="0" collapsed="false">
      <c r="A3926" s="3" t="n">
        <v>2022</v>
      </c>
      <c r="B3926" s="3" t="n">
        <v>9</v>
      </c>
      <c r="C3926" s="3" t="n">
        <v>29</v>
      </c>
      <c r="D3926" s="3" t="s">
        <v>3930</v>
      </c>
      <c r="E3926" s="4" t="n">
        <v>2</v>
      </c>
    </row>
    <row r="3927" customFormat="false" ht="15" hidden="false" customHeight="false" outlineLevel="0" collapsed="false">
      <c r="A3927" s="3" t="n">
        <v>2022</v>
      </c>
      <c r="B3927" s="3" t="n">
        <v>9</v>
      </c>
      <c r="C3927" s="3" t="n">
        <v>30</v>
      </c>
      <c r="D3927" s="3" t="s">
        <v>3931</v>
      </c>
      <c r="E3927" s="4" t="n">
        <v>0</v>
      </c>
    </row>
    <row r="3928" customFormat="false" ht="15" hidden="false" customHeight="false" outlineLevel="0" collapsed="false">
      <c r="A3928" s="3" t="n">
        <v>2022</v>
      </c>
      <c r="B3928" s="3" t="n">
        <v>10</v>
      </c>
      <c r="C3928" s="3" t="n">
        <v>1</v>
      </c>
      <c r="D3928" s="3" t="s">
        <v>3932</v>
      </c>
      <c r="E3928" s="4" t="n">
        <v>3</v>
      </c>
    </row>
    <row r="3929" customFormat="false" ht="15" hidden="false" customHeight="false" outlineLevel="0" collapsed="false">
      <c r="A3929" s="3" t="n">
        <v>2022</v>
      </c>
      <c r="B3929" s="3" t="n">
        <v>10</v>
      </c>
      <c r="C3929" s="3" t="n">
        <v>2</v>
      </c>
      <c r="D3929" s="3" t="s">
        <v>3933</v>
      </c>
      <c r="E3929" s="4" t="n">
        <v>33</v>
      </c>
    </row>
    <row r="3930" customFormat="false" ht="15" hidden="false" customHeight="false" outlineLevel="0" collapsed="false">
      <c r="A3930" s="3" t="n">
        <v>2022</v>
      </c>
      <c r="B3930" s="3" t="n">
        <v>10</v>
      </c>
      <c r="C3930" s="3" t="n">
        <v>3</v>
      </c>
      <c r="D3930" s="3" t="s">
        <v>3934</v>
      </c>
      <c r="E3930" s="4" t="n">
        <v>35</v>
      </c>
    </row>
    <row r="3931" customFormat="false" ht="15" hidden="false" customHeight="false" outlineLevel="0" collapsed="false">
      <c r="A3931" s="3" t="n">
        <v>2022</v>
      </c>
      <c r="B3931" s="3" t="n">
        <v>10</v>
      </c>
      <c r="C3931" s="3" t="n">
        <v>4</v>
      </c>
      <c r="D3931" s="3" t="s">
        <v>3935</v>
      </c>
      <c r="E3931" s="4" t="n">
        <v>14</v>
      </c>
    </row>
    <row r="3932" customFormat="false" ht="15" hidden="false" customHeight="false" outlineLevel="0" collapsed="false">
      <c r="A3932" s="3" t="n">
        <v>2022</v>
      </c>
      <c r="B3932" s="3" t="n">
        <v>10</v>
      </c>
      <c r="C3932" s="3" t="n">
        <v>5</v>
      </c>
      <c r="D3932" s="3" t="s">
        <v>3936</v>
      </c>
      <c r="E3932" s="4" t="n">
        <v>20</v>
      </c>
    </row>
    <row r="3933" customFormat="false" ht="15" hidden="false" customHeight="false" outlineLevel="0" collapsed="false">
      <c r="A3933" s="3" t="n">
        <v>2022</v>
      </c>
      <c r="B3933" s="3" t="n">
        <v>10</v>
      </c>
      <c r="C3933" s="3" t="n">
        <v>6</v>
      </c>
      <c r="D3933" s="3" t="s">
        <v>3937</v>
      </c>
      <c r="E3933" s="4" t="n">
        <v>8</v>
      </c>
    </row>
    <row r="3934" customFormat="false" ht="15" hidden="false" customHeight="false" outlineLevel="0" collapsed="false">
      <c r="A3934" s="3" t="n">
        <v>2022</v>
      </c>
      <c r="B3934" s="3" t="n">
        <v>10</v>
      </c>
      <c r="C3934" s="3" t="n">
        <v>7</v>
      </c>
      <c r="D3934" s="3" t="s">
        <v>3938</v>
      </c>
      <c r="E3934" s="4" t="n">
        <v>91</v>
      </c>
    </row>
    <row r="3935" customFormat="false" ht="15" hidden="false" customHeight="false" outlineLevel="0" collapsed="false">
      <c r="A3935" s="3" t="n">
        <v>2022</v>
      </c>
      <c r="B3935" s="3" t="n">
        <v>10</v>
      </c>
      <c r="C3935" s="3" t="n">
        <v>8</v>
      </c>
      <c r="D3935" s="3" t="s">
        <v>3939</v>
      </c>
      <c r="E3935" s="4" t="n">
        <v>22</v>
      </c>
    </row>
    <row r="3936" customFormat="false" ht="15" hidden="false" customHeight="false" outlineLevel="0" collapsed="false">
      <c r="A3936" s="3" t="n">
        <v>2022</v>
      </c>
      <c r="B3936" s="3" t="n">
        <v>10</v>
      </c>
      <c r="C3936" s="3" t="n">
        <v>9</v>
      </c>
      <c r="D3936" s="3" t="s">
        <v>3940</v>
      </c>
      <c r="E3936" s="4" t="n">
        <v>7</v>
      </c>
    </row>
    <row r="3937" customFormat="false" ht="15" hidden="false" customHeight="false" outlineLevel="0" collapsed="false">
      <c r="A3937" s="3" t="n">
        <v>2022</v>
      </c>
      <c r="B3937" s="3" t="n">
        <v>10</v>
      </c>
      <c r="C3937" s="3" t="n">
        <v>10</v>
      </c>
      <c r="D3937" s="3" t="s">
        <v>3941</v>
      </c>
      <c r="E3937" s="4" t="n">
        <v>11</v>
      </c>
    </row>
    <row r="3938" customFormat="false" ht="15" hidden="false" customHeight="false" outlineLevel="0" collapsed="false">
      <c r="A3938" s="3" t="n">
        <v>2022</v>
      </c>
      <c r="B3938" s="3" t="n">
        <v>10</v>
      </c>
      <c r="C3938" s="3" t="n">
        <v>11</v>
      </c>
      <c r="D3938" s="3" t="s">
        <v>3942</v>
      </c>
      <c r="E3938" s="4" t="n">
        <v>17</v>
      </c>
    </row>
    <row r="3939" customFormat="false" ht="15" hidden="false" customHeight="false" outlineLevel="0" collapsed="false">
      <c r="A3939" s="3" t="n">
        <v>2022</v>
      </c>
      <c r="B3939" s="3" t="n">
        <v>10</v>
      </c>
      <c r="C3939" s="3" t="n">
        <v>12</v>
      </c>
      <c r="D3939" s="3" t="s">
        <v>3943</v>
      </c>
      <c r="E3939" s="4" t="n">
        <v>0</v>
      </c>
    </row>
    <row r="3940" customFormat="false" ht="15" hidden="false" customHeight="false" outlineLevel="0" collapsed="false">
      <c r="A3940" s="3" t="n">
        <v>2022</v>
      </c>
      <c r="B3940" s="3" t="n">
        <v>10</v>
      </c>
      <c r="C3940" s="3" t="n">
        <v>13</v>
      </c>
      <c r="D3940" s="3" t="s">
        <v>3944</v>
      </c>
      <c r="E3940" s="4" t="n">
        <v>8</v>
      </c>
    </row>
    <row r="3941" customFormat="false" ht="15" hidden="false" customHeight="false" outlineLevel="0" collapsed="false">
      <c r="A3941" s="3" t="n">
        <v>2022</v>
      </c>
      <c r="B3941" s="3" t="n">
        <v>10</v>
      </c>
      <c r="C3941" s="3" t="n">
        <v>14</v>
      </c>
      <c r="D3941" s="3" t="s">
        <v>3945</v>
      </c>
      <c r="E3941" s="4" t="n">
        <v>0</v>
      </c>
    </row>
    <row r="3942" customFormat="false" ht="15" hidden="false" customHeight="false" outlineLevel="0" collapsed="false">
      <c r="A3942" s="3" t="n">
        <v>2022</v>
      </c>
      <c r="B3942" s="3" t="n">
        <v>10</v>
      </c>
      <c r="C3942" s="3" t="n">
        <v>15</v>
      </c>
      <c r="D3942" s="3" t="s">
        <v>3946</v>
      </c>
      <c r="E3942" s="4" t="n">
        <v>1</v>
      </c>
    </row>
    <row r="3943" customFormat="false" ht="15" hidden="false" customHeight="false" outlineLevel="0" collapsed="false">
      <c r="A3943" s="3" t="n">
        <v>2022</v>
      </c>
      <c r="B3943" s="3" t="n">
        <v>10</v>
      </c>
      <c r="C3943" s="3" t="n">
        <v>16</v>
      </c>
      <c r="D3943" s="3" t="s">
        <v>3947</v>
      </c>
      <c r="E3943" s="4" t="n">
        <v>5</v>
      </c>
    </row>
    <row r="3944" customFormat="false" ht="15" hidden="false" customHeight="false" outlineLevel="0" collapsed="false">
      <c r="A3944" s="3" t="n">
        <v>2022</v>
      </c>
      <c r="B3944" s="3" t="n">
        <v>10</v>
      </c>
      <c r="C3944" s="3" t="n">
        <v>17</v>
      </c>
      <c r="D3944" s="3" t="s">
        <v>3948</v>
      </c>
      <c r="E3944" s="4" t="n">
        <v>5</v>
      </c>
    </row>
    <row r="3945" customFormat="false" ht="15" hidden="false" customHeight="false" outlineLevel="0" collapsed="false">
      <c r="A3945" s="3" t="n">
        <v>2022</v>
      </c>
      <c r="B3945" s="3" t="n">
        <v>10</v>
      </c>
      <c r="C3945" s="3" t="n">
        <v>18</v>
      </c>
      <c r="D3945" s="3" t="s">
        <v>3949</v>
      </c>
      <c r="E3945" s="4" t="n">
        <v>47</v>
      </c>
    </row>
    <row r="3946" customFormat="false" ht="15" hidden="false" customHeight="false" outlineLevel="0" collapsed="false">
      <c r="A3946" s="3" t="n">
        <v>2022</v>
      </c>
      <c r="B3946" s="3" t="n">
        <v>10</v>
      </c>
      <c r="C3946" s="3" t="n">
        <v>19</v>
      </c>
      <c r="D3946" s="3" t="s">
        <v>3950</v>
      </c>
      <c r="E3946" s="4" t="n">
        <v>0</v>
      </c>
    </row>
    <row r="3947" customFormat="false" ht="15" hidden="false" customHeight="false" outlineLevel="0" collapsed="false">
      <c r="A3947" s="3" t="n">
        <v>2022</v>
      </c>
      <c r="B3947" s="3" t="n">
        <v>10</v>
      </c>
      <c r="C3947" s="3" t="n">
        <v>20</v>
      </c>
      <c r="D3947" s="3" t="s">
        <v>3951</v>
      </c>
      <c r="E3947" s="4" t="n">
        <v>4</v>
      </c>
    </row>
    <row r="3948" customFormat="false" ht="15" hidden="false" customHeight="false" outlineLevel="0" collapsed="false">
      <c r="A3948" s="3" t="n">
        <v>2022</v>
      </c>
      <c r="B3948" s="3" t="n">
        <v>10</v>
      </c>
      <c r="C3948" s="3" t="n">
        <v>21</v>
      </c>
      <c r="D3948" s="3" t="s">
        <v>3952</v>
      </c>
      <c r="E3948" s="4" t="n">
        <v>3</v>
      </c>
    </row>
    <row r="3949" customFormat="false" ht="15" hidden="false" customHeight="false" outlineLevel="0" collapsed="false">
      <c r="A3949" s="3" t="n">
        <v>2022</v>
      </c>
      <c r="B3949" s="3" t="n">
        <v>10</v>
      </c>
      <c r="C3949" s="3" t="n">
        <v>22</v>
      </c>
      <c r="D3949" s="3" t="s">
        <v>3953</v>
      </c>
      <c r="E3949" s="4" t="n">
        <v>19</v>
      </c>
    </row>
    <row r="3950" customFormat="false" ht="15" hidden="false" customHeight="false" outlineLevel="0" collapsed="false">
      <c r="A3950" s="3" t="n">
        <v>2022</v>
      </c>
      <c r="B3950" s="3" t="n">
        <v>10</v>
      </c>
      <c r="C3950" s="3" t="n">
        <v>23</v>
      </c>
      <c r="D3950" s="3" t="s">
        <v>3954</v>
      </c>
      <c r="E3950" s="4" t="n">
        <v>6</v>
      </c>
    </row>
    <row r="3951" customFormat="false" ht="15" hidden="false" customHeight="false" outlineLevel="0" collapsed="false">
      <c r="A3951" s="3" t="n">
        <v>2022</v>
      </c>
      <c r="B3951" s="3" t="n">
        <v>10</v>
      </c>
      <c r="C3951" s="3" t="n">
        <v>24</v>
      </c>
      <c r="D3951" s="3" t="s">
        <v>3955</v>
      </c>
      <c r="E3951" s="4" t="n">
        <v>27</v>
      </c>
    </row>
    <row r="3952" customFormat="false" ht="15" hidden="false" customHeight="false" outlineLevel="0" collapsed="false">
      <c r="A3952" s="3" t="n">
        <v>2022</v>
      </c>
      <c r="B3952" s="3" t="n">
        <v>10</v>
      </c>
      <c r="C3952" s="3" t="n">
        <v>25</v>
      </c>
      <c r="D3952" s="3" t="s">
        <v>3956</v>
      </c>
      <c r="E3952" s="4" t="n">
        <v>7</v>
      </c>
    </row>
    <row r="3953" customFormat="false" ht="15" hidden="false" customHeight="false" outlineLevel="0" collapsed="false">
      <c r="A3953" s="3" t="n">
        <v>2022</v>
      </c>
      <c r="B3953" s="3" t="n">
        <v>10</v>
      </c>
      <c r="C3953" s="3" t="n">
        <v>26</v>
      </c>
      <c r="D3953" s="3" t="s">
        <v>3957</v>
      </c>
      <c r="E3953" s="4" t="n">
        <v>8</v>
      </c>
    </row>
    <row r="3954" customFormat="false" ht="15" hidden="false" customHeight="false" outlineLevel="0" collapsed="false">
      <c r="A3954" s="3" t="n">
        <v>2022</v>
      </c>
      <c r="B3954" s="3" t="n">
        <v>10</v>
      </c>
      <c r="C3954" s="3" t="n">
        <v>27</v>
      </c>
      <c r="D3954" s="3" t="s">
        <v>3958</v>
      </c>
      <c r="E3954" s="4" t="n">
        <v>7</v>
      </c>
    </row>
    <row r="3955" customFormat="false" ht="15" hidden="false" customHeight="false" outlineLevel="0" collapsed="false">
      <c r="A3955" s="3" t="n">
        <v>2022</v>
      </c>
      <c r="B3955" s="3" t="n">
        <v>10</v>
      </c>
      <c r="C3955" s="3" t="n">
        <v>28</v>
      </c>
      <c r="D3955" s="3" t="s">
        <v>3959</v>
      </c>
      <c r="E3955" s="4" t="n">
        <v>2</v>
      </c>
    </row>
    <row r="3956" customFormat="false" ht="15" hidden="false" customHeight="false" outlineLevel="0" collapsed="false">
      <c r="A3956" s="3" t="n">
        <v>2022</v>
      </c>
      <c r="B3956" s="3" t="n">
        <v>10</v>
      </c>
      <c r="C3956" s="3" t="n">
        <v>29</v>
      </c>
      <c r="D3956" s="3" t="s">
        <v>3960</v>
      </c>
      <c r="E3956" s="4" t="n">
        <v>11</v>
      </c>
    </row>
    <row r="3957" customFormat="false" ht="15" hidden="false" customHeight="false" outlineLevel="0" collapsed="false">
      <c r="A3957" s="3" t="n">
        <v>2022</v>
      </c>
      <c r="B3957" s="3" t="n">
        <v>10</v>
      </c>
      <c r="C3957" s="3" t="n">
        <v>30</v>
      </c>
      <c r="D3957" s="3" t="s">
        <v>3961</v>
      </c>
      <c r="E3957" s="4" t="n">
        <v>1</v>
      </c>
    </row>
    <row r="3958" customFormat="false" ht="15" hidden="false" customHeight="false" outlineLevel="0" collapsed="false">
      <c r="A3958" s="3" t="n">
        <v>2022</v>
      </c>
      <c r="B3958" s="3" t="n">
        <v>10</v>
      </c>
      <c r="C3958" s="3" t="n">
        <v>31</v>
      </c>
      <c r="D3958" s="3" t="s">
        <v>3962</v>
      </c>
      <c r="E3958" s="4" t="n">
        <v>1</v>
      </c>
    </row>
    <row r="3959" customFormat="false" ht="15" hidden="false" customHeight="false" outlineLevel="0" collapsed="false">
      <c r="A3959" s="3" t="n">
        <v>2022</v>
      </c>
      <c r="B3959" s="3" t="n">
        <v>11</v>
      </c>
      <c r="C3959" s="3" t="n">
        <v>1</v>
      </c>
      <c r="D3959" s="3" t="s">
        <v>3963</v>
      </c>
      <c r="E3959" s="4" t="n">
        <v>18</v>
      </c>
    </row>
    <row r="3960" customFormat="false" ht="15" hidden="false" customHeight="false" outlineLevel="0" collapsed="false">
      <c r="A3960" s="3" t="n">
        <v>2022</v>
      </c>
      <c r="B3960" s="3" t="n">
        <v>11</v>
      </c>
      <c r="C3960" s="3" t="n">
        <v>2</v>
      </c>
      <c r="D3960" s="3" t="s">
        <v>3964</v>
      </c>
      <c r="E3960" s="4" t="n">
        <v>29</v>
      </c>
    </row>
    <row r="3961" customFormat="false" ht="15" hidden="false" customHeight="false" outlineLevel="0" collapsed="false">
      <c r="A3961" s="3" t="n">
        <v>2022</v>
      </c>
      <c r="B3961" s="3" t="n">
        <v>11</v>
      </c>
      <c r="C3961" s="3" t="n">
        <v>3</v>
      </c>
      <c r="D3961" s="3" t="s">
        <v>3965</v>
      </c>
      <c r="E3961" s="4" t="n">
        <v>1</v>
      </c>
    </row>
    <row r="3962" customFormat="false" ht="15" hidden="false" customHeight="false" outlineLevel="0" collapsed="false">
      <c r="A3962" s="3" t="n">
        <v>2022</v>
      </c>
      <c r="B3962" s="3" t="n">
        <v>11</v>
      </c>
      <c r="C3962" s="3" t="n">
        <v>4</v>
      </c>
      <c r="D3962" s="3" t="s">
        <v>3966</v>
      </c>
      <c r="E3962" s="4" t="n">
        <v>7</v>
      </c>
    </row>
    <row r="3963" customFormat="false" ht="15" hidden="false" customHeight="false" outlineLevel="0" collapsed="false">
      <c r="A3963" s="3" t="n">
        <v>2022</v>
      </c>
      <c r="B3963" s="3" t="n">
        <v>11</v>
      </c>
      <c r="C3963" s="3" t="n">
        <v>5</v>
      </c>
      <c r="D3963" s="3" t="s">
        <v>3967</v>
      </c>
      <c r="E3963" s="4" t="n">
        <v>0</v>
      </c>
    </row>
    <row r="3964" customFormat="false" ht="15" hidden="false" customHeight="false" outlineLevel="0" collapsed="false">
      <c r="A3964" s="3" t="n">
        <v>2022</v>
      </c>
      <c r="B3964" s="3" t="n">
        <v>11</v>
      </c>
      <c r="C3964" s="3" t="n">
        <v>6</v>
      </c>
      <c r="D3964" s="3" t="s">
        <v>3968</v>
      </c>
      <c r="E3964" s="4" t="n">
        <v>32</v>
      </c>
    </row>
    <row r="3965" customFormat="false" ht="15" hidden="false" customHeight="false" outlineLevel="0" collapsed="false">
      <c r="A3965" s="3" t="n">
        <v>2022</v>
      </c>
      <c r="B3965" s="3" t="n">
        <v>11</v>
      </c>
      <c r="C3965" s="3" t="n">
        <v>7</v>
      </c>
      <c r="D3965" s="3" t="s">
        <v>3969</v>
      </c>
      <c r="E3965" s="4" t="n">
        <v>14</v>
      </c>
    </row>
    <row r="3966" customFormat="false" ht="15" hidden="false" customHeight="false" outlineLevel="0" collapsed="false">
      <c r="A3966" s="3" t="n">
        <v>2022</v>
      </c>
      <c r="B3966" s="3" t="n">
        <v>11</v>
      </c>
      <c r="C3966" s="3" t="n">
        <v>8</v>
      </c>
      <c r="D3966" s="3" t="s">
        <v>3970</v>
      </c>
      <c r="E3966" s="4" t="n">
        <v>24</v>
      </c>
    </row>
    <row r="3967" customFormat="false" ht="15" hidden="false" customHeight="false" outlineLevel="0" collapsed="false">
      <c r="A3967" s="3" t="n">
        <v>2022</v>
      </c>
      <c r="B3967" s="3" t="n">
        <v>11</v>
      </c>
      <c r="C3967" s="3" t="n">
        <v>9</v>
      </c>
      <c r="D3967" s="3" t="s">
        <v>3971</v>
      </c>
      <c r="E3967" s="4" t="n">
        <v>8</v>
      </c>
    </row>
    <row r="3968" customFormat="false" ht="15" hidden="false" customHeight="false" outlineLevel="0" collapsed="false">
      <c r="A3968" s="3" t="n">
        <v>2022</v>
      </c>
      <c r="B3968" s="3" t="n">
        <v>11</v>
      </c>
      <c r="C3968" s="3" t="n">
        <v>10</v>
      </c>
      <c r="D3968" s="3" t="s">
        <v>3972</v>
      </c>
      <c r="E3968" s="4" t="n">
        <v>2</v>
      </c>
    </row>
    <row r="3969" customFormat="false" ht="15" hidden="false" customHeight="false" outlineLevel="0" collapsed="false">
      <c r="A3969" s="3" t="n">
        <v>2022</v>
      </c>
      <c r="B3969" s="3" t="n">
        <v>11</v>
      </c>
      <c r="C3969" s="3" t="n">
        <v>11</v>
      </c>
      <c r="D3969" s="3" t="s">
        <v>3973</v>
      </c>
      <c r="E3969" s="4" t="n">
        <v>6</v>
      </c>
    </row>
    <row r="3970" customFormat="false" ht="15" hidden="false" customHeight="false" outlineLevel="0" collapsed="false">
      <c r="A3970" s="3" t="n">
        <v>2022</v>
      </c>
      <c r="B3970" s="3" t="n">
        <v>11</v>
      </c>
      <c r="C3970" s="3" t="n">
        <v>12</v>
      </c>
      <c r="D3970" s="3" t="s">
        <v>3974</v>
      </c>
      <c r="E3970" s="4" t="n">
        <v>3</v>
      </c>
    </row>
    <row r="3971" customFormat="false" ht="15" hidden="false" customHeight="false" outlineLevel="0" collapsed="false">
      <c r="A3971" s="3" t="n">
        <v>2022</v>
      </c>
      <c r="B3971" s="3" t="n">
        <v>11</v>
      </c>
      <c r="C3971" s="3" t="n">
        <v>13</v>
      </c>
      <c r="D3971" s="3" t="s">
        <v>3975</v>
      </c>
      <c r="E3971" s="4" t="n">
        <v>0</v>
      </c>
    </row>
    <row r="3972" customFormat="false" ht="15" hidden="false" customHeight="false" outlineLevel="0" collapsed="false">
      <c r="A3972" s="3" t="n">
        <v>2022</v>
      </c>
      <c r="B3972" s="3" t="n">
        <v>11</v>
      </c>
      <c r="C3972" s="3" t="n">
        <v>14</v>
      </c>
      <c r="D3972" s="3" t="s">
        <v>3976</v>
      </c>
      <c r="E3972" s="4" t="n">
        <v>17</v>
      </c>
    </row>
    <row r="3973" customFormat="false" ht="15" hidden="false" customHeight="false" outlineLevel="0" collapsed="false">
      <c r="A3973" s="3" t="n">
        <v>2022</v>
      </c>
      <c r="B3973" s="3" t="n">
        <v>11</v>
      </c>
      <c r="C3973" s="3" t="n">
        <v>15</v>
      </c>
      <c r="D3973" s="3" t="s">
        <v>3977</v>
      </c>
      <c r="E3973" s="4" t="n">
        <v>14</v>
      </c>
    </row>
    <row r="3974" customFormat="false" ht="15" hidden="false" customHeight="false" outlineLevel="0" collapsed="false">
      <c r="A3974" s="3" t="n">
        <v>2022</v>
      </c>
      <c r="B3974" s="3" t="n">
        <v>11</v>
      </c>
      <c r="C3974" s="3" t="n">
        <v>16</v>
      </c>
      <c r="D3974" s="3" t="s">
        <v>3978</v>
      </c>
      <c r="E3974" s="4" t="n">
        <v>4</v>
      </c>
    </row>
    <row r="3975" customFormat="false" ht="15" hidden="false" customHeight="false" outlineLevel="0" collapsed="false">
      <c r="A3975" s="3" t="n">
        <v>2022</v>
      </c>
      <c r="B3975" s="3" t="n">
        <v>11</v>
      </c>
      <c r="C3975" s="3" t="n">
        <v>17</v>
      </c>
      <c r="D3975" s="3" t="s">
        <v>3979</v>
      </c>
      <c r="E3975" s="4" t="n">
        <v>0</v>
      </c>
    </row>
    <row r="3976" customFormat="false" ht="15" hidden="false" customHeight="false" outlineLevel="0" collapsed="false">
      <c r="A3976" s="3" t="n">
        <v>2022</v>
      </c>
      <c r="B3976" s="3" t="n">
        <v>11</v>
      </c>
      <c r="C3976" s="3" t="n">
        <v>18</v>
      </c>
      <c r="D3976" s="3" t="s">
        <v>3980</v>
      </c>
      <c r="E3976" s="4" t="n">
        <v>12</v>
      </c>
    </row>
    <row r="3977" customFormat="false" ht="15" hidden="false" customHeight="false" outlineLevel="0" collapsed="false">
      <c r="A3977" s="3" t="n">
        <v>2022</v>
      </c>
      <c r="B3977" s="3" t="n">
        <v>11</v>
      </c>
      <c r="C3977" s="3" t="n">
        <v>19</v>
      </c>
      <c r="D3977" s="3" t="s">
        <v>3981</v>
      </c>
      <c r="E3977" s="4" t="n">
        <v>6</v>
      </c>
    </row>
    <row r="3978" customFormat="false" ht="15" hidden="false" customHeight="false" outlineLevel="0" collapsed="false">
      <c r="A3978" s="3" t="n">
        <v>2022</v>
      </c>
      <c r="B3978" s="3" t="n">
        <v>11</v>
      </c>
      <c r="C3978" s="3" t="n">
        <v>20</v>
      </c>
      <c r="D3978" s="3" t="s">
        <v>3982</v>
      </c>
      <c r="E3978" s="4" t="n">
        <v>7</v>
      </c>
    </row>
    <row r="3979" customFormat="false" ht="15" hidden="false" customHeight="false" outlineLevel="0" collapsed="false">
      <c r="A3979" s="3" t="n">
        <v>2022</v>
      </c>
      <c r="B3979" s="3" t="n">
        <v>11</v>
      </c>
      <c r="C3979" s="3" t="n">
        <v>21</v>
      </c>
      <c r="D3979" s="3" t="s">
        <v>3983</v>
      </c>
      <c r="E3979" s="4" t="n">
        <v>13</v>
      </c>
    </row>
    <row r="3980" customFormat="false" ht="15" hidden="false" customHeight="false" outlineLevel="0" collapsed="false">
      <c r="A3980" s="3" t="n">
        <v>2022</v>
      </c>
      <c r="B3980" s="3" t="n">
        <v>11</v>
      </c>
      <c r="C3980" s="3" t="n">
        <v>22</v>
      </c>
      <c r="D3980" s="3" t="s">
        <v>3984</v>
      </c>
      <c r="E3980" s="4" t="n">
        <v>2</v>
      </c>
    </row>
    <row r="3981" customFormat="false" ht="15" hidden="false" customHeight="false" outlineLevel="0" collapsed="false">
      <c r="A3981" s="3" t="n">
        <v>2022</v>
      </c>
      <c r="B3981" s="3" t="n">
        <v>11</v>
      </c>
      <c r="C3981" s="3" t="n">
        <v>23</v>
      </c>
      <c r="D3981" s="3" t="s">
        <v>3985</v>
      </c>
      <c r="E3981" s="4" t="n">
        <v>0</v>
      </c>
    </row>
    <row r="3982" customFormat="false" ht="15" hidden="false" customHeight="false" outlineLevel="0" collapsed="false">
      <c r="A3982" s="3" t="n">
        <v>2022</v>
      </c>
      <c r="B3982" s="3" t="n">
        <v>11</v>
      </c>
      <c r="C3982" s="3" t="n">
        <v>24</v>
      </c>
      <c r="D3982" s="3" t="s">
        <v>3986</v>
      </c>
      <c r="E3982" s="4" t="n">
        <v>7</v>
      </c>
    </row>
    <row r="3983" customFormat="false" ht="15" hidden="false" customHeight="false" outlineLevel="0" collapsed="false">
      <c r="A3983" s="3" t="n">
        <v>2022</v>
      </c>
      <c r="B3983" s="3" t="n">
        <v>11</v>
      </c>
      <c r="C3983" s="3" t="n">
        <v>25</v>
      </c>
      <c r="D3983" s="3" t="s">
        <v>3987</v>
      </c>
      <c r="E3983" s="4" t="n">
        <v>0</v>
      </c>
    </row>
    <row r="3984" customFormat="false" ht="15" hidden="false" customHeight="false" outlineLevel="0" collapsed="false">
      <c r="A3984" s="3" t="n">
        <v>2022</v>
      </c>
      <c r="B3984" s="3" t="n">
        <v>11</v>
      </c>
      <c r="C3984" s="3" t="n">
        <v>26</v>
      </c>
      <c r="D3984" s="3" t="s">
        <v>3988</v>
      </c>
      <c r="E3984" s="4" t="n">
        <v>3</v>
      </c>
    </row>
    <row r="3985" customFormat="false" ht="15" hidden="false" customHeight="false" outlineLevel="0" collapsed="false">
      <c r="A3985" s="3" t="n">
        <v>2022</v>
      </c>
      <c r="B3985" s="3" t="n">
        <v>11</v>
      </c>
      <c r="C3985" s="3" t="n">
        <v>27</v>
      </c>
      <c r="D3985" s="3" t="s">
        <v>3989</v>
      </c>
      <c r="E3985" s="4" t="n">
        <v>1</v>
      </c>
    </row>
    <row r="3986" customFormat="false" ht="15" hidden="false" customHeight="false" outlineLevel="0" collapsed="false">
      <c r="A3986" s="3" t="n">
        <v>2022</v>
      </c>
      <c r="B3986" s="3" t="n">
        <v>11</v>
      </c>
      <c r="C3986" s="3" t="n">
        <v>28</v>
      </c>
      <c r="D3986" s="3" t="s">
        <v>3990</v>
      </c>
      <c r="E3986" s="4" t="n">
        <v>0</v>
      </c>
    </row>
    <row r="3987" customFormat="false" ht="15" hidden="false" customHeight="false" outlineLevel="0" collapsed="false">
      <c r="A3987" s="3" t="n">
        <v>2022</v>
      </c>
      <c r="B3987" s="3" t="n">
        <v>11</v>
      </c>
      <c r="C3987" s="3" t="n">
        <v>29</v>
      </c>
      <c r="D3987" s="3" t="s">
        <v>3991</v>
      </c>
      <c r="E3987" s="4" t="n">
        <v>0</v>
      </c>
    </row>
    <row r="3988" customFormat="false" ht="15" hidden="false" customHeight="false" outlineLevel="0" collapsed="false">
      <c r="A3988" s="3" t="n">
        <v>2022</v>
      </c>
      <c r="B3988" s="3" t="n">
        <v>11</v>
      </c>
      <c r="C3988" s="3" t="n">
        <v>30</v>
      </c>
      <c r="D3988" s="3" t="s">
        <v>3992</v>
      </c>
      <c r="E3988" s="4" t="n">
        <v>7</v>
      </c>
    </row>
    <row r="3989" customFormat="false" ht="15" hidden="false" customHeight="false" outlineLevel="0" collapsed="false">
      <c r="A3989" s="3" t="n">
        <v>2022</v>
      </c>
      <c r="B3989" s="3" t="n">
        <v>12</v>
      </c>
      <c r="C3989" s="3" t="n">
        <v>1</v>
      </c>
      <c r="D3989" s="3" t="s">
        <v>3993</v>
      </c>
      <c r="E3989" s="4" t="n">
        <v>10</v>
      </c>
    </row>
    <row r="3990" customFormat="false" ht="15" hidden="false" customHeight="false" outlineLevel="0" collapsed="false">
      <c r="A3990" s="3" t="n">
        <v>2022</v>
      </c>
      <c r="B3990" s="3" t="n">
        <v>12</v>
      </c>
      <c r="C3990" s="3" t="n">
        <v>2</v>
      </c>
      <c r="D3990" s="3" t="s">
        <v>3994</v>
      </c>
      <c r="E3990" s="4" t="n">
        <v>6</v>
      </c>
    </row>
    <row r="3991" customFormat="false" ht="15" hidden="false" customHeight="false" outlineLevel="0" collapsed="false">
      <c r="A3991" s="3" t="n">
        <v>2022</v>
      </c>
      <c r="B3991" s="3" t="n">
        <v>12</v>
      </c>
      <c r="C3991" s="3" t="n">
        <v>3</v>
      </c>
      <c r="D3991" s="3" t="s">
        <v>3995</v>
      </c>
      <c r="E3991" s="4" t="n">
        <v>21</v>
      </c>
    </row>
    <row r="3992" customFormat="false" ht="15" hidden="false" customHeight="false" outlineLevel="0" collapsed="false">
      <c r="A3992" s="3" t="n">
        <v>2022</v>
      </c>
      <c r="B3992" s="3" t="n">
        <v>12</v>
      </c>
      <c r="C3992" s="3" t="n">
        <v>4</v>
      </c>
      <c r="D3992" s="3" t="s">
        <v>3996</v>
      </c>
      <c r="E3992" s="4" t="n">
        <v>2</v>
      </c>
    </row>
    <row r="3993" customFormat="false" ht="15" hidden="false" customHeight="false" outlineLevel="0" collapsed="false">
      <c r="A3993" s="3" t="n">
        <v>2022</v>
      </c>
      <c r="B3993" s="3" t="n">
        <v>12</v>
      </c>
      <c r="C3993" s="3" t="n">
        <v>5</v>
      </c>
      <c r="D3993" s="3" t="s">
        <v>3997</v>
      </c>
      <c r="E3993" s="4" t="n">
        <v>3</v>
      </c>
    </row>
    <row r="3994" customFormat="false" ht="15" hidden="false" customHeight="false" outlineLevel="0" collapsed="false">
      <c r="A3994" s="3" t="n">
        <v>2022</v>
      </c>
      <c r="B3994" s="3" t="n">
        <v>12</v>
      </c>
      <c r="C3994" s="3" t="n">
        <v>6</v>
      </c>
      <c r="D3994" s="3" t="s">
        <v>3998</v>
      </c>
      <c r="E3994" s="4" t="n">
        <v>0</v>
      </c>
    </row>
    <row r="3995" customFormat="false" ht="15" hidden="false" customHeight="false" outlineLevel="0" collapsed="false">
      <c r="A3995" s="3" t="n">
        <v>2022</v>
      </c>
      <c r="B3995" s="3" t="n">
        <v>12</v>
      </c>
      <c r="C3995" s="3" t="n">
        <v>7</v>
      </c>
      <c r="D3995" s="3" t="s">
        <v>3999</v>
      </c>
      <c r="E3995" s="4" t="n">
        <v>0</v>
      </c>
    </row>
    <row r="3996" customFormat="false" ht="15" hidden="false" customHeight="false" outlineLevel="0" collapsed="false">
      <c r="A3996" s="3" t="n">
        <v>2022</v>
      </c>
      <c r="B3996" s="3" t="n">
        <v>12</v>
      </c>
      <c r="C3996" s="3" t="n">
        <v>8</v>
      </c>
      <c r="D3996" s="3" t="s">
        <v>4000</v>
      </c>
      <c r="E3996" s="4" t="n">
        <v>1</v>
      </c>
    </row>
    <row r="3997" customFormat="false" ht="15" hidden="false" customHeight="false" outlineLevel="0" collapsed="false">
      <c r="A3997" s="3" t="n">
        <v>2022</v>
      </c>
      <c r="B3997" s="3" t="n">
        <v>12</v>
      </c>
      <c r="C3997" s="3" t="n">
        <v>9</v>
      </c>
      <c r="D3997" s="3" t="s">
        <v>4001</v>
      </c>
      <c r="E3997" s="4" t="n">
        <v>23</v>
      </c>
    </row>
    <row r="3998" customFormat="false" ht="15" hidden="false" customHeight="false" outlineLevel="0" collapsed="false">
      <c r="A3998" s="3" t="n">
        <v>2022</v>
      </c>
      <c r="B3998" s="3" t="n">
        <v>12</v>
      </c>
      <c r="C3998" s="3" t="n">
        <v>10</v>
      </c>
      <c r="D3998" s="3" t="s">
        <v>4002</v>
      </c>
      <c r="E3998" s="4" t="n">
        <v>20</v>
      </c>
    </row>
    <row r="3999" customFormat="false" ht="15" hidden="false" customHeight="false" outlineLevel="0" collapsed="false">
      <c r="A3999" s="3" t="n">
        <v>2022</v>
      </c>
      <c r="B3999" s="3" t="n">
        <v>12</v>
      </c>
      <c r="C3999" s="3" t="n">
        <v>11</v>
      </c>
      <c r="D3999" s="3" t="s">
        <v>4003</v>
      </c>
      <c r="E3999" s="4" t="n">
        <v>2</v>
      </c>
    </row>
    <row r="4000" customFormat="false" ht="15" hidden="false" customHeight="false" outlineLevel="0" collapsed="false">
      <c r="A4000" s="3" t="n">
        <v>2022</v>
      </c>
      <c r="B4000" s="3" t="n">
        <v>12</v>
      </c>
      <c r="C4000" s="3" t="n">
        <v>12</v>
      </c>
      <c r="D4000" s="3" t="s">
        <v>4004</v>
      </c>
      <c r="E4000" s="4" t="n">
        <v>0</v>
      </c>
    </row>
    <row r="4001" customFormat="false" ht="15" hidden="false" customHeight="false" outlineLevel="0" collapsed="false">
      <c r="A4001" s="3" t="n">
        <v>2022</v>
      </c>
      <c r="B4001" s="3" t="n">
        <v>12</v>
      </c>
      <c r="C4001" s="3" t="n">
        <v>13</v>
      </c>
      <c r="D4001" s="3" t="s">
        <v>4005</v>
      </c>
      <c r="E4001" s="4" t="n">
        <v>14</v>
      </c>
    </row>
    <row r="4002" customFormat="false" ht="15" hidden="false" customHeight="false" outlineLevel="0" collapsed="false">
      <c r="A4002" s="3" t="n">
        <v>2022</v>
      </c>
      <c r="B4002" s="3" t="n">
        <v>12</v>
      </c>
      <c r="C4002" s="3" t="n">
        <v>14</v>
      </c>
      <c r="D4002" s="3" t="s">
        <v>4006</v>
      </c>
      <c r="E4002" s="4" t="n">
        <v>1</v>
      </c>
    </row>
    <row r="4003" customFormat="false" ht="15" hidden="false" customHeight="false" outlineLevel="0" collapsed="false">
      <c r="A4003" s="3" t="n">
        <v>2022</v>
      </c>
      <c r="B4003" s="3" t="n">
        <v>12</v>
      </c>
      <c r="C4003" s="3" t="n">
        <v>15</v>
      </c>
      <c r="D4003" s="3" t="s">
        <v>4007</v>
      </c>
      <c r="E4003" s="4" t="n">
        <v>4</v>
      </c>
    </row>
    <row r="4004" customFormat="false" ht="15" hidden="false" customHeight="false" outlineLevel="0" collapsed="false">
      <c r="A4004" s="3" t="n">
        <v>2022</v>
      </c>
      <c r="B4004" s="3" t="n">
        <v>12</v>
      </c>
      <c r="C4004" s="3" t="n">
        <v>16</v>
      </c>
      <c r="D4004" s="3" t="s">
        <v>4008</v>
      </c>
      <c r="E4004" s="4" t="n">
        <v>14</v>
      </c>
    </row>
    <row r="4005" customFormat="false" ht="15" hidden="false" customHeight="false" outlineLevel="0" collapsed="false">
      <c r="A4005" s="3" t="n">
        <v>2022</v>
      </c>
      <c r="B4005" s="3" t="n">
        <v>12</v>
      </c>
      <c r="C4005" s="3" t="n">
        <v>17</v>
      </c>
      <c r="D4005" s="3" t="s">
        <v>4009</v>
      </c>
      <c r="E4005" s="4" t="n">
        <v>0</v>
      </c>
    </row>
    <row r="4006" customFormat="false" ht="15" hidden="false" customHeight="false" outlineLevel="0" collapsed="false">
      <c r="A4006" s="3" t="n">
        <v>2022</v>
      </c>
      <c r="B4006" s="3" t="n">
        <v>12</v>
      </c>
      <c r="C4006" s="3" t="n">
        <v>18</v>
      </c>
      <c r="D4006" s="3" t="s">
        <v>4010</v>
      </c>
      <c r="E4006" s="4" t="n">
        <v>0</v>
      </c>
    </row>
    <row r="4007" customFormat="false" ht="15" hidden="false" customHeight="false" outlineLevel="0" collapsed="false">
      <c r="A4007" s="3" t="n">
        <v>2022</v>
      </c>
      <c r="B4007" s="3" t="n">
        <v>12</v>
      </c>
      <c r="C4007" s="3" t="n">
        <v>19</v>
      </c>
      <c r="D4007" s="3" t="s">
        <v>4011</v>
      </c>
      <c r="E4007" s="4" t="n">
        <v>0</v>
      </c>
    </row>
    <row r="4008" customFormat="false" ht="15" hidden="false" customHeight="false" outlineLevel="0" collapsed="false">
      <c r="A4008" s="3" t="n">
        <v>2022</v>
      </c>
      <c r="B4008" s="3" t="n">
        <v>12</v>
      </c>
      <c r="C4008" s="3" t="n">
        <v>20</v>
      </c>
      <c r="D4008" s="3" t="s">
        <v>4012</v>
      </c>
      <c r="E4008" s="4" t="n">
        <v>8</v>
      </c>
    </row>
    <row r="4009" customFormat="false" ht="15" hidden="false" customHeight="false" outlineLevel="0" collapsed="false">
      <c r="A4009" s="3" t="n">
        <v>2022</v>
      </c>
      <c r="B4009" s="3" t="n">
        <v>12</v>
      </c>
      <c r="C4009" s="3" t="n">
        <v>21</v>
      </c>
      <c r="D4009" s="3" t="s">
        <v>4013</v>
      </c>
      <c r="E4009" s="4" t="n">
        <v>2</v>
      </c>
    </row>
    <row r="4010" customFormat="false" ht="15" hidden="false" customHeight="false" outlineLevel="0" collapsed="false">
      <c r="A4010" s="3" t="n">
        <v>2022</v>
      </c>
      <c r="B4010" s="3" t="n">
        <v>12</v>
      </c>
      <c r="C4010" s="3" t="n">
        <v>22</v>
      </c>
      <c r="D4010" s="3" t="s">
        <v>4014</v>
      </c>
      <c r="E4010" s="4" t="n">
        <v>15</v>
      </c>
    </row>
    <row r="4011" customFormat="false" ht="15" hidden="false" customHeight="false" outlineLevel="0" collapsed="false">
      <c r="A4011" s="3" t="n">
        <v>2022</v>
      </c>
      <c r="B4011" s="3" t="n">
        <v>12</v>
      </c>
      <c r="C4011" s="3" t="n">
        <v>23</v>
      </c>
      <c r="D4011" s="3" t="s">
        <v>4015</v>
      </c>
      <c r="E4011" s="4" t="n">
        <v>65</v>
      </c>
    </row>
    <row r="4012" customFormat="false" ht="15" hidden="false" customHeight="false" outlineLevel="0" collapsed="false">
      <c r="A4012" s="3" t="n">
        <v>2022</v>
      </c>
      <c r="B4012" s="3" t="n">
        <v>12</v>
      </c>
      <c r="C4012" s="3" t="n">
        <v>24</v>
      </c>
      <c r="D4012" s="3" t="s">
        <v>4016</v>
      </c>
      <c r="E4012" s="4" t="n">
        <v>4</v>
      </c>
    </row>
    <row r="4013" customFormat="false" ht="15" hidden="false" customHeight="false" outlineLevel="0" collapsed="false">
      <c r="A4013" s="3" t="n">
        <v>2022</v>
      </c>
      <c r="B4013" s="3" t="n">
        <v>12</v>
      </c>
      <c r="C4013" s="3" t="n">
        <v>25</v>
      </c>
      <c r="D4013" s="3" t="s">
        <v>4017</v>
      </c>
      <c r="E4013" s="4" t="n">
        <v>0</v>
      </c>
    </row>
    <row r="4014" customFormat="false" ht="15" hidden="false" customHeight="false" outlineLevel="0" collapsed="false">
      <c r="A4014" s="3" t="n">
        <v>2022</v>
      </c>
      <c r="B4014" s="3" t="n">
        <v>12</v>
      </c>
      <c r="C4014" s="3" t="n">
        <v>26</v>
      </c>
      <c r="D4014" s="3" t="s">
        <v>4018</v>
      </c>
      <c r="E4014" s="4" t="n">
        <v>0</v>
      </c>
    </row>
    <row r="4015" customFormat="false" ht="15" hidden="false" customHeight="false" outlineLevel="0" collapsed="false">
      <c r="A4015" s="3" t="n">
        <v>2022</v>
      </c>
      <c r="B4015" s="3" t="n">
        <v>12</v>
      </c>
      <c r="C4015" s="3" t="n">
        <v>27</v>
      </c>
      <c r="D4015" s="3" t="s">
        <v>4019</v>
      </c>
      <c r="E4015" s="4" t="n">
        <v>0</v>
      </c>
    </row>
    <row r="4016" customFormat="false" ht="15" hidden="false" customHeight="false" outlineLevel="0" collapsed="false">
      <c r="A4016" s="3" t="n">
        <v>2022</v>
      </c>
      <c r="B4016" s="3" t="n">
        <v>12</v>
      </c>
      <c r="C4016" s="3" t="n">
        <v>28</v>
      </c>
      <c r="D4016" s="3" t="s">
        <v>4020</v>
      </c>
      <c r="E4016" s="4" t="n">
        <v>0</v>
      </c>
    </row>
    <row r="4017" customFormat="false" ht="15" hidden="false" customHeight="false" outlineLevel="0" collapsed="false">
      <c r="A4017" s="3" t="n">
        <v>2022</v>
      </c>
      <c r="B4017" s="3" t="n">
        <v>12</v>
      </c>
      <c r="C4017" s="3" t="n">
        <v>29</v>
      </c>
      <c r="D4017" s="3" t="s">
        <v>4021</v>
      </c>
      <c r="E4017" s="4" t="n">
        <v>0</v>
      </c>
    </row>
    <row r="4018" customFormat="false" ht="15" hidden="false" customHeight="false" outlineLevel="0" collapsed="false">
      <c r="A4018" s="3" t="n">
        <v>2022</v>
      </c>
      <c r="B4018" s="3" t="n">
        <v>12</v>
      </c>
      <c r="C4018" s="3" t="n">
        <v>30</v>
      </c>
      <c r="D4018" s="3" t="s">
        <v>4022</v>
      </c>
      <c r="E4018" s="4" t="n">
        <v>0</v>
      </c>
    </row>
    <row r="4019" customFormat="false" ht="15" hidden="false" customHeight="false" outlineLevel="0" collapsed="false">
      <c r="A4019" s="3" t="n">
        <v>2022</v>
      </c>
      <c r="B4019" s="3" t="n">
        <v>12</v>
      </c>
      <c r="C4019" s="3" t="n">
        <v>31</v>
      </c>
      <c r="D4019" s="3" t="s">
        <v>4023</v>
      </c>
      <c r="E4019" s="4" t="n">
        <v>0</v>
      </c>
    </row>
    <row r="4020" customFormat="false" ht="15" hidden="false" customHeight="false" outlineLevel="0" collapsed="false">
      <c r="A4020" s="3" t="n">
        <v>2023</v>
      </c>
      <c r="B4020" s="3" t="n">
        <v>1</v>
      </c>
      <c r="C4020" s="3" t="n">
        <v>1</v>
      </c>
      <c r="D4020" s="3" t="s">
        <v>4024</v>
      </c>
      <c r="E4020" s="4" t="n">
        <v>0</v>
      </c>
    </row>
    <row r="4021" customFormat="false" ht="15" hidden="false" customHeight="false" outlineLevel="0" collapsed="false">
      <c r="A4021" s="3" t="n">
        <v>2023</v>
      </c>
      <c r="B4021" s="3" t="n">
        <v>1</v>
      </c>
      <c r="C4021" s="3" t="n">
        <v>2</v>
      </c>
      <c r="D4021" s="3" t="s">
        <v>4025</v>
      </c>
      <c r="E4021" s="4" t="n">
        <v>0</v>
      </c>
    </row>
    <row r="4022" customFormat="false" ht="15" hidden="false" customHeight="false" outlineLevel="0" collapsed="false">
      <c r="A4022" s="3" t="n">
        <v>2023</v>
      </c>
      <c r="B4022" s="3" t="n">
        <v>1</v>
      </c>
      <c r="C4022" s="3" t="n">
        <v>3</v>
      </c>
      <c r="D4022" s="3" t="s">
        <v>4026</v>
      </c>
      <c r="E4022" s="4" t="n">
        <v>0</v>
      </c>
    </row>
    <row r="4023" customFormat="false" ht="15" hidden="false" customHeight="false" outlineLevel="0" collapsed="false">
      <c r="A4023" s="3" t="n">
        <v>2023</v>
      </c>
      <c r="B4023" s="3" t="n">
        <v>1</v>
      </c>
      <c r="C4023" s="3" t="n">
        <v>4</v>
      </c>
      <c r="D4023" s="3" t="s">
        <v>4027</v>
      </c>
      <c r="E4023" s="4" t="n">
        <v>0</v>
      </c>
    </row>
    <row r="4024" customFormat="false" ht="15" hidden="false" customHeight="false" outlineLevel="0" collapsed="false">
      <c r="A4024" s="3" t="n">
        <v>2023</v>
      </c>
      <c r="B4024" s="3" t="n">
        <v>1</v>
      </c>
      <c r="C4024" s="3" t="n">
        <v>5</v>
      </c>
      <c r="D4024" s="3" t="s">
        <v>4028</v>
      </c>
      <c r="E4024" s="4" t="n">
        <v>8</v>
      </c>
    </row>
    <row r="4025" customFormat="false" ht="15" hidden="false" customHeight="false" outlineLevel="0" collapsed="false">
      <c r="A4025" s="3" t="n">
        <v>2023</v>
      </c>
      <c r="B4025" s="3" t="n">
        <v>1</v>
      </c>
      <c r="C4025" s="3" t="n">
        <v>6</v>
      </c>
      <c r="D4025" s="3" t="s">
        <v>4029</v>
      </c>
      <c r="E4025" s="4" t="n">
        <v>2</v>
      </c>
    </row>
    <row r="4026" customFormat="false" ht="15" hidden="false" customHeight="false" outlineLevel="0" collapsed="false">
      <c r="A4026" s="3" t="n">
        <v>2023</v>
      </c>
      <c r="B4026" s="3" t="n">
        <v>1</v>
      </c>
      <c r="C4026" s="3" t="n">
        <v>7</v>
      </c>
      <c r="D4026" s="3" t="s">
        <v>4030</v>
      </c>
      <c r="E4026" s="4" t="n">
        <v>1</v>
      </c>
    </row>
    <row r="4027" customFormat="false" ht="15" hidden="false" customHeight="false" outlineLevel="0" collapsed="false">
      <c r="A4027" s="3" t="n">
        <v>2023</v>
      </c>
      <c r="B4027" s="3" t="n">
        <v>1</v>
      </c>
      <c r="C4027" s="3" t="n">
        <v>8</v>
      </c>
      <c r="D4027" s="3" t="s">
        <v>4031</v>
      </c>
      <c r="E4027" s="4" t="n">
        <v>1</v>
      </c>
    </row>
    <row r="4028" customFormat="false" ht="15" hidden="false" customHeight="false" outlineLevel="0" collapsed="false">
      <c r="A4028" s="3" t="n">
        <v>2023</v>
      </c>
      <c r="B4028" s="3" t="n">
        <v>1</v>
      </c>
      <c r="C4028" s="3" t="n">
        <v>9</v>
      </c>
      <c r="D4028" s="3" t="s">
        <v>4032</v>
      </c>
      <c r="E4028" s="4" t="n">
        <v>6</v>
      </c>
    </row>
    <row r="4029" customFormat="false" ht="15" hidden="false" customHeight="false" outlineLevel="0" collapsed="false">
      <c r="A4029" s="3" t="n">
        <v>2023</v>
      </c>
      <c r="B4029" s="3" t="n">
        <v>1</v>
      </c>
      <c r="C4029" s="3" t="n">
        <v>10</v>
      </c>
      <c r="D4029" s="3" t="s">
        <v>4033</v>
      </c>
      <c r="E4029" s="4" t="n">
        <v>3</v>
      </c>
    </row>
    <row r="4030" customFormat="false" ht="15" hidden="false" customHeight="false" outlineLevel="0" collapsed="false">
      <c r="A4030" s="3" t="n">
        <v>2023</v>
      </c>
      <c r="B4030" s="3" t="n">
        <v>1</v>
      </c>
      <c r="C4030" s="3" t="n">
        <v>11</v>
      </c>
      <c r="D4030" s="3" t="s">
        <v>4034</v>
      </c>
      <c r="E4030" s="4" t="n">
        <v>0</v>
      </c>
    </row>
    <row r="4031" customFormat="false" ht="15" hidden="false" customHeight="false" outlineLevel="0" collapsed="false">
      <c r="A4031" s="3" t="n">
        <v>2023</v>
      </c>
      <c r="B4031" s="3" t="n">
        <v>1</v>
      </c>
      <c r="C4031" s="3" t="n">
        <v>12</v>
      </c>
      <c r="D4031" s="3" t="s">
        <v>4035</v>
      </c>
      <c r="E4031" s="4" t="n">
        <v>36</v>
      </c>
    </row>
    <row r="4032" customFormat="false" ht="15" hidden="false" customHeight="false" outlineLevel="0" collapsed="false">
      <c r="A4032" s="3" t="n">
        <v>2023</v>
      </c>
      <c r="B4032" s="3" t="n">
        <v>1</v>
      </c>
      <c r="C4032" s="3" t="n">
        <v>13</v>
      </c>
      <c r="D4032" s="3" t="s">
        <v>4036</v>
      </c>
      <c r="E4032" s="4" t="n">
        <v>11</v>
      </c>
    </row>
    <row r="4033" customFormat="false" ht="15" hidden="false" customHeight="false" outlineLevel="0" collapsed="false">
      <c r="A4033" s="3" t="n">
        <v>2023</v>
      </c>
      <c r="B4033" s="3" t="n">
        <v>1</v>
      </c>
      <c r="C4033" s="3" t="n">
        <v>14</v>
      </c>
      <c r="D4033" s="3" t="s">
        <v>4037</v>
      </c>
      <c r="E4033" s="4" t="n">
        <v>4</v>
      </c>
    </row>
    <row r="4034" customFormat="false" ht="15" hidden="false" customHeight="false" outlineLevel="0" collapsed="false">
      <c r="A4034" s="3" t="n">
        <v>2023</v>
      </c>
      <c r="B4034" s="3" t="n">
        <v>1</v>
      </c>
      <c r="C4034" s="3" t="n">
        <v>15</v>
      </c>
      <c r="D4034" s="3" t="s">
        <v>4038</v>
      </c>
      <c r="E4034" s="4" t="n">
        <v>0</v>
      </c>
    </row>
    <row r="4035" customFormat="false" ht="15" hidden="false" customHeight="false" outlineLevel="0" collapsed="false">
      <c r="A4035" s="3" t="n">
        <v>2023</v>
      </c>
      <c r="B4035" s="3" t="n">
        <v>1</v>
      </c>
      <c r="C4035" s="3" t="n">
        <v>16</v>
      </c>
      <c r="D4035" s="3" t="s">
        <v>4039</v>
      </c>
      <c r="E4035" s="4" t="n">
        <v>0</v>
      </c>
    </row>
    <row r="4036" customFormat="false" ht="15" hidden="false" customHeight="false" outlineLevel="0" collapsed="false">
      <c r="A4036" s="3" t="n">
        <v>2023</v>
      </c>
      <c r="B4036" s="3" t="n">
        <v>1</v>
      </c>
      <c r="C4036" s="3" t="n">
        <v>17</v>
      </c>
      <c r="D4036" s="3" t="s">
        <v>4040</v>
      </c>
      <c r="E4036" s="4" t="n">
        <v>0</v>
      </c>
    </row>
    <row r="4037" customFormat="false" ht="15" hidden="false" customHeight="false" outlineLevel="0" collapsed="false">
      <c r="A4037" s="3" t="n">
        <v>2023</v>
      </c>
      <c r="B4037" s="3" t="n">
        <v>1</v>
      </c>
      <c r="C4037" s="3" t="n">
        <v>18</v>
      </c>
      <c r="D4037" s="3" t="s">
        <v>4041</v>
      </c>
      <c r="E4037" s="4" t="n">
        <v>0</v>
      </c>
    </row>
    <row r="4038" customFormat="false" ht="15" hidden="false" customHeight="false" outlineLevel="0" collapsed="false">
      <c r="A4038" s="3" t="n">
        <v>2023</v>
      </c>
      <c r="B4038" s="3" t="n">
        <v>1</v>
      </c>
      <c r="C4038" s="3" t="n">
        <v>19</v>
      </c>
      <c r="D4038" s="3" t="s">
        <v>4042</v>
      </c>
      <c r="E4038" s="4" t="n">
        <v>22</v>
      </c>
    </row>
    <row r="4039" customFormat="false" ht="15" hidden="false" customHeight="false" outlineLevel="0" collapsed="false">
      <c r="A4039" s="3" t="n">
        <v>2023</v>
      </c>
      <c r="B4039" s="3" t="n">
        <v>1</v>
      </c>
      <c r="C4039" s="3" t="n">
        <v>20</v>
      </c>
      <c r="D4039" s="3" t="s">
        <v>4043</v>
      </c>
      <c r="E4039" s="4" t="n">
        <v>5</v>
      </c>
    </row>
    <row r="4040" customFormat="false" ht="15" hidden="false" customHeight="false" outlineLevel="0" collapsed="false">
      <c r="A4040" s="3" t="n">
        <v>2023</v>
      </c>
      <c r="B4040" s="3" t="n">
        <v>1</v>
      </c>
      <c r="C4040" s="3" t="n">
        <v>21</v>
      </c>
      <c r="D4040" s="3" t="s">
        <v>4044</v>
      </c>
      <c r="E4040" s="4" t="n">
        <v>6</v>
      </c>
    </row>
    <row r="4041" customFormat="false" ht="15" hidden="false" customHeight="false" outlineLevel="0" collapsed="false">
      <c r="A4041" s="3" t="n">
        <v>2023</v>
      </c>
      <c r="B4041" s="3" t="n">
        <v>1</v>
      </c>
      <c r="C4041" s="3" t="n">
        <v>22</v>
      </c>
      <c r="D4041" s="3" t="s">
        <v>4045</v>
      </c>
      <c r="E4041" s="4" t="n">
        <v>0</v>
      </c>
    </row>
    <row r="4042" customFormat="false" ht="15" hidden="false" customHeight="false" outlineLevel="0" collapsed="false">
      <c r="A4042" s="3" t="n">
        <v>2023</v>
      </c>
      <c r="B4042" s="3" t="n">
        <v>1</v>
      </c>
      <c r="C4042" s="3" t="n">
        <v>23</v>
      </c>
      <c r="D4042" s="3" t="s">
        <v>4046</v>
      </c>
      <c r="E4042" s="4" t="n">
        <v>20</v>
      </c>
    </row>
    <row r="4043" customFormat="false" ht="15" hidden="false" customHeight="false" outlineLevel="0" collapsed="false">
      <c r="A4043" s="3" t="n">
        <v>2023</v>
      </c>
      <c r="B4043" s="3" t="n">
        <v>1</v>
      </c>
      <c r="C4043" s="3" t="n">
        <v>24</v>
      </c>
      <c r="D4043" s="3" t="s">
        <v>4047</v>
      </c>
      <c r="E4043" s="4" t="n">
        <v>30</v>
      </c>
    </row>
    <row r="4044" customFormat="false" ht="15" hidden="false" customHeight="false" outlineLevel="0" collapsed="false">
      <c r="A4044" s="3" t="n">
        <v>2023</v>
      </c>
      <c r="B4044" s="3" t="n">
        <v>1</v>
      </c>
      <c r="C4044" s="3" t="n">
        <v>25</v>
      </c>
      <c r="D4044" s="3" t="s">
        <v>4048</v>
      </c>
      <c r="E4044" s="4" t="n">
        <v>12</v>
      </c>
    </row>
    <row r="4045" customFormat="false" ht="15" hidden="false" customHeight="false" outlineLevel="0" collapsed="false">
      <c r="A4045" s="3" t="n">
        <v>2023</v>
      </c>
      <c r="B4045" s="3" t="n">
        <v>1</v>
      </c>
      <c r="C4045" s="3" t="n">
        <v>26</v>
      </c>
      <c r="D4045" s="3" t="s">
        <v>4049</v>
      </c>
      <c r="E4045" s="4" t="n">
        <v>3</v>
      </c>
    </row>
    <row r="4046" customFormat="false" ht="15" hidden="false" customHeight="false" outlineLevel="0" collapsed="false">
      <c r="A4046" s="3" t="n">
        <v>2023</v>
      </c>
      <c r="B4046" s="3" t="n">
        <v>1</v>
      </c>
      <c r="C4046" s="3" t="n">
        <v>27</v>
      </c>
      <c r="D4046" s="3" t="s">
        <v>4050</v>
      </c>
      <c r="E4046" s="4" t="n">
        <v>15</v>
      </c>
    </row>
    <row r="4047" customFormat="false" ht="15" hidden="false" customHeight="false" outlineLevel="0" collapsed="false">
      <c r="A4047" s="3" t="n">
        <v>2023</v>
      </c>
      <c r="B4047" s="3" t="n">
        <v>1</v>
      </c>
      <c r="C4047" s="3" t="n">
        <v>28</v>
      </c>
      <c r="D4047" s="3" t="s">
        <v>4051</v>
      </c>
      <c r="E4047" s="4" t="n">
        <v>20</v>
      </c>
    </row>
    <row r="4048" customFormat="false" ht="15" hidden="false" customHeight="false" outlineLevel="0" collapsed="false">
      <c r="A4048" s="3" t="n">
        <v>2023</v>
      </c>
      <c r="B4048" s="3" t="n">
        <v>1</v>
      </c>
      <c r="C4048" s="3" t="n">
        <v>29</v>
      </c>
      <c r="D4048" s="3" t="s">
        <v>4052</v>
      </c>
      <c r="E4048" s="4" t="n">
        <v>7</v>
      </c>
    </row>
    <row r="4049" customFormat="false" ht="15" hidden="false" customHeight="false" outlineLevel="0" collapsed="false">
      <c r="A4049" s="3" t="n">
        <v>2023</v>
      </c>
      <c r="B4049" s="3" t="n">
        <v>1</v>
      </c>
      <c r="C4049" s="3" t="n">
        <v>30</v>
      </c>
      <c r="D4049" s="3" t="s">
        <v>4053</v>
      </c>
      <c r="E4049" s="4" t="n">
        <v>8</v>
      </c>
    </row>
    <row r="4050" customFormat="false" ht="15" hidden="false" customHeight="false" outlineLevel="0" collapsed="false">
      <c r="A4050" s="3" t="n">
        <v>2023</v>
      </c>
      <c r="B4050" s="3" t="n">
        <v>1</v>
      </c>
      <c r="C4050" s="3" t="n">
        <v>31</v>
      </c>
      <c r="D4050" s="3" t="s">
        <v>4054</v>
      </c>
      <c r="E4050" s="4" t="n">
        <v>38</v>
      </c>
    </row>
    <row r="4051" customFormat="false" ht="15" hidden="false" customHeight="false" outlineLevel="0" collapsed="false">
      <c r="A4051" s="3" t="n">
        <v>2023</v>
      </c>
      <c r="B4051" s="3" t="n">
        <v>2</v>
      </c>
      <c r="C4051" s="3" t="n">
        <v>1</v>
      </c>
      <c r="D4051" s="3" t="s">
        <v>4055</v>
      </c>
      <c r="E4051" s="4" t="n">
        <v>12</v>
      </c>
    </row>
    <row r="4052" customFormat="false" ht="15" hidden="false" customHeight="false" outlineLevel="0" collapsed="false">
      <c r="A4052" s="3" t="n">
        <v>2023</v>
      </c>
      <c r="B4052" s="3" t="n">
        <v>2</v>
      </c>
      <c r="C4052" s="3" t="n">
        <v>2</v>
      </c>
      <c r="D4052" s="3" t="s">
        <v>4056</v>
      </c>
      <c r="E4052" s="4" t="n">
        <v>16</v>
      </c>
    </row>
    <row r="4053" customFormat="false" ht="15" hidden="false" customHeight="false" outlineLevel="0" collapsed="false">
      <c r="A4053" s="3" t="n">
        <v>2023</v>
      </c>
      <c r="B4053" s="3" t="n">
        <v>2</v>
      </c>
      <c r="C4053" s="3" t="n">
        <v>3</v>
      </c>
      <c r="D4053" s="3" t="s">
        <v>4057</v>
      </c>
      <c r="E4053" s="4" t="n">
        <v>27</v>
      </c>
    </row>
    <row r="4054" customFormat="false" ht="15" hidden="false" customHeight="false" outlineLevel="0" collapsed="false">
      <c r="A4054" s="3" t="n">
        <v>2023</v>
      </c>
      <c r="B4054" s="3" t="n">
        <v>2</v>
      </c>
      <c r="C4054" s="3" t="n">
        <v>4</v>
      </c>
      <c r="D4054" s="3" t="s">
        <v>4058</v>
      </c>
      <c r="E4054" s="4" t="n">
        <v>3</v>
      </c>
    </row>
    <row r="4055" customFormat="false" ht="15" hidden="false" customHeight="false" outlineLevel="0" collapsed="false">
      <c r="A4055" s="3" t="n">
        <v>2023</v>
      </c>
      <c r="B4055" s="3" t="n">
        <v>2</v>
      </c>
      <c r="C4055" s="3" t="n">
        <v>5</v>
      </c>
      <c r="D4055" s="3" t="s">
        <v>4059</v>
      </c>
      <c r="E4055" s="4" t="n">
        <v>0</v>
      </c>
    </row>
    <row r="4056" customFormat="false" ht="15" hidden="false" customHeight="false" outlineLevel="0" collapsed="false">
      <c r="A4056" s="3" t="n">
        <v>2023</v>
      </c>
      <c r="B4056" s="3" t="n">
        <v>2</v>
      </c>
      <c r="C4056" s="3" t="n">
        <v>6</v>
      </c>
      <c r="D4056" s="3" t="s">
        <v>4060</v>
      </c>
      <c r="E4056" s="4" t="n">
        <v>0</v>
      </c>
    </row>
    <row r="4057" customFormat="false" ht="15" hidden="false" customHeight="false" outlineLevel="0" collapsed="false">
      <c r="A4057" s="3" t="n">
        <v>2023</v>
      </c>
      <c r="B4057" s="3" t="n">
        <v>2</v>
      </c>
      <c r="C4057" s="3" t="n">
        <v>7</v>
      </c>
      <c r="D4057" s="3" t="s">
        <v>4061</v>
      </c>
      <c r="E4057" s="4" t="n">
        <v>0</v>
      </c>
    </row>
    <row r="4058" customFormat="false" ht="15" hidden="false" customHeight="false" outlineLevel="0" collapsed="false">
      <c r="A4058" s="3" t="n">
        <v>2023</v>
      </c>
      <c r="B4058" s="3" t="n">
        <v>2</v>
      </c>
      <c r="C4058" s="3" t="n">
        <v>8</v>
      </c>
      <c r="D4058" s="3" t="s">
        <v>4062</v>
      </c>
      <c r="E4058" s="4" t="n">
        <v>0</v>
      </c>
    </row>
    <row r="4059" customFormat="false" ht="15" hidden="false" customHeight="false" outlineLevel="0" collapsed="false">
      <c r="A4059" s="3" t="n">
        <v>2023</v>
      </c>
      <c r="B4059" s="3" t="n">
        <v>2</v>
      </c>
      <c r="C4059" s="3" t="n">
        <v>9</v>
      </c>
      <c r="D4059" s="3" t="s">
        <v>4063</v>
      </c>
      <c r="E4059" s="4" t="n">
        <v>0</v>
      </c>
    </row>
    <row r="4060" customFormat="false" ht="15" hidden="false" customHeight="false" outlineLevel="0" collapsed="false">
      <c r="A4060" s="3" t="n">
        <v>2023</v>
      </c>
      <c r="B4060" s="3" t="n">
        <v>2</v>
      </c>
      <c r="C4060" s="3" t="n">
        <v>10</v>
      </c>
      <c r="D4060" s="3" t="s">
        <v>4064</v>
      </c>
      <c r="E4060" s="4" t="n">
        <v>0</v>
      </c>
    </row>
    <row r="4061" customFormat="false" ht="15" hidden="false" customHeight="false" outlineLevel="0" collapsed="false">
      <c r="A4061" s="3" t="n">
        <v>2023</v>
      </c>
      <c r="B4061" s="3" t="n">
        <v>2</v>
      </c>
      <c r="C4061" s="3" t="n">
        <v>11</v>
      </c>
      <c r="D4061" s="3" t="s">
        <v>4065</v>
      </c>
      <c r="E4061" s="4" t="n">
        <v>0</v>
      </c>
    </row>
    <row r="4062" customFormat="false" ht="15" hidden="false" customHeight="false" outlineLevel="0" collapsed="false">
      <c r="A4062" s="3" t="n">
        <v>2023</v>
      </c>
      <c r="B4062" s="3" t="n">
        <v>2</v>
      </c>
      <c r="C4062" s="3" t="n">
        <v>12</v>
      </c>
      <c r="D4062" s="3" t="s">
        <v>4066</v>
      </c>
      <c r="E4062" s="4" t="n">
        <v>0</v>
      </c>
    </row>
    <row r="4063" customFormat="false" ht="15" hidden="false" customHeight="false" outlineLevel="0" collapsed="false">
      <c r="A4063" s="3" t="n">
        <v>2023</v>
      </c>
      <c r="B4063" s="3" t="n">
        <v>2</v>
      </c>
      <c r="C4063" s="3" t="n">
        <v>13</v>
      </c>
      <c r="D4063" s="3" t="s">
        <v>4067</v>
      </c>
      <c r="E4063" s="4" t="n">
        <v>35</v>
      </c>
    </row>
    <row r="4064" customFormat="false" ht="15" hidden="false" customHeight="false" outlineLevel="0" collapsed="false">
      <c r="A4064" s="3" t="n">
        <v>2023</v>
      </c>
      <c r="B4064" s="3" t="n">
        <v>2</v>
      </c>
      <c r="C4064" s="3" t="n">
        <v>14</v>
      </c>
      <c r="D4064" s="3" t="s">
        <v>4068</v>
      </c>
      <c r="E4064" s="4" t="n">
        <v>12</v>
      </c>
    </row>
    <row r="4065" customFormat="false" ht="15" hidden="false" customHeight="false" outlineLevel="0" collapsed="false">
      <c r="A4065" s="3" t="n">
        <v>2023</v>
      </c>
      <c r="B4065" s="3" t="n">
        <v>2</v>
      </c>
      <c r="C4065" s="3" t="n">
        <v>15</v>
      </c>
      <c r="D4065" s="3" t="s">
        <v>4069</v>
      </c>
      <c r="E4065" s="4" t="n">
        <v>0</v>
      </c>
    </row>
    <row r="4066" customFormat="false" ht="15" hidden="false" customHeight="false" outlineLevel="0" collapsed="false">
      <c r="A4066" s="3" t="n">
        <v>2023</v>
      </c>
      <c r="B4066" s="3" t="n">
        <v>2</v>
      </c>
      <c r="C4066" s="3" t="n">
        <v>16</v>
      </c>
      <c r="D4066" s="3" t="s">
        <v>4070</v>
      </c>
      <c r="E4066" s="4" t="n">
        <v>0</v>
      </c>
    </row>
    <row r="4067" customFormat="false" ht="15" hidden="false" customHeight="false" outlineLevel="0" collapsed="false">
      <c r="A4067" s="3" t="n">
        <v>2023</v>
      </c>
      <c r="B4067" s="3" t="n">
        <v>2</v>
      </c>
      <c r="C4067" s="3" t="n">
        <v>17</v>
      </c>
      <c r="D4067" s="3" t="s">
        <v>4071</v>
      </c>
      <c r="E4067" s="4" t="n">
        <v>0</v>
      </c>
    </row>
    <row r="4068" customFormat="false" ht="15" hidden="false" customHeight="false" outlineLevel="0" collapsed="false">
      <c r="A4068" s="3" t="n">
        <v>2023</v>
      </c>
      <c r="B4068" s="3" t="n">
        <v>2</v>
      </c>
      <c r="C4068" s="3" t="n">
        <v>18</v>
      </c>
      <c r="D4068" s="3" t="s">
        <v>4072</v>
      </c>
      <c r="E4068" s="4" t="n">
        <v>0</v>
      </c>
    </row>
    <row r="4069" customFormat="false" ht="15" hidden="false" customHeight="false" outlineLevel="0" collapsed="false">
      <c r="A4069" s="3" t="n">
        <v>2023</v>
      </c>
      <c r="B4069" s="3" t="n">
        <v>2</v>
      </c>
      <c r="C4069" s="3" t="n">
        <v>19</v>
      </c>
      <c r="D4069" s="3" t="s">
        <v>4073</v>
      </c>
      <c r="E4069" s="4" t="n">
        <v>0</v>
      </c>
    </row>
    <row r="4070" customFormat="false" ht="15" hidden="false" customHeight="false" outlineLevel="0" collapsed="false">
      <c r="A4070" s="3" t="n">
        <v>2023</v>
      </c>
      <c r="B4070" s="3" t="n">
        <v>2</v>
      </c>
      <c r="C4070" s="3" t="n">
        <v>20</v>
      </c>
      <c r="D4070" s="3" t="s">
        <v>4074</v>
      </c>
      <c r="E4070" s="4" t="n">
        <v>0</v>
      </c>
    </row>
    <row r="4071" customFormat="false" ht="15" hidden="false" customHeight="false" outlineLevel="0" collapsed="false">
      <c r="A4071" s="3" t="n">
        <v>2023</v>
      </c>
      <c r="B4071" s="3" t="n">
        <v>2</v>
      </c>
      <c r="C4071" s="3" t="n">
        <v>21</v>
      </c>
      <c r="D4071" s="3" t="s">
        <v>4075</v>
      </c>
      <c r="E4071" s="4" t="n">
        <v>0</v>
      </c>
    </row>
    <row r="4072" customFormat="false" ht="15" hidden="false" customHeight="false" outlineLevel="0" collapsed="false">
      <c r="A4072" s="3" t="n">
        <v>2023</v>
      </c>
      <c r="B4072" s="3" t="n">
        <v>2</v>
      </c>
      <c r="C4072" s="3" t="n">
        <v>22</v>
      </c>
      <c r="D4072" s="3" t="s">
        <v>4076</v>
      </c>
      <c r="E4072" s="4" t="n">
        <v>0</v>
      </c>
    </row>
    <row r="4073" customFormat="false" ht="15" hidden="false" customHeight="false" outlineLevel="0" collapsed="false">
      <c r="A4073" s="3" t="n">
        <v>2023</v>
      </c>
      <c r="B4073" s="3" t="n">
        <v>2</v>
      </c>
      <c r="C4073" s="3" t="n">
        <v>23</v>
      </c>
      <c r="D4073" s="3" t="s">
        <v>4077</v>
      </c>
      <c r="E4073" s="4" t="n">
        <v>0</v>
      </c>
    </row>
    <row r="4074" customFormat="false" ht="15" hidden="false" customHeight="false" outlineLevel="0" collapsed="false">
      <c r="A4074" s="3" t="n">
        <v>2023</v>
      </c>
      <c r="B4074" s="3" t="n">
        <v>2</v>
      </c>
      <c r="C4074" s="3" t="n">
        <v>24</v>
      </c>
      <c r="D4074" s="3" t="s">
        <v>4078</v>
      </c>
      <c r="E4074" s="4" t="n">
        <v>0</v>
      </c>
    </row>
    <row r="4075" customFormat="false" ht="15" hidden="false" customHeight="false" outlineLevel="0" collapsed="false">
      <c r="A4075" s="3" t="n">
        <v>2023</v>
      </c>
      <c r="B4075" s="3" t="n">
        <v>2</v>
      </c>
      <c r="C4075" s="3" t="n">
        <v>25</v>
      </c>
      <c r="D4075" s="3" t="s">
        <v>4079</v>
      </c>
      <c r="E4075" s="4" t="n">
        <v>1</v>
      </c>
    </row>
    <row r="4076" customFormat="false" ht="15" hidden="false" customHeight="false" outlineLevel="0" collapsed="false">
      <c r="A4076" s="3" t="n">
        <v>2023</v>
      </c>
      <c r="B4076" s="3" t="n">
        <v>2</v>
      </c>
      <c r="C4076" s="3" t="n">
        <v>26</v>
      </c>
      <c r="D4076" s="3" t="s">
        <v>4080</v>
      </c>
      <c r="E4076" s="4" t="n">
        <v>64</v>
      </c>
    </row>
    <row r="4077" customFormat="false" ht="15" hidden="false" customHeight="false" outlineLevel="0" collapsed="false">
      <c r="A4077" s="3" t="n">
        <v>2023</v>
      </c>
      <c r="B4077" s="3" t="n">
        <v>2</v>
      </c>
      <c r="C4077" s="3" t="n">
        <v>27</v>
      </c>
      <c r="D4077" s="3" t="s">
        <v>4081</v>
      </c>
      <c r="E4077" s="4" t="n">
        <v>2</v>
      </c>
    </row>
    <row r="4078" customFormat="false" ht="15" hidden="false" customHeight="false" outlineLevel="0" collapsed="false">
      <c r="A4078" s="3" t="n">
        <v>2023</v>
      </c>
      <c r="B4078" s="3" t="n">
        <v>2</v>
      </c>
      <c r="C4078" s="3" t="n">
        <v>28</v>
      </c>
      <c r="D4078" s="3" t="s">
        <v>4082</v>
      </c>
      <c r="E4078" s="4" t="n">
        <v>13</v>
      </c>
    </row>
    <row r="4079" customFormat="false" ht="15" hidden="false" customHeight="false" outlineLevel="0" collapsed="false">
      <c r="A4079" s="3" t="n">
        <v>2023</v>
      </c>
      <c r="B4079" s="3" t="n">
        <v>3</v>
      </c>
      <c r="C4079" s="3" t="n">
        <v>1</v>
      </c>
      <c r="D4079" s="3" t="s">
        <v>4083</v>
      </c>
      <c r="E4079" s="4" t="n">
        <v>11</v>
      </c>
    </row>
    <row r="4080" customFormat="false" ht="15" hidden="false" customHeight="false" outlineLevel="0" collapsed="false">
      <c r="A4080" s="3" t="n">
        <v>2023</v>
      </c>
      <c r="B4080" s="3" t="n">
        <v>3</v>
      </c>
      <c r="C4080" s="3" t="n">
        <v>2</v>
      </c>
      <c r="D4080" s="3" t="s">
        <v>4084</v>
      </c>
      <c r="E4080" s="4" t="n">
        <v>1</v>
      </c>
    </row>
    <row r="4081" customFormat="false" ht="15" hidden="false" customHeight="false" outlineLevel="0" collapsed="false">
      <c r="A4081" s="3" t="n">
        <v>2023</v>
      </c>
      <c r="B4081" s="3" t="n">
        <v>3</v>
      </c>
      <c r="C4081" s="3" t="n">
        <v>3</v>
      </c>
      <c r="D4081" s="3" t="s">
        <v>4085</v>
      </c>
      <c r="E4081" s="4" t="n">
        <v>1</v>
      </c>
    </row>
    <row r="4082" customFormat="false" ht="15" hidden="false" customHeight="false" outlineLevel="0" collapsed="false">
      <c r="A4082" s="3" t="n">
        <v>2023</v>
      </c>
      <c r="B4082" s="3" t="n">
        <v>3</v>
      </c>
      <c r="C4082" s="3" t="n">
        <v>4</v>
      </c>
      <c r="D4082" s="3" t="s">
        <v>4086</v>
      </c>
      <c r="E4082" s="4" t="n">
        <v>6</v>
      </c>
    </row>
    <row r="4083" customFormat="false" ht="15" hidden="false" customHeight="false" outlineLevel="0" collapsed="false">
      <c r="A4083" s="3" t="n">
        <v>2023</v>
      </c>
      <c r="B4083" s="3" t="n">
        <v>3</v>
      </c>
      <c r="C4083" s="3" t="n">
        <v>5</v>
      </c>
      <c r="D4083" s="3" t="s">
        <v>4087</v>
      </c>
      <c r="E4083" s="4" t="n">
        <v>9</v>
      </c>
    </row>
    <row r="4084" customFormat="false" ht="15" hidden="false" customHeight="false" outlineLevel="0" collapsed="false">
      <c r="A4084" s="3" t="n">
        <v>2023</v>
      </c>
      <c r="B4084" s="3" t="n">
        <v>3</v>
      </c>
      <c r="C4084" s="3" t="n">
        <v>6</v>
      </c>
      <c r="D4084" s="3" t="s">
        <v>4088</v>
      </c>
      <c r="E4084" s="4" t="n">
        <v>4</v>
      </c>
    </row>
    <row r="4085" customFormat="false" ht="15" hidden="false" customHeight="false" outlineLevel="0" collapsed="false">
      <c r="A4085" s="3" t="n">
        <v>2023</v>
      </c>
      <c r="B4085" s="3" t="n">
        <v>3</v>
      </c>
      <c r="C4085" s="3" t="n">
        <v>7</v>
      </c>
      <c r="D4085" s="3" t="s">
        <v>4089</v>
      </c>
      <c r="E4085" s="4" t="n">
        <v>5</v>
      </c>
    </row>
    <row r="4086" customFormat="false" ht="15" hidden="false" customHeight="false" outlineLevel="0" collapsed="false">
      <c r="A4086" s="3" t="n">
        <v>2023</v>
      </c>
      <c r="B4086" s="3" t="n">
        <v>3</v>
      </c>
      <c r="C4086" s="3" t="n">
        <v>8</v>
      </c>
      <c r="D4086" s="3" t="s">
        <v>4090</v>
      </c>
      <c r="E4086" s="4"/>
    </row>
    <row r="4087" customFormat="false" ht="15" hidden="false" customHeight="false" outlineLevel="0" collapsed="false">
      <c r="A4087" s="3" t="n">
        <v>2023</v>
      </c>
      <c r="B4087" s="3" t="n">
        <v>3</v>
      </c>
      <c r="C4087" s="3" t="n">
        <v>9</v>
      </c>
      <c r="D4087" s="3" t="s">
        <v>4091</v>
      </c>
      <c r="E4087" s="4" t="n">
        <v>20</v>
      </c>
    </row>
    <row r="4088" customFormat="false" ht="15" hidden="false" customHeight="false" outlineLevel="0" collapsed="false">
      <c r="A4088" s="3" t="n">
        <v>2023</v>
      </c>
      <c r="B4088" s="3" t="n">
        <v>3</v>
      </c>
      <c r="C4088" s="3" t="n">
        <v>10</v>
      </c>
      <c r="D4088" s="3" t="s">
        <v>4092</v>
      </c>
      <c r="E4088" s="4"/>
    </row>
    <row r="4089" customFormat="false" ht="15" hidden="false" customHeight="false" outlineLevel="0" collapsed="false">
      <c r="A4089" s="3" t="n">
        <v>2023</v>
      </c>
      <c r="B4089" s="3" t="n">
        <v>3</v>
      </c>
      <c r="C4089" s="3" t="n">
        <v>11</v>
      </c>
      <c r="D4089" s="3" t="s">
        <v>4093</v>
      </c>
      <c r="E4089" s="4" t="n">
        <v>5</v>
      </c>
    </row>
    <row r="4090" customFormat="false" ht="15" hidden="false" customHeight="false" outlineLevel="0" collapsed="false">
      <c r="A4090" s="3" t="n">
        <v>2023</v>
      </c>
      <c r="B4090" s="3" t="n">
        <v>3</v>
      </c>
      <c r="C4090" s="3" t="n">
        <v>12</v>
      </c>
      <c r="D4090" s="3" t="s">
        <v>4094</v>
      </c>
      <c r="E4090" s="4" t="n">
        <v>2</v>
      </c>
    </row>
    <row r="4091" customFormat="false" ht="15" hidden="false" customHeight="false" outlineLevel="0" collapsed="false">
      <c r="A4091" s="3" t="n">
        <v>2023</v>
      </c>
      <c r="B4091" s="3" t="n">
        <v>3</v>
      </c>
      <c r="C4091" s="3" t="n">
        <v>13</v>
      </c>
      <c r="D4091" s="3" t="s">
        <v>4095</v>
      </c>
      <c r="E4091" s="4" t="n">
        <v>16</v>
      </c>
    </row>
    <row r="4092" customFormat="false" ht="15" hidden="false" customHeight="false" outlineLevel="0" collapsed="false">
      <c r="A4092" s="3" t="n">
        <v>2023</v>
      </c>
      <c r="B4092" s="3" t="n">
        <v>3</v>
      </c>
      <c r="C4092" s="3" t="n">
        <v>14</v>
      </c>
      <c r="D4092" s="3" t="s">
        <v>4096</v>
      </c>
      <c r="E4092" s="4" t="n">
        <v>23</v>
      </c>
    </row>
    <row r="4093" customFormat="false" ht="15" hidden="false" customHeight="false" outlineLevel="0" collapsed="false">
      <c r="A4093" s="3" t="n">
        <v>2023</v>
      </c>
      <c r="B4093" s="3" t="n">
        <v>3</v>
      </c>
      <c r="C4093" s="3" t="n">
        <v>15</v>
      </c>
      <c r="D4093" s="3" t="s">
        <v>4097</v>
      </c>
      <c r="E4093" s="4"/>
    </row>
    <row r="4094" customFormat="false" ht="15" hidden="false" customHeight="false" outlineLevel="0" collapsed="false">
      <c r="A4094" s="3" t="n">
        <v>2023</v>
      </c>
      <c r="B4094" s="3" t="n">
        <v>3</v>
      </c>
      <c r="C4094" s="3" t="n">
        <v>16</v>
      </c>
      <c r="D4094" s="3" t="s">
        <v>4098</v>
      </c>
      <c r="E4094" s="4" t="n">
        <v>9</v>
      </c>
    </row>
    <row r="4095" customFormat="false" ht="15" hidden="false" customHeight="false" outlineLevel="0" collapsed="false">
      <c r="A4095" s="3" t="n">
        <v>2023</v>
      </c>
      <c r="B4095" s="3" t="n">
        <v>3</v>
      </c>
      <c r="C4095" s="3" t="n">
        <v>17</v>
      </c>
      <c r="D4095" s="3" t="s">
        <v>4099</v>
      </c>
      <c r="E4095" s="4" t="n">
        <v>7</v>
      </c>
    </row>
    <row r="4096" customFormat="false" ht="15" hidden="false" customHeight="false" outlineLevel="0" collapsed="false">
      <c r="A4096" s="3" t="n">
        <v>2023</v>
      </c>
      <c r="B4096" s="3" t="n">
        <v>3</v>
      </c>
      <c r="C4096" s="3" t="n">
        <v>18</v>
      </c>
      <c r="D4096" s="3" t="s">
        <v>4100</v>
      </c>
      <c r="E4096" s="4" t="n">
        <v>1</v>
      </c>
    </row>
    <row r="4097" customFormat="false" ht="15" hidden="false" customHeight="false" outlineLevel="0" collapsed="false">
      <c r="A4097" s="3" t="n">
        <v>2023</v>
      </c>
      <c r="B4097" s="3" t="n">
        <v>3</v>
      </c>
      <c r="C4097" s="3" t="n">
        <v>19</v>
      </c>
      <c r="D4097" s="3" t="s">
        <v>4101</v>
      </c>
      <c r="E4097" s="4"/>
    </row>
    <row r="4098" customFormat="false" ht="15" hidden="false" customHeight="false" outlineLevel="0" collapsed="false">
      <c r="A4098" s="3" t="n">
        <v>2023</v>
      </c>
      <c r="B4098" s="3" t="n">
        <v>3</v>
      </c>
      <c r="C4098" s="3" t="n">
        <v>20</v>
      </c>
      <c r="D4098" s="3" t="s">
        <v>4102</v>
      </c>
      <c r="E4098" s="4" t="n">
        <v>2</v>
      </c>
    </row>
    <row r="4099" customFormat="false" ht="15" hidden="false" customHeight="false" outlineLevel="0" collapsed="false">
      <c r="A4099" s="3" t="n">
        <v>2023</v>
      </c>
      <c r="B4099" s="3" t="n">
        <v>3</v>
      </c>
      <c r="C4099" s="3" t="n">
        <v>21</v>
      </c>
      <c r="D4099" s="3" t="s">
        <v>4103</v>
      </c>
      <c r="E4099" s="4" t="n">
        <v>1</v>
      </c>
    </row>
    <row r="4100" customFormat="false" ht="15" hidden="false" customHeight="false" outlineLevel="0" collapsed="false">
      <c r="A4100" s="3" t="n">
        <v>2023</v>
      </c>
      <c r="B4100" s="3" t="n">
        <v>3</v>
      </c>
      <c r="C4100" s="3" t="n">
        <v>22</v>
      </c>
      <c r="D4100" s="3" t="s">
        <v>4104</v>
      </c>
      <c r="E4100" s="4"/>
    </row>
    <row r="4101" customFormat="false" ht="15" hidden="false" customHeight="false" outlineLevel="0" collapsed="false">
      <c r="A4101" s="3" t="n">
        <v>2023</v>
      </c>
      <c r="B4101" s="3" t="n">
        <v>3</v>
      </c>
      <c r="C4101" s="3" t="n">
        <v>23</v>
      </c>
      <c r="D4101" s="3" t="s">
        <v>4105</v>
      </c>
      <c r="E4101" s="4"/>
    </row>
    <row r="4102" customFormat="false" ht="15" hidden="false" customHeight="false" outlineLevel="0" collapsed="false">
      <c r="A4102" s="3" t="n">
        <v>2023</v>
      </c>
      <c r="B4102" s="3" t="n">
        <v>3</v>
      </c>
      <c r="C4102" s="3" t="n">
        <v>24</v>
      </c>
      <c r="D4102" s="3" t="s">
        <v>4106</v>
      </c>
      <c r="E4102" s="4" t="n">
        <v>52</v>
      </c>
    </row>
    <row r="4103" customFormat="false" ht="15" hidden="false" customHeight="false" outlineLevel="0" collapsed="false">
      <c r="A4103" s="3" t="n">
        <v>2023</v>
      </c>
      <c r="B4103" s="3" t="n">
        <v>3</v>
      </c>
      <c r="C4103" s="3" t="n">
        <v>25</v>
      </c>
      <c r="D4103" s="3" t="s">
        <v>4107</v>
      </c>
      <c r="E4103" s="4" t="n">
        <v>14</v>
      </c>
    </row>
    <row r="4104" customFormat="false" ht="15" hidden="false" customHeight="false" outlineLevel="0" collapsed="false">
      <c r="A4104" s="3" t="n">
        <v>2023</v>
      </c>
      <c r="B4104" s="3" t="n">
        <v>3</v>
      </c>
      <c r="C4104" s="3" t="n">
        <v>26</v>
      </c>
      <c r="D4104" s="3" t="s">
        <v>4108</v>
      </c>
      <c r="E4104" s="4" t="n">
        <v>1</v>
      </c>
    </row>
    <row r="4105" customFormat="false" ht="15" hidden="false" customHeight="false" outlineLevel="0" collapsed="false">
      <c r="A4105" s="3" t="n">
        <v>2023</v>
      </c>
      <c r="B4105" s="3" t="n">
        <v>3</v>
      </c>
      <c r="C4105" s="3" t="n">
        <v>27</v>
      </c>
      <c r="D4105" s="3" t="s">
        <v>4109</v>
      </c>
      <c r="E4105" s="4"/>
    </row>
    <row r="4106" customFormat="false" ht="15" hidden="false" customHeight="false" outlineLevel="0" collapsed="false">
      <c r="A4106" s="3" t="n">
        <v>2023</v>
      </c>
      <c r="B4106" s="3" t="n">
        <v>3</v>
      </c>
      <c r="C4106" s="3" t="n">
        <v>28</v>
      </c>
      <c r="D4106" s="3" t="s">
        <v>4110</v>
      </c>
      <c r="E4106" s="4" t="n">
        <v>12</v>
      </c>
    </row>
    <row r="4107" customFormat="false" ht="15" hidden="false" customHeight="false" outlineLevel="0" collapsed="false">
      <c r="A4107" s="3" t="n">
        <v>2023</v>
      </c>
      <c r="B4107" s="3" t="n">
        <v>3</v>
      </c>
      <c r="C4107" s="3" t="n">
        <v>29</v>
      </c>
      <c r="D4107" s="3" t="s">
        <v>4111</v>
      </c>
      <c r="E4107" s="4" t="n">
        <v>7</v>
      </c>
    </row>
    <row r="4108" customFormat="false" ht="15" hidden="false" customHeight="false" outlineLevel="0" collapsed="false">
      <c r="A4108" s="3" t="n">
        <v>2023</v>
      </c>
      <c r="B4108" s="3" t="n">
        <v>3</v>
      </c>
      <c r="C4108" s="3" t="n">
        <v>30</v>
      </c>
      <c r="D4108" s="3" t="s">
        <v>4112</v>
      </c>
      <c r="E4108" s="4"/>
    </row>
    <row r="4109" customFormat="false" ht="15" hidden="false" customHeight="false" outlineLevel="0" collapsed="false">
      <c r="A4109" s="3" t="n">
        <v>2023</v>
      </c>
      <c r="B4109" s="3" t="n">
        <v>3</v>
      </c>
      <c r="C4109" s="3" t="n">
        <v>31</v>
      </c>
      <c r="D4109" s="3" t="s">
        <v>4113</v>
      </c>
      <c r="E4109" s="4" t="n">
        <v>100</v>
      </c>
    </row>
    <row r="4110" customFormat="false" ht="15" hidden="false" customHeight="false" outlineLevel="0" collapsed="false">
      <c r="A4110" s="3" t="n">
        <v>2023</v>
      </c>
      <c r="B4110" s="3" t="n">
        <v>4</v>
      </c>
      <c r="C4110" s="3" t="n">
        <v>1</v>
      </c>
      <c r="D4110" s="3" t="s">
        <v>4114</v>
      </c>
      <c r="E4110" s="4" t="n">
        <v>4</v>
      </c>
    </row>
    <row r="4111" customFormat="false" ht="15" hidden="false" customHeight="false" outlineLevel="0" collapsed="false">
      <c r="A4111" s="3" t="n">
        <v>2023</v>
      </c>
      <c r="B4111" s="3" t="n">
        <v>4</v>
      </c>
      <c r="C4111" s="3" t="n">
        <v>2</v>
      </c>
      <c r="D4111" s="3" t="s">
        <v>4115</v>
      </c>
      <c r="E4111" s="4" t="n">
        <v>0</v>
      </c>
    </row>
    <row r="4112" customFormat="false" ht="15" hidden="false" customHeight="false" outlineLevel="0" collapsed="false">
      <c r="A4112" s="3" t="n">
        <v>2023</v>
      </c>
      <c r="B4112" s="3" t="n">
        <v>4</v>
      </c>
      <c r="C4112" s="3" t="n">
        <v>3</v>
      </c>
      <c r="D4112" s="3" t="s">
        <v>4116</v>
      </c>
      <c r="E4112" s="4" t="n">
        <v>0</v>
      </c>
    </row>
    <row r="4113" customFormat="false" ht="15" hidden="false" customHeight="false" outlineLevel="0" collapsed="false">
      <c r="A4113" s="3" t="n">
        <v>2023</v>
      </c>
      <c r="B4113" s="3" t="n">
        <v>4</v>
      </c>
      <c r="C4113" s="3" t="n">
        <v>4</v>
      </c>
      <c r="D4113" s="3" t="s">
        <v>4117</v>
      </c>
      <c r="E4113" s="4" t="n">
        <v>1</v>
      </c>
    </row>
    <row r="4114" customFormat="false" ht="15" hidden="false" customHeight="false" outlineLevel="0" collapsed="false">
      <c r="A4114" s="3" t="n">
        <v>2023</v>
      </c>
      <c r="B4114" s="3" t="n">
        <v>4</v>
      </c>
      <c r="C4114" s="3" t="n">
        <v>5</v>
      </c>
      <c r="D4114" s="3" t="s">
        <v>4118</v>
      </c>
      <c r="E4114" s="4" t="n">
        <v>0</v>
      </c>
    </row>
    <row r="4115" customFormat="false" ht="15" hidden="false" customHeight="false" outlineLevel="0" collapsed="false">
      <c r="A4115" s="3" t="n">
        <v>2023</v>
      </c>
      <c r="B4115" s="3" t="n">
        <v>4</v>
      </c>
      <c r="C4115" s="3" t="n">
        <v>6</v>
      </c>
      <c r="D4115" s="3" t="s">
        <v>4119</v>
      </c>
      <c r="E4115" s="4" t="n">
        <v>19</v>
      </c>
    </row>
    <row r="4116" customFormat="false" ht="15" hidden="false" customHeight="false" outlineLevel="0" collapsed="false">
      <c r="A4116" s="3" t="n">
        <v>2023</v>
      </c>
      <c r="B4116" s="3" t="n">
        <v>4</v>
      </c>
      <c r="C4116" s="3" t="n">
        <v>7</v>
      </c>
      <c r="D4116" s="3" t="s">
        <v>4120</v>
      </c>
      <c r="E4116" s="4" t="n">
        <v>14</v>
      </c>
    </row>
    <row r="4117" customFormat="false" ht="15" hidden="false" customHeight="false" outlineLevel="0" collapsed="false">
      <c r="A4117" s="3" t="n">
        <v>2023</v>
      </c>
      <c r="B4117" s="3" t="n">
        <v>4</v>
      </c>
      <c r="C4117" s="3" t="n">
        <v>8</v>
      </c>
      <c r="D4117" s="3" t="s">
        <v>4121</v>
      </c>
      <c r="E4117" s="4" t="n">
        <v>11</v>
      </c>
    </row>
    <row r="4118" customFormat="false" ht="15" hidden="false" customHeight="false" outlineLevel="0" collapsed="false">
      <c r="A4118" s="3" t="n">
        <v>2023</v>
      </c>
      <c r="B4118" s="3" t="n">
        <v>4</v>
      </c>
      <c r="C4118" s="3" t="n">
        <v>9</v>
      </c>
      <c r="D4118" s="3" t="s">
        <v>4122</v>
      </c>
      <c r="E4118" s="4" t="n">
        <v>0</v>
      </c>
    </row>
    <row r="4119" customFormat="false" ht="15" hidden="false" customHeight="false" outlineLevel="0" collapsed="false">
      <c r="A4119" s="3" t="n">
        <v>2023</v>
      </c>
      <c r="B4119" s="3" t="n">
        <v>4</v>
      </c>
      <c r="C4119" s="3" t="n">
        <v>10</v>
      </c>
      <c r="D4119" s="3" t="s">
        <v>4123</v>
      </c>
      <c r="E4119" s="4" t="n">
        <v>0</v>
      </c>
    </row>
    <row r="4120" customFormat="false" ht="15" hidden="false" customHeight="false" outlineLevel="0" collapsed="false">
      <c r="A4120" s="3" t="n">
        <v>2023</v>
      </c>
      <c r="B4120" s="3" t="n">
        <v>4</v>
      </c>
      <c r="C4120" s="3" t="n">
        <v>11</v>
      </c>
      <c r="D4120" s="3" t="s">
        <v>4124</v>
      </c>
      <c r="E4120" s="4" t="n">
        <v>0</v>
      </c>
    </row>
    <row r="4121" customFormat="false" ht="15" hidden="false" customHeight="false" outlineLevel="0" collapsed="false">
      <c r="A4121" s="3" t="n">
        <v>2023</v>
      </c>
      <c r="B4121" s="3" t="n">
        <v>4</v>
      </c>
      <c r="C4121" s="3" t="n">
        <v>12</v>
      </c>
      <c r="D4121" s="3" t="s">
        <v>4125</v>
      </c>
      <c r="E4121" s="4" t="n">
        <v>0</v>
      </c>
    </row>
    <row r="4122" customFormat="false" ht="15" hidden="false" customHeight="false" outlineLevel="0" collapsed="false">
      <c r="A4122" s="3" t="n">
        <v>2023</v>
      </c>
      <c r="B4122" s="3" t="n">
        <v>4</v>
      </c>
      <c r="C4122" s="3" t="n">
        <v>13</v>
      </c>
      <c r="D4122" s="3" t="s">
        <v>4126</v>
      </c>
      <c r="E4122" s="4" t="n">
        <v>0</v>
      </c>
    </row>
    <row r="4123" customFormat="false" ht="15" hidden="false" customHeight="false" outlineLevel="0" collapsed="false">
      <c r="A4123" s="3" t="n">
        <v>2023</v>
      </c>
      <c r="B4123" s="3" t="n">
        <v>4</v>
      </c>
      <c r="C4123" s="3" t="n">
        <v>14</v>
      </c>
      <c r="D4123" s="3" t="s">
        <v>4127</v>
      </c>
      <c r="E4123" s="4" t="n">
        <v>0</v>
      </c>
    </row>
    <row r="4124" customFormat="false" ht="15" hidden="false" customHeight="false" outlineLevel="0" collapsed="false">
      <c r="A4124" s="3" t="n">
        <v>2023</v>
      </c>
      <c r="B4124" s="3" t="n">
        <v>4</v>
      </c>
      <c r="C4124" s="3" t="n">
        <v>15</v>
      </c>
      <c r="D4124" s="3" t="s">
        <v>4128</v>
      </c>
      <c r="E4124" s="4" t="n">
        <v>0</v>
      </c>
    </row>
    <row r="4125" customFormat="false" ht="15" hidden="false" customHeight="false" outlineLevel="0" collapsed="false">
      <c r="A4125" s="3" t="n">
        <v>2023</v>
      </c>
      <c r="B4125" s="3" t="n">
        <v>4</v>
      </c>
      <c r="C4125" s="3" t="n">
        <v>16</v>
      </c>
      <c r="D4125" s="3" t="s">
        <v>4129</v>
      </c>
      <c r="E4125" s="4" t="n">
        <v>0</v>
      </c>
    </row>
    <row r="4126" customFormat="false" ht="15" hidden="false" customHeight="false" outlineLevel="0" collapsed="false">
      <c r="A4126" s="3" t="n">
        <v>2023</v>
      </c>
      <c r="B4126" s="3" t="n">
        <v>4</v>
      </c>
      <c r="C4126" s="3" t="n">
        <v>17</v>
      </c>
      <c r="D4126" s="3" t="s">
        <v>4130</v>
      </c>
      <c r="E4126" s="4" t="n">
        <v>0</v>
      </c>
    </row>
    <row r="4127" customFormat="false" ht="15" hidden="false" customHeight="false" outlineLevel="0" collapsed="false">
      <c r="A4127" s="3" t="n">
        <v>2023</v>
      </c>
      <c r="B4127" s="3" t="n">
        <v>4</v>
      </c>
      <c r="C4127" s="3" t="n">
        <v>18</v>
      </c>
      <c r="D4127" s="3" t="s">
        <v>4131</v>
      </c>
      <c r="E4127" s="4" t="n">
        <v>3</v>
      </c>
    </row>
    <row r="4128" customFormat="false" ht="15" hidden="false" customHeight="false" outlineLevel="0" collapsed="false">
      <c r="A4128" s="3" t="n">
        <v>2023</v>
      </c>
      <c r="B4128" s="3" t="n">
        <v>4</v>
      </c>
      <c r="C4128" s="3" t="n">
        <v>19</v>
      </c>
      <c r="D4128" s="3" t="s">
        <v>4132</v>
      </c>
      <c r="E4128" s="4" t="n">
        <v>0</v>
      </c>
    </row>
    <row r="4129" customFormat="false" ht="15" hidden="false" customHeight="false" outlineLevel="0" collapsed="false">
      <c r="A4129" s="3" t="n">
        <v>2023</v>
      </c>
      <c r="B4129" s="3" t="n">
        <v>4</v>
      </c>
      <c r="C4129" s="3" t="n">
        <v>20</v>
      </c>
      <c r="D4129" s="3" t="s">
        <v>4133</v>
      </c>
      <c r="E4129" s="4" t="n">
        <v>5</v>
      </c>
    </row>
    <row r="4130" customFormat="false" ht="15" hidden="false" customHeight="false" outlineLevel="0" collapsed="false">
      <c r="A4130" s="3" t="n">
        <v>2023</v>
      </c>
      <c r="B4130" s="3" t="n">
        <v>4</v>
      </c>
      <c r="C4130" s="3" t="n">
        <v>21</v>
      </c>
      <c r="D4130" s="3" t="s">
        <v>4134</v>
      </c>
      <c r="E4130" s="4" t="n">
        <v>0</v>
      </c>
    </row>
    <row r="4131" customFormat="false" ht="15" hidden="false" customHeight="false" outlineLevel="0" collapsed="false">
      <c r="A4131" s="3" t="n">
        <v>2023</v>
      </c>
      <c r="B4131" s="3" t="n">
        <v>4</v>
      </c>
      <c r="C4131" s="3" t="n">
        <v>22</v>
      </c>
      <c r="D4131" s="3" t="s">
        <v>4135</v>
      </c>
      <c r="E4131" s="4" t="n">
        <v>19</v>
      </c>
    </row>
    <row r="4132" customFormat="false" ht="15" hidden="false" customHeight="false" outlineLevel="0" collapsed="false">
      <c r="A4132" s="3" t="n">
        <v>2023</v>
      </c>
      <c r="B4132" s="3" t="n">
        <v>4</v>
      </c>
      <c r="C4132" s="3" t="n">
        <v>23</v>
      </c>
      <c r="D4132" s="3" t="s">
        <v>4136</v>
      </c>
      <c r="E4132" s="4" t="n">
        <v>53</v>
      </c>
    </row>
    <row r="4133" customFormat="false" ht="15" hidden="false" customHeight="false" outlineLevel="0" collapsed="false">
      <c r="A4133" s="3" t="n">
        <v>2023</v>
      </c>
      <c r="B4133" s="3" t="n">
        <v>4</v>
      </c>
      <c r="C4133" s="3" t="n">
        <v>24</v>
      </c>
      <c r="D4133" s="3" t="s">
        <v>4137</v>
      </c>
      <c r="E4133" s="4" t="n">
        <v>1</v>
      </c>
    </row>
    <row r="4134" customFormat="false" ht="15" hidden="false" customHeight="false" outlineLevel="0" collapsed="false">
      <c r="A4134" s="3" t="n">
        <v>2023</v>
      </c>
      <c r="B4134" s="3" t="n">
        <v>4</v>
      </c>
      <c r="C4134" s="3" t="n">
        <v>25</v>
      </c>
      <c r="D4134" s="3" t="s">
        <v>4138</v>
      </c>
      <c r="E4134" s="4" t="n">
        <v>6</v>
      </c>
    </row>
    <row r="4135" customFormat="false" ht="15" hidden="false" customHeight="false" outlineLevel="0" collapsed="false">
      <c r="A4135" s="3" t="n">
        <v>2023</v>
      </c>
      <c r="B4135" s="3" t="n">
        <v>4</v>
      </c>
      <c r="C4135" s="3" t="n">
        <v>26</v>
      </c>
      <c r="D4135" s="3" t="s">
        <v>4139</v>
      </c>
      <c r="E4135" s="4" t="n">
        <v>1</v>
      </c>
    </row>
    <row r="4136" customFormat="false" ht="15" hidden="false" customHeight="false" outlineLevel="0" collapsed="false">
      <c r="A4136" s="3" t="n">
        <v>2023</v>
      </c>
      <c r="B4136" s="3" t="n">
        <v>4</v>
      </c>
      <c r="C4136" s="3" t="n">
        <v>27</v>
      </c>
      <c r="D4136" s="3" t="s">
        <v>4140</v>
      </c>
      <c r="E4136" s="4" t="n">
        <v>4</v>
      </c>
    </row>
    <row r="4137" customFormat="false" ht="15" hidden="false" customHeight="false" outlineLevel="0" collapsed="false">
      <c r="A4137" s="3" t="n">
        <v>2023</v>
      </c>
      <c r="B4137" s="3" t="n">
        <v>4</v>
      </c>
      <c r="C4137" s="3" t="n">
        <v>28</v>
      </c>
      <c r="D4137" s="3" t="s">
        <v>4141</v>
      </c>
      <c r="E4137" s="4" t="n">
        <v>0</v>
      </c>
    </row>
    <row r="4138" customFormat="false" ht="15" hidden="false" customHeight="false" outlineLevel="0" collapsed="false">
      <c r="A4138" s="3" t="n">
        <v>2023</v>
      </c>
      <c r="B4138" s="3" t="n">
        <v>4</v>
      </c>
      <c r="C4138" s="3" t="n">
        <v>29</v>
      </c>
      <c r="D4138" s="3" t="s">
        <v>4142</v>
      </c>
      <c r="E4138" s="4" t="n">
        <v>43</v>
      </c>
    </row>
    <row r="4139" customFormat="false" ht="15" hidden="false" customHeight="false" outlineLevel="0" collapsed="false">
      <c r="A4139" s="3" t="n">
        <v>2023</v>
      </c>
      <c r="B4139" s="3" t="n">
        <v>4</v>
      </c>
      <c r="C4139" s="3" t="n">
        <v>30</v>
      </c>
      <c r="D4139" s="3" t="s">
        <v>4143</v>
      </c>
      <c r="E4139" s="4" t="n">
        <v>5</v>
      </c>
    </row>
    <row r="4140" customFormat="false" ht="15" hidden="false" customHeight="false" outlineLevel="0" collapsed="false">
      <c r="A4140" s="3" t="n">
        <v>2023</v>
      </c>
      <c r="B4140" s="3" t="n">
        <v>5</v>
      </c>
      <c r="C4140" s="3" t="n">
        <v>1</v>
      </c>
      <c r="D4140" s="3" t="s">
        <v>4144</v>
      </c>
      <c r="E4140" s="4" t="n">
        <v>72</v>
      </c>
    </row>
    <row r="4141" customFormat="false" ht="15" hidden="false" customHeight="false" outlineLevel="0" collapsed="false">
      <c r="A4141" s="3" t="n">
        <v>2023</v>
      </c>
      <c r="B4141" s="3" t="n">
        <v>5</v>
      </c>
      <c r="C4141" s="3" t="n">
        <v>2</v>
      </c>
      <c r="D4141" s="3" t="s">
        <v>4145</v>
      </c>
      <c r="E4141" s="4" t="n">
        <v>0</v>
      </c>
    </row>
    <row r="4142" customFormat="false" ht="15" hidden="false" customHeight="false" outlineLevel="0" collapsed="false">
      <c r="A4142" s="3" t="n">
        <v>2023</v>
      </c>
      <c r="B4142" s="3" t="n">
        <v>5</v>
      </c>
      <c r="C4142" s="3" t="n">
        <v>3</v>
      </c>
      <c r="D4142" s="3" t="s">
        <v>4146</v>
      </c>
      <c r="E4142" s="4" t="n">
        <v>0</v>
      </c>
    </row>
    <row r="4143" customFormat="false" ht="15" hidden="false" customHeight="false" outlineLevel="0" collapsed="false">
      <c r="A4143" s="3" t="n">
        <v>2023</v>
      </c>
      <c r="B4143" s="3" t="n">
        <v>5</v>
      </c>
      <c r="C4143" s="3" t="n">
        <v>4</v>
      </c>
      <c r="D4143" s="3" t="s">
        <v>4147</v>
      </c>
      <c r="E4143" s="4" t="n">
        <v>46</v>
      </c>
    </row>
    <row r="4144" customFormat="false" ht="15" hidden="false" customHeight="false" outlineLevel="0" collapsed="false">
      <c r="A4144" s="3" t="n">
        <v>2023</v>
      </c>
      <c r="B4144" s="3" t="n">
        <v>5</v>
      </c>
      <c r="C4144" s="3" t="n">
        <v>5</v>
      </c>
      <c r="D4144" s="3" t="s">
        <v>4148</v>
      </c>
      <c r="E4144" s="4" t="n">
        <v>1</v>
      </c>
    </row>
    <row r="4145" customFormat="false" ht="15" hidden="false" customHeight="false" outlineLevel="0" collapsed="false">
      <c r="A4145" s="3" t="n">
        <v>2023</v>
      </c>
      <c r="B4145" s="3" t="n">
        <v>5</v>
      </c>
      <c r="C4145" s="3" t="n">
        <v>6</v>
      </c>
      <c r="D4145" s="3" t="s">
        <v>4149</v>
      </c>
      <c r="E4145" s="4" t="n">
        <v>0</v>
      </c>
    </row>
    <row r="4146" customFormat="false" ht="15" hidden="false" customHeight="false" outlineLevel="0" collapsed="false">
      <c r="A4146" s="3" t="n">
        <v>2023</v>
      </c>
      <c r="B4146" s="3" t="n">
        <v>5</v>
      </c>
      <c r="C4146" s="3" t="n">
        <v>7</v>
      </c>
      <c r="D4146" s="3" t="s">
        <v>4150</v>
      </c>
      <c r="E4146" s="4" t="n">
        <v>28</v>
      </c>
    </row>
    <row r="4147" customFormat="false" ht="15" hidden="false" customHeight="false" outlineLevel="0" collapsed="false">
      <c r="A4147" s="3" t="n">
        <v>2023</v>
      </c>
      <c r="B4147" s="3" t="n">
        <v>5</v>
      </c>
      <c r="C4147" s="3" t="n">
        <v>8</v>
      </c>
      <c r="D4147" s="3" t="s">
        <v>4151</v>
      </c>
      <c r="E4147" s="4" t="n">
        <v>1</v>
      </c>
    </row>
    <row r="4148" customFormat="false" ht="15" hidden="false" customHeight="false" outlineLevel="0" collapsed="false">
      <c r="A4148" s="3" t="n">
        <v>2023</v>
      </c>
      <c r="B4148" s="3" t="n">
        <v>5</v>
      </c>
      <c r="C4148" s="3" t="n">
        <v>9</v>
      </c>
      <c r="D4148" s="3" t="s">
        <v>4152</v>
      </c>
      <c r="E4148" s="4" t="n">
        <v>17</v>
      </c>
    </row>
    <row r="4149" customFormat="false" ht="15" hidden="false" customHeight="false" outlineLevel="0" collapsed="false">
      <c r="A4149" s="3" t="n">
        <v>2023</v>
      </c>
      <c r="B4149" s="3" t="n">
        <v>5</v>
      </c>
      <c r="C4149" s="3" t="n">
        <v>10</v>
      </c>
      <c r="D4149" s="3" t="s">
        <v>4153</v>
      </c>
      <c r="E4149" s="4" t="n">
        <v>12</v>
      </c>
    </row>
    <row r="4150" customFormat="false" ht="15" hidden="false" customHeight="false" outlineLevel="0" collapsed="false">
      <c r="A4150" s="3" t="n">
        <v>2023</v>
      </c>
      <c r="B4150" s="3" t="n">
        <v>5</v>
      </c>
      <c r="C4150" s="3" t="n">
        <v>11</v>
      </c>
      <c r="D4150" s="3" t="s">
        <v>4154</v>
      </c>
      <c r="E4150" s="4" t="n">
        <v>0</v>
      </c>
    </row>
    <row r="4151" customFormat="false" ht="15" hidden="false" customHeight="false" outlineLevel="0" collapsed="false">
      <c r="A4151" s="3" t="n">
        <v>2023</v>
      </c>
      <c r="B4151" s="3" t="n">
        <v>5</v>
      </c>
      <c r="C4151" s="3" t="n">
        <v>12</v>
      </c>
      <c r="D4151" s="3" t="s">
        <v>4155</v>
      </c>
      <c r="E4151" s="4" t="n">
        <v>0</v>
      </c>
    </row>
    <row r="4152" customFormat="false" ht="15" hidden="false" customHeight="false" outlineLevel="0" collapsed="false">
      <c r="A4152" s="3" t="n">
        <v>2023</v>
      </c>
      <c r="B4152" s="3" t="n">
        <v>5</v>
      </c>
      <c r="C4152" s="3" t="n">
        <v>13</v>
      </c>
      <c r="D4152" s="3" t="s">
        <v>4156</v>
      </c>
      <c r="E4152" s="4" t="n">
        <v>39</v>
      </c>
    </row>
    <row r="4153" customFormat="false" ht="15" hidden="false" customHeight="false" outlineLevel="0" collapsed="false">
      <c r="A4153" s="3" t="n">
        <v>2023</v>
      </c>
      <c r="B4153" s="3" t="n">
        <v>5</v>
      </c>
      <c r="C4153" s="3" t="n">
        <v>14</v>
      </c>
      <c r="D4153" s="3" t="s">
        <v>4157</v>
      </c>
      <c r="E4153" s="4" t="n">
        <v>8</v>
      </c>
    </row>
    <row r="4154" customFormat="false" ht="15" hidden="false" customHeight="false" outlineLevel="0" collapsed="false">
      <c r="A4154" s="3" t="n">
        <v>2023</v>
      </c>
      <c r="B4154" s="3" t="n">
        <v>5</v>
      </c>
      <c r="C4154" s="3" t="n">
        <v>15</v>
      </c>
      <c r="D4154" s="3" t="s">
        <v>4158</v>
      </c>
      <c r="E4154" s="4" t="n">
        <v>0</v>
      </c>
    </row>
    <row r="4155" customFormat="false" ht="15" hidden="false" customHeight="false" outlineLevel="0" collapsed="false">
      <c r="A4155" s="3" t="n">
        <v>2023</v>
      </c>
      <c r="B4155" s="3" t="n">
        <v>5</v>
      </c>
      <c r="C4155" s="3" t="n">
        <v>16</v>
      </c>
      <c r="D4155" s="3" t="s">
        <v>4159</v>
      </c>
      <c r="E4155" s="4" t="n">
        <v>0</v>
      </c>
    </row>
    <row r="4156" customFormat="false" ht="15" hidden="false" customHeight="false" outlineLevel="0" collapsed="false">
      <c r="A4156" s="3" t="n">
        <v>2023</v>
      </c>
      <c r="B4156" s="3" t="n">
        <v>5</v>
      </c>
      <c r="C4156" s="3" t="n">
        <v>17</v>
      </c>
      <c r="D4156" s="3" t="s">
        <v>4160</v>
      </c>
      <c r="E4156" s="4" t="n">
        <v>0</v>
      </c>
    </row>
    <row r="4157" customFormat="false" ht="15" hidden="false" customHeight="false" outlineLevel="0" collapsed="false">
      <c r="A4157" s="3" t="n">
        <v>2023</v>
      </c>
      <c r="B4157" s="3" t="n">
        <v>5</v>
      </c>
      <c r="C4157" s="3" t="n">
        <v>18</v>
      </c>
      <c r="D4157" s="3" t="s">
        <v>4161</v>
      </c>
      <c r="E4157" s="4" t="n">
        <v>0</v>
      </c>
    </row>
    <row r="4158" customFormat="false" ht="15" hidden="false" customHeight="false" outlineLevel="0" collapsed="false">
      <c r="A4158" s="3" t="n">
        <v>2023</v>
      </c>
      <c r="B4158" s="3" t="n">
        <v>5</v>
      </c>
      <c r="C4158" s="3" t="n">
        <v>19</v>
      </c>
      <c r="D4158" s="3" t="s">
        <v>4162</v>
      </c>
      <c r="E4158" s="4" t="n">
        <v>0</v>
      </c>
    </row>
    <row r="4159" customFormat="false" ht="15" hidden="false" customHeight="false" outlineLevel="0" collapsed="false">
      <c r="A4159" s="3" t="n">
        <v>2023</v>
      </c>
      <c r="B4159" s="3" t="n">
        <v>5</v>
      </c>
      <c r="C4159" s="3" t="n">
        <v>20</v>
      </c>
      <c r="D4159" s="3" t="s">
        <v>4163</v>
      </c>
      <c r="E4159" s="4" t="n">
        <v>10</v>
      </c>
    </row>
    <row r="4160" customFormat="false" ht="15" hidden="false" customHeight="false" outlineLevel="0" collapsed="false">
      <c r="A4160" s="3" t="n">
        <v>2023</v>
      </c>
      <c r="B4160" s="3" t="n">
        <v>5</v>
      </c>
      <c r="C4160" s="3" t="n">
        <v>21</v>
      </c>
      <c r="D4160" s="3" t="s">
        <v>4164</v>
      </c>
      <c r="E4160" s="4" t="n">
        <v>3</v>
      </c>
    </row>
    <row r="4161" customFormat="false" ht="15" hidden="false" customHeight="false" outlineLevel="0" collapsed="false">
      <c r="A4161" s="3" t="n">
        <v>2023</v>
      </c>
      <c r="B4161" s="3" t="n">
        <v>5</v>
      </c>
      <c r="C4161" s="3" t="n">
        <v>22</v>
      </c>
      <c r="D4161" s="3" t="s">
        <v>4165</v>
      </c>
      <c r="E4161" s="4" t="n">
        <v>1</v>
      </c>
    </row>
    <row r="4162" customFormat="false" ht="15" hidden="false" customHeight="false" outlineLevel="0" collapsed="false">
      <c r="A4162" s="3" t="n">
        <v>2023</v>
      </c>
      <c r="B4162" s="3" t="n">
        <v>5</v>
      </c>
      <c r="C4162" s="3" t="n">
        <v>23</v>
      </c>
      <c r="D4162" s="3" t="s">
        <v>4166</v>
      </c>
      <c r="E4162" s="4" t="n">
        <v>0</v>
      </c>
    </row>
    <row r="4163" customFormat="false" ht="15" hidden="false" customHeight="false" outlineLevel="0" collapsed="false">
      <c r="A4163" s="3" t="n">
        <v>2023</v>
      </c>
      <c r="B4163" s="3" t="n">
        <v>5</v>
      </c>
      <c r="C4163" s="3" t="n">
        <v>24</v>
      </c>
      <c r="D4163" s="3" t="s">
        <v>4167</v>
      </c>
      <c r="E4163" s="4" t="n">
        <v>13</v>
      </c>
    </row>
    <row r="4164" customFormat="false" ht="15" hidden="false" customHeight="false" outlineLevel="0" collapsed="false">
      <c r="A4164" s="3" t="n">
        <v>2023</v>
      </c>
      <c r="B4164" s="3" t="n">
        <v>5</v>
      </c>
      <c r="C4164" s="3" t="n">
        <v>25</v>
      </c>
      <c r="D4164" s="3" t="s">
        <v>4168</v>
      </c>
      <c r="E4164" s="4" t="n">
        <v>0</v>
      </c>
    </row>
    <row r="4165" customFormat="false" ht="15" hidden="false" customHeight="false" outlineLevel="0" collapsed="false">
      <c r="A4165" s="3" t="n">
        <v>2023</v>
      </c>
      <c r="B4165" s="3" t="n">
        <v>5</v>
      </c>
      <c r="C4165" s="3" t="n">
        <v>26</v>
      </c>
      <c r="D4165" s="3" t="s">
        <v>4169</v>
      </c>
      <c r="E4165" s="4" t="n">
        <v>0</v>
      </c>
    </row>
    <row r="4166" customFormat="false" ht="15" hidden="false" customHeight="false" outlineLevel="0" collapsed="false">
      <c r="A4166" s="3" t="n">
        <v>2023</v>
      </c>
      <c r="B4166" s="3" t="n">
        <v>5</v>
      </c>
      <c r="C4166" s="3" t="n">
        <v>27</v>
      </c>
      <c r="D4166" s="3" t="s">
        <v>4170</v>
      </c>
      <c r="E4166" s="4" t="n">
        <v>3</v>
      </c>
    </row>
    <row r="4167" customFormat="false" ht="15" hidden="false" customHeight="false" outlineLevel="0" collapsed="false">
      <c r="A4167" s="3" t="n">
        <v>2023</v>
      </c>
      <c r="B4167" s="3" t="n">
        <v>5</v>
      </c>
      <c r="C4167" s="3" t="n">
        <v>28</v>
      </c>
      <c r="D4167" s="3" t="s">
        <v>4171</v>
      </c>
      <c r="E4167" s="4" t="n">
        <v>41</v>
      </c>
    </row>
    <row r="4168" customFormat="false" ht="15" hidden="false" customHeight="false" outlineLevel="0" collapsed="false">
      <c r="A4168" s="3" t="n">
        <v>2023</v>
      </c>
      <c r="B4168" s="3" t="n">
        <v>5</v>
      </c>
      <c r="C4168" s="3" t="n">
        <v>29</v>
      </c>
      <c r="D4168" s="3" t="s">
        <v>4172</v>
      </c>
      <c r="E4168" s="4" t="n">
        <v>0</v>
      </c>
    </row>
    <row r="4169" customFormat="false" ht="15" hidden="false" customHeight="false" outlineLevel="0" collapsed="false">
      <c r="A4169" s="3" t="n">
        <v>2023</v>
      </c>
      <c r="B4169" s="3" t="n">
        <v>5</v>
      </c>
      <c r="C4169" s="3" t="n">
        <v>30</v>
      </c>
      <c r="D4169" s="3" t="s">
        <v>4173</v>
      </c>
      <c r="E4169" s="4" t="n">
        <v>0</v>
      </c>
    </row>
    <row r="4170" customFormat="false" ht="15" hidden="false" customHeight="false" outlineLevel="0" collapsed="false">
      <c r="A4170" s="3" t="n">
        <v>2023</v>
      </c>
      <c r="B4170" s="3" t="n">
        <v>5</v>
      </c>
      <c r="C4170" s="3" t="n">
        <v>31</v>
      </c>
      <c r="D4170" s="3" t="s">
        <v>4174</v>
      </c>
      <c r="E4170" s="4" t="n">
        <v>38</v>
      </c>
    </row>
    <row r="4171" customFormat="false" ht="15" hidden="false" customHeight="false" outlineLevel="0" collapsed="false">
      <c r="A4171" s="3" t="n">
        <v>2023</v>
      </c>
      <c r="B4171" s="3" t="n">
        <v>6</v>
      </c>
      <c r="C4171" s="3" t="n">
        <v>1</v>
      </c>
      <c r="D4171" s="3" t="s">
        <v>4175</v>
      </c>
      <c r="E4171" s="4" t="n">
        <v>4</v>
      </c>
    </row>
    <row r="4172" customFormat="false" ht="15" hidden="false" customHeight="false" outlineLevel="0" collapsed="false">
      <c r="A4172" s="3" t="n">
        <v>2023</v>
      </c>
      <c r="B4172" s="3" t="n">
        <v>6</v>
      </c>
      <c r="C4172" s="3" t="n">
        <v>2</v>
      </c>
      <c r="D4172" s="3" t="s">
        <v>4176</v>
      </c>
      <c r="E4172" s="4" t="n">
        <v>0</v>
      </c>
    </row>
    <row r="4173" customFormat="false" ht="15" hidden="false" customHeight="false" outlineLevel="0" collapsed="false">
      <c r="A4173" s="3" t="n">
        <v>2023</v>
      </c>
      <c r="B4173" s="3" t="n">
        <v>6</v>
      </c>
      <c r="C4173" s="3" t="n">
        <v>3</v>
      </c>
      <c r="D4173" s="3" t="s">
        <v>4177</v>
      </c>
      <c r="E4173" s="4" t="n">
        <v>2</v>
      </c>
    </row>
    <row r="4174" customFormat="false" ht="15" hidden="false" customHeight="false" outlineLevel="0" collapsed="false">
      <c r="A4174" s="3" t="n">
        <v>2023</v>
      </c>
      <c r="B4174" s="3" t="n">
        <v>6</v>
      </c>
      <c r="C4174" s="3" t="n">
        <v>4</v>
      </c>
      <c r="D4174" s="3" t="s">
        <v>4178</v>
      </c>
      <c r="E4174" s="4" t="n">
        <v>0</v>
      </c>
    </row>
    <row r="4175" customFormat="false" ht="15" hidden="false" customHeight="false" outlineLevel="0" collapsed="false">
      <c r="A4175" s="3" t="n">
        <v>2023</v>
      </c>
      <c r="B4175" s="3" t="n">
        <v>6</v>
      </c>
      <c r="C4175" s="3" t="n">
        <v>5</v>
      </c>
      <c r="D4175" s="3" t="s">
        <v>4179</v>
      </c>
      <c r="E4175" s="4" t="n">
        <v>4</v>
      </c>
    </row>
    <row r="4176" customFormat="false" ht="15" hidden="false" customHeight="false" outlineLevel="0" collapsed="false">
      <c r="A4176" s="3" t="n">
        <v>2023</v>
      </c>
      <c r="B4176" s="3" t="n">
        <v>6</v>
      </c>
      <c r="C4176" s="3" t="n">
        <v>6</v>
      </c>
      <c r="D4176" s="3" t="s">
        <v>4180</v>
      </c>
      <c r="E4176" s="4" t="n">
        <v>0</v>
      </c>
    </row>
    <row r="4177" customFormat="false" ht="15" hidden="false" customHeight="false" outlineLevel="0" collapsed="false">
      <c r="A4177" s="3" t="n">
        <v>2023</v>
      </c>
      <c r="B4177" s="3" t="n">
        <v>6</v>
      </c>
      <c r="C4177" s="3" t="n">
        <v>7</v>
      </c>
      <c r="D4177" s="3" t="s">
        <v>4181</v>
      </c>
      <c r="E4177" s="4" t="n">
        <v>5</v>
      </c>
    </row>
    <row r="4178" customFormat="false" ht="15" hidden="false" customHeight="false" outlineLevel="0" collapsed="false">
      <c r="A4178" s="3" t="n">
        <v>2023</v>
      </c>
      <c r="B4178" s="3" t="n">
        <v>6</v>
      </c>
      <c r="C4178" s="3" t="n">
        <v>8</v>
      </c>
      <c r="D4178" s="3" t="s">
        <v>4182</v>
      </c>
      <c r="E4178" s="4" t="n">
        <v>1</v>
      </c>
    </row>
    <row r="4179" customFormat="false" ht="15" hidden="false" customHeight="false" outlineLevel="0" collapsed="false">
      <c r="A4179" s="3" t="n">
        <v>2023</v>
      </c>
      <c r="B4179" s="3" t="n">
        <v>6</v>
      </c>
      <c r="C4179" s="3" t="n">
        <v>9</v>
      </c>
      <c r="D4179" s="3" t="s">
        <v>4183</v>
      </c>
      <c r="E4179" s="4" t="n">
        <v>80</v>
      </c>
    </row>
    <row r="4180" customFormat="false" ht="15" hidden="false" customHeight="false" outlineLevel="0" collapsed="false">
      <c r="A4180" s="3" t="n">
        <v>2023</v>
      </c>
      <c r="B4180" s="3" t="n">
        <v>6</v>
      </c>
      <c r="C4180" s="3" t="n">
        <v>10</v>
      </c>
      <c r="D4180" s="3" t="s">
        <v>4184</v>
      </c>
      <c r="E4180" s="4" t="n">
        <v>0</v>
      </c>
    </row>
    <row r="4181" customFormat="false" ht="15" hidden="false" customHeight="false" outlineLevel="0" collapsed="false">
      <c r="A4181" s="3" t="n">
        <v>2023</v>
      </c>
      <c r="B4181" s="3" t="n">
        <v>6</v>
      </c>
      <c r="C4181" s="3" t="n">
        <v>11</v>
      </c>
      <c r="D4181" s="3" t="s">
        <v>4185</v>
      </c>
      <c r="E4181" s="4" t="n">
        <v>0</v>
      </c>
    </row>
    <row r="4182" customFormat="false" ht="15" hidden="false" customHeight="false" outlineLevel="0" collapsed="false">
      <c r="A4182" s="3" t="n">
        <v>2023</v>
      </c>
      <c r="B4182" s="3" t="n">
        <v>6</v>
      </c>
      <c r="C4182" s="3" t="n">
        <v>12</v>
      </c>
      <c r="D4182" s="3" t="s">
        <v>4186</v>
      </c>
      <c r="E4182" s="4" t="n">
        <v>15</v>
      </c>
    </row>
    <row r="4183" customFormat="false" ht="15" hidden="false" customHeight="false" outlineLevel="0" collapsed="false">
      <c r="A4183" s="3" t="n">
        <v>2023</v>
      </c>
      <c r="B4183" s="3" t="n">
        <v>6</v>
      </c>
      <c r="C4183" s="3" t="n">
        <v>13</v>
      </c>
      <c r="D4183" s="3" t="s">
        <v>4187</v>
      </c>
      <c r="E4183" s="4" t="n">
        <v>0</v>
      </c>
    </row>
    <row r="4184" customFormat="false" ht="15" hidden="false" customHeight="false" outlineLevel="0" collapsed="false">
      <c r="A4184" s="3" t="n">
        <v>2023</v>
      </c>
      <c r="B4184" s="3" t="n">
        <v>6</v>
      </c>
      <c r="C4184" s="3" t="n">
        <v>14</v>
      </c>
      <c r="D4184" s="3" t="s">
        <v>4188</v>
      </c>
      <c r="E4184" s="4" t="n">
        <v>0</v>
      </c>
    </row>
    <row r="4185" customFormat="false" ht="15" hidden="false" customHeight="false" outlineLevel="0" collapsed="false">
      <c r="A4185" s="3" t="n">
        <v>2023</v>
      </c>
      <c r="B4185" s="3" t="n">
        <v>6</v>
      </c>
      <c r="C4185" s="3" t="n">
        <v>15</v>
      </c>
      <c r="D4185" s="3" t="s">
        <v>4189</v>
      </c>
      <c r="E4185" s="4" t="n">
        <v>1</v>
      </c>
    </row>
    <row r="4186" customFormat="false" ht="15" hidden="false" customHeight="false" outlineLevel="0" collapsed="false">
      <c r="A4186" s="3" t="n">
        <v>2023</v>
      </c>
      <c r="B4186" s="3" t="n">
        <v>6</v>
      </c>
      <c r="C4186" s="3" t="n">
        <v>16</v>
      </c>
      <c r="D4186" s="3" t="s">
        <v>4190</v>
      </c>
      <c r="E4186" s="4" t="n">
        <v>27</v>
      </c>
    </row>
    <row r="4187" customFormat="false" ht="15" hidden="false" customHeight="false" outlineLevel="0" collapsed="false">
      <c r="A4187" s="3" t="n">
        <v>2023</v>
      </c>
      <c r="B4187" s="3" t="n">
        <v>6</v>
      </c>
      <c r="C4187" s="3" t="n">
        <v>17</v>
      </c>
      <c r="D4187" s="3" t="s">
        <v>4191</v>
      </c>
      <c r="E4187" s="4" t="n">
        <v>0</v>
      </c>
    </row>
    <row r="4188" customFormat="false" ht="15" hidden="false" customHeight="false" outlineLevel="0" collapsed="false">
      <c r="A4188" s="3" t="n">
        <v>2023</v>
      </c>
      <c r="B4188" s="3" t="n">
        <v>6</v>
      </c>
      <c r="C4188" s="3" t="n">
        <v>18</v>
      </c>
      <c r="D4188" s="3" t="s">
        <v>4192</v>
      </c>
      <c r="E4188" s="4" t="n">
        <v>0</v>
      </c>
    </row>
    <row r="4189" customFormat="false" ht="15" hidden="false" customHeight="false" outlineLevel="0" collapsed="false">
      <c r="A4189" s="3" t="n">
        <v>2023</v>
      </c>
      <c r="B4189" s="3" t="n">
        <v>6</v>
      </c>
      <c r="C4189" s="3" t="n">
        <v>19</v>
      </c>
      <c r="D4189" s="3" t="s">
        <v>4193</v>
      </c>
      <c r="E4189" s="4" t="n">
        <v>0</v>
      </c>
    </row>
    <row r="4190" customFormat="false" ht="15" hidden="false" customHeight="false" outlineLevel="0" collapsed="false">
      <c r="A4190" s="3" t="n">
        <v>2023</v>
      </c>
      <c r="B4190" s="3" t="n">
        <v>6</v>
      </c>
      <c r="C4190" s="3" t="n">
        <v>20</v>
      </c>
      <c r="D4190" s="3" t="s">
        <v>4194</v>
      </c>
      <c r="E4190" s="4" t="n">
        <v>2</v>
      </c>
    </row>
    <row r="4191" customFormat="false" ht="15" hidden="false" customHeight="false" outlineLevel="0" collapsed="false">
      <c r="A4191" s="3" t="n">
        <v>2023</v>
      </c>
      <c r="B4191" s="3" t="n">
        <v>6</v>
      </c>
      <c r="C4191" s="3" t="n">
        <v>21</v>
      </c>
      <c r="D4191" s="3" t="s">
        <v>4195</v>
      </c>
      <c r="E4191" s="4" t="n">
        <v>0</v>
      </c>
    </row>
    <row r="4192" customFormat="false" ht="15" hidden="false" customHeight="false" outlineLevel="0" collapsed="false">
      <c r="A4192" s="3" t="n">
        <v>2023</v>
      </c>
      <c r="B4192" s="3" t="n">
        <v>6</v>
      </c>
      <c r="C4192" s="3" t="n">
        <v>22</v>
      </c>
      <c r="D4192" s="3" t="s">
        <v>4196</v>
      </c>
      <c r="E4192" s="4" t="n">
        <v>6</v>
      </c>
    </row>
    <row r="4193" customFormat="false" ht="15" hidden="false" customHeight="false" outlineLevel="0" collapsed="false">
      <c r="A4193" s="3" t="n">
        <v>2023</v>
      </c>
      <c r="B4193" s="3" t="n">
        <v>6</v>
      </c>
      <c r="C4193" s="3" t="n">
        <v>23</v>
      </c>
      <c r="D4193" s="3" t="s">
        <v>4197</v>
      </c>
      <c r="E4193" s="4" t="n">
        <v>34</v>
      </c>
    </row>
    <row r="4194" customFormat="false" ht="15" hidden="false" customHeight="false" outlineLevel="0" collapsed="false">
      <c r="A4194" s="3" t="n">
        <v>2023</v>
      </c>
      <c r="B4194" s="3" t="n">
        <v>6</v>
      </c>
      <c r="C4194" s="3" t="n">
        <v>24</v>
      </c>
      <c r="D4194" s="3" t="s">
        <v>4198</v>
      </c>
      <c r="E4194" s="4" t="n">
        <v>0</v>
      </c>
    </row>
    <row r="4195" customFormat="false" ht="15" hidden="false" customHeight="false" outlineLevel="0" collapsed="false">
      <c r="A4195" s="3" t="n">
        <v>2023</v>
      </c>
      <c r="B4195" s="3" t="n">
        <v>6</v>
      </c>
      <c r="C4195" s="3" t="n">
        <v>25</v>
      </c>
      <c r="D4195" s="3" t="s">
        <v>4199</v>
      </c>
      <c r="E4195" s="4" t="n">
        <v>0</v>
      </c>
    </row>
    <row r="4196" customFormat="false" ht="15" hidden="false" customHeight="false" outlineLevel="0" collapsed="false">
      <c r="A4196" s="3" t="n">
        <v>2023</v>
      </c>
      <c r="B4196" s="3" t="n">
        <v>6</v>
      </c>
      <c r="C4196" s="3" t="n">
        <v>26</v>
      </c>
      <c r="D4196" s="3" t="s">
        <v>4200</v>
      </c>
      <c r="E4196" s="4" t="n">
        <v>19</v>
      </c>
    </row>
    <row r="4197" customFormat="false" ht="15" hidden="false" customHeight="false" outlineLevel="0" collapsed="false">
      <c r="A4197" s="3" t="n">
        <v>2023</v>
      </c>
      <c r="B4197" s="3" t="n">
        <v>6</v>
      </c>
      <c r="C4197" s="3" t="n">
        <v>27</v>
      </c>
      <c r="D4197" s="3" t="s">
        <v>4201</v>
      </c>
      <c r="E4197" s="4" t="n">
        <v>0</v>
      </c>
    </row>
    <row r="4198" customFormat="false" ht="15" hidden="false" customHeight="false" outlineLevel="0" collapsed="false">
      <c r="A4198" s="3" t="n">
        <v>2023</v>
      </c>
      <c r="B4198" s="3" t="n">
        <v>6</v>
      </c>
      <c r="C4198" s="3" t="n">
        <v>28</v>
      </c>
      <c r="D4198" s="3" t="s">
        <v>4202</v>
      </c>
      <c r="E4198" s="4" t="n">
        <v>63</v>
      </c>
    </row>
    <row r="4199" customFormat="false" ht="15" hidden="false" customHeight="false" outlineLevel="0" collapsed="false">
      <c r="A4199" s="3" t="n">
        <v>2023</v>
      </c>
      <c r="B4199" s="3" t="n">
        <v>6</v>
      </c>
      <c r="C4199" s="3" t="n">
        <v>29</v>
      </c>
      <c r="D4199" s="3" t="s">
        <v>4203</v>
      </c>
      <c r="E4199" s="4" t="n">
        <v>0</v>
      </c>
    </row>
    <row r="4200" customFormat="false" ht="15" hidden="false" customHeight="false" outlineLevel="0" collapsed="false">
      <c r="A4200" s="3" t="n">
        <v>2023</v>
      </c>
      <c r="B4200" s="3" t="n">
        <v>6</v>
      </c>
      <c r="C4200" s="3" t="n">
        <v>30</v>
      </c>
      <c r="D4200" s="3" t="s">
        <v>4204</v>
      </c>
      <c r="E4200" s="4" t="n">
        <v>0</v>
      </c>
    </row>
    <row r="4201" customFormat="false" ht="15" hidden="false" customHeight="false" outlineLevel="0" collapsed="false">
      <c r="A4201" s="3" t="n">
        <v>2023</v>
      </c>
      <c r="B4201" s="3" t="n">
        <v>7</v>
      </c>
      <c r="C4201" s="3" t="n">
        <v>1</v>
      </c>
      <c r="D4201" s="3" t="s">
        <v>4205</v>
      </c>
      <c r="E4201" s="4" t="n">
        <v>20</v>
      </c>
    </row>
    <row r="4202" customFormat="false" ht="15" hidden="false" customHeight="false" outlineLevel="0" collapsed="false">
      <c r="A4202" s="3" t="n">
        <v>2023</v>
      </c>
      <c r="B4202" s="3" t="n">
        <v>7</v>
      </c>
      <c r="C4202" s="3" t="n">
        <v>2</v>
      </c>
      <c r="D4202" s="3" t="s">
        <v>4206</v>
      </c>
      <c r="E4202" s="4" t="n">
        <v>85</v>
      </c>
    </row>
    <row r="4203" customFormat="false" ht="15" hidden="false" customHeight="false" outlineLevel="0" collapsed="false">
      <c r="A4203" s="3" t="n">
        <v>2023</v>
      </c>
      <c r="B4203" s="3" t="n">
        <v>7</v>
      </c>
      <c r="C4203" s="3" t="n">
        <v>3</v>
      </c>
      <c r="D4203" s="3" t="s">
        <v>4207</v>
      </c>
      <c r="E4203" s="4" t="n">
        <v>1</v>
      </c>
    </row>
    <row r="4204" customFormat="false" ht="15" hidden="false" customHeight="false" outlineLevel="0" collapsed="false">
      <c r="A4204" s="3" t="n">
        <v>2023</v>
      </c>
      <c r="B4204" s="3" t="n">
        <v>7</v>
      </c>
      <c r="C4204" s="3" t="n">
        <v>4</v>
      </c>
      <c r="D4204" s="3" t="s">
        <v>4208</v>
      </c>
      <c r="E4204" s="4" t="n">
        <v>0</v>
      </c>
    </row>
    <row r="4205" customFormat="false" ht="15" hidden="false" customHeight="false" outlineLevel="0" collapsed="false">
      <c r="A4205" s="3" t="n">
        <v>2023</v>
      </c>
      <c r="B4205" s="3" t="n">
        <v>7</v>
      </c>
      <c r="C4205" s="3" t="n">
        <v>5</v>
      </c>
      <c r="D4205" s="3" t="s">
        <v>4209</v>
      </c>
      <c r="E4205" s="4" t="n">
        <v>39</v>
      </c>
    </row>
    <row r="4206" customFormat="false" ht="15" hidden="false" customHeight="false" outlineLevel="0" collapsed="false">
      <c r="A4206" s="3" t="n">
        <v>2023</v>
      </c>
      <c r="B4206" s="3" t="n">
        <v>7</v>
      </c>
      <c r="C4206" s="3" t="n">
        <v>6</v>
      </c>
      <c r="D4206" s="3" t="s">
        <v>4210</v>
      </c>
      <c r="E4206" s="4" t="n">
        <v>19</v>
      </c>
    </row>
    <row r="4207" customFormat="false" ht="15" hidden="false" customHeight="false" outlineLevel="0" collapsed="false">
      <c r="A4207" s="3" t="n">
        <v>2023</v>
      </c>
      <c r="B4207" s="3" t="n">
        <v>7</v>
      </c>
      <c r="C4207" s="3" t="n">
        <v>7</v>
      </c>
      <c r="D4207" s="3" t="s">
        <v>4211</v>
      </c>
      <c r="E4207" s="4" t="n">
        <v>11</v>
      </c>
    </row>
    <row r="4208" customFormat="false" ht="15" hidden="false" customHeight="false" outlineLevel="0" collapsed="false">
      <c r="A4208" s="3" t="n">
        <v>2023</v>
      </c>
      <c r="B4208" s="3" t="n">
        <v>7</v>
      </c>
      <c r="C4208" s="3" t="n">
        <v>8</v>
      </c>
      <c r="D4208" s="3" t="s">
        <v>4212</v>
      </c>
      <c r="E4208" s="4" t="n">
        <v>0</v>
      </c>
    </row>
    <row r="4209" customFormat="false" ht="15" hidden="false" customHeight="false" outlineLevel="0" collapsed="false">
      <c r="A4209" s="3" t="n">
        <v>2023</v>
      </c>
      <c r="B4209" s="3" t="n">
        <v>7</v>
      </c>
      <c r="C4209" s="3" t="n">
        <v>9</v>
      </c>
      <c r="D4209" s="3" t="s">
        <v>4213</v>
      </c>
      <c r="E4209" s="4" t="n">
        <v>0</v>
      </c>
    </row>
    <row r="4210" customFormat="false" ht="15" hidden="false" customHeight="false" outlineLevel="0" collapsed="false">
      <c r="A4210" s="3" t="n">
        <v>2023</v>
      </c>
      <c r="B4210" s="3" t="n">
        <v>7</v>
      </c>
      <c r="C4210" s="3" t="n">
        <v>10</v>
      </c>
      <c r="D4210" s="3" t="s">
        <v>4214</v>
      </c>
      <c r="E4210" s="4" t="n">
        <v>14</v>
      </c>
    </row>
    <row r="4211" customFormat="false" ht="15" hidden="false" customHeight="false" outlineLevel="0" collapsed="false">
      <c r="A4211" s="3" t="n">
        <v>2023</v>
      </c>
      <c r="B4211" s="3" t="n">
        <v>7</v>
      </c>
      <c r="C4211" s="3" t="n">
        <v>11</v>
      </c>
      <c r="D4211" s="3" t="s">
        <v>4215</v>
      </c>
      <c r="E4211" s="4" t="n">
        <v>55</v>
      </c>
    </row>
    <row r="4212" customFormat="false" ht="15" hidden="false" customHeight="false" outlineLevel="0" collapsed="false">
      <c r="A4212" s="3" t="n">
        <v>2023</v>
      </c>
      <c r="B4212" s="3" t="n">
        <v>7</v>
      </c>
      <c r="C4212" s="3" t="n">
        <v>12</v>
      </c>
      <c r="D4212" s="3" t="s">
        <v>4216</v>
      </c>
      <c r="E4212" s="4" t="n">
        <v>0</v>
      </c>
    </row>
    <row r="4213" customFormat="false" ht="15" hidden="false" customHeight="false" outlineLevel="0" collapsed="false">
      <c r="A4213" s="3" t="n">
        <v>2023</v>
      </c>
      <c r="B4213" s="3" t="n">
        <v>7</v>
      </c>
      <c r="C4213" s="3" t="n">
        <v>13</v>
      </c>
      <c r="D4213" s="3" t="s">
        <v>4217</v>
      </c>
      <c r="E4213" s="4" t="n">
        <v>0</v>
      </c>
    </row>
    <row r="4214" customFormat="false" ht="15" hidden="false" customHeight="false" outlineLevel="0" collapsed="false">
      <c r="A4214" s="3" t="n">
        <v>2023</v>
      </c>
      <c r="B4214" s="3" t="n">
        <v>7</v>
      </c>
      <c r="C4214" s="3" t="n">
        <v>14</v>
      </c>
      <c r="D4214" s="3" t="s">
        <v>4218</v>
      </c>
      <c r="E4214" s="4" t="n">
        <v>0</v>
      </c>
    </row>
    <row r="4215" customFormat="false" ht="15" hidden="false" customHeight="false" outlineLevel="0" collapsed="false">
      <c r="A4215" s="3" t="n">
        <v>2023</v>
      </c>
      <c r="B4215" s="3" t="n">
        <v>7</v>
      </c>
      <c r="C4215" s="3" t="n">
        <v>15</v>
      </c>
      <c r="D4215" s="3" t="s">
        <v>4219</v>
      </c>
      <c r="E4215" s="4" t="n">
        <v>3</v>
      </c>
    </row>
    <row r="4216" customFormat="false" ht="15" hidden="false" customHeight="false" outlineLevel="0" collapsed="false">
      <c r="A4216" s="3" t="n">
        <v>2023</v>
      </c>
      <c r="B4216" s="3" t="n">
        <v>7</v>
      </c>
      <c r="C4216" s="3" t="n">
        <v>16</v>
      </c>
      <c r="D4216" s="3" t="s">
        <v>4220</v>
      </c>
      <c r="E4216" s="4" t="n">
        <v>0</v>
      </c>
    </row>
    <row r="4217" customFormat="false" ht="15" hidden="false" customHeight="false" outlineLevel="0" collapsed="false">
      <c r="A4217" s="3" t="n">
        <v>2023</v>
      </c>
      <c r="B4217" s="3" t="n">
        <v>7</v>
      </c>
      <c r="C4217" s="3" t="n">
        <v>17</v>
      </c>
      <c r="D4217" s="3" t="s">
        <v>4221</v>
      </c>
      <c r="E4217" s="4" t="n">
        <v>0</v>
      </c>
    </row>
    <row r="4218" customFormat="false" ht="15" hidden="false" customHeight="false" outlineLevel="0" collapsed="false">
      <c r="A4218" s="3" t="n">
        <v>2023</v>
      </c>
      <c r="B4218" s="3" t="n">
        <v>7</v>
      </c>
      <c r="C4218" s="3" t="n">
        <v>18</v>
      </c>
      <c r="D4218" s="3" t="s">
        <v>4222</v>
      </c>
      <c r="E4218" s="4" t="n">
        <v>0</v>
      </c>
    </row>
    <row r="4219" customFormat="false" ht="15" hidden="false" customHeight="false" outlineLevel="0" collapsed="false">
      <c r="A4219" s="3" t="n">
        <v>2023</v>
      </c>
      <c r="B4219" s="3" t="n">
        <v>7</v>
      </c>
      <c r="C4219" s="3" t="n">
        <v>19</v>
      </c>
      <c r="D4219" s="3" t="s">
        <v>4223</v>
      </c>
      <c r="E4219" s="4" t="n">
        <v>0</v>
      </c>
    </row>
    <row r="4220" customFormat="false" ht="15" hidden="false" customHeight="false" outlineLevel="0" collapsed="false">
      <c r="A4220" s="3" t="n">
        <v>2023</v>
      </c>
      <c r="B4220" s="3" t="n">
        <v>7</v>
      </c>
      <c r="C4220" s="3" t="n">
        <v>20</v>
      </c>
      <c r="D4220" s="3" t="s">
        <v>4224</v>
      </c>
      <c r="E4220" s="4" t="n">
        <v>99</v>
      </c>
    </row>
    <row r="4221" customFormat="false" ht="15" hidden="false" customHeight="false" outlineLevel="0" collapsed="false">
      <c r="A4221" s="3" t="n">
        <v>2023</v>
      </c>
      <c r="B4221" s="3" t="n">
        <v>7</v>
      </c>
      <c r="C4221" s="3" t="n">
        <v>21</v>
      </c>
      <c r="D4221" s="3" t="s">
        <v>4225</v>
      </c>
      <c r="E4221" s="4" t="n">
        <v>59</v>
      </c>
    </row>
    <row r="4222" customFormat="false" ht="15" hidden="false" customHeight="false" outlineLevel="0" collapsed="false">
      <c r="A4222" s="3" t="n">
        <v>2023</v>
      </c>
      <c r="B4222" s="3" t="n">
        <v>7</v>
      </c>
      <c r="C4222" s="3" t="n">
        <v>22</v>
      </c>
      <c r="D4222" s="3" t="s">
        <v>4226</v>
      </c>
      <c r="E4222" s="4" t="n">
        <v>0</v>
      </c>
    </row>
    <row r="4223" customFormat="false" ht="15" hidden="false" customHeight="false" outlineLevel="0" collapsed="false">
      <c r="A4223" s="3" t="n">
        <v>2023</v>
      </c>
      <c r="B4223" s="3" t="n">
        <v>7</v>
      </c>
      <c r="C4223" s="3" t="n">
        <v>23</v>
      </c>
      <c r="D4223" s="3" t="s">
        <v>4227</v>
      </c>
      <c r="E4223" s="4" t="n">
        <v>0</v>
      </c>
    </row>
    <row r="4224" customFormat="false" ht="15" hidden="false" customHeight="false" outlineLevel="0" collapsed="false">
      <c r="A4224" s="3" t="n">
        <v>2023</v>
      </c>
      <c r="B4224" s="3" t="n">
        <v>7</v>
      </c>
      <c r="C4224" s="3" t="n">
        <v>24</v>
      </c>
      <c r="D4224" s="3" t="s">
        <v>4228</v>
      </c>
      <c r="E4224" s="4" t="n">
        <v>0</v>
      </c>
    </row>
    <row r="4225" customFormat="false" ht="15" hidden="false" customHeight="false" outlineLevel="0" collapsed="false">
      <c r="A4225" s="3" t="n">
        <v>2023</v>
      </c>
      <c r="B4225" s="3" t="n">
        <v>7</v>
      </c>
      <c r="C4225" s="3" t="n">
        <v>25</v>
      </c>
      <c r="D4225" s="3" t="s">
        <v>4229</v>
      </c>
      <c r="E4225" s="4" t="n">
        <v>0</v>
      </c>
    </row>
    <row r="4226" customFormat="false" ht="15" hidden="false" customHeight="false" outlineLevel="0" collapsed="false">
      <c r="A4226" s="3" t="n">
        <v>2023</v>
      </c>
      <c r="B4226" s="3" t="n">
        <v>7</v>
      </c>
      <c r="C4226" s="3" t="n">
        <v>26</v>
      </c>
      <c r="D4226" s="3" t="s">
        <v>4230</v>
      </c>
      <c r="E4226" s="4" t="n">
        <v>0</v>
      </c>
    </row>
    <row r="4227" customFormat="false" ht="15" hidden="false" customHeight="false" outlineLevel="0" collapsed="false">
      <c r="A4227" s="3" t="n">
        <v>2023</v>
      </c>
      <c r="B4227" s="3" t="n">
        <v>7</v>
      </c>
      <c r="C4227" s="3" t="n">
        <v>27</v>
      </c>
      <c r="D4227" s="3" t="s">
        <v>4231</v>
      </c>
      <c r="E4227" s="4" t="n">
        <v>0</v>
      </c>
    </row>
    <row r="4228" customFormat="false" ht="15" hidden="false" customHeight="false" outlineLevel="0" collapsed="false">
      <c r="A4228" s="3" t="n">
        <v>2023</v>
      </c>
      <c r="B4228" s="3" t="n">
        <v>7</v>
      </c>
      <c r="C4228" s="3" t="n">
        <v>28</v>
      </c>
      <c r="D4228" s="3" t="s">
        <v>4232</v>
      </c>
      <c r="E4228" s="4" t="n">
        <v>0</v>
      </c>
    </row>
    <row r="4229" customFormat="false" ht="15" hidden="false" customHeight="false" outlineLevel="0" collapsed="false">
      <c r="A4229" s="3" t="n">
        <v>2023</v>
      </c>
      <c r="B4229" s="3" t="n">
        <v>7</v>
      </c>
      <c r="C4229" s="3" t="n">
        <v>29</v>
      </c>
      <c r="D4229" s="3" t="s">
        <v>4233</v>
      </c>
      <c r="E4229" s="4" t="n">
        <v>0</v>
      </c>
    </row>
    <row r="4230" customFormat="false" ht="15" hidden="false" customHeight="false" outlineLevel="0" collapsed="false">
      <c r="A4230" s="3" t="n">
        <v>2023</v>
      </c>
      <c r="B4230" s="3" t="n">
        <v>7</v>
      </c>
      <c r="C4230" s="3" t="n">
        <v>30</v>
      </c>
      <c r="D4230" s="3" t="s">
        <v>4234</v>
      </c>
      <c r="E4230" s="4" t="n">
        <v>0</v>
      </c>
    </row>
    <row r="4231" customFormat="false" ht="15" hidden="false" customHeight="false" outlineLevel="0" collapsed="false">
      <c r="A4231" s="3" t="n">
        <v>2023</v>
      </c>
      <c r="B4231" s="3" t="n">
        <v>7</v>
      </c>
      <c r="C4231" s="3" t="n">
        <v>31</v>
      </c>
      <c r="D4231" s="3" t="s">
        <v>4235</v>
      </c>
      <c r="E4231" s="4" t="n">
        <v>0</v>
      </c>
    </row>
    <row r="4232" customFormat="false" ht="15" hidden="false" customHeight="false" outlineLevel="0" collapsed="false">
      <c r="A4232" s="3" t="n">
        <v>2023</v>
      </c>
      <c r="B4232" s="3" t="n">
        <v>8</v>
      </c>
      <c r="C4232" s="3" t="n">
        <v>1</v>
      </c>
      <c r="D4232" s="3" t="s">
        <v>4236</v>
      </c>
      <c r="E4232" s="4" t="n">
        <v>0</v>
      </c>
    </row>
    <row r="4233" customFormat="false" ht="15" hidden="false" customHeight="false" outlineLevel="0" collapsed="false">
      <c r="A4233" s="3" t="n">
        <v>2023</v>
      </c>
      <c r="B4233" s="3" t="n">
        <v>8</v>
      </c>
      <c r="C4233" s="3" t="n">
        <v>2</v>
      </c>
      <c r="D4233" s="3" t="s">
        <v>4237</v>
      </c>
      <c r="E4233" s="4" t="n">
        <v>34</v>
      </c>
    </row>
    <row r="4234" customFormat="false" ht="15" hidden="false" customHeight="false" outlineLevel="0" collapsed="false">
      <c r="A4234" s="3" t="n">
        <v>2023</v>
      </c>
      <c r="B4234" s="3" t="n">
        <v>8</v>
      </c>
      <c r="C4234" s="3" t="n">
        <v>3</v>
      </c>
      <c r="D4234" s="3" t="s">
        <v>4238</v>
      </c>
      <c r="E4234" s="4" t="n">
        <v>2</v>
      </c>
    </row>
    <row r="4235" customFormat="false" ht="15" hidden="false" customHeight="false" outlineLevel="0" collapsed="false">
      <c r="A4235" s="3" t="n">
        <v>2023</v>
      </c>
      <c r="B4235" s="3" t="n">
        <v>8</v>
      </c>
      <c r="C4235" s="3" t="n">
        <v>4</v>
      </c>
      <c r="D4235" s="3" t="s">
        <v>4239</v>
      </c>
      <c r="E4235" s="4" t="n">
        <v>0</v>
      </c>
    </row>
    <row r="4236" customFormat="false" ht="15" hidden="false" customHeight="false" outlineLevel="0" collapsed="false">
      <c r="A4236" s="3" t="n">
        <v>2023</v>
      </c>
      <c r="B4236" s="3" t="n">
        <v>8</v>
      </c>
      <c r="C4236" s="3" t="n">
        <v>5</v>
      </c>
      <c r="D4236" s="3" t="s">
        <v>4240</v>
      </c>
      <c r="E4236" s="4" t="n">
        <v>0</v>
      </c>
    </row>
    <row r="4237" customFormat="false" ht="15" hidden="false" customHeight="false" outlineLevel="0" collapsed="false">
      <c r="A4237" s="3" t="n">
        <v>2023</v>
      </c>
      <c r="B4237" s="3" t="n">
        <v>8</v>
      </c>
      <c r="C4237" s="3" t="n">
        <v>6</v>
      </c>
      <c r="D4237" s="3" t="s">
        <v>4241</v>
      </c>
      <c r="E4237" s="4" t="n">
        <v>0</v>
      </c>
    </row>
    <row r="4238" customFormat="false" ht="15" hidden="false" customHeight="false" outlineLevel="0" collapsed="false">
      <c r="A4238" s="3" t="n">
        <v>2023</v>
      </c>
      <c r="B4238" s="3" t="n">
        <v>8</v>
      </c>
      <c r="C4238" s="3" t="n">
        <v>7</v>
      </c>
      <c r="D4238" s="3" t="s">
        <v>4242</v>
      </c>
      <c r="E4238" s="4" t="n">
        <v>15</v>
      </c>
    </row>
    <row r="4239" customFormat="false" ht="15" hidden="false" customHeight="false" outlineLevel="0" collapsed="false">
      <c r="A4239" s="3" t="n">
        <v>2023</v>
      </c>
      <c r="B4239" s="3" t="n">
        <v>8</v>
      </c>
      <c r="C4239" s="3" t="n">
        <v>8</v>
      </c>
      <c r="D4239" s="3" t="s">
        <v>4243</v>
      </c>
      <c r="E4239" s="4" t="n">
        <v>5</v>
      </c>
    </row>
    <row r="4240" customFormat="false" ht="15" hidden="false" customHeight="false" outlineLevel="0" collapsed="false">
      <c r="A4240" s="3" t="n">
        <v>2023</v>
      </c>
      <c r="B4240" s="3" t="n">
        <v>8</v>
      </c>
      <c r="C4240" s="3" t="n">
        <v>9</v>
      </c>
      <c r="D4240" s="3" t="s">
        <v>4244</v>
      </c>
      <c r="E4240" s="4" t="n">
        <v>0</v>
      </c>
    </row>
    <row r="4241" customFormat="false" ht="15" hidden="false" customHeight="false" outlineLevel="0" collapsed="false">
      <c r="A4241" s="3" t="n">
        <v>2023</v>
      </c>
      <c r="B4241" s="3" t="n">
        <v>8</v>
      </c>
      <c r="C4241" s="3" t="n">
        <v>10</v>
      </c>
      <c r="D4241" s="3" t="s">
        <v>4245</v>
      </c>
      <c r="E4241" s="4" t="n">
        <v>0</v>
      </c>
    </row>
    <row r="4242" customFormat="false" ht="15" hidden="false" customHeight="false" outlineLevel="0" collapsed="false">
      <c r="A4242" s="3" t="n">
        <v>2023</v>
      </c>
      <c r="B4242" s="3" t="n">
        <v>8</v>
      </c>
      <c r="C4242" s="3" t="n">
        <v>11</v>
      </c>
      <c r="D4242" s="3" t="s">
        <v>4246</v>
      </c>
      <c r="E4242" s="4" t="n">
        <v>0</v>
      </c>
    </row>
    <row r="4243" customFormat="false" ht="15" hidden="false" customHeight="false" outlineLevel="0" collapsed="false">
      <c r="A4243" s="3" t="n">
        <v>2023</v>
      </c>
      <c r="B4243" s="3" t="n">
        <v>8</v>
      </c>
      <c r="C4243" s="3" t="n">
        <v>12</v>
      </c>
      <c r="D4243" s="3" t="s">
        <v>4247</v>
      </c>
      <c r="E4243" s="4" t="n">
        <v>0</v>
      </c>
    </row>
    <row r="4244" customFormat="false" ht="15" hidden="false" customHeight="false" outlineLevel="0" collapsed="false">
      <c r="A4244" s="3" t="n">
        <v>2023</v>
      </c>
      <c r="B4244" s="3" t="n">
        <v>8</v>
      </c>
      <c r="C4244" s="3" t="n">
        <v>13</v>
      </c>
      <c r="D4244" s="3" t="s">
        <v>4248</v>
      </c>
      <c r="E4244" s="4" t="n">
        <v>0</v>
      </c>
    </row>
    <row r="4245" customFormat="false" ht="15" hidden="false" customHeight="false" outlineLevel="0" collapsed="false">
      <c r="A4245" s="3" t="n">
        <v>2023</v>
      </c>
      <c r="B4245" s="3" t="n">
        <v>8</v>
      </c>
      <c r="C4245" s="3" t="n">
        <v>14</v>
      </c>
      <c r="D4245" s="3" t="s">
        <v>4249</v>
      </c>
      <c r="E4245" s="4" t="n">
        <v>0</v>
      </c>
    </row>
    <row r="4246" customFormat="false" ht="15" hidden="false" customHeight="false" outlineLevel="0" collapsed="false">
      <c r="A4246" s="3" t="n">
        <v>2023</v>
      </c>
      <c r="B4246" s="3" t="n">
        <v>8</v>
      </c>
      <c r="C4246" s="3" t="n">
        <v>15</v>
      </c>
      <c r="D4246" s="3" t="s">
        <v>4250</v>
      </c>
      <c r="E4246" s="4" t="n">
        <v>0</v>
      </c>
    </row>
    <row r="4247" customFormat="false" ht="15" hidden="false" customHeight="false" outlineLevel="0" collapsed="false">
      <c r="A4247" s="3" t="n">
        <v>2023</v>
      </c>
      <c r="B4247" s="3" t="n">
        <v>8</v>
      </c>
      <c r="C4247" s="3" t="n">
        <v>16</v>
      </c>
      <c r="D4247" s="3" t="s">
        <v>4251</v>
      </c>
      <c r="E4247" s="4" t="n">
        <v>0</v>
      </c>
    </row>
    <row r="4248" customFormat="false" ht="15" hidden="false" customHeight="false" outlineLevel="0" collapsed="false">
      <c r="A4248" s="3" t="n">
        <v>2023</v>
      </c>
      <c r="B4248" s="3" t="n">
        <v>8</v>
      </c>
      <c r="C4248" s="3" t="n">
        <v>17</v>
      </c>
      <c r="D4248" s="3" t="s">
        <v>4252</v>
      </c>
      <c r="E4248" s="4" t="n">
        <v>0</v>
      </c>
    </row>
    <row r="4249" customFormat="false" ht="15" hidden="false" customHeight="false" outlineLevel="0" collapsed="false">
      <c r="A4249" s="3" t="n">
        <v>2023</v>
      </c>
      <c r="B4249" s="3" t="n">
        <v>8</v>
      </c>
      <c r="C4249" s="3" t="n">
        <v>18</v>
      </c>
      <c r="D4249" s="3" t="s">
        <v>4253</v>
      </c>
      <c r="E4249" s="4" t="n">
        <v>1</v>
      </c>
    </row>
    <row r="4250" customFormat="false" ht="15" hidden="false" customHeight="false" outlineLevel="0" collapsed="false">
      <c r="A4250" s="3" t="n">
        <v>2023</v>
      </c>
      <c r="B4250" s="3" t="n">
        <v>8</v>
      </c>
      <c r="C4250" s="3" t="n">
        <v>19</v>
      </c>
      <c r="D4250" s="3" t="s">
        <v>4254</v>
      </c>
      <c r="E4250" s="4" t="n">
        <v>9</v>
      </c>
    </row>
    <row r="4251" customFormat="false" ht="15" hidden="false" customHeight="false" outlineLevel="0" collapsed="false">
      <c r="A4251" s="3" t="n">
        <v>2023</v>
      </c>
      <c r="B4251" s="3" t="n">
        <v>8</v>
      </c>
      <c r="C4251" s="3" t="n">
        <v>20</v>
      </c>
      <c r="D4251" s="3" t="s">
        <v>4255</v>
      </c>
      <c r="E4251" s="4" t="n">
        <v>0</v>
      </c>
    </row>
    <row r="4252" customFormat="false" ht="15" hidden="false" customHeight="false" outlineLevel="0" collapsed="false">
      <c r="A4252" s="3" t="n">
        <v>2023</v>
      </c>
      <c r="B4252" s="3" t="n">
        <v>8</v>
      </c>
      <c r="C4252" s="3" t="n">
        <v>21</v>
      </c>
      <c r="D4252" s="3" t="s">
        <v>4256</v>
      </c>
      <c r="E4252" s="4" t="n">
        <v>0</v>
      </c>
    </row>
    <row r="4253" customFormat="false" ht="15" hidden="false" customHeight="false" outlineLevel="0" collapsed="false">
      <c r="A4253" s="3" t="n">
        <v>2023</v>
      </c>
      <c r="B4253" s="3" t="n">
        <v>8</v>
      </c>
      <c r="C4253" s="3" t="n">
        <v>22</v>
      </c>
      <c r="D4253" s="3" t="s">
        <v>4257</v>
      </c>
      <c r="E4253" s="4" t="n">
        <v>0</v>
      </c>
    </row>
    <row r="4254" customFormat="false" ht="15" hidden="false" customHeight="false" outlineLevel="0" collapsed="false">
      <c r="A4254" s="3" t="n">
        <v>2023</v>
      </c>
      <c r="B4254" s="3" t="n">
        <v>8</v>
      </c>
      <c r="C4254" s="3" t="n">
        <v>23</v>
      </c>
      <c r="D4254" s="3" t="s">
        <v>4258</v>
      </c>
      <c r="E4254" s="4" t="n">
        <v>0</v>
      </c>
    </row>
    <row r="4255" customFormat="false" ht="15" hidden="false" customHeight="false" outlineLevel="0" collapsed="false">
      <c r="A4255" s="3" t="n">
        <v>2023</v>
      </c>
      <c r="B4255" s="3" t="n">
        <v>8</v>
      </c>
      <c r="C4255" s="3" t="n">
        <v>24</v>
      </c>
      <c r="D4255" s="3" t="s">
        <v>4259</v>
      </c>
      <c r="E4255" s="4" t="n">
        <v>51</v>
      </c>
    </row>
    <row r="4256" customFormat="false" ht="15" hidden="false" customHeight="false" outlineLevel="0" collapsed="false">
      <c r="A4256" s="3" t="n">
        <v>2023</v>
      </c>
      <c r="B4256" s="3" t="n">
        <v>8</v>
      </c>
      <c r="C4256" s="3" t="n">
        <v>25</v>
      </c>
      <c r="D4256" s="3" t="s">
        <v>4260</v>
      </c>
      <c r="E4256" s="4" t="n">
        <v>17</v>
      </c>
    </row>
    <row r="4257" customFormat="false" ht="15" hidden="false" customHeight="false" outlineLevel="0" collapsed="false">
      <c r="A4257" s="3" t="n">
        <v>2023</v>
      </c>
      <c r="B4257" s="3" t="n">
        <v>8</v>
      </c>
      <c r="C4257" s="3" t="n">
        <v>26</v>
      </c>
      <c r="D4257" s="3" t="s">
        <v>4261</v>
      </c>
      <c r="E4257" s="4" t="n">
        <v>27</v>
      </c>
    </row>
    <row r="4258" customFormat="false" ht="15" hidden="false" customHeight="false" outlineLevel="0" collapsed="false">
      <c r="A4258" s="3" t="n">
        <v>2023</v>
      </c>
      <c r="B4258" s="3" t="n">
        <v>8</v>
      </c>
      <c r="C4258" s="3" t="n">
        <v>27</v>
      </c>
      <c r="D4258" s="3" t="s">
        <v>4262</v>
      </c>
      <c r="E4258" s="4" t="n">
        <v>0</v>
      </c>
    </row>
    <row r="4259" customFormat="false" ht="15" hidden="false" customHeight="false" outlineLevel="0" collapsed="false">
      <c r="A4259" s="3" t="n">
        <v>2023</v>
      </c>
      <c r="B4259" s="3" t="n">
        <v>8</v>
      </c>
      <c r="C4259" s="3" t="n">
        <v>28</v>
      </c>
      <c r="D4259" s="3" t="s">
        <v>4263</v>
      </c>
      <c r="E4259" s="4" t="n">
        <v>0</v>
      </c>
    </row>
    <row r="4260" customFormat="false" ht="15" hidden="false" customHeight="false" outlineLevel="0" collapsed="false">
      <c r="A4260" s="3" t="n">
        <v>2023</v>
      </c>
      <c r="B4260" s="3" t="n">
        <v>8</v>
      </c>
      <c r="C4260" s="3" t="n">
        <v>29</v>
      </c>
      <c r="D4260" s="3" t="s">
        <v>4264</v>
      </c>
      <c r="E4260" s="4" t="n">
        <v>3</v>
      </c>
    </row>
    <row r="4261" customFormat="false" ht="15" hidden="false" customHeight="false" outlineLevel="0" collapsed="false">
      <c r="A4261" s="3" t="n">
        <v>2023</v>
      </c>
      <c r="B4261" s="3" t="n">
        <v>8</v>
      </c>
      <c r="C4261" s="3" t="n">
        <v>30</v>
      </c>
      <c r="D4261" s="3" t="s">
        <v>4265</v>
      </c>
      <c r="E4261" s="4" t="n">
        <v>0</v>
      </c>
    </row>
    <row r="4262" customFormat="false" ht="15" hidden="false" customHeight="false" outlineLevel="0" collapsed="false">
      <c r="A4262" s="3" t="n">
        <v>2023</v>
      </c>
      <c r="B4262" s="3" t="n">
        <v>8</v>
      </c>
      <c r="C4262" s="3" t="n">
        <v>31</v>
      </c>
      <c r="D4262" s="3" t="s">
        <v>4266</v>
      </c>
      <c r="E4262" s="4" t="n">
        <v>0</v>
      </c>
    </row>
    <row r="4263" customFormat="false" ht="15" hidden="false" customHeight="false" outlineLevel="0" collapsed="false">
      <c r="A4263" s="3" t="n">
        <v>2023</v>
      </c>
      <c r="B4263" s="3" t="n">
        <v>9</v>
      </c>
      <c r="C4263" s="3" t="n">
        <v>1</v>
      </c>
      <c r="D4263" s="3" t="s">
        <v>4267</v>
      </c>
      <c r="E4263" s="4" t="n">
        <v>43</v>
      </c>
    </row>
    <row r="4264" customFormat="false" ht="15" hidden="false" customHeight="false" outlineLevel="0" collapsed="false">
      <c r="A4264" s="3" t="n">
        <v>2023</v>
      </c>
      <c r="B4264" s="3" t="n">
        <v>9</v>
      </c>
      <c r="C4264" s="3" t="n">
        <v>2</v>
      </c>
      <c r="D4264" s="3" t="s">
        <v>4268</v>
      </c>
      <c r="E4264" s="4" t="n">
        <v>0</v>
      </c>
    </row>
    <row r="4265" customFormat="false" ht="15" hidden="false" customHeight="false" outlineLevel="0" collapsed="false">
      <c r="A4265" s="3" t="n">
        <v>2023</v>
      </c>
      <c r="B4265" s="3" t="n">
        <v>9</v>
      </c>
      <c r="C4265" s="3" t="n">
        <v>3</v>
      </c>
      <c r="D4265" s="3" t="s">
        <v>4269</v>
      </c>
      <c r="E4265" s="4" t="n">
        <v>0</v>
      </c>
    </row>
    <row r="4266" customFormat="false" ht="15" hidden="false" customHeight="false" outlineLevel="0" collapsed="false">
      <c r="A4266" s="3" t="n">
        <v>2023</v>
      </c>
      <c r="B4266" s="3" t="n">
        <v>9</v>
      </c>
      <c r="C4266" s="3" t="n">
        <v>4</v>
      </c>
      <c r="D4266" s="3" t="s">
        <v>4270</v>
      </c>
      <c r="E4266" s="4" t="n">
        <v>0</v>
      </c>
    </row>
    <row r="4267" customFormat="false" ht="15" hidden="false" customHeight="false" outlineLevel="0" collapsed="false">
      <c r="A4267" s="3" t="n">
        <v>2023</v>
      </c>
      <c r="B4267" s="3" t="n">
        <v>9</v>
      </c>
      <c r="C4267" s="3" t="n">
        <v>5</v>
      </c>
      <c r="D4267" s="3" t="s">
        <v>4271</v>
      </c>
      <c r="E4267" s="4" t="n">
        <v>0</v>
      </c>
    </row>
    <row r="4268" customFormat="false" ht="15" hidden="false" customHeight="false" outlineLevel="0" collapsed="false">
      <c r="A4268" s="3" t="n">
        <v>2023</v>
      </c>
      <c r="B4268" s="3" t="n">
        <v>9</v>
      </c>
      <c r="C4268" s="3" t="n">
        <v>6</v>
      </c>
      <c r="D4268" s="3" t="s">
        <v>4272</v>
      </c>
      <c r="E4268" s="4" t="n">
        <v>4</v>
      </c>
    </row>
    <row r="4269" customFormat="false" ht="15" hidden="false" customHeight="false" outlineLevel="0" collapsed="false">
      <c r="A4269" s="3" t="n">
        <v>2023</v>
      </c>
      <c r="B4269" s="3" t="n">
        <v>9</v>
      </c>
      <c r="C4269" s="3" t="n">
        <v>7</v>
      </c>
      <c r="D4269" s="3" t="s">
        <v>4273</v>
      </c>
      <c r="E4269" s="4" t="n">
        <v>7</v>
      </c>
    </row>
    <row r="4270" customFormat="false" ht="15" hidden="false" customHeight="false" outlineLevel="0" collapsed="false">
      <c r="A4270" s="3" t="n">
        <v>2023</v>
      </c>
      <c r="B4270" s="3" t="n">
        <v>9</v>
      </c>
      <c r="C4270" s="3" t="n">
        <v>8</v>
      </c>
      <c r="D4270" s="3" t="s">
        <v>4274</v>
      </c>
      <c r="E4270" s="4" t="n">
        <v>0</v>
      </c>
    </row>
    <row r="4271" customFormat="false" ht="15" hidden="false" customHeight="false" outlineLevel="0" collapsed="false">
      <c r="A4271" s="3" t="n">
        <v>2023</v>
      </c>
      <c r="B4271" s="3" t="n">
        <v>9</v>
      </c>
      <c r="C4271" s="3" t="n">
        <v>9</v>
      </c>
      <c r="D4271" s="3" t="s">
        <v>4275</v>
      </c>
      <c r="E4271" s="4" t="n">
        <v>0</v>
      </c>
    </row>
    <row r="4272" customFormat="false" ht="15" hidden="false" customHeight="false" outlineLevel="0" collapsed="false">
      <c r="A4272" s="3" t="n">
        <v>2023</v>
      </c>
      <c r="B4272" s="3" t="n">
        <v>9</v>
      </c>
      <c r="C4272" s="3" t="n">
        <v>10</v>
      </c>
      <c r="D4272" s="3" t="s">
        <v>4276</v>
      </c>
      <c r="E4272" s="4" t="n">
        <v>0</v>
      </c>
    </row>
    <row r="4273" customFormat="false" ht="15" hidden="false" customHeight="false" outlineLevel="0" collapsed="false">
      <c r="A4273" s="3" t="n">
        <v>2023</v>
      </c>
      <c r="B4273" s="3" t="n">
        <v>9</v>
      </c>
      <c r="C4273" s="3" t="n">
        <v>11</v>
      </c>
      <c r="D4273" s="3" t="s">
        <v>4277</v>
      </c>
      <c r="E4273" s="4" t="n">
        <v>0</v>
      </c>
    </row>
    <row r="4274" customFormat="false" ht="15" hidden="false" customHeight="false" outlineLevel="0" collapsed="false">
      <c r="A4274" s="3" t="n">
        <v>2023</v>
      </c>
      <c r="B4274" s="3" t="n">
        <v>9</v>
      </c>
      <c r="C4274" s="3" t="n">
        <v>12</v>
      </c>
      <c r="D4274" s="3" t="s">
        <v>4278</v>
      </c>
      <c r="E4274" s="4" t="n">
        <v>0</v>
      </c>
    </row>
    <row r="4275" customFormat="false" ht="15" hidden="false" customHeight="false" outlineLevel="0" collapsed="false">
      <c r="A4275" s="3" t="n">
        <v>2023</v>
      </c>
      <c r="B4275" s="3" t="n">
        <v>9</v>
      </c>
      <c r="C4275" s="3" t="n">
        <v>13</v>
      </c>
      <c r="D4275" s="3" t="s">
        <v>4279</v>
      </c>
      <c r="E4275" s="4" t="n">
        <v>0</v>
      </c>
    </row>
    <row r="4276" customFormat="false" ht="15" hidden="false" customHeight="false" outlineLevel="0" collapsed="false">
      <c r="A4276" s="3" t="n">
        <v>2023</v>
      </c>
      <c r="B4276" s="3" t="n">
        <v>9</v>
      </c>
      <c r="C4276" s="3" t="n">
        <v>14</v>
      </c>
      <c r="D4276" s="3" t="s">
        <v>4280</v>
      </c>
      <c r="E4276" s="4" t="n">
        <v>0</v>
      </c>
    </row>
    <row r="4277" customFormat="false" ht="15" hidden="false" customHeight="false" outlineLevel="0" collapsed="false">
      <c r="A4277" s="3" t="n">
        <v>2023</v>
      </c>
      <c r="B4277" s="3" t="n">
        <v>9</v>
      </c>
      <c r="C4277" s="3" t="n">
        <v>15</v>
      </c>
      <c r="D4277" s="3" t="s">
        <v>4281</v>
      </c>
      <c r="E4277" s="4" t="n">
        <v>12</v>
      </c>
    </row>
    <row r="4278" customFormat="false" ht="15" hidden="false" customHeight="false" outlineLevel="0" collapsed="false">
      <c r="A4278" s="3" t="n">
        <v>2023</v>
      </c>
      <c r="B4278" s="3" t="n">
        <v>9</v>
      </c>
      <c r="C4278" s="3" t="n">
        <v>16</v>
      </c>
      <c r="D4278" s="3" t="s">
        <v>4282</v>
      </c>
      <c r="E4278" s="4" t="n">
        <v>18</v>
      </c>
    </row>
    <row r="4279" customFormat="false" ht="15" hidden="false" customHeight="false" outlineLevel="0" collapsed="false">
      <c r="A4279" s="3" t="n">
        <v>2023</v>
      </c>
      <c r="B4279" s="3" t="n">
        <v>9</v>
      </c>
      <c r="C4279" s="3" t="n">
        <v>17</v>
      </c>
      <c r="D4279" s="3" t="s">
        <v>4283</v>
      </c>
      <c r="E4279" s="4" t="n">
        <v>2</v>
      </c>
    </row>
    <row r="4280" customFormat="false" ht="15" hidden="false" customHeight="false" outlineLevel="0" collapsed="false">
      <c r="A4280" s="3" t="n">
        <v>2023</v>
      </c>
      <c r="B4280" s="3" t="n">
        <v>9</v>
      </c>
      <c r="C4280" s="3" t="n">
        <v>18</v>
      </c>
      <c r="D4280" s="3" t="s">
        <v>4284</v>
      </c>
      <c r="E4280" s="4" t="n">
        <v>25</v>
      </c>
    </row>
    <row r="4281" customFormat="false" ht="15" hidden="false" customHeight="false" outlineLevel="0" collapsed="false">
      <c r="A4281" s="3" t="n">
        <v>2023</v>
      </c>
      <c r="B4281" s="3" t="n">
        <v>9</v>
      </c>
      <c r="C4281" s="3" t="n">
        <v>19</v>
      </c>
      <c r="D4281" s="3" t="s">
        <v>4285</v>
      </c>
      <c r="E4281" s="4" t="n">
        <v>60</v>
      </c>
    </row>
    <row r="4282" customFormat="false" ht="15" hidden="false" customHeight="false" outlineLevel="0" collapsed="false">
      <c r="A4282" s="3" t="n">
        <v>2023</v>
      </c>
      <c r="B4282" s="3" t="n">
        <v>9</v>
      </c>
      <c r="C4282" s="3" t="n">
        <v>20</v>
      </c>
      <c r="D4282" s="3" t="s">
        <v>4286</v>
      </c>
      <c r="E4282" s="4" t="n">
        <v>20</v>
      </c>
    </row>
    <row r="4283" customFormat="false" ht="15" hidden="false" customHeight="false" outlineLevel="0" collapsed="false">
      <c r="A4283" s="3" t="n">
        <v>2023</v>
      </c>
      <c r="B4283" s="3" t="n">
        <v>9</v>
      </c>
      <c r="C4283" s="3" t="n">
        <v>21</v>
      </c>
      <c r="D4283" s="3" t="s">
        <v>4287</v>
      </c>
      <c r="E4283" s="4" t="n">
        <v>4</v>
      </c>
    </row>
    <row r="4284" customFormat="false" ht="15" hidden="false" customHeight="false" outlineLevel="0" collapsed="false">
      <c r="A4284" s="3" t="n">
        <v>2023</v>
      </c>
      <c r="B4284" s="3" t="n">
        <v>9</v>
      </c>
      <c r="C4284" s="3" t="n">
        <v>22</v>
      </c>
      <c r="D4284" s="3" t="s">
        <v>4288</v>
      </c>
      <c r="E4284" s="4" t="n">
        <v>0</v>
      </c>
    </row>
    <row r="4285" customFormat="false" ht="15" hidden="false" customHeight="false" outlineLevel="0" collapsed="false">
      <c r="A4285" s="3" t="n">
        <v>2023</v>
      </c>
      <c r="B4285" s="3" t="n">
        <v>9</v>
      </c>
      <c r="C4285" s="3" t="n">
        <v>23</v>
      </c>
      <c r="D4285" s="3" t="s">
        <v>4289</v>
      </c>
      <c r="E4285" s="4" t="n">
        <v>0</v>
      </c>
    </row>
    <row r="4286" customFormat="false" ht="15" hidden="false" customHeight="false" outlineLevel="0" collapsed="false">
      <c r="A4286" s="3" t="n">
        <v>2023</v>
      </c>
      <c r="B4286" s="3" t="n">
        <v>9</v>
      </c>
      <c r="C4286" s="3" t="n">
        <v>24</v>
      </c>
      <c r="D4286" s="3" t="s">
        <v>4290</v>
      </c>
      <c r="E4286" s="4" t="n">
        <v>0</v>
      </c>
    </row>
    <row r="4287" customFormat="false" ht="15" hidden="false" customHeight="false" outlineLevel="0" collapsed="false">
      <c r="A4287" s="3" t="n">
        <v>2023</v>
      </c>
      <c r="B4287" s="3" t="n">
        <v>9</v>
      </c>
      <c r="C4287" s="3" t="n">
        <v>25</v>
      </c>
      <c r="D4287" s="3" t="s">
        <v>4291</v>
      </c>
      <c r="E4287" s="4" t="n">
        <v>0</v>
      </c>
    </row>
    <row r="4288" customFormat="false" ht="15" hidden="false" customHeight="false" outlineLevel="0" collapsed="false">
      <c r="A4288" s="3" t="n">
        <v>2023</v>
      </c>
      <c r="B4288" s="3" t="n">
        <v>9</v>
      </c>
      <c r="C4288" s="3" t="n">
        <v>26</v>
      </c>
      <c r="D4288" s="3" t="s">
        <v>4292</v>
      </c>
      <c r="E4288" s="4" t="n">
        <v>0</v>
      </c>
    </row>
    <row r="4289" customFormat="false" ht="15" hidden="false" customHeight="false" outlineLevel="0" collapsed="false">
      <c r="A4289" s="3" t="n">
        <v>2023</v>
      </c>
      <c r="B4289" s="3" t="n">
        <v>9</v>
      </c>
      <c r="C4289" s="3" t="n">
        <v>27</v>
      </c>
      <c r="D4289" s="3" t="s">
        <v>4293</v>
      </c>
      <c r="E4289" s="4" t="n">
        <v>0</v>
      </c>
    </row>
    <row r="4290" customFormat="false" ht="15" hidden="false" customHeight="false" outlineLevel="0" collapsed="false">
      <c r="A4290" s="3" t="n">
        <v>2023</v>
      </c>
      <c r="B4290" s="3" t="n">
        <v>9</v>
      </c>
      <c r="C4290" s="3" t="n">
        <v>28</v>
      </c>
      <c r="D4290" s="3" t="s">
        <v>4294</v>
      </c>
      <c r="E4290" s="4" t="n">
        <v>0</v>
      </c>
    </row>
    <row r="4291" customFormat="false" ht="15" hidden="false" customHeight="false" outlineLevel="0" collapsed="false">
      <c r="A4291" s="3" t="n">
        <v>2023</v>
      </c>
      <c r="B4291" s="3" t="n">
        <v>9</v>
      </c>
      <c r="C4291" s="3" t="n">
        <v>29</v>
      </c>
      <c r="D4291" s="3" t="s">
        <v>4295</v>
      </c>
      <c r="E4291" s="4" t="n">
        <v>16</v>
      </c>
    </row>
    <row r="4292" customFormat="false" ht="15" hidden="false" customHeight="false" outlineLevel="0" collapsed="false">
      <c r="A4292" s="3" t="n">
        <v>2023</v>
      </c>
      <c r="B4292" s="3" t="n">
        <v>9</v>
      </c>
      <c r="C4292" s="3" t="n">
        <v>30</v>
      </c>
      <c r="D4292" s="3" t="s">
        <v>4296</v>
      </c>
      <c r="E4292" s="4" t="n">
        <v>7</v>
      </c>
    </row>
    <row r="4293" customFormat="false" ht="15" hidden="false" customHeight="false" outlineLevel="0" collapsed="false">
      <c r="A4293" s="3" t="n">
        <v>2023</v>
      </c>
      <c r="B4293" s="3" t="n">
        <v>10</v>
      </c>
      <c r="C4293" s="3" t="n">
        <v>1</v>
      </c>
      <c r="D4293" s="3" t="s">
        <v>4297</v>
      </c>
      <c r="E4293" s="4" t="n">
        <v>19</v>
      </c>
    </row>
    <row r="4294" customFormat="false" ht="15" hidden="false" customHeight="false" outlineLevel="0" collapsed="false">
      <c r="A4294" s="3" t="n">
        <v>2023</v>
      </c>
      <c r="B4294" s="3" t="n">
        <v>10</v>
      </c>
      <c r="C4294" s="3" t="n">
        <v>2</v>
      </c>
      <c r="D4294" s="3" t="s">
        <v>4298</v>
      </c>
      <c r="E4294" s="4" t="n">
        <v>0</v>
      </c>
    </row>
    <row r="4295" customFormat="false" ht="15" hidden="false" customHeight="false" outlineLevel="0" collapsed="false">
      <c r="A4295" s="3" t="n">
        <v>2023</v>
      </c>
      <c r="B4295" s="3" t="n">
        <v>10</v>
      </c>
      <c r="C4295" s="3" t="n">
        <v>3</v>
      </c>
      <c r="D4295" s="3" t="s">
        <v>4299</v>
      </c>
      <c r="E4295" s="4" t="n">
        <v>0</v>
      </c>
    </row>
    <row r="4296" customFormat="false" ht="15" hidden="false" customHeight="false" outlineLevel="0" collapsed="false">
      <c r="A4296" s="3" t="n">
        <v>2023</v>
      </c>
      <c r="B4296" s="3" t="n">
        <v>10</v>
      </c>
      <c r="C4296" s="3" t="n">
        <v>4</v>
      </c>
      <c r="D4296" s="3" t="s">
        <v>4300</v>
      </c>
      <c r="E4296" s="4" t="n">
        <v>1</v>
      </c>
    </row>
    <row r="4297" customFormat="false" ht="15" hidden="false" customHeight="false" outlineLevel="0" collapsed="false">
      <c r="A4297" s="3" t="n">
        <v>2023</v>
      </c>
      <c r="B4297" s="3" t="n">
        <v>10</v>
      </c>
      <c r="C4297" s="3" t="n">
        <v>5</v>
      </c>
      <c r="D4297" s="3" t="s">
        <v>4301</v>
      </c>
      <c r="E4297" s="4" t="n">
        <v>0</v>
      </c>
    </row>
    <row r="4298" customFormat="false" ht="15" hidden="false" customHeight="false" outlineLevel="0" collapsed="false">
      <c r="A4298" s="3" t="n">
        <v>2023</v>
      </c>
      <c r="B4298" s="3" t="n">
        <v>10</v>
      </c>
      <c r="C4298" s="3" t="n">
        <v>6</v>
      </c>
      <c r="D4298" s="3" t="s">
        <v>4302</v>
      </c>
      <c r="E4298" s="4" t="n">
        <v>27</v>
      </c>
    </row>
    <row r="4299" customFormat="false" ht="15" hidden="false" customHeight="false" outlineLevel="0" collapsed="false">
      <c r="A4299" s="3" t="n">
        <v>2023</v>
      </c>
      <c r="B4299" s="3" t="n">
        <v>10</v>
      </c>
      <c r="C4299" s="3" t="n">
        <v>7</v>
      </c>
      <c r="D4299" s="3" t="s">
        <v>4303</v>
      </c>
      <c r="E4299" s="4" t="n">
        <v>0</v>
      </c>
    </row>
    <row r="4300" customFormat="false" ht="15" hidden="false" customHeight="false" outlineLevel="0" collapsed="false">
      <c r="A4300" s="3" t="n">
        <v>2023</v>
      </c>
      <c r="B4300" s="3" t="n">
        <v>10</v>
      </c>
      <c r="C4300" s="3" t="n">
        <v>8</v>
      </c>
      <c r="D4300" s="3" t="s">
        <v>4304</v>
      </c>
      <c r="E4300" s="4" t="n">
        <v>0</v>
      </c>
    </row>
    <row r="4301" customFormat="false" ht="15" hidden="false" customHeight="false" outlineLevel="0" collapsed="false">
      <c r="A4301" s="3" t="n">
        <v>2023</v>
      </c>
      <c r="B4301" s="3" t="n">
        <v>10</v>
      </c>
      <c r="C4301" s="3" t="n">
        <v>9</v>
      </c>
      <c r="D4301" s="3" t="s">
        <v>4305</v>
      </c>
      <c r="E4301" s="4" t="n">
        <v>12</v>
      </c>
    </row>
    <row r="4302" customFormat="false" ht="15" hidden="false" customHeight="false" outlineLevel="0" collapsed="false">
      <c r="A4302" s="3" t="n">
        <v>2023</v>
      </c>
      <c r="B4302" s="3" t="n">
        <v>10</v>
      </c>
      <c r="C4302" s="3" t="n">
        <v>10</v>
      </c>
      <c r="D4302" s="3" t="s">
        <v>4306</v>
      </c>
      <c r="E4302" s="4" t="n">
        <v>16</v>
      </c>
    </row>
    <row r="4303" customFormat="false" ht="15" hidden="false" customHeight="false" outlineLevel="0" collapsed="false">
      <c r="A4303" s="3" t="n">
        <v>2023</v>
      </c>
      <c r="B4303" s="3" t="n">
        <v>10</v>
      </c>
      <c r="C4303" s="3" t="n">
        <v>11</v>
      </c>
      <c r="D4303" s="3" t="s">
        <v>4307</v>
      </c>
      <c r="E4303" s="4" t="n">
        <v>8</v>
      </c>
    </row>
    <row r="4304" customFormat="false" ht="15" hidden="false" customHeight="false" outlineLevel="0" collapsed="false">
      <c r="A4304" s="3" t="n">
        <v>2023</v>
      </c>
      <c r="B4304" s="3" t="n">
        <v>10</v>
      </c>
      <c r="C4304" s="3" t="n">
        <v>12</v>
      </c>
      <c r="D4304" s="3" t="s">
        <v>4308</v>
      </c>
      <c r="E4304" s="4" t="n">
        <v>0</v>
      </c>
    </row>
    <row r="4305" customFormat="false" ht="15" hidden="false" customHeight="false" outlineLevel="0" collapsed="false">
      <c r="A4305" s="3" t="n">
        <v>2023</v>
      </c>
      <c r="B4305" s="3" t="n">
        <v>10</v>
      </c>
      <c r="C4305" s="3" t="n">
        <v>13</v>
      </c>
      <c r="D4305" s="3" t="s">
        <v>4309</v>
      </c>
      <c r="E4305" s="4" t="n">
        <v>0</v>
      </c>
    </row>
    <row r="4306" customFormat="false" ht="15" hidden="false" customHeight="false" outlineLevel="0" collapsed="false">
      <c r="A4306" s="3" t="n">
        <v>2023</v>
      </c>
      <c r="B4306" s="3" t="n">
        <v>10</v>
      </c>
      <c r="C4306" s="3" t="n">
        <v>14</v>
      </c>
      <c r="D4306" s="3" t="s">
        <v>4310</v>
      </c>
      <c r="E4306" s="4" t="n">
        <v>33</v>
      </c>
    </row>
    <row r="4307" customFormat="false" ht="15" hidden="false" customHeight="false" outlineLevel="0" collapsed="false">
      <c r="A4307" s="3" t="n">
        <v>2023</v>
      </c>
      <c r="B4307" s="3" t="n">
        <v>10</v>
      </c>
      <c r="C4307" s="3" t="n">
        <v>15</v>
      </c>
      <c r="D4307" s="3" t="s">
        <v>4311</v>
      </c>
      <c r="E4307" s="4" t="n">
        <v>8</v>
      </c>
    </row>
    <row r="4308" customFormat="false" ht="15" hidden="false" customHeight="false" outlineLevel="0" collapsed="false">
      <c r="A4308" s="3" t="n">
        <v>2023</v>
      </c>
      <c r="B4308" s="3" t="n">
        <v>10</v>
      </c>
      <c r="C4308" s="3" t="n">
        <v>16</v>
      </c>
      <c r="D4308" s="3" t="s">
        <v>4312</v>
      </c>
      <c r="E4308" s="4" t="n">
        <v>4</v>
      </c>
    </row>
    <row r="4309" customFormat="false" ht="15" hidden="false" customHeight="false" outlineLevel="0" collapsed="false">
      <c r="A4309" s="3" t="n">
        <v>2023</v>
      </c>
      <c r="B4309" s="3" t="n">
        <v>10</v>
      </c>
      <c r="C4309" s="3" t="n">
        <v>17</v>
      </c>
      <c r="D4309" s="3" t="s">
        <v>4313</v>
      </c>
      <c r="E4309" s="4" t="n">
        <v>1</v>
      </c>
    </row>
    <row r="4310" customFormat="false" ht="15" hidden="false" customHeight="false" outlineLevel="0" collapsed="false">
      <c r="A4310" s="3" t="n">
        <v>2023</v>
      </c>
      <c r="B4310" s="3" t="n">
        <v>10</v>
      </c>
      <c r="C4310" s="3" t="n">
        <v>18</v>
      </c>
      <c r="D4310" s="3" t="s">
        <v>4314</v>
      </c>
      <c r="E4310" s="4" t="n">
        <v>4</v>
      </c>
    </row>
    <row r="4311" customFormat="false" ht="15" hidden="false" customHeight="false" outlineLevel="0" collapsed="false">
      <c r="A4311" s="3" t="n">
        <v>2023</v>
      </c>
      <c r="B4311" s="3" t="n">
        <v>10</v>
      </c>
      <c r="C4311" s="3" t="n">
        <v>19</v>
      </c>
      <c r="D4311" s="3" t="s">
        <v>4315</v>
      </c>
      <c r="E4311" s="4" t="n">
        <v>1</v>
      </c>
    </row>
    <row r="4312" customFormat="false" ht="15" hidden="false" customHeight="false" outlineLevel="0" collapsed="false">
      <c r="A4312" s="3" t="n">
        <v>2023</v>
      </c>
      <c r="B4312" s="3" t="n">
        <v>10</v>
      </c>
      <c r="C4312" s="3" t="n">
        <v>20</v>
      </c>
      <c r="D4312" s="3" t="s">
        <v>4316</v>
      </c>
      <c r="E4312" s="4" t="n">
        <v>0</v>
      </c>
    </row>
    <row r="4313" customFormat="false" ht="15" hidden="false" customHeight="false" outlineLevel="0" collapsed="false">
      <c r="A4313" s="3" t="n">
        <v>2023</v>
      </c>
      <c r="B4313" s="3" t="n">
        <v>10</v>
      </c>
      <c r="C4313" s="3" t="n">
        <v>21</v>
      </c>
      <c r="D4313" s="3" t="s">
        <v>4317</v>
      </c>
      <c r="E4313" s="4" t="n">
        <v>8</v>
      </c>
    </row>
    <row r="4314" customFormat="false" ht="15" hidden="false" customHeight="false" outlineLevel="0" collapsed="false">
      <c r="A4314" s="3" t="n">
        <v>2023</v>
      </c>
      <c r="B4314" s="3" t="n">
        <v>10</v>
      </c>
      <c r="C4314" s="3" t="n">
        <v>22</v>
      </c>
      <c r="D4314" s="3" t="s">
        <v>4318</v>
      </c>
      <c r="E4314" s="4" t="n">
        <v>4</v>
      </c>
    </row>
    <row r="4315" customFormat="false" ht="15" hidden="false" customHeight="false" outlineLevel="0" collapsed="false">
      <c r="A4315" s="3" t="n">
        <v>2023</v>
      </c>
      <c r="B4315" s="3" t="n">
        <v>10</v>
      </c>
      <c r="C4315" s="3" t="n">
        <v>23</v>
      </c>
      <c r="D4315" s="3" t="s">
        <v>4319</v>
      </c>
      <c r="E4315" s="4" t="n">
        <v>15</v>
      </c>
    </row>
    <row r="4316" customFormat="false" ht="15" hidden="false" customHeight="false" outlineLevel="0" collapsed="false">
      <c r="A4316" s="3" t="n">
        <v>2023</v>
      </c>
      <c r="B4316" s="3" t="n">
        <v>10</v>
      </c>
      <c r="C4316" s="3" t="n">
        <v>24</v>
      </c>
      <c r="D4316" s="3" t="s">
        <v>4320</v>
      </c>
      <c r="E4316" s="4" t="n">
        <v>0</v>
      </c>
    </row>
    <row r="4317" customFormat="false" ht="15" hidden="false" customHeight="false" outlineLevel="0" collapsed="false">
      <c r="A4317" s="3" t="n">
        <v>2023</v>
      </c>
      <c r="B4317" s="3" t="n">
        <v>10</v>
      </c>
      <c r="C4317" s="3" t="n">
        <v>25</v>
      </c>
      <c r="D4317" s="3" t="s">
        <v>4321</v>
      </c>
      <c r="E4317" s="4" t="n">
        <v>18</v>
      </c>
    </row>
    <row r="4318" customFormat="false" ht="15" hidden="false" customHeight="false" outlineLevel="0" collapsed="false">
      <c r="A4318" s="3" t="n">
        <v>2023</v>
      </c>
      <c r="B4318" s="3" t="n">
        <v>10</v>
      </c>
      <c r="C4318" s="3" t="n">
        <v>26</v>
      </c>
      <c r="D4318" s="3" t="s">
        <v>4322</v>
      </c>
      <c r="E4318" s="4" t="n">
        <v>0</v>
      </c>
    </row>
    <row r="4319" customFormat="false" ht="15" hidden="false" customHeight="false" outlineLevel="0" collapsed="false">
      <c r="A4319" s="3" t="n">
        <v>2023</v>
      </c>
      <c r="B4319" s="3" t="n">
        <v>10</v>
      </c>
      <c r="C4319" s="3" t="n">
        <v>27</v>
      </c>
      <c r="D4319" s="3" t="s">
        <v>4323</v>
      </c>
      <c r="E4319" s="4" t="n">
        <v>3</v>
      </c>
    </row>
    <row r="4320" customFormat="false" ht="15" hidden="false" customHeight="false" outlineLevel="0" collapsed="false">
      <c r="A4320" s="3" t="n">
        <v>2023</v>
      </c>
      <c r="B4320" s="3" t="n">
        <v>10</v>
      </c>
      <c r="C4320" s="3" t="n">
        <v>28</v>
      </c>
      <c r="D4320" s="3" t="s">
        <v>4324</v>
      </c>
      <c r="E4320" s="4" t="n">
        <v>22</v>
      </c>
    </row>
    <row r="4321" customFormat="false" ht="15" hidden="false" customHeight="false" outlineLevel="0" collapsed="false">
      <c r="A4321" s="3" t="n">
        <v>2023</v>
      </c>
      <c r="B4321" s="3" t="n">
        <v>10</v>
      </c>
      <c r="C4321" s="3" t="n">
        <v>29</v>
      </c>
      <c r="D4321" s="3" t="s">
        <v>4325</v>
      </c>
      <c r="E4321" s="4" t="n">
        <v>28</v>
      </c>
    </row>
    <row r="4322" customFormat="false" ht="15" hidden="false" customHeight="false" outlineLevel="0" collapsed="false">
      <c r="A4322" s="3" t="n">
        <v>2023</v>
      </c>
      <c r="B4322" s="3" t="n">
        <v>10</v>
      </c>
      <c r="C4322" s="3" t="n">
        <v>30</v>
      </c>
      <c r="D4322" s="3" t="s">
        <v>4326</v>
      </c>
      <c r="E4322" s="4" t="n">
        <v>6</v>
      </c>
    </row>
    <row r="4323" customFormat="false" ht="15" hidden="false" customHeight="false" outlineLevel="0" collapsed="false">
      <c r="A4323" s="3" t="n">
        <v>2023</v>
      </c>
      <c r="B4323" s="3" t="n">
        <v>10</v>
      </c>
      <c r="C4323" s="3" t="n">
        <v>31</v>
      </c>
      <c r="D4323" s="3" t="s">
        <v>4327</v>
      </c>
      <c r="E4323" s="4" t="n">
        <v>12</v>
      </c>
    </row>
    <row r="4324" customFormat="false" ht="15" hidden="false" customHeight="false" outlineLevel="0" collapsed="false">
      <c r="A4324" s="3" t="n">
        <v>2023</v>
      </c>
      <c r="B4324" s="3" t="n">
        <v>11</v>
      </c>
      <c r="C4324" s="3" t="n">
        <v>1</v>
      </c>
      <c r="D4324" s="3" t="s">
        <v>4328</v>
      </c>
      <c r="E4324" s="4" t="n">
        <v>6</v>
      </c>
    </row>
    <row r="4325" customFormat="false" ht="15" hidden="false" customHeight="false" outlineLevel="0" collapsed="false">
      <c r="A4325" s="3" t="n">
        <v>2023</v>
      </c>
      <c r="B4325" s="3" t="n">
        <v>11</v>
      </c>
      <c r="C4325" s="3" t="n">
        <v>2</v>
      </c>
      <c r="D4325" s="3" t="s">
        <v>4329</v>
      </c>
      <c r="E4325" s="4" t="n">
        <v>0</v>
      </c>
    </row>
    <row r="4326" customFormat="false" ht="15" hidden="false" customHeight="false" outlineLevel="0" collapsed="false">
      <c r="A4326" s="3" t="n">
        <v>2023</v>
      </c>
      <c r="B4326" s="3" t="n">
        <v>11</v>
      </c>
      <c r="C4326" s="3" t="n">
        <v>3</v>
      </c>
      <c r="D4326" s="3" t="s">
        <v>4330</v>
      </c>
      <c r="E4326" s="4" t="n">
        <v>10</v>
      </c>
    </row>
    <row r="4327" customFormat="false" ht="15" hidden="false" customHeight="false" outlineLevel="0" collapsed="false">
      <c r="A4327" s="3" t="n">
        <v>2023</v>
      </c>
      <c r="B4327" s="3" t="n">
        <v>11</v>
      </c>
      <c r="C4327" s="3" t="n">
        <v>4</v>
      </c>
      <c r="D4327" s="3" t="s">
        <v>4331</v>
      </c>
      <c r="E4327" s="4" t="n">
        <v>19</v>
      </c>
    </row>
    <row r="4328" customFormat="false" ht="15" hidden="false" customHeight="false" outlineLevel="0" collapsed="false">
      <c r="A4328" s="3" t="n">
        <v>2023</v>
      </c>
      <c r="B4328" s="3" t="n">
        <v>11</v>
      </c>
      <c r="C4328" s="3" t="n">
        <v>5</v>
      </c>
      <c r="D4328" s="3" t="s">
        <v>4332</v>
      </c>
      <c r="E4328" s="4" t="n">
        <v>0</v>
      </c>
    </row>
    <row r="4329" customFormat="false" ht="15" hidden="false" customHeight="false" outlineLevel="0" collapsed="false">
      <c r="A4329" s="3" t="n">
        <v>2023</v>
      </c>
      <c r="B4329" s="3" t="n">
        <v>11</v>
      </c>
      <c r="C4329" s="3" t="n">
        <v>6</v>
      </c>
      <c r="D4329" s="3" t="s">
        <v>4333</v>
      </c>
      <c r="E4329" s="4" t="n">
        <v>35</v>
      </c>
    </row>
    <row r="4330" customFormat="false" ht="15" hidden="false" customHeight="false" outlineLevel="0" collapsed="false">
      <c r="A4330" s="3" t="n">
        <v>2023</v>
      </c>
      <c r="B4330" s="3" t="n">
        <v>11</v>
      </c>
      <c r="C4330" s="3" t="n">
        <v>7</v>
      </c>
      <c r="D4330" s="3" t="s">
        <v>4334</v>
      </c>
      <c r="E4330" s="4" t="n">
        <v>11</v>
      </c>
    </row>
    <row r="4331" customFormat="false" ht="15" hidden="false" customHeight="false" outlineLevel="0" collapsed="false">
      <c r="A4331" s="3" t="n">
        <v>2023</v>
      </c>
      <c r="B4331" s="3" t="n">
        <v>11</v>
      </c>
      <c r="C4331" s="3" t="n">
        <v>8</v>
      </c>
      <c r="D4331" s="3" t="s">
        <v>4335</v>
      </c>
      <c r="E4331" s="4" t="n">
        <v>1</v>
      </c>
    </row>
    <row r="4332" customFormat="false" ht="15" hidden="false" customHeight="false" outlineLevel="0" collapsed="false">
      <c r="A4332" s="3" t="n">
        <v>2023</v>
      </c>
      <c r="B4332" s="3" t="n">
        <v>11</v>
      </c>
      <c r="C4332" s="3" t="n">
        <v>9</v>
      </c>
      <c r="D4332" s="3" t="s">
        <v>4336</v>
      </c>
      <c r="E4332" s="4" t="n">
        <v>23</v>
      </c>
    </row>
    <row r="4333" customFormat="false" ht="15" hidden="false" customHeight="false" outlineLevel="0" collapsed="false">
      <c r="A4333" s="3" t="n">
        <v>2023</v>
      </c>
      <c r="B4333" s="3" t="n">
        <v>11</v>
      </c>
      <c r="C4333" s="3" t="n">
        <v>10</v>
      </c>
      <c r="D4333" s="3" t="s">
        <v>4337</v>
      </c>
      <c r="E4333" s="4" t="n">
        <v>2</v>
      </c>
    </row>
    <row r="4334" customFormat="false" ht="15" hidden="false" customHeight="false" outlineLevel="0" collapsed="false">
      <c r="A4334" s="3" t="n">
        <v>2023</v>
      </c>
      <c r="B4334" s="3" t="n">
        <v>11</v>
      </c>
      <c r="C4334" s="3" t="n">
        <v>11</v>
      </c>
      <c r="D4334" s="3" t="s">
        <v>4338</v>
      </c>
      <c r="E4334" s="4" t="n">
        <v>5</v>
      </c>
    </row>
    <row r="4335" customFormat="false" ht="15" hidden="false" customHeight="false" outlineLevel="0" collapsed="false">
      <c r="A4335" s="3" t="n">
        <v>2023</v>
      </c>
      <c r="B4335" s="3" t="n">
        <v>11</v>
      </c>
      <c r="C4335" s="3" t="n">
        <v>12</v>
      </c>
      <c r="D4335" s="3" t="s">
        <v>4339</v>
      </c>
      <c r="E4335" s="4" t="n">
        <v>13</v>
      </c>
    </row>
    <row r="4336" customFormat="false" ht="15" hidden="false" customHeight="false" outlineLevel="0" collapsed="false">
      <c r="A4336" s="3" t="n">
        <v>2023</v>
      </c>
      <c r="B4336" s="3" t="n">
        <v>11</v>
      </c>
      <c r="C4336" s="3" t="n">
        <v>13</v>
      </c>
      <c r="D4336" s="3" t="s">
        <v>4340</v>
      </c>
      <c r="E4336" s="4" t="n">
        <v>6</v>
      </c>
    </row>
    <row r="4337" customFormat="false" ht="15" hidden="false" customHeight="false" outlineLevel="0" collapsed="false">
      <c r="A4337" s="3" t="n">
        <v>2023</v>
      </c>
      <c r="B4337" s="3" t="n">
        <v>11</v>
      </c>
      <c r="C4337" s="3" t="n">
        <v>14</v>
      </c>
      <c r="D4337" s="3" t="s">
        <v>4341</v>
      </c>
      <c r="E4337" s="4" t="n">
        <v>0</v>
      </c>
    </row>
    <row r="4338" customFormat="false" ht="15" hidden="false" customHeight="false" outlineLevel="0" collapsed="false">
      <c r="A4338" s="3" t="n">
        <v>2023</v>
      </c>
      <c r="B4338" s="3" t="n">
        <v>11</v>
      </c>
      <c r="C4338" s="3" t="n">
        <v>15</v>
      </c>
      <c r="D4338" s="3" t="s">
        <v>4342</v>
      </c>
      <c r="E4338" s="4" t="n">
        <v>0</v>
      </c>
    </row>
    <row r="4339" customFormat="false" ht="15" hidden="false" customHeight="false" outlineLevel="0" collapsed="false">
      <c r="A4339" s="3" t="n">
        <v>2023</v>
      </c>
      <c r="B4339" s="3" t="n">
        <v>11</v>
      </c>
      <c r="C4339" s="3" t="n">
        <v>16</v>
      </c>
      <c r="D4339" s="3" t="s">
        <v>4343</v>
      </c>
      <c r="E4339" s="4" t="n">
        <v>24</v>
      </c>
    </row>
    <row r="4340" customFormat="false" ht="15" hidden="false" customHeight="false" outlineLevel="0" collapsed="false">
      <c r="A4340" s="3" t="n">
        <v>2023</v>
      </c>
      <c r="B4340" s="3" t="n">
        <v>11</v>
      </c>
      <c r="C4340" s="3" t="n">
        <v>17</v>
      </c>
      <c r="D4340" s="3" t="s">
        <v>4344</v>
      </c>
      <c r="E4340" s="4" t="n">
        <v>6</v>
      </c>
    </row>
    <row r="4341" customFormat="false" ht="15" hidden="false" customHeight="false" outlineLevel="0" collapsed="false">
      <c r="A4341" s="3" t="n">
        <v>2023</v>
      </c>
      <c r="B4341" s="3" t="n">
        <v>11</v>
      </c>
      <c r="C4341" s="3" t="n">
        <v>18</v>
      </c>
      <c r="D4341" s="3" t="s">
        <v>4345</v>
      </c>
      <c r="E4341" s="4" t="n">
        <v>0</v>
      </c>
    </row>
    <row r="4342" customFormat="false" ht="15" hidden="false" customHeight="false" outlineLevel="0" collapsed="false">
      <c r="A4342" s="3" t="n">
        <v>2023</v>
      </c>
      <c r="B4342" s="3" t="n">
        <v>11</v>
      </c>
      <c r="C4342" s="3" t="n">
        <v>19</v>
      </c>
      <c r="D4342" s="3" t="s">
        <v>4346</v>
      </c>
      <c r="E4342" s="4" t="n">
        <v>28</v>
      </c>
    </row>
    <row r="4343" customFormat="false" ht="15" hidden="false" customHeight="false" outlineLevel="0" collapsed="false">
      <c r="A4343" s="3" t="n">
        <v>2023</v>
      </c>
      <c r="B4343" s="3" t="n">
        <v>11</v>
      </c>
      <c r="C4343" s="3" t="n">
        <v>20</v>
      </c>
      <c r="D4343" s="3" t="s">
        <v>4347</v>
      </c>
      <c r="E4343" s="4" t="n">
        <v>5</v>
      </c>
    </row>
    <row r="4344" customFormat="false" ht="15" hidden="false" customHeight="false" outlineLevel="0" collapsed="false">
      <c r="A4344" s="3" t="n">
        <v>2023</v>
      </c>
      <c r="B4344" s="3" t="n">
        <v>11</v>
      </c>
      <c r="C4344" s="3" t="n">
        <v>21</v>
      </c>
      <c r="D4344" s="3" t="s">
        <v>4348</v>
      </c>
      <c r="E4344" s="4" t="n">
        <v>4</v>
      </c>
    </row>
    <row r="4345" customFormat="false" ht="15" hidden="false" customHeight="false" outlineLevel="0" collapsed="false">
      <c r="A4345" s="3" t="n">
        <v>2023</v>
      </c>
      <c r="B4345" s="3" t="n">
        <v>11</v>
      </c>
      <c r="C4345" s="3" t="n">
        <v>22</v>
      </c>
      <c r="D4345" s="3" t="s">
        <v>4349</v>
      </c>
      <c r="E4345" s="4" t="n">
        <v>5</v>
      </c>
    </row>
    <row r="4346" customFormat="false" ht="15" hidden="false" customHeight="false" outlineLevel="0" collapsed="false">
      <c r="A4346" s="3" t="n">
        <v>2023</v>
      </c>
      <c r="B4346" s="3" t="n">
        <v>11</v>
      </c>
      <c r="C4346" s="3" t="n">
        <v>23</v>
      </c>
      <c r="D4346" s="3" t="s">
        <v>4350</v>
      </c>
      <c r="E4346" s="4" t="n">
        <v>15</v>
      </c>
    </row>
    <row r="4347" customFormat="false" ht="15" hidden="false" customHeight="false" outlineLevel="0" collapsed="false">
      <c r="A4347" s="3" t="n">
        <v>2023</v>
      </c>
      <c r="B4347" s="3" t="n">
        <v>11</v>
      </c>
      <c r="C4347" s="3" t="n">
        <v>24</v>
      </c>
      <c r="D4347" s="3" t="s">
        <v>4351</v>
      </c>
      <c r="E4347" s="4" t="n">
        <v>10</v>
      </c>
    </row>
    <row r="4348" customFormat="false" ht="15" hidden="false" customHeight="false" outlineLevel="0" collapsed="false">
      <c r="A4348" s="3" t="n">
        <v>2023</v>
      </c>
      <c r="B4348" s="3" t="n">
        <v>11</v>
      </c>
      <c r="C4348" s="3" t="n">
        <v>25</v>
      </c>
      <c r="D4348" s="3" t="s">
        <v>4352</v>
      </c>
      <c r="E4348" s="4" t="n">
        <v>2</v>
      </c>
    </row>
    <row r="4349" customFormat="false" ht="15" hidden="false" customHeight="false" outlineLevel="0" collapsed="false">
      <c r="A4349" s="3" t="n">
        <v>2023</v>
      </c>
      <c r="B4349" s="3" t="n">
        <v>11</v>
      </c>
      <c r="C4349" s="3" t="n">
        <v>26</v>
      </c>
      <c r="D4349" s="3" t="s">
        <v>4353</v>
      </c>
      <c r="E4349" s="4" t="n">
        <v>6</v>
      </c>
    </row>
    <row r="4350" customFormat="false" ht="15" hidden="false" customHeight="false" outlineLevel="0" collapsed="false">
      <c r="A4350" s="3" t="n">
        <v>2023</v>
      </c>
      <c r="B4350" s="3" t="n">
        <v>11</v>
      </c>
      <c r="C4350" s="3" t="n">
        <v>27</v>
      </c>
      <c r="D4350" s="3" t="s">
        <v>4354</v>
      </c>
      <c r="E4350" s="4" t="n">
        <v>18</v>
      </c>
    </row>
    <row r="4351" customFormat="false" ht="15" hidden="false" customHeight="false" outlineLevel="0" collapsed="false">
      <c r="A4351" s="3" t="n">
        <v>2023</v>
      </c>
      <c r="B4351" s="3" t="n">
        <v>11</v>
      </c>
      <c r="C4351" s="3" t="n">
        <v>28</v>
      </c>
      <c r="D4351" s="3" t="s">
        <v>4355</v>
      </c>
      <c r="E4351" s="4" t="n">
        <v>11</v>
      </c>
    </row>
    <row r="4352" customFormat="false" ht="15" hidden="false" customHeight="false" outlineLevel="0" collapsed="false">
      <c r="A4352" s="3" t="n">
        <v>2023</v>
      </c>
      <c r="B4352" s="3" t="n">
        <v>11</v>
      </c>
      <c r="C4352" s="3" t="n">
        <v>29</v>
      </c>
      <c r="D4352" s="3" t="s">
        <v>4356</v>
      </c>
      <c r="E4352" s="4" t="n">
        <v>0</v>
      </c>
    </row>
    <row r="4353" customFormat="false" ht="15" hidden="false" customHeight="false" outlineLevel="0" collapsed="false">
      <c r="A4353" s="3" t="n">
        <v>2023</v>
      </c>
      <c r="B4353" s="3" t="n">
        <v>11</v>
      </c>
      <c r="C4353" s="3" t="n">
        <v>30</v>
      </c>
      <c r="D4353" s="3" t="s">
        <v>4357</v>
      </c>
      <c r="E4353" s="4" t="n">
        <v>0</v>
      </c>
    </row>
    <row r="4354" customFormat="false" ht="15" hidden="false" customHeight="false" outlineLevel="0" collapsed="false">
      <c r="A4354" s="3" t="n">
        <v>2023</v>
      </c>
      <c r="B4354" s="3" t="n">
        <v>12</v>
      </c>
      <c r="C4354" s="3" t="n">
        <v>1</v>
      </c>
      <c r="D4354" s="3" t="s">
        <v>4358</v>
      </c>
      <c r="E4354" s="4" t="n">
        <v>68</v>
      </c>
    </row>
    <row r="4355" customFormat="false" ht="15" hidden="false" customHeight="false" outlineLevel="0" collapsed="false">
      <c r="A4355" s="3" t="n">
        <v>2023</v>
      </c>
      <c r="B4355" s="3" t="n">
        <v>12</v>
      </c>
      <c r="C4355" s="3" t="n">
        <v>2</v>
      </c>
      <c r="D4355" s="3" t="s">
        <v>4359</v>
      </c>
      <c r="E4355" s="4" t="n">
        <v>8</v>
      </c>
    </row>
    <row r="4356" customFormat="false" ht="15" hidden="false" customHeight="false" outlineLevel="0" collapsed="false">
      <c r="A4356" s="3" t="n">
        <v>2023</v>
      </c>
      <c r="B4356" s="3" t="n">
        <v>12</v>
      </c>
      <c r="C4356" s="3" t="n">
        <v>3</v>
      </c>
      <c r="D4356" s="3" t="s">
        <v>4360</v>
      </c>
      <c r="E4356" s="4" t="n">
        <v>1</v>
      </c>
    </row>
    <row r="4357" customFormat="false" ht="15" hidden="false" customHeight="false" outlineLevel="0" collapsed="false">
      <c r="A4357" s="3" t="n">
        <v>2023</v>
      </c>
      <c r="B4357" s="3" t="n">
        <v>12</v>
      </c>
      <c r="C4357" s="3" t="n">
        <v>4</v>
      </c>
      <c r="D4357" s="3" t="s">
        <v>4361</v>
      </c>
      <c r="E4357" s="4" t="n">
        <v>12</v>
      </c>
    </row>
    <row r="4358" customFormat="false" ht="15" hidden="false" customHeight="false" outlineLevel="0" collapsed="false">
      <c r="A4358" s="3" t="n">
        <v>2023</v>
      </c>
      <c r="B4358" s="3" t="n">
        <v>12</v>
      </c>
      <c r="C4358" s="3" t="n">
        <v>5</v>
      </c>
      <c r="D4358" s="3" t="s">
        <v>4362</v>
      </c>
      <c r="E4358" s="4" t="n">
        <v>22</v>
      </c>
    </row>
    <row r="4359" customFormat="false" ht="15" hidden="false" customHeight="false" outlineLevel="0" collapsed="false">
      <c r="A4359" s="3" t="n">
        <v>2023</v>
      </c>
      <c r="B4359" s="3" t="n">
        <v>12</v>
      </c>
      <c r="C4359" s="3" t="n">
        <v>6</v>
      </c>
      <c r="D4359" s="3" t="s">
        <v>4363</v>
      </c>
      <c r="E4359" s="4" t="n">
        <v>2</v>
      </c>
    </row>
    <row r="4360" customFormat="false" ht="15" hidden="false" customHeight="false" outlineLevel="0" collapsed="false">
      <c r="A4360" s="3" t="n">
        <v>2023</v>
      </c>
      <c r="B4360" s="3" t="n">
        <v>12</v>
      </c>
      <c r="C4360" s="3" t="n">
        <v>7</v>
      </c>
      <c r="D4360" s="3" t="s">
        <v>4364</v>
      </c>
      <c r="E4360" s="4" t="n">
        <v>2</v>
      </c>
    </row>
    <row r="4361" customFormat="false" ht="15" hidden="false" customHeight="false" outlineLevel="0" collapsed="false">
      <c r="A4361" s="3" t="n">
        <v>2023</v>
      </c>
      <c r="B4361" s="3" t="n">
        <v>12</v>
      </c>
      <c r="C4361" s="3" t="n">
        <v>8</v>
      </c>
      <c r="D4361" s="3" t="s">
        <v>4365</v>
      </c>
      <c r="E4361" s="4" t="n">
        <v>5</v>
      </c>
    </row>
    <row r="4362" customFormat="false" ht="15" hidden="false" customHeight="false" outlineLevel="0" collapsed="false">
      <c r="A4362" s="3" t="n">
        <v>2023</v>
      </c>
      <c r="B4362" s="3" t="n">
        <v>12</v>
      </c>
      <c r="C4362" s="3" t="n">
        <v>9</v>
      </c>
      <c r="D4362" s="3" t="s">
        <v>4366</v>
      </c>
      <c r="E4362" s="4" t="n">
        <v>0</v>
      </c>
    </row>
    <row r="4363" customFormat="false" ht="15" hidden="false" customHeight="false" outlineLevel="0" collapsed="false">
      <c r="A4363" s="3" t="n">
        <v>2023</v>
      </c>
      <c r="B4363" s="3" t="n">
        <v>12</v>
      </c>
      <c r="C4363" s="3" t="n">
        <v>10</v>
      </c>
      <c r="D4363" s="3" t="s">
        <v>4367</v>
      </c>
      <c r="E4363" s="4" t="n">
        <v>48</v>
      </c>
    </row>
    <row r="4364" customFormat="false" ht="15" hidden="false" customHeight="false" outlineLevel="0" collapsed="false">
      <c r="A4364" s="3" t="n">
        <v>2023</v>
      </c>
      <c r="B4364" s="3" t="n">
        <v>12</v>
      </c>
      <c r="C4364" s="3" t="n">
        <v>11</v>
      </c>
      <c r="D4364" s="3" t="s">
        <v>4368</v>
      </c>
      <c r="E4364" s="4" t="n">
        <v>3</v>
      </c>
    </row>
    <row r="4365" customFormat="false" ht="15" hidden="false" customHeight="false" outlineLevel="0" collapsed="false">
      <c r="A4365" s="3" t="n">
        <v>2023</v>
      </c>
      <c r="B4365" s="3" t="n">
        <v>12</v>
      </c>
      <c r="C4365" s="3" t="n">
        <v>12</v>
      </c>
      <c r="D4365" s="3" t="s">
        <v>4369</v>
      </c>
      <c r="E4365" s="4" t="n">
        <v>12</v>
      </c>
    </row>
    <row r="4366" customFormat="false" ht="15" hidden="false" customHeight="false" outlineLevel="0" collapsed="false">
      <c r="A4366" s="3" t="n">
        <v>2023</v>
      </c>
      <c r="B4366" s="3" t="n">
        <v>12</v>
      </c>
      <c r="C4366" s="3" t="n">
        <v>13</v>
      </c>
      <c r="D4366" s="3" t="s">
        <v>4370</v>
      </c>
      <c r="E4366" s="4" t="n">
        <v>19</v>
      </c>
    </row>
    <row r="4367" customFormat="false" ht="15" hidden="false" customHeight="false" outlineLevel="0" collapsed="false">
      <c r="A4367" s="3" t="n">
        <v>2023</v>
      </c>
      <c r="B4367" s="3" t="n">
        <v>12</v>
      </c>
      <c r="C4367" s="3" t="n">
        <v>14</v>
      </c>
      <c r="D4367" s="3" t="s">
        <v>4371</v>
      </c>
      <c r="E4367" s="4" t="n">
        <v>21</v>
      </c>
    </row>
    <row r="4368" customFormat="false" ht="15" hidden="false" customHeight="false" outlineLevel="0" collapsed="false">
      <c r="A4368" s="3" t="n">
        <v>2023</v>
      </c>
      <c r="B4368" s="3" t="n">
        <v>12</v>
      </c>
      <c r="C4368" s="3" t="n">
        <v>15</v>
      </c>
      <c r="D4368" s="3" t="s">
        <v>4372</v>
      </c>
      <c r="E4368" s="4" t="n">
        <v>10</v>
      </c>
    </row>
    <row r="4369" customFormat="false" ht="15" hidden="false" customHeight="false" outlineLevel="0" collapsed="false">
      <c r="A4369" s="3" t="n">
        <v>2023</v>
      </c>
      <c r="B4369" s="3" t="n">
        <v>12</v>
      </c>
      <c r="C4369" s="3" t="n">
        <v>16</v>
      </c>
      <c r="D4369" s="3" t="s">
        <v>4373</v>
      </c>
      <c r="E4369" s="4" t="n">
        <v>0</v>
      </c>
    </row>
    <row r="4370" customFormat="false" ht="15" hidden="false" customHeight="false" outlineLevel="0" collapsed="false">
      <c r="A4370" s="3" t="n">
        <v>2023</v>
      </c>
      <c r="B4370" s="3" t="n">
        <v>12</v>
      </c>
      <c r="C4370" s="3" t="n">
        <v>17</v>
      </c>
      <c r="D4370" s="3" t="s">
        <v>4374</v>
      </c>
      <c r="E4370" s="4" t="n">
        <v>0</v>
      </c>
    </row>
    <row r="4371" customFormat="false" ht="15" hidden="false" customHeight="false" outlineLevel="0" collapsed="false">
      <c r="A4371" s="3" t="n">
        <v>2023</v>
      </c>
      <c r="B4371" s="3" t="n">
        <v>12</v>
      </c>
      <c r="C4371" s="3" t="n">
        <v>18</v>
      </c>
      <c r="D4371" s="3" t="s">
        <v>4375</v>
      </c>
      <c r="E4371" s="4" t="n">
        <v>1</v>
      </c>
    </row>
    <row r="4372" customFormat="false" ht="15" hidden="false" customHeight="false" outlineLevel="0" collapsed="false">
      <c r="A4372" s="3" t="n">
        <v>2023</v>
      </c>
      <c r="B4372" s="3" t="n">
        <v>12</v>
      </c>
      <c r="C4372" s="3" t="n">
        <v>19</v>
      </c>
      <c r="D4372" s="3" t="s">
        <v>4376</v>
      </c>
      <c r="E4372" s="4" t="n">
        <v>20</v>
      </c>
    </row>
    <row r="4373" customFormat="false" ht="15" hidden="false" customHeight="false" outlineLevel="0" collapsed="false">
      <c r="A4373" s="3" t="n">
        <v>2023</v>
      </c>
      <c r="B4373" s="3" t="n">
        <v>12</v>
      </c>
      <c r="C4373" s="3" t="n">
        <v>20</v>
      </c>
      <c r="D4373" s="3" t="s">
        <v>4377</v>
      </c>
      <c r="E4373" s="4" t="n">
        <v>30</v>
      </c>
    </row>
    <row r="4374" customFormat="false" ht="15" hidden="false" customHeight="false" outlineLevel="0" collapsed="false">
      <c r="A4374" s="3" t="n">
        <v>2023</v>
      </c>
      <c r="B4374" s="3" t="n">
        <v>12</v>
      </c>
      <c r="C4374" s="3" t="n">
        <v>21</v>
      </c>
      <c r="D4374" s="3" t="s">
        <v>4378</v>
      </c>
      <c r="E4374" s="4" t="n">
        <v>12</v>
      </c>
    </row>
    <row r="4375" customFormat="false" ht="15" hidden="false" customHeight="false" outlineLevel="0" collapsed="false">
      <c r="A4375" s="3" t="n">
        <v>2023</v>
      </c>
      <c r="B4375" s="3" t="n">
        <v>12</v>
      </c>
      <c r="C4375" s="3" t="n">
        <v>22</v>
      </c>
      <c r="D4375" s="3" t="s">
        <v>4379</v>
      </c>
      <c r="E4375" s="4" t="n">
        <v>32</v>
      </c>
    </row>
    <row r="4376" customFormat="false" ht="15" hidden="false" customHeight="false" outlineLevel="0" collapsed="false">
      <c r="A4376" s="3" t="n">
        <v>2023</v>
      </c>
      <c r="B4376" s="3" t="n">
        <v>12</v>
      </c>
      <c r="C4376" s="3" t="n">
        <v>23</v>
      </c>
      <c r="D4376" s="3" t="s">
        <v>4380</v>
      </c>
      <c r="E4376" s="4" t="n">
        <v>2</v>
      </c>
    </row>
    <row r="4377" customFormat="false" ht="15" hidden="false" customHeight="false" outlineLevel="0" collapsed="false">
      <c r="A4377" s="3" t="n">
        <v>2023</v>
      </c>
      <c r="B4377" s="3" t="n">
        <v>12</v>
      </c>
      <c r="C4377" s="3" t="n">
        <v>24</v>
      </c>
      <c r="D4377" s="3" t="s">
        <v>4381</v>
      </c>
      <c r="E4377" s="4" t="n">
        <v>1</v>
      </c>
    </row>
    <row r="4378" customFormat="false" ht="15" hidden="false" customHeight="false" outlineLevel="0" collapsed="false">
      <c r="A4378" s="3" t="n">
        <v>2023</v>
      </c>
      <c r="B4378" s="3" t="n">
        <v>12</v>
      </c>
      <c r="C4378" s="3" t="n">
        <v>25</v>
      </c>
      <c r="D4378" s="3" t="s">
        <v>4382</v>
      </c>
      <c r="E4378" s="4" t="n">
        <v>32</v>
      </c>
    </row>
    <row r="4379" customFormat="false" ht="15" hidden="false" customHeight="false" outlineLevel="0" collapsed="false">
      <c r="A4379" s="3" t="n">
        <v>2023</v>
      </c>
      <c r="B4379" s="3" t="n">
        <v>12</v>
      </c>
      <c r="C4379" s="3" t="n">
        <v>26</v>
      </c>
      <c r="D4379" s="3" t="s">
        <v>4383</v>
      </c>
      <c r="E4379" s="4" t="n">
        <v>1</v>
      </c>
    </row>
    <row r="4380" customFormat="false" ht="15" hidden="false" customHeight="false" outlineLevel="0" collapsed="false">
      <c r="A4380" s="3" t="n">
        <v>2023</v>
      </c>
      <c r="B4380" s="3" t="n">
        <v>12</v>
      </c>
      <c r="C4380" s="3" t="n">
        <v>27</v>
      </c>
      <c r="D4380" s="3" t="s">
        <v>4384</v>
      </c>
      <c r="E4380" s="4" t="n">
        <v>1</v>
      </c>
    </row>
    <row r="4381" customFormat="false" ht="15" hidden="false" customHeight="false" outlineLevel="0" collapsed="false">
      <c r="A4381" s="3" t="n">
        <v>2023</v>
      </c>
      <c r="B4381" s="3" t="n">
        <v>12</v>
      </c>
      <c r="C4381" s="3" t="n">
        <v>28</v>
      </c>
      <c r="D4381" s="3" t="s">
        <v>4385</v>
      </c>
      <c r="E4381" s="4" t="n">
        <v>3</v>
      </c>
    </row>
    <row r="4382" customFormat="false" ht="15" hidden="false" customHeight="false" outlineLevel="0" collapsed="false">
      <c r="A4382" s="3" t="n">
        <v>2023</v>
      </c>
      <c r="B4382" s="3" t="n">
        <v>12</v>
      </c>
      <c r="C4382" s="3" t="n">
        <v>29</v>
      </c>
      <c r="D4382" s="3" t="s">
        <v>4386</v>
      </c>
      <c r="E4382" s="4" t="n">
        <v>9</v>
      </c>
    </row>
    <row r="4383" customFormat="false" ht="15" hidden="false" customHeight="false" outlineLevel="0" collapsed="false">
      <c r="A4383" s="3" t="n">
        <v>2023</v>
      </c>
      <c r="B4383" s="3" t="n">
        <v>12</v>
      </c>
      <c r="C4383" s="3" t="n">
        <v>30</v>
      </c>
      <c r="D4383" s="3" t="s">
        <v>4387</v>
      </c>
      <c r="E4383" s="4" t="n">
        <v>15</v>
      </c>
    </row>
    <row r="4384" customFormat="false" ht="15" hidden="false" customHeight="false" outlineLevel="0" collapsed="false">
      <c r="A4384" s="3" t="n">
        <v>2023</v>
      </c>
      <c r="B4384" s="3" t="n">
        <v>12</v>
      </c>
      <c r="C4384" s="3" t="n">
        <v>31</v>
      </c>
      <c r="D4384" s="3" t="s">
        <v>4388</v>
      </c>
      <c r="E4384" s="4" t="n">
        <v>29</v>
      </c>
    </row>
    <row r="4385" customFormat="false" ht="15" hidden="false" customHeight="false" outlineLevel="0" collapsed="false">
      <c r="A4385" s="3" t="n">
        <v>2024</v>
      </c>
      <c r="B4385" s="3" t="n">
        <v>1</v>
      </c>
      <c r="C4385" s="3" t="n">
        <v>1</v>
      </c>
      <c r="D4385" s="3" t="s">
        <v>4389</v>
      </c>
      <c r="E4385" s="4" t="n">
        <v>20</v>
      </c>
    </row>
    <row r="4386" customFormat="false" ht="15" hidden="false" customHeight="false" outlineLevel="0" collapsed="false">
      <c r="A4386" s="3" t="n">
        <v>2024</v>
      </c>
      <c r="B4386" s="3" t="n">
        <v>1</v>
      </c>
      <c r="C4386" s="3" t="n">
        <v>2</v>
      </c>
      <c r="D4386" s="3" t="s">
        <v>4390</v>
      </c>
      <c r="E4386" s="4" t="n">
        <v>79</v>
      </c>
    </row>
    <row r="4387" customFormat="false" ht="15" hidden="false" customHeight="false" outlineLevel="0" collapsed="false">
      <c r="A4387" s="3" t="n">
        <v>2024</v>
      </c>
      <c r="B4387" s="3" t="n">
        <v>1</v>
      </c>
      <c r="C4387" s="3" t="n">
        <v>3</v>
      </c>
      <c r="D4387" s="3" t="s">
        <v>4391</v>
      </c>
      <c r="E4387" s="4" t="n">
        <v>9</v>
      </c>
    </row>
    <row r="4388" customFormat="false" ht="15" hidden="false" customHeight="false" outlineLevel="0" collapsed="false">
      <c r="A4388" s="3" t="n">
        <v>2024</v>
      </c>
      <c r="B4388" s="3" t="n">
        <v>1</v>
      </c>
      <c r="C4388" s="3" t="n">
        <v>4</v>
      </c>
      <c r="D4388" s="3" t="s">
        <v>4392</v>
      </c>
      <c r="E4388" s="4" t="n">
        <v>1</v>
      </c>
    </row>
    <row r="4389" customFormat="false" ht="15" hidden="false" customHeight="false" outlineLevel="0" collapsed="false">
      <c r="A4389" s="3" t="n">
        <v>2024</v>
      </c>
      <c r="B4389" s="3" t="n">
        <v>1</v>
      </c>
      <c r="C4389" s="3" t="n">
        <v>5</v>
      </c>
      <c r="D4389" s="3" t="s">
        <v>4393</v>
      </c>
      <c r="E4389" s="4" t="n">
        <v>24</v>
      </c>
    </row>
    <row r="4390" customFormat="false" ht="15" hidden="false" customHeight="false" outlineLevel="0" collapsed="false">
      <c r="A4390" s="3" t="n">
        <v>2024</v>
      </c>
      <c r="B4390" s="3" t="n">
        <v>1</v>
      </c>
      <c r="C4390" s="3" t="n">
        <v>6</v>
      </c>
      <c r="D4390" s="3" t="s">
        <v>4394</v>
      </c>
      <c r="E4390" s="4" t="n">
        <v>0</v>
      </c>
    </row>
    <row r="4391" customFormat="false" ht="15" hidden="false" customHeight="false" outlineLevel="0" collapsed="false">
      <c r="A4391" s="3" t="n">
        <v>2024</v>
      </c>
      <c r="B4391" s="3" t="n">
        <v>1</v>
      </c>
      <c r="C4391" s="3" t="n">
        <v>7</v>
      </c>
      <c r="D4391" s="3" t="s">
        <v>4395</v>
      </c>
      <c r="E4391" s="4" t="n">
        <v>5</v>
      </c>
    </row>
    <row r="4392" customFormat="false" ht="15" hidden="false" customHeight="false" outlineLevel="0" collapsed="false">
      <c r="A4392" s="3" t="n">
        <v>2024</v>
      </c>
      <c r="B4392" s="3" t="n">
        <v>1</v>
      </c>
      <c r="C4392" s="3" t="n">
        <v>8</v>
      </c>
      <c r="D4392" s="3" t="s">
        <v>4396</v>
      </c>
      <c r="E4392" s="4" t="n">
        <v>0</v>
      </c>
    </row>
    <row r="4393" customFormat="false" ht="15" hidden="false" customHeight="false" outlineLevel="0" collapsed="false">
      <c r="A4393" s="3" t="n">
        <v>2024</v>
      </c>
      <c r="B4393" s="3" t="n">
        <v>1</v>
      </c>
      <c r="C4393" s="3" t="n">
        <v>9</v>
      </c>
      <c r="D4393" s="3" t="s">
        <v>4397</v>
      </c>
      <c r="E4393" s="4" t="n">
        <v>3</v>
      </c>
    </row>
    <row r="4394" customFormat="false" ht="15" hidden="false" customHeight="false" outlineLevel="0" collapsed="false">
      <c r="A4394" s="3" t="n">
        <v>2024</v>
      </c>
      <c r="B4394" s="3" t="n">
        <v>1</v>
      </c>
      <c r="C4394" s="3" t="n">
        <v>10</v>
      </c>
      <c r="D4394" s="3" t="s">
        <v>4398</v>
      </c>
      <c r="E4394" s="4" t="n">
        <v>67</v>
      </c>
    </row>
    <row r="4395" customFormat="false" ht="15" hidden="false" customHeight="false" outlineLevel="0" collapsed="false">
      <c r="A4395" s="3" t="n">
        <v>2024</v>
      </c>
      <c r="B4395" s="3" t="n">
        <v>1</v>
      </c>
      <c r="C4395" s="3" t="n">
        <v>11</v>
      </c>
      <c r="D4395" s="3" t="s">
        <v>4399</v>
      </c>
      <c r="E4395" s="4" t="n">
        <v>8</v>
      </c>
    </row>
    <row r="4396" customFormat="false" ht="15" hidden="false" customHeight="false" outlineLevel="0" collapsed="false">
      <c r="A4396" s="3" t="n">
        <v>2024</v>
      </c>
      <c r="B4396" s="3" t="n">
        <v>1</v>
      </c>
      <c r="C4396" s="3" t="n">
        <v>12</v>
      </c>
      <c r="D4396" s="3" t="s">
        <v>4400</v>
      </c>
      <c r="E4396" s="4" t="n">
        <v>6</v>
      </c>
    </row>
    <row r="4397" customFormat="false" ht="15" hidden="false" customHeight="false" outlineLevel="0" collapsed="false">
      <c r="A4397" s="3" t="n">
        <v>2024</v>
      </c>
      <c r="B4397" s="3" t="n">
        <v>1</v>
      </c>
      <c r="C4397" s="3" t="n">
        <v>13</v>
      </c>
      <c r="D4397" s="3" t="s">
        <v>4401</v>
      </c>
      <c r="E4397" s="4" t="n">
        <v>20</v>
      </c>
    </row>
    <row r="4398" customFormat="false" ht="15" hidden="false" customHeight="false" outlineLevel="0" collapsed="false">
      <c r="A4398" s="3" t="n">
        <v>2024</v>
      </c>
      <c r="B4398" s="3" t="n">
        <v>1</v>
      </c>
      <c r="C4398" s="3" t="n">
        <v>14</v>
      </c>
      <c r="D4398" s="3" t="s">
        <v>4402</v>
      </c>
      <c r="E4398" s="4" t="n">
        <v>6</v>
      </c>
    </row>
    <row r="4399" customFormat="false" ht="15" hidden="false" customHeight="false" outlineLevel="0" collapsed="false">
      <c r="A4399" s="3" t="n">
        <v>2024</v>
      </c>
      <c r="B4399" s="3" t="n">
        <v>1</v>
      </c>
      <c r="C4399" s="3" t="n">
        <v>15</v>
      </c>
      <c r="D4399" s="3" t="s">
        <v>4403</v>
      </c>
      <c r="E4399" s="4" t="n">
        <v>9</v>
      </c>
    </row>
    <row r="4400" customFormat="false" ht="15" hidden="false" customHeight="false" outlineLevel="0" collapsed="false">
      <c r="A4400" s="3" t="n">
        <v>2024</v>
      </c>
      <c r="B4400" s="3" t="n">
        <v>1</v>
      </c>
      <c r="C4400" s="3" t="n">
        <v>16</v>
      </c>
      <c r="D4400" s="3" t="s">
        <v>4404</v>
      </c>
      <c r="E4400" s="4" t="n">
        <v>1</v>
      </c>
    </row>
    <row r="4401" customFormat="false" ht="15" hidden="false" customHeight="false" outlineLevel="0" collapsed="false">
      <c r="A4401" s="3" t="n">
        <v>2024</v>
      </c>
      <c r="B4401" s="3" t="n">
        <v>1</v>
      </c>
      <c r="C4401" s="3" t="n">
        <v>17</v>
      </c>
      <c r="D4401" s="3" t="s">
        <v>4405</v>
      </c>
      <c r="E4401" s="4" t="n">
        <v>24</v>
      </c>
    </row>
    <row r="4402" customFormat="false" ht="15" hidden="false" customHeight="false" outlineLevel="0" collapsed="false">
      <c r="A4402" s="3" t="n">
        <v>2024</v>
      </c>
      <c r="B4402" s="3" t="n">
        <v>1</v>
      </c>
      <c r="C4402" s="3" t="n">
        <v>18</v>
      </c>
      <c r="D4402" s="3" t="s">
        <v>4406</v>
      </c>
      <c r="E4402" s="4" t="n">
        <v>9</v>
      </c>
    </row>
    <row r="4403" customFormat="false" ht="15" hidden="false" customHeight="false" outlineLevel="0" collapsed="false">
      <c r="A4403" s="3" t="n">
        <v>2024</v>
      </c>
      <c r="B4403" s="3" t="n">
        <v>1</v>
      </c>
      <c r="C4403" s="3" t="n">
        <v>19</v>
      </c>
      <c r="D4403" s="3" t="s">
        <v>4407</v>
      </c>
      <c r="E4403" s="4" t="n">
        <v>15</v>
      </c>
    </row>
    <row r="4404" customFormat="false" ht="15" hidden="false" customHeight="false" outlineLevel="0" collapsed="false">
      <c r="A4404" s="3" t="n">
        <v>2024</v>
      </c>
      <c r="B4404" s="3" t="n">
        <v>1</v>
      </c>
      <c r="C4404" s="3" t="n">
        <v>20</v>
      </c>
      <c r="D4404" s="3" t="s">
        <v>4408</v>
      </c>
      <c r="E4404" s="4" t="n">
        <v>7</v>
      </c>
    </row>
    <row r="4405" customFormat="false" ht="15" hidden="false" customHeight="false" outlineLevel="0" collapsed="false">
      <c r="A4405" s="3" t="n">
        <v>2024</v>
      </c>
      <c r="B4405" s="3" t="n">
        <v>1</v>
      </c>
      <c r="C4405" s="3" t="n">
        <v>21</v>
      </c>
      <c r="D4405" s="3" t="s">
        <v>4409</v>
      </c>
      <c r="E4405" s="4" t="n">
        <v>0</v>
      </c>
    </row>
    <row r="4406" customFormat="false" ht="15" hidden="false" customHeight="false" outlineLevel="0" collapsed="false">
      <c r="A4406" s="3" t="n">
        <v>2024</v>
      </c>
      <c r="B4406" s="3" t="n">
        <v>1</v>
      </c>
      <c r="C4406" s="3" t="n">
        <v>22</v>
      </c>
      <c r="D4406" s="3" t="s">
        <v>4410</v>
      </c>
      <c r="E4406" s="4" t="n">
        <v>0</v>
      </c>
    </row>
    <row r="4407" customFormat="false" ht="15" hidden="false" customHeight="false" outlineLevel="0" collapsed="false">
      <c r="A4407" s="3" t="n">
        <v>2024</v>
      </c>
      <c r="B4407" s="3" t="n">
        <v>1</v>
      </c>
      <c r="C4407" s="3" t="n">
        <v>23</v>
      </c>
      <c r="D4407" s="3" t="s">
        <v>4411</v>
      </c>
      <c r="E4407" s="4" t="n">
        <v>0</v>
      </c>
    </row>
    <row r="4408" customFormat="false" ht="15" hidden="false" customHeight="false" outlineLevel="0" collapsed="false">
      <c r="A4408" s="3" t="n">
        <v>2024</v>
      </c>
      <c r="B4408" s="3" t="n">
        <v>1</v>
      </c>
      <c r="C4408" s="3" t="n">
        <v>24</v>
      </c>
      <c r="D4408" s="3" t="s">
        <v>4412</v>
      </c>
      <c r="E4408" s="4" t="n">
        <v>0</v>
      </c>
    </row>
    <row r="4409" customFormat="false" ht="15" hidden="false" customHeight="false" outlineLevel="0" collapsed="false">
      <c r="A4409" s="3" t="n">
        <v>2024</v>
      </c>
      <c r="B4409" s="3" t="n">
        <v>1</v>
      </c>
      <c r="C4409" s="3" t="n">
        <v>25</v>
      </c>
      <c r="D4409" s="3" t="s">
        <v>4413</v>
      </c>
      <c r="E4409" s="4" t="n">
        <v>13</v>
      </c>
    </row>
    <row r="4410" customFormat="false" ht="15" hidden="false" customHeight="false" outlineLevel="0" collapsed="false">
      <c r="A4410" s="3" t="n">
        <v>2024</v>
      </c>
      <c r="B4410" s="3" t="n">
        <v>1</v>
      </c>
      <c r="C4410" s="3" t="n">
        <v>26</v>
      </c>
      <c r="D4410" s="3" t="s">
        <v>4414</v>
      </c>
      <c r="E4410" s="4" t="n">
        <v>2</v>
      </c>
    </row>
    <row r="4411" customFormat="false" ht="15" hidden="false" customHeight="false" outlineLevel="0" collapsed="false">
      <c r="A4411" s="3" t="n">
        <v>2024</v>
      </c>
      <c r="B4411" s="3" t="n">
        <v>1</v>
      </c>
      <c r="C4411" s="3" t="n">
        <v>27</v>
      </c>
      <c r="D4411" s="3" t="s">
        <v>4415</v>
      </c>
      <c r="E4411" s="4" t="n">
        <v>14</v>
      </c>
    </row>
    <row r="4412" customFormat="false" ht="15" hidden="false" customHeight="false" outlineLevel="0" collapsed="false">
      <c r="A4412" s="3" t="n">
        <v>2024</v>
      </c>
      <c r="B4412" s="3" t="n">
        <v>1</v>
      </c>
      <c r="C4412" s="3" t="n">
        <v>28</v>
      </c>
      <c r="D4412" s="3" t="s">
        <v>4416</v>
      </c>
      <c r="E4412" s="4" t="n">
        <v>12</v>
      </c>
    </row>
    <row r="4413" customFormat="false" ht="15" hidden="false" customHeight="false" outlineLevel="0" collapsed="false">
      <c r="A4413" s="3" t="n">
        <v>2024</v>
      </c>
      <c r="B4413" s="3" t="n">
        <v>1</v>
      </c>
      <c r="C4413" s="3" t="n">
        <v>29</v>
      </c>
      <c r="D4413" s="3" t="s">
        <v>4417</v>
      </c>
      <c r="E4413" s="4" t="n">
        <v>7</v>
      </c>
    </row>
    <row r="4414" customFormat="false" ht="15" hidden="false" customHeight="false" outlineLevel="0" collapsed="false">
      <c r="A4414" s="3" t="n">
        <v>2024</v>
      </c>
      <c r="B4414" s="3" t="n">
        <v>1</v>
      </c>
      <c r="C4414" s="3" t="n">
        <v>30</v>
      </c>
      <c r="D4414" s="3" t="s">
        <v>4418</v>
      </c>
      <c r="E4414" s="4" t="n">
        <v>6</v>
      </c>
    </row>
    <row r="4415" customFormat="false" ht="15" hidden="false" customHeight="false" outlineLevel="0" collapsed="false">
      <c r="A4415" s="3" t="n">
        <v>2024</v>
      </c>
      <c r="B4415" s="3" t="n">
        <v>1</v>
      </c>
      <c r="C4415" s="3" t="n">
        <v>31</v>
      </c>
      <c r="D4415" s="3" t="s">
        <v>4419</v>
      </c>
      <c r="E4415" s="4" t="n">
        <v>12</v>
      </c>
    </row>
    <row r="4416" customFormat="false" ht="15" hidden="false" customHeight="false" outlineLevel="0" collapsed="false">
      <c r="A4416" s="3" t="n">
        <v>2024</v>
      </c>
      <c r="B4416" s="3" t="n">
        <v>2</v>
      </c>
      <c r="C4416" s="3" t="n">
        <v>1</v>
      </c>
      <c r="D4416" s="3" t="s">
        <v>4420</v>
      </c>
      <c r="E4416" s="4" t="n">
        <v>68</v>
      </c>
    </row>
    <row r="4417" customFormat="false" ht="15" hidden="false" customHeight="false" outlineLevel="0" collapsed="false">
      <c r="A4417" s="3" t="n">
        <v>2024</v>
      </c>
      <c r="B4417" s="3" t="n">
        <v>2</v>
      </c>
      <c r="C4417" s="3" t="n">
        <v>2</v>
      </c>
      <c r="D4417" s="3" t="s">
        <v>4421</v>
      </c>
      <c r="E4417" s="4" t="n">
        <v>10</v>
      </c>
    </row>
    <row r="4418" customFormat="false" ht="15" hidden="false" customHeight="false" outlineLevel="0" collapsed="false">
      <c r="A4418" s="3" t="n">
        <v>2024</v>
      </c>
      <c r="B4418" s="3" t="n">
        <v>2</v>
      </c>
      <c r="C4418" s="3" t="n">
        <v>3</v>
      </c>
      <c r="D4418" s="3" t="s">
        <v>4422</v>
      </c>
      <c r="E4418" s="4" t="n">
        <v>0</v>
      </c>
    </row>
    <row r="4419" customFormat="false" ht="15" hidden="false" customHeight="false" outlineLevel="0" collapsed="false">
      <c r="A4419" s="3" t="n">
        <v>2024</v>
      </c>
      <c r="B4419" s="3" t="n">
        <v>2</v>
      </c>
      <c r="C4419" s="3" t="n">
        <v>4</v>
      </c>
      <c r="D4419" s="3" t="s">
        <v>4423</v>
      </c>
      <c r="E4419" s="4" t="n">
        <v>16</v>
      </c>
    </row>
    <row r="4420" customFormat="false" ht="15" hidden="false" customHeight="false" outlineLevel="0" collapsed="false">
      <c r="A4420" s="3" t="n">
        <v>2024</v>
      </c>
      <c r="B4420" s="3" t="n">
        <v>2</v>
      </c>
      <c r="C4420" s="3" t="n">
        <v>5</v>
      </c>
      <c r="D4420" s="3" t="s">
        <v>4424</v>
      </c>
      <c r="E4420" s="4" t="n">
        <v>0</v>
      </c>
    </row>
    <row r="4421" customFormat="false" ht="15" hidden="false" customHeight="false" outlineLevel="0" collapsed="false">
      <c r="A4421" s="3" t="n">
        <v>2024</v>
      </c>
      <c r="B4421" s="3" t="n">
        <v>2</v>
      </c>
      <c r="C4421" s="3" t="n">
        <v>6</v>
      </c>
      <c r="D4421" s="3" t="s">
        <v>4425</v>
      </c>
      <c r="E4421" s="4" t="n">
        <v>3</v>
      </c>
    </row>
    <row r="4422" customFormat="false" ht="15" hidden="false" customHeight="false" outlineLevel="0" collapsed="false">
      <c r="A4422" s="3" t="n">
        <v>2024</v>
      </c>
      <c r="B4422" s="3" t="n">
        <v>2</v>
      </c>
      <c r="C4422" s="3" t="n">
        <v>7</v>
      </c>
      <c r="D4422" s="3" t="s">
        <v>4426</v>
      </c>
      <c r="E4422" s="4" t="n">
        <v>0</v>
      </c>
    </row>
    <row r="4423" customFormat="false" ht="15" hidden="false" customHeight="false" outlineLevel="0" collapsed="false">
      <c r="A4423" s="3" t="n">
        <v>2024</v>
      </c>
      <c r="B4423" s="3" t="n">
        <v>2</v>
      </c>
      <c r="C4423" s="3" t="n">
        <v>8</v>
      </c>
      <c r="D4423" s="3" t="s">
        <v>4427</v>
      </c>
      <c r="E4423" s="4" t="n">
        <v>0</v>
      </c>
    </row>
    <row r="4424" customFormat="false" ht="15" hidden="false" customHeight="false" outlineLevel="0" collapsed="false">
      <c r="A4424" s="3" t="n">
        <v>2024</v>
      </c>
      <c r="B4424" s="3" t="n">
        <v>2</v>
      </c>
      <c r="C4424" s="3" t="n">
        <v>9</v>
      </c>
      <c r="D4424" s="3" t="s">
        <v>4428</v>
      </c>
      <c r="E4424" s="4" t="n">
        <v>0</v>
      </c>
    </row>
    <row r="4425" customFormat="false" ht="15" hidden="false" customHeight="false" outlineLevel="0" collapsed="false">
      <c r="A4425" s="3" t="n">
        <v>2024</v>
      </c>
      <c r="B4425" s="3" t="n">
        <v>2</v>
      </c>
      <c r="C4425" s="3" t="n">
        <v>10</v>
      </c>
      <c r="D4425" s="3" t="s">
        <v>4429</v>
      </c>
      <c r="E4425" s="4" t="n">
        <v>0</v>
      </c>
    </row>
    <row r="4426" customFormat="false" ht="15" hidden="false" customHeight="false" outlineLevel="0" collapsed="false">
      <c r="A4426" s="3" t="n">
        <v>2024</v>
      </c>
      <c r="B4426" s="3" t="n">
        <v>2</v>
      </c>
      <c r="C4426" s="3" t="n">
        <v>11</v>
      </c>
      <c r="D4426" s="3" t="s">
        <v>4430</v>
      </c>
      <c r="E4426" s="4" t="n">
        <v>14</v>
      </c>
    </row>
    <row r="4427" customFormat="false" ht="15" hidden="false" customHeight="false" outlineLevel="0" collapsed="false">
      <c r="A4427" s="3" t="n">
        <v>2024</v>
      </c>
      <c r="B4427" s="3" t="n">
        <v>2</v>
      </c>
      <c r="C4427" s="3" t="n">
        <v>12</v>
      </c>
      <c r="D4427" s="3" t="s">
        <v>4431</v>
      </c>
      <c r="E4427" s="4" t="n">
        <v>7</v>
      </c>
    </row>
    <row r="4428" customFormat="false" ht="15" hidden="false" customHeight="false" outlineLevel="0" collapsed="false">
      <c r="A4428" s="3" t="n">
        <v>2024</v>
      </c>
      <c r="B4428" s="3" t="n">
        <v>2</v>
      </c>
      <c r="C4428" s="3" t="n">
        <v>13</v>
      </c>
      <c r="D4428" s="3" t="s">
        <v>4432</v>
      </c>
      <c r="E4428" s="4" t="n">
        <v>6</v>
      </c>
    </row>
    <row r="4429" customFormat="false" ht="15" hidden="false" customHeight="false" outlineLevel="0" collapsed="false">
      <c r="A4429" s="3" t="n">
        <v>2024</v>
      </c>
      <c r="B4429" s="3" t="n">
        <v>2</v>
      </c>
      <c r="C4429" s="3" t="n">
        <v>14</v>
      </c>
      <c r="D4429" s="3" t="s">
        <v>4433</v>
      </c>
      <c r="E4429" s="4" t="n">
        <v>27</v>
      </c>
    </row>
    <row r="4430" customFormat="false" ht="15" hidden="false" customHeight="false" outlineLevel="0" collapsed="false">
      <c r="A4430" s="3" t="n">
        <v>2024</v>
      </c>
      <c r="B4430" s="3" t="n">
        <v>2</v>
      </c>
      <c r="C4430" s="3" t="n">
        <v>15</v>
      </c>
      <c r="D4430" s="3" t="s">
        <v>4434</v>
      </c>
      <c r="E4430" s="4" t="n">
        <v>13</v>
      </c>
    </row>
    <row r="4431" customFormat="false" ht="15" hidden="false" customHeight="false" outlineLevel="0" collapsed="false">
      <c r="A4431" s="3" t="n">
        <v>2024</v>
      </c>
      <c r="B4431" s="3" t="n">
        <v>2</v>
      </c>
      <c r="C4431" s="3" t="n">
        <v>16</v>
      </c>
      <c r="D4431" s="3" t="s">
        <v>4435</v>
      </c>
      <c r="E4431" s="4" t="n">
        <v>9</v>
      </c>
    </row>
    <row r="4432" customFormat="false" ht="15" hidden="false" customHeight="false" outlineLevel="0" collapsed="false">
      <c r="A4432" s="3" t="n">
        <v>2024</v>
      </c>
      <c r="B4432" s="3" t="n">
        <v>2</v>
      </c>
      <c r="C4432" s="3" t="n">
        <v>17</v>
      </c>
      <c r="D4432" s="3" t="s">
        <v>4436</v>
      </c>
      <c r="E4432" s="4" t="n">
        <v>21</v>
      </c>
    </row>
    <row r="4433" customFormat="false" ht="15" hidden="false" customHeight="false" outlineLevel="0" collapsed="false">
      <c r="A4433" s="3" t="n">
        <v>2024</v>
      </c>
      <c r="B4433" s="3" t="n">
        <v>2</v>
      </c>
      <c r="C4433" s="3" t="n">
        <v>18</v>
      </c>
      <c r="D4433" s="3" t="s">
        <v>4437</v>
      </c>
      <c r="E4433" s="4" t="n">
        <v>4</v>
      </c>
    </row>
    <row r="4434" customFormat="false" ht="15" hidden="false" customHeight="false" outlineLevel="0" collapsed="false">
      <c r="A4434" s="3" t="n">
        <v>2024</v>
      </c>
      <c r="B4434" s="3" t="n">
        <v>2</v>
      </c>
      <c r="C4434" s="3" t="n">
        <v>19</v>
      </c>
      <c r="D4434" s="3" t="s">
        <v>4438</v>
      </c>
      <c r="E4434" s="4" t="n">
        <v>2</v>
      </c>
    </row>
    <row r="4435" customFormat="false" ht="15" hidden="false" customHeight="false" outlineLevel="0" collapsed="false">
      <c r="A4435" s="3" t="n">
        <v>2024</v>
      </c>
      <c r="B4435" s="3" t="n">
        <v>2</v>
      </c>
      <c r="C4435" s="3" t="n">
        <v>20</v>
      </c>
      <c r="D4435" s="3" t="s">
        <v>4439</v>
      </c>
      <c r="E4435" s="4" t="n">
        <v>0</v>
      </c>
    </row>
    <row r="4436" customFormat="false" ht="15" hidden="false" customHeight="false" outlineLevel="0" collapsed="false">
      <c r="A4436" s="3" t="n">
        <v>2024</v>
      </c>
      <c r="B4436" s="3" t="n">
        <v>2</v>
      </c>
      <c r="C4436" s="3" t="n">
        <v>21</v>
      </c>
      <c r="D4436" s="3" t="s">
        <v>4440</v>
      </c>
      <c r="E4436" s="4" t="n">
        <v>87</v>
      </c>
    </row>
    <row r="4437" customFormat="false" ht="15" hidden="false" customHeight="false" outlineLevel="0" collapsed="false">
      <c r="A4437" s="3" t="n">
        <v>2024</v>
      </c>
      <c r="B4437" s="3" t="n">
        <v>2</v>
      </c>
      <c r="C4437" s="3" t="n">
        <v>22</v>
      </c>
      <c r="D4437" s="3" t="s">
        <v>4441</v>
      </c>
      <c r="E4437" s="4" t="n">
        <v>4</v>
      </c>
    </row>
    <row r="4438" customFormat="false" ht="15" hidden="false" customHeight="false" outlineLevel="0" collapsed="false">
      <c r="A4438" s="3" t="n">
        <v>2024</v>
      </c>
      <c r="B4438" s="3" t="n">
        <v>2</v>
      </c>
      <c r="C4438" s="3" t="n">
        <v>23</v>
      </c>
      <c r="D4438" s="3" t="s">
        <v>4442</v>
      </c>
      <c r="E4438" s="4" t="n">
        <v>0</v>
      </c>
    </row>
    <row r="4439" customFormat="false" ht="15" hidden="false" customHeight="false" outlineLevel="0" collapsed="false">
      <c r="A4439" s="3" t="n">
        <v>2024</v>
      </c>
      <c r="B4439" s="3" t="n">
        <v>2</v>
      </c>
      <c r="C4439" s="3" t="n">
        <v>24</v>
      </c>
      <c r="D4439" s="3" t="s">
        <v>4443</v>
      </c>
      <c r="E4439" s="4" t="n">
        <v>2</v>
      </c>
    </row>
    <row r="4440" customFormat="false" ht="15" hidden="false" customHeight="false" outlineLevel="0" collapsed="false">
      <c r="A4440" s="3" t="n">
        <v>2024</v>
      </c>
      <c r="B4440" s="3" t="n">
        <v>2</v>
      </c>
      <c r="C4440" s="3" t="n">
        <v>25</v>
      </c>
      <c r="D4440" s="3" t="s">
        <v>4444</v>
      </c>
      <c r="E4440" s="4" t="n">
        <v>1</v>
      </c>
    </row>
    <row r="4441" customFormat="false" ht="15" hidden="false" customHeight="false" outlineLevel="0" collapsed="false">
      <c r="A4441" s="3" t="n">
        <v>2024</v>
      </c>
      <c r="B4441" s="3" t="n">
        <v>2</v>
      </c>
      <c r="C4441" s="3" t="n">
        <v>26</v>
      </c>
      <c r="D4441" s="3" t="s">
        <v>4445</v>
      </c>
      <c r="E4441" s="4" t="n">
        <v>2</v>
      </c>
    </row>
    <row r="4442" customFormat="false" ht="15" hidden="false" customHeight="false" outlineLevel="0" collapsed="false">
      <c r="A4442" s="3" t="n">
        <v>2024</v>
      </c>
      <c r="B4442" s="3" t="n">
        <v>2</v>
      </c>
      <c r="C4442" s="3" t="n">
        <v>27</v>
      </c>
      <c r="D4442" s="3" t="s">
        <v>4446</v>
      </c>
      <c r="E4442" s="4" t="n">
        <v>0</v>
      </c>
    </row>
    <row r="4443" customFormat="false" ht="15" hidden="false" customHeight="false" outlineLevel="0" collapsed="false">
      <c r="A4443" s="3" t="n">
        <v>2024</v>
      </c>
      <c r="B4443" s="3" t="n">
        <v>2</v>
      </c>
      <c r="C4443" s="3" t="n">
        <v>28</v>
      </c>
      <c r="D4443" s="3" t="s">
        <v>4447</v>
      </c>
      <c r="E4443" s="4" t="n">
        <v>1</v>
      </c>
    </row>
    <row r="4444" customFormat="false" ht="15" hidden="false" customHeight="false" outlineLevel="0" collapsed="false">
      <c r="A4444" s="3" t="n">
        <v>2024</v>
      </c>
      <c r="B4444" s="3" t="n">
        <v>2</v>
      </c>
      <c r="C4444" s="3" t="n">
        <v>29</v>
      </c>
      <c r="D4444" s="3" t="s">
        <v>4448</v>
      </c>
      <c r="E4444" s="4" t="n">
        <v>3</v>
      </c>
    </row>
    <row r="4445" customFormat="false" ht="15" hidden="false" customHeight="false" outlineLevel="0" collapsed="false">
      <c r="A4445" s="3" t="n">
        <v>2024</v>
      </c>
      <c r="B4445" s="3" t="n">
        <v>3</v>
      </c>
      <c r="C4445" s="3" t="n">
        <v>1</v>
      </c>
      <c r="D4445" s="3" t="s">
        <v>4449</v>
      </c>
      <c r="E4445" s="4" t="n">
        <v>3</v>
      </c>
    </row>
    <row r="4446" customFormat="false" ht="15" hidden="false" customHeight="false" outlineLevel="0" collapsed="false">
      <c r="A4446" s="3" t="n">
        <v>2024</v>
      </c>
      <c r="B4446" s="3" t="n">
        <v>3</v>
      </c>
      <c r="C4446" s="3" t="n">
        <v>2</v>
      </c>
      <c r="D4446" s="3" t="s">
        <v>4450</v>
      </c>
      <c r="E4446" s="4" t="n">
        <v>23</v>
      </c>
    </row>
    <row r="4447" customFormat="false" ht="15" hidden="false" customHeight="false" outlineLevel="0" collapsed="false">
      <c r="A4447" s="3" t="n">
        <v>2024</v>
      </c>
      <c r="B4447" s="3" t="n">
        <v>3</v>
      </c>
      <c r="C4447" s="3" t="n">
        <v>3</v>
      </c>
      <c r="D4447" s="3" t="s">
        <v>4451</v>
      </c>
      <c r="E4447" s="4" t="n">
        <v>5</v>
      </c>
    </row>
    <row r="4448" customFormat="false" ht="15" hidden="false" customHeight="false" outlineLevel="0" collapsed="false">
      <c r="A4448" s="3" t="n">
        <v>2024</v>
      </c>
      <c r="B4448" s="3" t="n">
        <v>3</v>
      </c>
      <c r="C4448" s="3" t="n">
        <v>4</v>
      </c>
      <c r="D4448" s="3" t="s">
        <v>4452</v>
      </c>
      <c r="E4448" s="4" t="n">
        <v>23</v>
      </c>
    </row>
    <row r="4449" customFormat="false" ht="15" hidden="false" customHeight="false" outlineLevel="0" collapsed="false">
      <c r="A4449" s="3" t="n">
        <v>2024</v>
      </c>
      <c r="B4449" s="3" t="n">
        <v>3</v>
      </c>
      <c r="C4449" s="3" t="n">
        <v>5</v>
      </c>
      <c r="D4449" s="3" t="s">
        <v>4453</v>
      </c>
      <c r="E4449" s="4" t="n">
        <v>18</v>
      </c>
    </row>
    <row r="4450" customFormat="false" ht="15" hidden="false" customHeight="false" outlineLevel="0" collapsed="false">
      <c r="A4450" s="3" t="n">
        <v>2024</v>
      </c>
      <c r="B4450" s="3" t="n">
        <v>3</v>
      </c>
      <c r="C4450" s="3" t="n">
        <v>6</v>
      </c>
      <c r="D4450" s="3" t="s">
        <v>4454</v>
      </c>
      <c r="E4450" s="4" t="n">
        <v>29</v>
      </c>
    </row>
    <row r="4451" customFormat="false" ht="15" hidden="false" customHeight="false" outlineLevel="0" collapsed="false">
      <c r="A4451" s="3" t="n">
        <v>2024</v>
      </c>
      <c r="B4451" s="3" t="n">
        <v>3</v>
      </c>
      <c r="C4451" s="3" t="n">
        <v>7</v>
      </c>
      <c r="D4451" s="3" t="s">
        <v>4455</v>
      </c>
      <c r="E4451" s="4" t="n">
        <v>8</v>
      </c>
    </row>
    <row r="4452" customFormat="false" ht="15" hidden="false" customHeight="false" outlineLevel="0" collapsed="false">
      <c r="A4452" s="3" t="n">
        <v>2024</v>
      </c>
      <c r="B4452" s="3" t="n">
        <v>3</v>
      </c>
      <c r="C4452" s="3" t="n">
        <v>8</v>
      </c>
      <c r="D4452" s="3" t="s">
        <v>4456</v>
      </c>
      <c r="E4452" s="4" t="n">
        <v>11</v>
      </c>
    </row>
    <row r="4453" customFormat="false" ht="15" hidden="false" customHeight="false" outlineLevel="0" collapsed="false">
      <c r="A4453" s="3" t="n">
        <v>2024</v>
      </c>
      <c r="B4453" s="3" t="n">
        <v>3</v>
      </c>
      <c r="C4453" s="3" t="n">
        <v>9</v>
      </c>
      <c r="D4453" s="3" t="s">
        <v>4457</v>
      </c>
      <c r="E4453" s="4" t="n">
        <v>103</v>
      </c>
    </row>
    <row r="4454" customFormat="false" ht="15" hidden="false" customHeight="false" outlineLevel="0" collapsed="false">
      <c r="A4454" s="3" t="n">
        <v>2024</v>
      </c>
      <c r="B4454" s="3" t="n">
        <v>3</v>
      </c>
      <c r="C4454" s="3" t="n">
        <v>10</v>
      </c>
      <c r="D4454" s="3" t="s">
        <v>4458</v>
      </c>
      <c r="E4454" s="4" t="n">
        <v>0</v>
      </c>
    </row>
    <row r="4455" customFormat="false" ht="15" hidden="false" customHeight="false" outlineLevel="0" collapsed="false">
      <c r="A4455" s="3" t="n">
        <v>2024</v>
      </c>
      <c r="B4455" s="3" t="n">
        <v>3</v>
      </c>
      <c r="C4455" s="3" t="n">
        <v>11</v>
      </c>
      <c r="D4455" s="3" t="s">
        <v>4459</v>
      </c>
      <c r="E4455" s="4" t="n">
        <v>0</v>
      </c>
    </row>
    <row r="4456" customFormat="false" ht="15" hidden="false" customHeight="false" outlineLevel="0" collapsed="false">
      <c r="A4456" s="3" t="n">
        <v>2024</v>
      </c>
      <c r="B4456" s="3" t="n">
        <v>3</v>
      </c>
      <c r="C4456" s="3" t="n">
        <v>12</v>
      </c>
      <c r="D4456" s="3" t="s">
        <v>4460</v>
      </c>
      <c r="E4456" s="4" t="n">
        <v>41</v>
      </c>
    </row>
    <row r="4457" customFormat="false" ht="15" hidden="false" customHeight="false" outlineLevel="0" collapsed="false">
      <c r="A4457" s="3" t="n">
        <v>2024</v>
      </c>
      <c r="B4457" s="3" t="n">
        <v>3</v>
      </c>
      <c r="C4457" s="3" t="n">
        <v>13</v>
      </c>
      <c r="D4457" s="3" t="s">
        <v>4461</v>
      </c>
      <c r="E4457" s="4" t="n">
        <v>0</v>
      </c>
    </row>
    <row r="4458" customFormat="false" ht="15" hidden="false" customHeight="false" outlineLevel="0" collapsed="false">
      <c r="A4458" s="3" t="n">
        <v>2024</v>
      </c>
      <c r="B4458" s="3" t="n">
        <v>3</v>
      </c>
      <c r="C4458" s="3" t="n">
        <v>14</v>
      </c>
      <c r="D4458" s="3" t="s">
        <v>4462</v>
      </c>
      <c r="E4458" s="4" t="n">
        <v>0</v>
      </c>
    </row>
    <row r="4459" customFormat="false" ht="15" hidden="false" customHeight="false" outlineLevel="0" collapsed="false">
      <c r="A4459" s="3" t="n">
        <v>2024</v>
      </c>
      <c r="B4459" s="3" t="n">
        <v>3</v>
      </c>
      <c r="C4459" s="3" t="n">
        <v>15</v>
      </c>
      <c r="D4459" s="3" t="s">
        <v>4463</v>
      </c>
      <c r="E4459" s="4" t="n">
        <v>0</v>
      </c>
    </row>
    <row r="4460" customFormat="false" ht="15" hidden="false" customHeight="false" outlineLevel="0" collapsed="false">
      <c r="A4460" s="3" t="n">
        <v>2024</v>
      </c>
      <c r="B4460" s="3" t="n">
        <v>3</v>
      </c>
      <c r="C4460" s="3" t="n">
        <v>16</v>
      </c>
      <c r="D4460" s="3" t="s">
        <v>4464</v>
      </c>
      <c r="E4460" s="4" t="n">
        <v>0</v>
      </c>
    </row>
    <row r="4461" customFormat="false" ht="15" hidden="false" customHeight="false" outlineLevel="0" collapsed="false">
      <c r="A4461" s="3" t="n">
        <v>2024</v>
      </c>
      <c r="B4461" s="3" t="n">
        <v>3</v>
      </c>
      <c r="C4461" s="3" t="n">
        <v>17</v>
      </c>
      <c r="D4461" s="3" t="s">
        <v>4465</v>
      </c>
      <c r="E4461" s="4" t="n">
        <v>0</v>
      </c>
    </row>
    <row r="4462" customFormat="false" ht="15" hidden="false" customHeight="false" outlineLevel="0" collapsed="false">
      <c r="A4462" s="3" t="n">
        <v>2024</v>
      </c>
      <c r="B4462" s="3" t="n">
        <v>3</v>
      </c>
      <c r="C4462" s="3" t="n">
        <v>18</v>
      </c>
      <c r="D4462" s="3" t="s">
        <v>4466</v>
      </c>
      <c r="E4462" s="4" t="n">
        <v>0</v>
      </c>
    </row>
    <row r="4463" customFormat="false" ht="15" hidden="false" customHeight="false" outlineLevel="0" collapsed="false">
      <c r="A4463" s="3" t="n">
        <v>2024</v>
      </c>
      <c r="B4463" s="3" t="n">
        <v>3</v>
      </c>
      <c r="C4463" s="3" t="n">
        <v>19</v>
      </c>
      <c r="D4463" s="3" t="s">
        <v>4467</v>
      </c>
      <c r="E4463" s="4" t="n">
        <v>0</v>
      </c>
    </row>
    <row r="4464" customFormat="false" ht="15" hidden="false" customHeight="false" outlineLevel="0" collapsed="false">
      <c r="A4464" s="3" t="n">
        <v>2024</v>
      </c>
      <c r="B4464" s="3" t="n">
        <v>3</v>
      </c>
      <c r="C4464" s="3" t="n">
        <v>20</v>
      </c>
      <c r="D4464" s="3" t="s">
        <v>4468</v>
      </c>
      <c r="E4464" s="4" t="n">
        <v>0</v>
      </c>
    </row>
    <row r="4465" customFormat="false" ht="15" hidden="false" customHeight="false" outlineLevel="0" collapsed="false">
      <c r="A4465" s="3" t="n">
        <v>2024</v>
      </c>
      <c r="B4465" s="3" t="n">
        <v>3</v>
      </c>
      <c r="C4465" s="3" t="n">
        <v>21</v>
      </c>
      <c r="D4465" s="3" t="s">
        <v>4469</v>
      </c>
      <c r="E4465" s="4" t="n">
        <v>1</v>
      </c>
    </row>
    <row r="4466" customFormat="false" ht="15" hidden="false" customHeight="false" outlineLevel="0" collapsed="false">
      <c r="A4466" s="3" t="n">
        <v>2024</v>
      </c>
      <c r="B4466" s="3" t="n">
        <v>3</v>
      </c>
      <c r="C4466" s="3" t="n">
        <v>22</v>
      </c>
      <c r="D4466" s="3" t="s">
        <v>4470</v>
      </c>
      <c r="E4466" s="4" t="n">
        <v>9</v>
      </c>
    </row>
    <row r="4467" customFormat="false" ht="15" hidden="false" customHeight="false" outlineLevel="0" collapsed="false">
      <c r="A4467" s="3" t="n">
        <v>2024</v>
      </c>
      <c r="B4467" s="3" t="n">
        <v>3</v>
      </c>
      <c r="C4467" s="3" t="n">
        <v>23</v>
      </c>
      <c r="D4467" s="3" t="s">
        <v>4471</v>
      </c>
      <c r="E4467" s="4" t="n">
        <v>5</v>
      </c>
    </row>
    <row r="4468" customFormat="false" ht="15" hidden="false" customHeight="false" outlineLevel="0" collapsed="false">
      <c r="A4468" s="3" t="n">
        <v>2024</v>
      </c>
      <c r="B4468" s="3" t="n">
        <v>3</v>
      </c>
      <c r="C4468" s="3" t="n">
        <v>24</v>
      </c>
      <c r="D4468" s="3" t="s">
        <v>4472</v>
      </c>
      <c r="E4468" s="4" t="n">
        <v>10</v>
      </c>
    </row>
    <row r="4469" customFormat="false" ht="15" hidden="false" customHeight="false" outlineLevel="0" collapsed="false">
      <c r="A4469" s="3" t="n">
        <v>2024</v>
      </c>
      <c r="B4469" s="3" t="n">
        <v>3</v>
      </c>
      <c r="C4469" s="3" t="n">
        <v>25</v>
      </c>
      <c r="D4469" s="3" t="s">
        <v>4473</v>
      </c>
      <c r="E4469" s="4" t="n">
        <v>41</v>
      </c>
    </row>
    <row r="4470" customFormat="false" ht="15" hidden="false" customHeight="false" outlineLevel="0" collapsed="false">
      <c r="A4470" s="3" t="n">
        <v>2024</v>
      </c>
      <c r="B4470" s="3" t="n">
        <v>3</v>
      </c>
      <c r="C4470" s="3" t="n">
        <v>26</v>
      </c>
      <c r="D4470" s="3" t="s">
        <v>4474</v>
      </c>
      <c r="E4470" s="4" t="n">
        <v>5</v>
      </c>
    </row>
    <row r="4471" customFormat="false" ht="15" hidden="false" customHeight="false" outlineLevel="0" collapsed="false">
      <c r="A4471" s="3" t="n">
        <v>2024</v>
      </c>
      <c r="B4471" s="3" t="n">
        <v>3</v>
      </c>
      <c r="C4471" s="3" t="n">
        <v>27</v>
      </c>
      <c r="D4471" s="3" t="s">
        <v>4475</v>
      </c>
      <c r="E4471" s="4" t="n">
        <v>2</v>
      </c>
    </row>
    <row r="4472" customFormat="false" ht="15" hidden="false" customHeight="false" outlineLevel="0" collapsed="false">
      <c r="A4472" s="3" t="n">
        <v>2024</v>
      </c>
      <c r="B4472" s="3" t="n">
        <v>3</v>
      </c>
      <c r="C4472" s="3" t="n">
        <v>28</v>
      </c>
      <c r="D4472" s="3" t="s">
        <v>4476</v>
      </c>
      <c r="E4472" s="4" t="n">
        <v>160</v>
      </c>
    </row>
    <row r="4473" customFormat="false" ht="15" hidden="false" customHeight="false" outlineLevel="0" collapsed="false">
      <c r="A4473" s="3" t="n">
        <v>2024</v>
      </c>
      <c r="B4473" s="3" t="n">
        <v>3</v>
      </c>
      <c r="C4473" s="3" t="n">
        <v>29</v>
      </c>
      <c r="D4473" s="3" t="s">
        <v>4477</v>
      </c>
      <c r="E4473" s="4" t="n">
        <v>0</v>
      </c>
    </row>
    <row r="4474" customFormat="false" ht="15" hidden="false" customHeight="false" outlineLevel="0" collapsed="false">
      <c r="A4474" s="3" t="n">
        <v>2024</v>
      </c>
      <c r="B4474" s="3" t="n">
        <v>3</v>
      </c>
      <c r="C4474" s="3" t="n">
        <v>30</v>
      </c>
      <c r="D4474" s="3" t="s">
        <v>4478</v>
      </c>
      <c r="E4474" s="4" t="n">
        <v>14</v>
      </c>
    </row>
    <row r="4475" customFormat="false" ht="15" hidden="false" customHeight="false" outlineLevel="0" collapsed="false">
      <c r="A4475" s="3" t="n">
        <v>2024</v>
      </c>
      <c r="B4475" s="3" t="n">
        <v>3</v>
      </c>
      <c r="C4475" s="3" t="n">
        <v>31</v>
      </c>
      <c r="D4475" s="3" t="s">
        <v>4479</v>
      </c>
      <c r="E4475" s="4" t="n">
        <v>1</v>
      </c>
    </row>
    <row r="4476" customFormat="false" ht="15" hidden="false" customHeight="false" outlineLevel="0" collapsed="false">
      <c r="A4476" s="3" t="n">
        <v>2024</v>
      </c>
      <c r="B4476" s="3" t="n">
        <v>4</v>
      </c>
      <c r="C4476" s="3" t="n">
        <v>1</v>
      </c>
      <c r="D4476" s="3" t="s">
        <v>4480</v>
      </c>
      <c r="E4476" s="4" t="n">
        <v>8</v>
      </c>
    </row>
    <row r="4477" customFormat="false" ht="15" hidden="false" customHeight="false" outlineLevel="0" collapsed="false">
      <c r="A4477" s="3" t="n">
        <v>2024</v>
      </c>
      <c r="B4477" s="3" t="n">
        <v>4</v>
      </c>
      <c r="C4477" s="3" t="n">
        <v>2</v>
      </c>
      <c r="D4477" s="3" t="s">
        <v>4481</v>
      </c>
      <c r="E4477" s="4" t="n">
        <v>8</v>
      </c>
    </row>
    <row r="4478" customFormat="false" ht="15" hidden="false" customHeight="false" outlineLevel="0" collapsed="false">
      <c r="A4478" s="3" t="n">
        <v>2024</v>
      </c>
      <c r="B4478" s="3" t="n">
        <v>4</v>
      </c>
      <c r="C4478" s="3" t="n">
        <v>3</v>
      </c>
      <c r="D4478" s="3" t="s">
        <v>4482</v>
      </c>
      <c r="E4478" s="4" t="n">
        <v>1</v>
      </c>
    </row>
    <row r="4479" customFormat="false" ht="15" hidden="false" customHeight="false" outlineLevel="0" collapsed="false">
      <c r="A4479" s="3" t="n">
        <v>2024</v>
      </c>
      <c r="B4479" s="3" t="n">
        <v>4</v>
      </c>
      <c r="C4479" s="3" t="n">
        <v>4</v>
      </c>
      <c r="D4479" s="3" t="s">
        <v>4483</v>
      </c>
      <c r="E4479" s="4" t="n">
        <v>2</v>
      </c>
    </row>
    <row r="4480" customFormat="false" ht="15" hidden="false" customHeight="false" outlineLevel="0" collapsed="false">
      <c r="A4480" s="3" t="n">
        <v>2024</v>
      </c>
      <c r="B4480" s="3" t="n">
        <v>4</v>
      </c>
      <c r="C4480" s="3" t="n">
        <v>5</v>
      </c>
      <c r="D4480" s="3" t="s">
        <v>4484</v>
      </c>
      <c r="E4480" s="4" t="n">
        <v>0</v>
      </c>
    </row>
    <row r="4481" customFormat="false" ht="15" hidden="false" customHeight="false" outlineLevel="0" collapsed="false">
      <c r="A4481" s="3" t="n">
        <v>2024</v>
      </c>
      <c r="B4481" s="3" t="n">
        <v>4</v>
      </c>
      <c r="C4481" s="3" t="n">
        <v>6</v>
      </c>
      <c r="D4481" s="3" t="s">
        <v>4485</v>
      </c>
      <c r="E4481" s="4" t="n">
        <v>0</v>
      </c>
    </row>
    <row r="4482" customFormat="false" ht="15" hidden="false" customHeight="false" outlineLevel="0" collapsed="false">
      <c r="A4482" s="3" t="n">
        <v>2024</v>
      </c>
      <c r="B4482" s="3" t="n">
        <v>4</v>
      </c>
      <c r="C4482" s="3" t="n">
        <v>7</v>
      </c>
      <c r="D4482" s="3" t="s">
        <v>4486</v>
      </c>
      <c r="E4482" s="4" t="n">
        <v>0</v>
      </c>
    </row>
    <row r="4483" customFormat="false" ht="15" hidden="false" customHeight="false" outlineLevel="0" collapsed="false">
      <c r="A4483" s="3" t="n">
        <v>2024</v>
      </c>
      <c r="B4483" s="3" t="n">
        <v>4</v>
      </c>
      <c r="C4483" s="3" t="n">
        <v>8</v>
      </c>
      <c r="D4483" s="3" t="s">
        <v>4487</v>
      </c>
      <c r="E4483" s="4" t="n">
        <v>7</v>
      </c>
    </row>
    <row r="4484" customFormat="false" ht="15" hidden="false" customHeight="false" outlineLevel="0" collapsed="false">
      <c r="A4484" s="3" t="n">
        <v>2024</v>
      </c>
      <c r="B4484" s="3" t="n">
        <v>4</v>
      </c>
      <c r="C4484" s="3" t="n">
        <v>9</v>
      </c>
      <c r="D4484" s="3" t="s">
        <v>4488</v>
      </c>
      <c r="E4484" s="4" t="n">
        <v>3</v>
      </c>
    </row>
    <row r="4485" customFormat="false" ht="15" hidden="false" customHeight="false" outlineLevel="0" collapsed="false">
      <c r="A4485" s="3" t="n">
        <v>2024</v>
      </c>
      <c r="B4485" s="3" t="n">
        <v>4</v>
      </c>
      <c r="C4485" s="3" t="n">
        <v>10</v>
      </c>
      <c r="D4485" s="3" t="s">
        <v>4489</v>
      </c>
      <c r="E4485" s="4" t="n">
        <v>3</v>
      </c>
    </row>
    <row r="4486" customFormat="false" ht="15" hidden="false" customHeight="false" outlineLevel="0" collapsed="false">
      <c r="A4486" s="3" t="n">
        <v>2024</v>
      </c>
      <c r="B4486" s="3" t="n">
        <v>4</v>
      </c>
      <c r="C4486" s="3" t="n">
        <v>11</v>
      </c>
      <c r="D4486" s="3" t="s">
        <v>4490</v>
      </c>
      <c r="E4486" s="4" t="n">
        <v>18</v>
      </c>
    </row>
    <row r="4487" customFormat="false" ht="15" hidden="false" customHeight="false" outlineLevel="0" collapsed="false">
      <c r="A4487" s="3" t="n">
        <v>2024</v>
      </c>
      <c r="B4487" s="3" t="n">
        <v>4</v>
      </c>
      <c r="C4487" s="3" t="n">
        <v>12</v>
      </c>
      <c r="D4487" s="3" t="s">
        <v>4491</v>
      </c>
      <c r="E4487" s="4" t="n">
        <v>1</v>
      </c>
    </row>
    <row r="4488" customFormat="false" ht="15" hidden="false" customHeight="false" outlineLevel="0" collapsed="false">
      <c r="A4488" s="3" t="n">
        <v>2024</v>
      </c>
      <c r="B4488" s="3" t="n">
        <v>4</v>
      </c>
      <c r="C4488" s="3" t="n">
        <v>13</v>
      </c>
      <c r="D4488" s="3" t="s">
        <v>4492</v>
      </c>
      <c r="E4488" s="4" t="n">
        <v>0</v>
      </c>
    </row>
    <row r="4489" customFormat="false" ht="15" hidden="false" customHeight="false" outlineLevel="0" collapsed="false">
      <c r="A4489" s="3" t="n">
        <v>2024</v>
      </c>
      <c r="B4489" s="3" t="n">
        <v>4</v>
      </c>
      <c r="C4489" s="3" t="n">
        <v>14</v>
      </c>
      <c r="D4489" s="3" t="s">
        <v>4493</v>
      </c>
      <c r="E4489" s="4" t="n">
        <v>2</v>
      </c>
    </row>
    <row r="4490" customFormat="false" ht="15" hidden="false" customHeight="false" outlineLevel="0" collapsed="false">
      <c r="A4490" s="3" t="n">
        <v>2024</v>
      </c>
      <c r="B4490" s="3" t="n">
        <v>4</v>
      </c>
      <c r="C4490" s="3" t="n">
        <v>15</v>
      </c>
      <c r="D4490" s="3" t="s">
        <v>4494</v>
      </c>
      <c r="E4490" s="4" t="n">
        <v>0</v>
      </c>
    </row>
    <row r="4491" customFormat="false" ht="15" hidden="false" customHeight="false" outlineLevel="0" collapsed="false">
      <c r="A4491" s="3" t="n">
        <v>2024</v>
      </c>
      <c r="B4491" s="3" t="n">
        <v>4</v>
      </c>
      <c r="C4491" s="3" t="n">
        <v>16</v>
      </c>
      <c r="D4491" s="3" t="s">
        <v>4495</v>
      </c>
      <c r="E4491" s="4" t="n">
        <v>0</v>
      </c>
    </row>
    <row r="4492" customFormat="false" ht="15" hidden="false" customHeight="false" outlineLevel="0" collapsed="false">
      <c r="A4492" s="3" t="n">
        <v>2024</v>
      </c>
      <c r="B4492" s="3" t="n">
        <v>4</v>
      </c>
      <c r="C4492" s="3" t="n">
        <v>17</v>
      </c>
      <c r="D4492" s="3" t="s">
        <v>4496</v>
      </c>
      <c r="E4492" s="4" t="n">
        <v>32</v>
      </c>
    </row>
    <row r="4493" customFormat="false" ht="15" hidden="false" customHeight="false" outlineLevel="0" collapsed="false">
      <c r="A4493" s="3" t="n">
        <v>2024</v>
      </c>
      <c r="B4493" s="3" t="n">
        <v>4</v>
      </c>
      <c r="C4493" s="3" t="n">
        <v>18</v>
      </c>
      <c r="D4493" s="3" t="s">
        <v>4497</v>
      </c>
      <c r="E4493" s="4" t="n">
        <v>2</v>
      </c>
    </row>
    <row r="4494" customFormat="false" ht="15" hidden="false" customHeight="false" outlineLevel="0" collapsed="false">
      <c r="A4494" s="3" t="n">
        <v>2024</v>
      </c>
      <c r="B4494" s="3" t="n">
        <v>4</v>
      </c>
      <c r="C4494" s="3" t="n">
        <v>19</v>
      </c>
      <c r="D4494" s="3" t="s">
        <v>4498</v>
      </c>
      <c r="E4494" s="4" t="n">
        <v>0</v>
      </c>
    </row>
    <row r="4495" customFormat="false" ht="15" hidden="false" customHeight="false" outlineLevel="0" collapsed="false">
      <c r="A4495" s="3" t="n">
        <v>2024</v>
      </c>
      <c r="B4495" s="3" t="n">
        <v>4</v>
      </c>
      <c r="C4495" s="3" t="n">
        <v>20</v>
      </c>
      <c r="D4495" s="3" t="s">
        <v>4499</v>
      </c>
      <c r="E4495" s="4" t="n">
        <v>0</v>
      </c>
    </row>
    <row r="4496" customFormat="false" ht="15" hidden="false" customHeight="false" outlineLevel="0" collapsed="false">
      <c r="A4496" s="3" t="n">
        <v>2024</v>
      </c>
      <c r="B4496" s="3" t="n">
        <v>4</v>
      </c>
      <c r="C4496" s="3" t="n">
        <v>21</v>
      </c>
      <c r="D4496" s="3" t="s">
        <v>4500</v>
      </c>
      <c r="E4496" s="4" t="n">
        <v>15</v>
      </c>
    </row>
    <row r="4497" customFormat="false" ht="15" hidden="false" customHeight="false" outlineLevel="0" collapsed="false">
      <c r="A4497" s="3" t="n">
        <v>2024</v>
      </c>
      <c r="B4497" s="3" t="n">
        <v>4</v>
      </c>
      <c r="C4497" s="3" t="n">
        <v>22</v>
      </c>
      <c r="D4497" s="3" t="s">
        <v>4501</v>
      </c>
      <c r="E4497" s="4" t="n">
        <v>3</v>
      </c>
    </row>
    <row r="4498" customFormat="false" ht="15" hidden="false" customHeight="false" outlineLevel="0" collapsed="false">
      <c r="A4498" s="3" t="n">
        <v>2024</v>
      </c>
      <c r="B4498" s="3" t="n">
        <v>4</v>
      </c>
      <c r="C4498" s="3" t="n">
        <v>23</v>
      </c>
      <c r="D4498" s="3" t="s">
        <v>4502</v>
      </c>
      <c r="E4498" s="4" t="n">
        <v>106</v>
      </c>
    </row>
    <row r="4499" customFormat="false" ht="15" hidden="false" customHeight="false" outlineLevel="0" collapsed="false">
      <c r="A4499" s="3" t="n">
        <v>2024</v>
      </c>
      <c r="B4499" s="3" t="n">
        <v>4</v>
      </c>
      <c r="C4499" s="3" t="n">
        <v>24</v>
      </c>
      <c r="D4499" s="3" t="s">
        <v>4503</v>
      </c>
      <c r="E4499" s="4" t="n">
        <v>8</v>
      </c>
    </row>
    <row r="4500" customFormat="false" ht="15" hidden="false" customHeight="false" outlineLevel="0" collapsed="false">
      <c r="A4500" s="3" t="n">
        <v>2024</v>
      </c>
      <c r="B4500" s="3" t="n">
        <v>4</v>
      </c>
      <c r="C4500" s="3" t="n">
        <v>25</v>
      </c>
      <c r="D4500" s="3" t="s">
        <v>4504</v>
      </c>
      <c r="E4500" s="4" t="n">
        <v>16</v>
      </c>
    </row>
    <row r="4501" customFormat="false" ht="15" hidden="false" customHeight="false" outlineLevel="0" collapsed="false">
      <c r="A4501" s="3" t="n">
        <v>2024</v>
      </c>
      <c r="B4501" s="3" t="n">
        <v>4</v>
      </c>
      <c r="C4501" s="3" t="n">
        <v>26</v>
      </c>
      <c r="D4501" s="3" t="s">
        <v>4505</v>
      </c>
      <c r="E4501" s="4" t="n">
        <v>3</v>
      </c>
    </row>
    <row r="4502" customFormat="false" ht="15" hidden="false" customHeight="false" outlineLevel="0" collapsed="false">
      <c r="A4502" s="3" t="n">
        <v>2024</v>
      </c>
      <c r="B4502" s="3" t="n">
        <v>4</v>
      </c>
      <c r="C4502" s="3" t="n">
        <v>27</v>
      </c>
      <c r="D4502" s="3" t="s">
        <v>4506</v>
      </c>
      <c r="E4502" s="4" t="n">
        <v>26</v>
      </c>
    </row>
    <row r="4503" customFormat="false" ht="15" hidden="false" customHeight="false" outlineLevel="0" collapsed="false">
      <c r="A4503" s="3" t="n">
        <v>2024</v>
      </c>
      <c r="B4503" s="3" t="n">
        <v>4</v>
      </c>
      <c r="C4503" s="3" t="n">
        <v>28</v>
      </c>
      <c r="D4503" s="3" t="s">
        <v>4507</v>
      </c>
      <c r="E4503" s="4" t="n">
        <v>57</v>
      </c>
    </row>
    <row r="4504" customFormat="false" ht="15" hidden="false" customHeight="false" outlineLevel="0" collapsed="false">
      <c r="A4504" s="3" t="n">
        <v>2024</v>
      </c>
      <c r="B4504" s="3" t="n">
        <v>4</v>
      </c>
      <c r="C4504" s="3" t="n">
        <v>29</v>
      </c>
      <c r="D4504" s="3" t="s">
        <v>4508</v>
      </c>
      <c r="E4504" s="4" t="n">
        <v>6</v>
      </c>
    </row>
    <row r="4505" customFormat="false" ht="15" hidden="false" customHeight="false" outlineLevel="0" collapsed="false">
      <c r="A4505" s="3" t="n">
        <v>2024</v>
      </c>
      <c r="B4505" s="3" t="n">
        <v>4</v>
      </c>
      <c r="C4505" s="3" t="n">
        <v>30</v>
      </c>
      <c r="D4505" s="3" t="s">
        <v>4509</v>
      </c>
      <c r="E4505" s="4" t="n">
        <v>0</v>
      </c>
    </row>
    <row r="4506" customFormat="false" ht="15" hidden="false" customHeight="false" outlineLevel="0" collapsed="false">
      <c r="A4506" s="3" t="n">
        <v>2024</v>
      </c>
      <c r="B4506" s="3" t="n">
        <v>5</v>
      </c>
      <c r="C4506" s="3" t="n">
        <v>1</v>
      </c>
      <c r="D4506" s="3" t="s">
        <v>4510</v>
      </c>
      <c r="E4506" s="4" t="n">
        <v>0</v>
      </c>
    </row>
    <row r="4507" customFormat="false" ht="15" hidden="false" customHeight="false" outlineLevel="0" collapsed="false">
      <c r="A4507" s="3" t="n">
        <v>2024</v>
      </c>
      <c r="B4507" s="3" t="n">
        <v>5</v>
      </c>
      <c r="C4507" s="3" t="n">
        <v>2</v>
      </c>
      <c r="D4507" s="3" t="s">
        <v>4511</v>
      </c>
      <c r="E4507" s="4" t="n">
        <v>21</v>
      </c>
    </row>
    <row r="4508" customFormat="false" ht="15" hidden="false" customHeight="false" outlineLevel="0" collapsed="false">
      <c r="A4508" s="3" t="n">
        <v>2024</v>
      </c>
      <c r="B4508" s="3" t="n">
        <v>5</v>
      </c>
      <c r="C4508" s="3" t="n">
        <v>3</v>
      </c>
      <c r="D4508" s="3" t="s">
        <v>4512</v>
      </c>
      <c r="E4508" s="4" t="n">
        <v>28</v>
      </c>
    </row>
    <row r="4509" customFormat="false" ht="15" hidden="false" customHeight="false" outlineLevel="0" collapsed="false">
      <c r="A4509" s="3" t="n">
        <v>2024</v>
      </c>
      <c r="B4509" s="3" t="n">
        <v>5</v>
      </c>
      <c r="C4509" s="3" t="n">
        <v>4</v>
      </c>
      <c r="D4509" s="3" t="s">
        <v>4513</v>
      </c>
      <c r="E4509" s="4" t="n">
        <v>0</v>
      </c>
    </row>
    <row r="4510" customFormat="false" ht="15" hidden="false" customHeight="false" outlineLevel="0" collapsed="false">
      <c r="A4510" s="3" t="n">
        <v>2024</v>
      </c>
      <c r="B4510" s="3" t="n">
        <v>5</v>
      </c>
      <c r="C4510" s="3" t="n">
        <v>5</v>
      </c>
      <c r="D4510" s="3" t="s">
        <v>4514</v>
      </c>
      <c r="E4510" s="4" t="n">
        <v>61</v>
      </c>
    </row>
    <row r="4511" customFormat="false" ht="15" hidden="false" customHeight="false" outlineLevel="0" collapsed="false">
      <c r="A4511" s="3" t="n">
        <v>2024</v>
      </c>
      <c r="B4511" s="3" t="n">
        <v>5</v>
      </c>
      <c r="C4511" s="3" t="n">
        <v>6</v>
      </c>
      <c r="D4511" s="3" t="s">
        <v>4515</v>
      </c>
      <c r="E4511" s="4" t="n">
        <v>1</v>
      </c>
    </row>
    <row r="4512" customFormat="false" ht="15" hidden="false" customHeight="false" outlineLevel="0" collapsed="false">
      <c r="A4512" s="3" t="n">
        <v>2024</v>
      </c>
      <c r="B4512" s="3" t="n">
        <v>5</v>
      </c>
      <c r="C4512" s="3" t="n">
        <v>7</v>
      </c>
      <c r="D4512" s="3" t="s">
        <v>4516</v>
      </c>
      <c r="E4512" s="4" t="n">
        <v>0</v>
      </c>
    </row>
    <row r="4513" customFormat="false" ht="15" hidden="false" customHeight="false" outlineLevel="0" collapsed="false">
      <c r="A4513" s="3" t="n">
        <v>2024</v>
      </c>
      <c r="B4513" s="3" t="n">
        <v>5</v>
      </c>
      <c r="C4513" s="3" t="n">
        <v>8</v>
      </c>
      <c r="D4513" s="3" t="s">
        <v>4517</v>
      </c>
      <c r="E4513" s="4" t="n">
        <v>5</v>
      </c>
    </row>
    <row r="4514" customFormat="false" ht="15" hidden="false" customHeight="false" outlineLevel="0" collapsed="false">
      <c r="A4514" s="3" t="n">
        <v>2024</v>
      </c>
      <c r="B4514" s="3" t="n">
        <v>5</v>
      </c>
      <c r="C4514" s="3" t="n">
        <v>9</v>
      </c>
      <c r="D4514" s="3" t="s">
        <v>4518</v>
      </c>
      <c r="E4514" s="4" t="n">
        <v>55</v>
      </c>
    </row>
    <row r="4515" customFormat="false" ht="15" hidden="false" customHeight="false" outlineLevel="0" collapsed="false">
      <c r="A4515" s="3" t="n">
        <v>2024</v>
      </c>
      <c r="B4515" s="3" t="n">
        <v>5</v>
      </c>
      <c r="C4515" s="3" t="n">
        <v>10</v>
      </c>
      <c r="D4515" s="3" t="s">
        <v>4519</v>
      </c>
      <c r="E4515" s="4" t="n">
        <v>0</v>
      </c>
    </row>
    <row r="4516" customFormat="false" ht="15" hidden="false" customHeight="false" outlineLevel="0" collapsed="false">
      <c r="A4516" s="3" t="n">
        <v>2024</v>
      </c>
      <c r="B4516" s="3" t="n">
        <v>5</v>
      </c>
      <c r="C4516" s="3" t="n">
        <v>11</v>
      </c>
      <c r="D4516" s="3" t="s">
        <v>4520</v>
      </c>
      <c r="E4516" s="4" t="n">
        <v>10</v>
      </c>
    </row>
    <row r="4517" customFormat="false" ht="15" hidden="false" customHeight="false" outlineLevel="0" collapsed="false">
      <c r="A4517" s="3" t="n">
        <v>2024</v>
      </c>
      <c r="B4517" s="3" t="n">
        <v>5</v>
      </c>
      <c r="C4517" s="3" t="n">
        <v>12</v>
      </c>
      <c r="D4517" s="3" t="s">
        <v>4521</v>
      </c>
      <c r="E4517" s="4" t="n">
        <v>45</v>
      </c>
    </row>
    <row r="4518" customFormat="false" ht="15" hidden="false" customHeight="false" outlineLevel="0" collapsed="false">
      <c r="A4518" s="3" t="n">
        <v>2024</v>
      </c>
      <c r="B4518" s="3" t="n">
        <v>5</v>
      </c>
      <c r="C4518" s="3" t="n">
        <v>13</v>
      </c>
      <c r="D4518" s="3" t="s">
        <v>4522</v>
      </c>
      <c r="E4518" s="4" t="n">
        <v>0</v>
      </c>
    </row>
    <row r="4519" customFormat="false" ht="15" hidden="false" customHeight="false" outlineLevel="0" collapsed="false">
      <c r="A4519" s="3" t="n">
        <v>2024</v>
      </c>
      <c r="B4519" s="3" t="n">
        <v>5</v>
      </c>
      <c r="C4519" s="3" t="n">
        <v>14</v>
      </c>
      <c r="D4519" s="3" t="s">
        <v>4523</v>
      </c>
      <c r="E4519" s="4" t="n">
        <v>0</v>
      </c>
    </row>
    <row r="4520" customFormat="false" ht="15" hidden="false" customHeight="false" outlineLevel="0" collapsed="false">
      <c r="A4520" s="3" t="n">
        <v>2024</v>
      </c>
      <c r="B4520" s="3" t="n">
        <v>5</v>
      </c>
      <c r="C4520" s="3" t="n">
        <v>15</v>
      </c>
      <c r="D4520" s="3" t="s">
        <v>4524</v>
      </c>
      <c r="E4520" s="4" t="n">
        <v>14</v>
      </c>
    </row>
    <row r="4521" customFormat="false" ht="15" hidden="false" customHeight="false" outlineLevel="0" collapsed="false">
      <c r="A4521" s="3" t="n">
        <v>2024</v>
      </c>
      <c r="B4521" s="3" t="n">
        <v>5</v>
      </c>
      <c r="C4521" s="3" t="n">
        <v>16</v>
      </c>
      <c r="D4521" s="3" t="s">
        <v>4525</v>
      </c>
      <c r="E4521" s="4" t="n">
        <v>6</v>
      </c>
    </row>
    <row r="4522" customFormat="false" ht="15" hidden="false" customHeight="false" outlineLevel="0" collapsed="false">
      <c r="A4522" s="3" t="n">
        <v>2024</v>
      </c>
      <c r="B4522" s="3" t="n">
        <v>5</v>
      </c>
      <c r="C4522" s="3" t="n">
        <v>17</v>
      </c>
      <c r="D4522" s="3" t="s">
        <v>4526</v>
      </c>
      <c r="E4522" s="4" t="n">
        <v>0</v>
      </c>
    </row>
    <row r="4523" customFormat="false" ht="15" hidden="false" customHeight="false" outlineLevel="0" collapsed="false">
      <c r="A4523" s="3" t="n">
        <v>2024</v>
      </c>
      <c r="B4523" s="3" t="n">
        <v>5</v>
      </c>
      <c r="C4523" s="3" t="n">
        <v>18</v>
      </c>
      <c r="D4523" s="3" t="s">
        <v>4527</v>
      </c>
      <c r="E4523" s="4" t="n">
        <v>26</v>
      </c>
    </row>
    <row r="4524" customFormat="false" ht="15" hidden="false" customHeight="false" outlineLevel="0" collapsed="false">
      <c r="A4524" s="3" t="n">
        <v>2024</v>
      </c>
      <c r="B4524" s="3" t="n">
        <v>5</v>
      </c>
      <c r="C4524" s="3" t="n">
        <v>19</v>
      </c>
      <c r="D4524" s="3" t="s">
        <v>4528</v>
      </c>
      <c r="E4524" s="4" t="n">
        <v>8</v>
      </c>
    </row>
    <row r="4525" customFormat="false" ht="15" hidden="false" customHeight="false" outlineLevel="0" collapsed="false">
      <c r="A4525" s="3" t="n">
        <v>2024</v>
      </c>
      <c r="B4525" s="3" t="n">
        <v>5</v>
      </c>
      <c r="C4525" s="3" t="n">
        <v>20</v>
      </c>
      <c r="D4525" s="3" t="s">
        <v>4529</v>
      </c>
      <c r="E4525" s="4" t="n">
        <v>57</v>
      </c>
    </row>
    <row r="4526" customFormat="false" ht="15" hidden="false" customHeight="false" outlineLevel="0" collapsed="false">
      <c r="A4526" s="3" t="n">
        <v>2024</v>
      </c>
      <c r="B4526" s="3" t="n">
        <v>5</v>
      </c>
      <c r="C4526" s="3" t="n">
        <v>21</v>
      </c>
      <c r="D4526" s="3" t="s">
        <v>4530</v>
      </c>
      <c r="E4526" s="4" t="n">
        <v>16</v>
      </c>
    </row>
    <row r="4527" customFormat="false" ht="15" hidden="false" customHeight="false" outlineLevel="0" collapsed="false">
      <c r="A4527" s="3" t="n">
        <v>2024</v>
      </c>
      <c r="B4527" s="3" t="n">
        <v>5</v>
      </c>
      <c r="C4527" s="3" t="n">
        <v>22</v>
      </c>
      <c r="D4527" s="3" t="s">
        <v>4531</v>
      </c>
      <c r="E4527" s="4" t="n">
        <v>25</v>
      </c>
    </row>
    <row r="4528" customFormat="false" ht="15" hidden="false" customHeight="false" outlineLevel="0" collapsed="false">
      <c r="A4528" s="3" t="n">
        <v>2024</v>
      </c>
      <c r="B4528" s="3" t="n">
        <v>5</v>
      </c>
      <c r="C4528" s="3" t="n">
        <v>23</v>
      </c>
      <c r="D4528" s="3" t="s">
        <v>4532</v>
      </c>
      <c r="E4528" s="4" t="n">
        <v>1</v>
      </c>
    </row>
    <row r="4529" customFormat="false" ht="15" hidden="false" customHeight="false" outlineLevel="0" collapsed="false">
      <c r="A4529" s="3" t="n">
        <v>2024</v>
      </c>
      <c r="B4529" s="3" t="n">
        <v>5</v>
      </c>
      <c r="C4529" s="3" t="n">
        <v>24</v>
      </c>
      <c r="D4529" s="3" t="s">
        <v>4533</v>
      </c>
      <c r="E4529" s="4" t="n">
        <v>11</v>
      </c>
    </row>
    <row r="4530" customFormat="false" ht="15" hidden="false" customHeight="false" outlineLevel="0" collapsed="false">
      <c r="A4530" s="3" t="n">
        <v>2024</v>
      </c>
      <c r="B4530" s="3" t="n">
        <v>5</v>
      </c>
      <c r="C4530" s="3" t="n">
        <v>25</v>
      </c>
      <c r="D4530" s="3" t="s">
        <v>4534</v>
      </c>
      <c r="E4530" s="4" t="n">
        <v>1</v>
      </c>
    </row>
    <row r="4531" customFormat="false" ht="15" hidden="false" customHeight="false" outlineLevel="0" collapsed="false">
      <c r="A4531" s="3" t="n">
        <v>2024</v>
      </c>
      <c r="B4531" s="3" t="n">
        <v>5</v>
      </c>
      <c r="C4531" s="3" t="n">
        <v>26</v>
      </c>
      <c r="D4531" s="3" t="s">
        <v>4535</v>
      </c>
      <c r="E4531" s="4" t="n">
        <v>0</v>
      </c>
    </row>
    <row r="4532" customFormat="false" ht="15" hidden="false" customHeight="false" outlineLevel="0" collapsed="false">
      <c r="A4532" s="3" t="n">
        <v>2024</v>
      </c>
      <c r="B4532" s="3" t="n">
        <v>5</v>
      </c>
      <c r="C4532" s="3" t="n">
        <v>27</v>
      </c>
      <c r="D4532" s="3" t="s">
        <v>4536</v>
      </c>
      <c r="E4532" s="4" t="n">
        <v>9</v>
      </c>
    </row>
    <row r="4533" customFormat="false" ht="15" hidden="false" customHeight="false" outlineLevel="0" collapsed="false">
      <c r="A4533" s="3" t="n">
        <v>2024</v>
      </c>
      <c r="B4533" s="3" t="n">
        <v>5</v>
      </c>
      <c r="C4533" s="3" t="n">
        <v>28</v>
      </c>
      <c r="D4533" s="3" t="s">
        <v>4537</v>
      </c>
      <c r="E4533" s="4" t="n">
        <v>3</v>
      </c>
    </row>
    <row r="4534" customFormat="false" ht="15" hidden="false" customHeight="false" outlineLevel="0" collapsed="false">
      <c r="A4534" s="3" t="n">
        <v>2024</v>
      </c>
      <c r="B4534" s="3" t="n">
        <v>5</v>
      </c>
      <c r="C4534" s="3" t="n">
        <v>29</v>
      </c>
      <c r="D4534" s="3" t="s">
        <v>4538</v>
      </c>
      <c r="E4534" s="4" t="n">
        <v>3</v>
      </c>
    </row>
    <row r="4535" customFormat="false" ht="15" hidden="false" customHeight="false" outlineLevel="0" collapsed="false">
      <c r="A4535" s="3" t="n">
        <v>2024</v>
      </c>
      <c r="B4535" s="3" t="n">
        <v>5</v>
      </c>
      <c r="C4535" s="3" t="n">
        <v>30</v>
      </c>
      <c r="D4535" s="3" t="s">
        <v>4539</v>
      </c>
      <c r="E4535" s="4" t="n">
        <v>0</v>
      </c>
    </row>
    <row r="4536" customFormat="false" ht="15" hidden="false" customHeight="false" outlineLevel="0" collapsed="false">
      <c r="A4536" s="3" t="n">
        <v>2024</v>
      </c>
      <c r="B4536" s="3" t="n">
        <v>5</v>
      </c>
      <c r="C4536" s="3" t="n">
        <v>31</v>
      </c>
      <c r="D4536" s="3" t="s">
        <v>4540</v>
      </c>
      <c r="E4536" s="4" t="n">
        <v>0</v>
      </c>
    </row>
    <row r="4537" customFormat="false" ht="15" hidden="false" customHeight="false" outlineLevel="0" collapsed="false">
      <c r="A4537" s="3" t="n">
        <v>2024</v>
      </c>
      <c r="B4537" s="3" t="n">
        <v>6</v>
      </c>
      <c r="C4537" s="3" t="n">
        <v>1</v>
      </c>
      <c r="D4537" s="3" t="s">
        <v>4541</v>
      </c>
      <c r="E4537" s="4" t="n">
        <v>5</v>
      </c>
    </row>
    <row r="4538" customFormat="false" ht="15" hidden="false" customHeight="false" outlineLevel="0" collapsed="false">
      <c r="A4538" s="3" t="n">
        <v>2024</v>
      </c>
      <c r="B4538" s="3" t="n">
        <v>6</v>
      </c>
      <c r="C4538" s="3" t="n">
        <v>2</v>
      </c>
      <c r="D4538" s="3" t="s">
        <v>4542</v>
      </c>
      <c r="E4538" s="4" t="n">
        <v>14</v>
      </c>
    </row>
    <row r="4539" customFormat="false" ht="15" hidden="false" customHeight="false" outlineLevel="0" collapsed="false">
      <c r="A4539" s="3" t="n">
        <v>2024</v>
      </c>
      <c r="B4539" s="3" t="n">
        <v>6</v>
      </c>
      <c r="C4539" s="3" t="n">
        <v>3</v>
      </c>
      <c r="D4539" s="3" t="s">
        <v>4543</v>
      </c>
      <c r="E4539" s="4" t="n">
        <v>1</v>
      </c>
    </row>
    <row r="4540" customFormat="false" ht="15" hidden="false" customHeight="false" outlineLevel="0" collapsed="false">
      <c r="A4540" s="3" t="n">
        <v>2024</v>
      </c>
      <c r="B4540" s="3" t="n">
        <v>6</v>
      </c>
      <c r="C4540" s="3" t="n">
        <v>4</v>
      </c>
      <c r="D4540" s="3" t="s">
        <v>4544</v>
      </c>
      <c r="E4540" s="4" t="n">
        <v>0</v>
      </c>
    </row>
    <row r="4541" customFormat="false" ht="15" hidden="false" customHeight="false" outlineLevel="0" collapsed="false">
      <c r="A4541" s="3" t="n">
        <v>2024</v>
      </c>
      <c r="B4541" s="3" t="n">
        <v>6</v>
      </c>
      <c r="C4541" s="3" t="n">
        <v>5</v>
      </c>
      <c r="D4541" s="3" t="s">
        <v>4545</v>
      </c>
      <c r="E4541" s="4" t="n">
        <v>1</v>
      </c>
    </row>
    <row r="4542" customFormat="false" ht="15" hidden="false" customHeight="false" outlineLevel="0" collapsed="false">
      <c r="A4542" s="3" t="n">
        <v>2024</v>
      </c>
      <c r="B4542" s="3" t="n">
        <v>6</v>
      </c>
      <c r="C4542" s="3" t="n">
        <v>6</v>
      </c>
      <c r="D4542" s="3" t="s">
        <v>4546</v>
      </c>
      <c r="E4542" s="4" t="n">
        <v>2</v>
      </c>
    </row>
    <row r="4543" customFormat="false" ht="15" hidden="false" customHeight="false" outlineLevel="0" collapsed="false">
      <c r="A4543" s="3" t="n">
        <v>2024</v>
      </c>
      <c r="B4543" s="3" t="n">
        <v>6</v>
      </c>
      <c r="C4543" s="3" t="n">
        <v>7</v>
      </c>
      <c r="D4543" s="3" t="s">
        <v>4547</v>
      </c>
      <c r="E4543" s="4" t="n">
        <v>4</v>
      </c>
    </row>
    <row r="4544" customFormat="false" ht="15" hidden="false" customHeight="false" outlineLevel="0" collapsed="false">
      <c r="A4544" s="3" t="n">
        <v>2024</v>
      </c>
      <c r="B4544" s="3" t="n">
        <v>6</v>
      </c>
      <c r="C4544" s="3" t="n">
        <v>8</v>
      </c>
      <c r="D4544" s="3" t="s">
        <v>4548</v>
      </c>
      <c r="E4544" s="4" t="n">
        <v>0</v>
      </c>
    </row>
    <row r="4545" customFormat="false" ht="15" hidden="false" customHeight="false" outlineLevel="0" collapsed="false">
      <c r="A4545" s="3" t="n">
        <v>2024</v>
      </c>
      <c r="B4545" s="3" t="n">
        <v>6</v>
      </c>
      <c r="C4545" s="3" t="n">
        <v>9</v>
      </c>
      <c r="D4545" s="3" t="s">
        <v>4549</v>
      </c>
      <c r="E4545" s="4" t="n">
        <v>0</v>
      </c>
    </row>
    <row r="4546" customFormat="false" ht="15" hidden="false" customHeight="false" outlineLevel="0" collapsed="false">
      <c r="A4546" s="3" t="n">
        <v>2024</v>
      </c>
      <c r="B4546" s="3" t="n">
        <v>6</v>
      </c>
      <c r="C4546" s="3" t="n">
        <v>10</v>
      </c>
      <c r="D4546" s="3" t="s">
        <v>4550</v>
      </c>
      <c r="E4546" s="4" t="n">
        <v>4</v>
      </c>
    </row>
    <row r="4547" customFormat="false" ht="15" hidden="false" customHeight="false" outlineLevel="0" collapsed="false">
      <c r="A4547" s="3" t="n">
        <v>2024</v>
      </c>
      <c r="B4547" s="3" t="n">
        <v>6</v>
      </c>
      <c r="C4547" s="3" t="n">
        <v>11</v>
      </c>
      <c r="D4547" s="3" t="s">
        <v>4551</v>
      </c>
      <c r="E4547" s="4" t="n">
        <v>3</v>
      </c>
    </row>
    <row r="4548" customFormat="false" ht="15" hidden="false" customHeight="false" outlineLevel="0" collapsed="false">
      <c r="A4548" s="3" t="n">
        <v>2024</v>
      </c>
      <c r="B4548" s="3" t="n">
        <v>6</v>
      </c>
      <c r="C4548" s="3" t="n">
        <v>12</v>
      </c>
      <c r="D4548" s="3" t="s">
        <v>4552</v>
      </c>
      <c r="E4548" s="4" t="n">
        <v>1</v>
      </c>
    </row>
    <row r="4549" customFormat="false" ht="15" hidden="false" customHeight="false" outlineLevel="0" collapsed="false">
      <c r="A4549" s="3" t="n">
        <v>2024</v>
      </c>
      <c r="B4549" s="3" t="n">
        <v>6</v>
      </c>
      <c r="C4549" s="3" t="n">
        <v>13</v>
      </c>
      <c r="D4549" s="3" t="s">
        <v>4553</v>
      </c>
      <c r="E4549" s="4" t="n">
        <v>7</v>
      </c>
    </row>
    <row r="4550" customFormat="false" ht="15" hidden="false" customHeight="false" outlineLevel="0" collapsed="false">
      <c r="A4550" s="3" t="n">
        <v>2024</v>
      </c>
      <c r="B4550" s="3" t="n">
        <v>6</v>
      </c>
      <c r="C4550" s="3" t="n">
        <v>14</v>
      </c>
      <c r="D4550" s="3" t="s">
        <v>4554</v>
      </c>
      <c r="E4550" s="4" t="n">
        <v>0</v>
      </c>
    </row>
    <row r="4551" customFormat="false" ht="15" hidden="false" customHeight="false" outlineLevel="0" collapsed="false">
      <c r="A4551" s="3" t="n">
        <v>2024</v>
      </c>
      <c r="B4551" s="3" t="n">
        <v>6</v>
      </c>
      <c r="C4551" s="3" t="n">
        <v>15</v>
      </c>
      <c r="D4551" s="3" t="s">
        <v>4555</v>
      </c>
      <c r="E4551" s="4" t="n">
        <v>6</v>
      </c>
    </row>
    <row r="4552" customFormat="false" ht="15" hidden="false" customHeight="false" outlineLevel="0" collapsed="false">
      <c r="A4552" s="3" t="n">
        <v>2024</v>
      </c>
      <c r="B4552" s="3" t="n">
        <v>6</v>
      </c>
      <c r="C4552" s="3" t="n">
        <v>16</v>
      </c>
      <c r="D4552" s="3" t="s">
        <v>4556</v>
      </c>
      <c r="E4552" s="4" t="n">
        <v>0</v>
      </c>
    </row>
    <row r="4553" customFormat="false" ht="15" hidden="false" customHeight="false" outlineLevel="0" collapsed="false">
      <c r="A4553" s="3" t="n">
        <v>2024</v>
      </c>
      <c r="B4553" s="3" t="n">
        <v>6</v>
      </c>
      <c r="C4553" s="3" t="n">
        <v>17</v>
      </c>
      <c r="D4553" s="3" t="s">
        <v>4557</v>
      </c>
      <c r="E4553" s="4" t="n">
        <v>1</v>
      </c>
    </row>
    <row r="4554" customFormat="false" ht="15" hidden="false" customHeight="false" outlineLevel="0" collapsed="false">
      <c r="A4554" s="3" t="n">
        <v>2024</v>
      </c>
      <c r="B4554" s="3" t="n">
        <v>6</v>
      </c>
      <c r="C4554" s="3" t="n">
        <v>18</v>
      </c>
      <c r="D4554" s="3" t="s">
        <v>4558</v>
      </c>
      <c r="E4554" s="4" t="n">
        <v>3</v>
      </c>
    </row>
    <row r="4555" customFormat="false" ht="15" hidden="false" customHeight="false" outlineLevel="0" collapsed="false">
      <c r="A4555" s="3" t="n">
        <v>2024</v>
      </c>
      <c r="B4555" s="3" t="n">
        <v>6</v>
      </c>
      <c r="C4555" s="3" t="n">
        <v>19</v>
      </c>
      <c r="D4555" s="3" t="s">
        <v>4559</v>
      </c>
      <c r="E4555" s="4" t="n">
        <v>0</v>
      </c>
    </row>
    <row r="4556" customFormat="false" ht="15" hidden="false" customHeight="false" outlineLevel="0" collapsed="false">
      <c r="A4556" s="3" t="n">
        <v>2024</v>
      </c>
      <c r="B4556" s="3" t="n">
        <v>6</v>
      </c>
      <c r="C4556" s="3" t="n">
        <v>20</v>
      </c>
      <c r="D4556" s="3" t="s">
        <v>4560</v>
      </c>
      <c r="E4556" s="4" t="n">
        <v>4</v>
      </c>
    </row>
    <row r="4557" customFormat="false" ht="15" hidden="false" customHeight="false" outlineLevel="0" collapsed="false">
      <c r="A4557" s="3" t="n">
        <v>2024</v>
      </c>
      <c r="B4557" s="3" t="n">
        <v>6</v>
      </c>
      <c r="C4557" s="3" t="n">
        <v>21</v>
      </c>
      <c r="D4557" s="3" t="s">
        <v>4561</v>
      </c>
      <c r="E4557" s="4" t="n">
        <v>41</v>
      </c>
    </row>
    <row r="4558" customFormat="false" ht="15" hidden="false" customHeight="false" outlineLevel="0" collapsed="false">
      <c r="A4558" s="3" t="n">
        <v>2024</v>
      </c>
      <c r="B4558" s="3" t="n">
        <v>6</v>
      </c>
      <c r="C4558" s="3" t="n">
        <v>22</v>
      </c>
      <c r="D4558" s="3" t="s">
        <v>4562</v>
      </c>
      <c r="E4558" s="4" t="n">
        <v>34</v>
      </c>
    </row>
    <row r="4559" customFormat="false" ht="15" hidden="false" customHeight="false" outlineLevel="0" collapsed="false">
      <c r="A4559" s="3" t="n">
        <v>2024</v>
      </c>
      <c r="B4559" s="3" t="n">
        <v>6</v>
      </c>
      <c r="C4559" s="3" t="n">
        <v>23</v>
      </c>
      <c r="D4559" s="3" t="s">
        <v>4563</v>
      </c>
      <c r="E4559" s="4" t="n">
        <v>1</v>
      </c>
    </row>
    <row r="4560" customFormat="false" ht="15" hidden="false" customHeight="false" outlineLevel="0" collapsed="false">
      <c r="A4560" s="3" t="n">
        <v>2024</v>
      </c>
      <c r="B4560" s="3" t="n">
        <v>6</v>
      </c>
      <c r="C4560" s="3" t="n">
        <v>24</v>
      </c>
      <c r="D4560" s="3" t="s">
        <v>4564</v>
      </c>
      <c r="E4560" s="4" t="n">
        <v>0</v>
      </c>
    </row>
    <row r="4561" customFormat="false" ht="15" hidden="false" customHeight="false" outlineLevel="0" collapsed="false">
      <c r="A4561" s="3" t="n">
        <v>2024</v>
      </c>
      <c r="B4561" s="3" t="n">
        <v>6</v>
      </c>
      <c r="C4561" s="3" t="n">
        <v>25</v>
      </c>
      <c r="D4561" s="3" t="s">
        <v>4565</v>
      </c>
      <c r="E4561" s="4" t="n">
        <v>0</v>
      </c>
    </row>
    <row r="4562" customFormat="false" ht="15" hidden="false" customHeight="false" outlineLevel="0" collapsed="false">
      <c r="A4562" s="3" t="n">
        <v>2024</v>
      </c>
      <c r="B4562" s="3" t="n">
        <v>6</v>
      </c>
      <c r="C4562" s="3" t="n">
        <v>26</v>
      </c>
      <c r="D4562" s="3" t="s">
        <v>4566</v>
      </c>
      <c r="E4562" s="4" t="n">
        <v>4</v>
      </c>
    </row>
    <row r="4563" customFormat="false" ht="15" hidden="false" customHeight="false" outlineLevel="0" collapsed="false">
      <c r="A4563" s="3" t="n">
        <v>2024</v>
      </c>
      <c r="B4563" s="3" t="n">
        <v>6</v>
      </c>
      <c r="C4563" s="3" t="n">
        <v>27</v>
      </c>
      <c r="D4563" s="3" t="s">
        <v>4567</v>
      </c>
      <c r="E4563" s="4" t="n">
        <v>2</v>
      </c>
    </row>
    <row r="4564" customFormat="false" ht="15" hidden="false" customHeight="false" outlineLevel="0" collapsed="false">
      <c r="A4564" s="3" t="n">
        <v>2024</v>
      </c>
      <c r="B4564" s="3" t="n">
        <v>6</v>
      </c>
      <c r="C4564" s="3" t="n">
        <v>28</v>
      </c>
      <c r="D4564" s="3" t="s">
        <v>4568</v>
      </c>
      <c r="E4564" s="4" t="n">
        <v>10</v>
      </c>
    </row>
    <row r="4565" customFormat="false" ht="15" hidden="false" customHeight="false" outlineLevel="0" collapsed="false">
      <c r="A4565" s="3" t="n">
        <v>2024</v>
      </c>
      <c r="B4565" s="3" t="n">
        <v>6</v>
      </c>
      <c r="C4565" s="3" t="n">
        <v>29</v>
      </c>
      <c r="D4565" s="3" t="s">
        <v>4569</v>
      </c>
      <c r="E4565" s="4" t="n">
        <v>18</v>
      </c>
    </row>
    <row r="4566" customFormat="false" ht="15" hidden="false" customHeight="false" outlineLevel="0" collapsed="false">
      <c r="A4566" s="3" t="n">
        <v>2024</v>
      </c>
      <c r="B4566" s="3" t="n">
        <v>6</v>
      </c>
      <c r="C4566" s="3" t="n">
        <v>30</v>
      </c>
      <c r="D4566" s="3" t="s">
        <v>4570</v>
      </c>
      <c r="E4566" s="4" t="n">
        <v>0</v>
      </c>
    </row>
    <row r="4567" customFormat="false" ht="15" hidden="false" customHeight="false" outlineLevel="0" collapsed="false">
      <c r="A4567" s="3" t="n">
        <v>2024</v>
      </c>
      <c r="B4567" s="3" t="n">
        <v>7</v>
      </c>
      <c r="C4567" s="3" t="n">
        <v>1</v>
      </c>
      <c r="D4567" s="3" t="s">
        <v>4571</v>
      </c>
      <c r="E4567" s="4" t="n">
        <v>0</v>
      </c>
    </row>
    <row r="4568" customFormat="false" ht="15" hidden="false" customHeight="false" outlineLevel="0" collapsed="false">
      <c r="A4568" s="3" t="n">
        <v>2024</v>
      </c>
      <c r="B4568" s="3" t="n">
        <v>7</v>
      </c>
      <c r="C4568" s="3" t="n">
        <v>2</v>
      </c>
      <c r="D4568" s="3" t="s">
        <v>4572</v>
      </c>
      <c r="E4568" s="4" t="n">
        <v>8</v>
      </c>
    </row>
    <row r="4569" customFormat="false" ht="15" hidden="false" customHeight="false" outlineLevel="0" collapsed="false">
      <c r="A4569" s="3" t="n">
        <v>2024</v>
      </c>
      <c r="B4569" s="3" t="n">
        <v>7</v>
      </c>
      <c r="C4569" s="3" t="n">
        <v>3</v>
      </c>
      <c r="D4569" s="3" t="s">
        <v>4573</v>
      </c>
      <c r="E4569" s="4" t="n">
        <v>0</v>
      </c>
    </row>
    <row r="4570" customFormat="false" ht="15" hidden="false" customHeight="false" outlineLevel="0" collapsed="false">
      <c r="A4570" s="3" t="n">
        <v>2024</v>
      </c>
      <c r="B4570" s="3" t="n">
        <v>7</v>
      </c>
      <c r="C4570" s="3" t="n">
        <v>4</v>
      </c>
      <c r="D4570" s="3" t="s">
        <v>4574</v>
      </c>
      <c r="E4570" s="4" t="n">
        <v>6</v>
      </c>
    </row>
    <row r="4571" customFormat="false" ht="15" hidden="false" customHeight="false" outlineLevel="0" collapsed="false">
      <c r="A4571" s="3" t="n">
        <v>2024</v>
      </c>
      <c r="B4571" s="3" t="n">
        <v>7</v>
      </c>
      <c r="C4571" s="3" t="n">
        <v>5</v>
      </c>
      <c r="D4571" s="3" t="s">
        <v>4575</v>
      </c>
      <c r="E4571" s="4" t="n">
        <v>16</v>
      </c>
    </row>
    <row r="4572" customFormat="false" ht="15" hidden="false" customHeight="false" outlineLevel="0" collapsed="false">
      <c r="A4572" s="3" t="n">
        <v>2024</v>
      </c>
      <c r="B4572" s="3" t="n">
        <v>7</v>
      </c>
      <c r="C4572" s="3" t="n">
        <v>6</v>
      </c>
      <c r="D4572" s="3" t="s">
        <v>4576</v>
      </c>
      <c r="E4572" s="4" t="n">
        <v>0</v>
      </c>
    </row>
    <row r="4573" customFormat="false" ht="15" hidden="false" customHeight="false" outlineLevel="0" collapsed="false">
      <c r="A4573" s="3" t="n">
        <v>2024</v>
      </c>
      <c r="B4573" s="3" t="n">
        <v>7</v>
      </c>
      <c r="C4573" s="3" t="n">
        <v>7</v>
      </c>
      <c r="D4573" s="3" t="s">
        <v>4577</v>
      </c>
      <c r="E4573" s="4" t="n">
        <v>17</v>
      </c>
    </row>
    <row r="4574" customFormat="false" ht="15" hidden="false" customHeight="false" outlineLevel="0" collapsed="false">
      <c r="A4574" s="3" t="n">
        <v>2024</v>
      </c>
      <c r="B4574" s="3" t="n">
        <v>7</v>
      </c>
      <c r="C4574" s="3" t="n">
        <v>8</v>
      </c>
      <c r="D4574" s="3" t="s">
        <v>4578</v>
      </c>
      <c r="E4574" s="4" t="n">
        <v>0</v>
      </c>
    </row>
    <row r="4575" customFormat="false" ht="15" hidden="false" customHeight="false" outlineLevel="0" collapsed="false">
      <c r="A4575" s="3" t="n">
        <v>2024</v>
      </c>
      <c r="B4575" s="3" t="n">
        <v>7</v>
      </c>
      <c r="C4575" s="3" t="n">
        <v>9</v>
      </c>
      <c r="D4575" s="3" t="s">
        <v>4579</v>
      </c>
      <c r="E4575" s="4" t="n">
        <v>0</v>
      </c>
    </row>
    <row r="4576" customFormat="false" ht="15" hidden="false" customHeight="false" outlineLevel="0" collapsed="false">
      <c r="A4576" s="3" t="n">
        <v>2024</v>
      </c>
      <c r="B4576" s="3" t="n">
        <v>7</v>
      </c>
      <c r="C4576" s="3" t="n">
        <v>10</v>
      </c>
      <c r="D4576" s="3" t="s">
        <v>4580</v>
      </c>
      <c r="E4576" s="4" t="n">
        <v>0</v>
      </c>
    </row>
    <row r="4577" customFormat="false" ht="15" hidden="false" customHeight="false" outlineLevel="0" collapsed="false">
      <c r="A4577" s="3" t="n">
        <v>2024</v>
      </c>
      <c r="B4577" s="3" t="n">
        <v>7</v>
      </c>
      <c r="C4577" s="3" t="n">
        <v>11</v>
      </c>
      <c r="D4577" s="3" t="s">
        <v>4581</v>
      </c>
      <c r="E4577" s="4" t="n">
        <v>58</v>
      </c>
    </row>
    <row r="4578" customFormat="false" ht="15" hidden="false" customHeight="false" outlineLevel="0" collapsed="false">
      <c r="A4578" s="3" t="n">
        <v>2024</v>
      </c>
      <c r="B4578" s="3" t="n">
        <v>7</v>
      </c>
      <c r="C4578" s="3" t="n">
        <v>12</v>
      </c>
      <c r="D4578" s="3" t="s">
        <v>4582</v>
      </c>
      <c r="E4578" s="4" t="n">
        <v>8</v>
      </c>
    </row>
    <row r="4579" customFormat="false" ht="15" hidden="false" customHeight="false" outlineLevel="0" collapsed="false">
      <c r="A4579" s="3" t="n">
        <v>2024</v>
      </c>
      <c r="B4579" s="3" t="n">
        <v>7</v>
      </c>
      <c r="C4579" s="3" t="n">
        <v>13</v>
      </c>
      <c r="D4579" s="3" t="s">
        <v>4583</v>
      </c>
      <c r="E4579" s="4" t="n">
        <v>0</v>
      </c>
    </row>
    <row r="4580" customFormat="false" ht="15" hidden="false" customHeight="false" outlineLevel="0" collapsed="false">
      <c r="A4580" s="3" t="n">
        <v>2024</v>
      </c>
      <c r="B4580" s="3" t="n">
        <v>7</v>
      </c>
      <c r="C4580" s="3" t="n">
        <v>14</v>
      </c>
      <c r="D4580" s="3" t="s">
        <v>4584</v>
      </c>
      <c r="E4580" s="4" t="n">
        <v>0</v>
      </c>
    </row>
    <row r="4581" customFormat="false" ht="15" hidden="false" customHeight="false" outlineLevel="0" collapsed="false">
      <c r="A4581" s="3" t="n">
        <v>2024</v>
      </c>
      <c r="B4581" s="3" t="n">
        <v>7</v>
      </c>
      <c r="C4581" s="3" t="n">
        <v>15</v>
      </c>
      <c r="D4581" s="3" t="s">
        <v>4585</v>
      </c>
      <c r="E4581" s="4" t="n">
        <v>0</v>
      </c>
    </row>
    <row r="4582" customFormat="false" ht="15" hidden="false" customHeight="false" outlineLevel="0" collapsed="false">
      <c r="A4582" s="3" t="n">
        <v>2024</v>
      </c>
      <c r="B4582" s="3" t="n">
        <v>7</v>
      </c>
      <c r="C4582" s="3" t="n">
        <v>16</v>
      </c>
      <c r="D4582" s="3" t="s">
        <v>4586</v>
      </c>
      <c r="E4582" s="4" t="n">
        <v>0</v>
      </c>
    </row>
    <row r="4583" customFormat="false" ht="15" hidden="false" customHeight="false" outlineLevel="0" collapsed="false">
      <c r="A4583" s="3" t="n">
        <v>2024</v>
      </c>
      <c r="B4583" s="3" t="n">
        <v>7</v>
      </c>
      <c r="C4583" s="3" t="n">
        <v>17</v>
      </c>
      <c r="D4583" s="3" t="s">
        <v>4587</v>
      </c>
      <c r="E4583" s="4" t="n">
        <v>0</v>
      </c>
    </row>
    <row r="4584" customFormat="false" ht="15" hidden="false" customHeight="false" outlineLevel="0" collapsed="false">
      <c r="A4584" s="3" t="n">
        <v>2024</v>
      </c>
      <c r="B4584" s="3" t="n">
        <v>7</v>
      </c>
      <c r="C4584" s="3" t="n">
        <v>18</v>
      </c>
      <c r="D4584" s="3" t="s">
        <v>4588</v>
      </c>
      <c r="E4584" s="4" t="n">
        <v>1</v>
      </c>
    </row>
    <row r="4585" customFormat="false" ht="15" hidden="false" customHeight="false" outlineLevel="0" collapsed="false">
      <c r="A4585" s="3" t="n">
        <v>2024</v>
      </c>
      <c r="B4585" s="3" t="n">
        <v>7</v>
      </c>
      <c r="C4585" s="3" t="n">
        <v>19</v>
      </c>
      <c r="D4585" s="3" t="s">
        <v>4589</v>
      </c>
      <c r="E4585" s="4" t="n">
        <v>0</v>
      </c>
    </row>
    <row r="4586" customFormat="false" ht="15" hidden="false" customHeight="false" outlineLevel="0" collapsed="false">
      <c r="A4586" s="3" t="n">
        <v>2024</v>
      </c>
      <c r="B4586" s="3" t="n">
        <v>7</v>
      </c>
      <c r="C4586" s="3" t="n">
        <v>20</v>
      </c>
      <c r="D4586" s="3" t="s">
        <v>4590</v>
      </c>
      <c r="E4586" s="4" t="n">
        <v>0</v>
      </c>
    </row>
    <row r="4587" customFormat="false" ht="15" hidden="false" customHeight="false" outlineLevel="0" collapsed="false">
      <c r="A4587" s="3" t="n">
        <v>2024</v>
      </c>
      <c r="B4587" s="3" t="n">
        <v>7</v>
      </c>
      <c r="C4587" s="3" t="n">
        <v>21</v>
      </c>
      <c r="D4587" s="3" t="s">
        <v>4591</v>
      </c>
      <c r="E4587" s="4" t="n">
        <v>0</v>
      </c>
    </row>
    <row r="4588" customFormat="false" ht="15" hidden="false" customHeight="false" outlineLevel="0" collapsed="false">
      <c r="A4588" s="3" t="n">
        <v>2024</v>
      </c>
      <c r="B4588" s="3" t="n">
        <v>7</v>
      </c>
      <c r="C4588" s="3" t="n">
        <v>22</v>
      </c>
      <c r="D4588" s="3" t="s">
        <v>4592</v>
      </c>
      <c r="E4588" s="4" t="n">
        <v>0</v>
      </c>
    </row>
    <row r="4589" customFormat="false" ht="15" hidden="false" customHeight="false" outlineLevel="0" collapsed="false">
      <c r="A4589" s="3" t="n">
        <v>2024</v>
      </c>
      <c r="B4589" s="3" t="n">
        <v>7</v>
      </c>
      <c r="C4589" s="3" t="n">
        <v>23</v>
      </c>
      <c r="D4589" s="3" t="s">
        <v>4593</v>
      </c>
      <c r="E4589" s="4" t="n">
        <v>0</v>
      </c>
    </row>
    <row r="4590" customFormat="false" ht="15" hidden="false" customHeight="false" outlineLevel="0" collapsed="false">
      <c r="A4590" s="3" t="n">
        <v>2024</v>
      </c>
      <c r="B4590" s="3" t="n">
        <v>7</v>
      </c>
      <c r="C4590" s="3" t="n">
        <v>24</v>
      </c>
      <c r="D4590" s="3" t="s">
        <v>4594</v>
      </c>
      <c r="E4590" s="4" t="n">
        <v>0</v>
      </c>
    </row>
    <row r="4591" customFormat="false" ht="15" hidden="false" customHeight="false" outlineLevel="0" collapsed="false">
      <c r="A4591" s="3" t="n">
        <v>2024</v>
      </c>
      <c r="B4591" s="3" t="n">
        <v>7</v>
      </c>
      <c r="C4591" s="3" t="n">
        <v>25</v>
      </c>
      <c r="D4591" s="3" t="s">
        <v>4595</v>
      </c>
      <c r="E4591" s="4" t="n">
        <v>0</v>
      </c>
    </row>
    <row r="4592" customFormat="false" ht="15" hidden="false" customHeight="false" outlineLevel="0" collapsed="false">
      <c r="A4592" s="3" t="n">
        <v>2024</v>
      </c>
      <c r="B4592" s="3" t="n">
        <v>7</v>
      </c>
      <c r="C4592" s="3" t="n">
        <v>26</v>
      </c>
      <c r="D4592" s="3" t="s">
        <v>4596</v>
      </c>
      <c r="E4592" s="4" t="n">
        <v>0</v>
      </c>
    </row>
    <row r="4593" customFormat="false" ht="15" hidden="false" customHeight="false" outlineLevel="0" collapsed="false">
      <c r="A4593" s="3" t="n">
        <v>2024</v>
      </c>
      <c r="B4593" s="3" t="n">
        <v>7</v>
      </c>
      <c r="C4593" s="3" t="n">
        <v>27</v>
      </c>
      <c r="D4593" s="3" t="s">
        <v>4597</v>
      </c>
      <c r="E4593" s="4" t="n">
        <v>0</v>
      </c>
    </row>
    <row r="4594" customFormat="false" ht="15" hidden="false" customHeight="false" outlineLevel="0" collapsed="false">
      <c r="A4594" s="3" t="n">
        <v>2024</v>
      </c>
      <c r="B4594" s="3" t="n">
        <v>7</v>
      </c>
      <c r="C4594" s="3" t="n">
        <v>28</v>
      </c>
      <c r="D4594" s="3" t="s">
        <v>4598</v>
      </c>
      <c r="E4594" s="4" t="n">
        <v>0</v>
      </c>
    </row>
    <row r="4595" customFormat="false" ht="15" hidden="false" customHeight="false" outlineLevel="0" collapsed="false">
      <c r="A4595" s="3" t="n">
        <v>2024</v>
      </c>
      <c r="B4595" s="3" t="n">
        <v>7</v>
      </c>
      <c r="C4595" s="3" t="n">
        <v>29</v>
      </c>
      <c r="D4595" s="3" t="s">
        <v>4599</v>
      </c>
      <c r="E4595" s="4" t="n">
        <v>0</v>
      </c>
    </row>
    <row r="4596" customFormat="false" ht="15" hidden="false" customHeight="false" outlineLevel="0" collapsed="false">
      <c r="A4596" s="3" t="n">
        <v>2024</v>
      </c>
      <c r="B4596" s="3" t="n">
        <v>7</v>
      </c>
      <c r="C4596" s="3" t="n">
        <v>30</v>
      </c>
      <c r="D4596" s="3" t="s">
        <v>4600</v>
      </c>
      <c r="E4596" s="4" t="n">
        <v>0</v>
      </c>
    </row>
    <row r="4597" customFormat="false" ht="15" hidden="false" customHeight="false" outlineLevel="0" collapsed="false">
      <c r="A4597" s="3" t="n">
        <v>2024</v>
      </c>
      <c r="B4597" s="3" t="n">
        <v>7</v>
      </c>
      <c r="C4597" s="3" t="n">
        <v>31</v>
      </c>
      <c r="D4597" s="3" t="s">
        <v>4601</v>
      </c>
      <c r="E4597" s="4" t="n">
        <v>0</v>
      </c>
    </row>
    <row r="4598" customFormat="false" ht="15" hidden="false" customHeight="false" outlineLevel="0" collapsed="false">
      <c r="A4598" s="3" t="n">
        <v>2024</v>
      </c>
      <c r="B4598" s="3" t="n">
        <v>8</v>
      </c>
      <c r="C4598" s="3" t="n">
        <v>1</v>
      </c>
      <c r="D4598" s="3" t="s">
        <v>4602</v>
      </c>
      <c r="E4598" s="4" t="n">
        <v>40</v>
      </c>
    </row>
    <row r="4599" customFormat="false" ht="15" hidden="false" customHeight="false" outlineLevel="0" collapsed="false">
      <c r="A4599" s="3" t="n">
        <v>2024</v>
      </c>
      <c r="B4599" s="3" t="n">
        <v>8</v>
      </c>
      <c r="C4599" s="3" t="n">
        <v>2</v>
      </c>
      <c r="D4599" s="3" t="s">
        <v>4603</v>
      </c>
      <c r="E4599" s="4" t="n">
        <v>1</v>
      </c>
    </row>
    <row r="4600" customFormat="false" ht="15" hidden="false" customHeight="false" outlineLevel="0" collapsed="false">
      <c r="A4600" s="3" t="n">
        <v>2024</v>
      </c>
      <c r="B4600" s="3" t="n">
        <v>8</v>
      </c>
      <c r="C4600" s="3" t="n">
        <v>3</v>
      </c>
      <c r="D4600" s="3" t="s">
        <v>4604</v>
      </c>
      <c r="E4600" s="4" t="n">
        <v>0</v>
      </c>
    </row>
    <row r="4601" customFormat="false" ht="15" hidden="false" customHeight="false" outlineLevel="0" collapsed="false">
      <c r="A4601" s="3" t="n">
        <v>2024</v>
      </c>
      <c r="B4601" s="3" t="n">
        <v>8</v>
      </c>
      <c r="C4601" s="3" t="n">
        <v>4</v>
      </c>
      <c r="D4601" s="3" t="s">
        <v>4605</v>
      </c>
      <c r="E4601" s="4" t="n">
        <v>0</v>
      </c>
    </row>
    <row r="4602" customFormat="false" ht="15" hidden="false" customHeight="false" outlineLevel="0" collapsed="false">
      <c r="A4602" s="3" t="n">
        <v>2024</v>
      </c>
      <c r="B4602" s="3" t="n">
        <v>8</v>
      </c>
      <c r="C4602" s="3" t="n">
        <v>5</v>
      </c>
      <c r="D4602" s="3" t="s">
        <v>4606</v>
      </c>
      <c r="E4602" s="4" t="n">
        <v>9</v>
      </c>
    </row>
    <row r="4603" customFormat="false" ht="15" hidden="false" customHeight="false" outlineLevel="0" collapsed="false">
      <c r="A4603" s="3" t="n">
        <v>2024</v>
      </c>
      <c r="B4603" s="3" t="n">
        <v>8</v>
      </c>
      <c r="C4603" s="3" t="n">
        <v>6</v>
      </c>
      <c r="D4603" s="3" t="s">
        <v>4607</v>
      </c>
      <c r="E4603" s="4" t="n">
        <v>0</v>
      </c>
    </row>
    <row r="4604" customFormat="false" ht="15" hidden="false" customHeight="false" outlineLevel="0" collapsed="false">
      <c r="A4604" s="3" t="n">
        <v>2024</v>
      </c>
      <c r="B4604" s="3" t="n">
        <v>8</v>
      </c>
      <c r="C4604" s="3" t="n">
        <v>7</v>
      </c>
      <c r="D4604" s="3" t="s">
        <v>4608</v>
      </c>
      <c r="E4604" s="4" t="n">
        <v>13</v>
      </c>
    </row>
    <row r="4605" customFormat="false" ht="15" hidden="false" customHeight="false" outlineLevel="0" collapsed="false">
      <c r="A4605" s="3" t="n">
        <v>2024</v>
      </c>
      <c r="B4605" s="3" t="n">
        <v>8</v>
      </c>
      <c r="C4605" s="3" t="n">
        <v>8</v>
      </c>
      <c r="D4605" s="3" t="s">
        <v>4609</v>
      </c>
      <c r="E4605" s="4" t="n">
        <v>49</v>
      </c>
    </row>
    <row r="4606" customFormat="false" ht="15" hidden="false" customHeight="false" outlineLevel="0" collapsed="false">
      <c r="A4606" s="3" t="n">
        <v>2024</v>
      </c>
      <c r="B4606" s="3" t="n">
        <v>8</v>
      </c>
      <c r="C4606" s="3" t="n">
        <v>9</v>
      </c>
      <c r="D4606" s="3" t="s">
        <v>4610</v>
      </c>
      <c r="E4606" s="4" t="n">
        <v>13</v>
      </c>
    </row>
    <row r="4607" customFormat="false" ht="15" hidden="false" customHeight="false" outlineLevel="0" collapsed="false">
      <c r="A4607" s="3" t="n">
        <v>2024</v>
      </c>
      <c r="B4607" s="3" t="n">
        <v>8</v>
      </c>
      <c r="C4607" s="3" t="n">
        <v>10</v>
      </c>
      <c r="D4607" s="3" t="s">
        <v>4611</v>
      </c>
      <c r="E4607" s="4" t="n">
        <v>0</v>
      </c>
    </row>
    <row r="4608" customFormat="false" ht="15" hidden="false" customHeight="false" outlineLevel="0" collapsed="false">
      <c r="A4608" s="3" t="n">
        <v>2024</v>
      </c>
      <c r="B4608" s="3" t="n">
        <v>8</v>
      </c>
      <c r="C4608" s="3" t="n">
        <v>11</v>
      </c>
      <c r="D4608" s="3" t="s">
        <v>4612</v>
      </c>
      <c r="E4608" s="4" t="n">
        <v>0</v>
      </c>
    </row>
    <row r="4609" customFormat="false" ht="15" hidden="false" customHeight="false" outlineLevel="0" collapsed="false">
      <c r="A4609" s="3" t="n">
        <v>2024</v>
      </c>
      <c r="B4609" s="3" t="n">
        <v>8</v>
      </c>
      <c r="C4609" s="3" t="n">
        <v>12</v>
      </c>
      <c r="D4609" s="3" t="s">
        <v>4613</v>
      </c>
      <c r="E4609" s="4" t="n">
        <v>3</v>
      </c>
    </row>
    <row r="4610" customFormat="false" ht="15" hidden="false" customHeight="false" outlineLevel="0" collapsed="false">
      <c r="A4610" s="3" t="n">
        <v>2024</v>
      </c>
      <c r="B4610" s="3" t="n">
        <v>8</v>
      </c>
      <c r="C4610" s="3" t="n">
        <v>13</v>
      </c>
      <c r="D4610" s="3" t="s">
        <v>4614</v>
      </c>
      <c r="E4610" s="4" t="n">
        <v>5</v>
      </c>
    </row>
    <row r="4611" customFormat="false" ht="15" hidden="false" customHeight="false" outlineLevel="0" collapsed="false">
      <c r="A4611" s="3" t="n">
        <v>2024</v>
      </c>
      <c r="B4611" s="3" t="n">
        <v>8</v>
      </c>
      <c r="C4611" s="3" t="n">
        <v>14</v>
      </c>
      <c r="D4611" s="3" t="s">
        <v>4615</v>
      </c>
      <c r="E4611" s="4" t="n">
        <v>0</v>
      </c>
    </row>
    <row r="4612" customFormat="false" ht="15" hidden="false" customHeight="false" outlineLevel="0" collapsed="false">
      <c r="A4612" s="3" t="n">
        <v>2024</v>
      </c>
      <c r="B4612" s="3" t="n">
        <v>8</v>
      </c>
      <c r="C4612" s="3" t="n">
        <v>15</v>
      </c>
      <c r="D4612" s="3" t="s">
        <v>4616</v>
      </c>
      <c r="E4612" s="4" t="n">
        <v>16</v>
      </c>
    </row>
    <row r="4613" customFormat="false" ht="15" hidden="false" customHeight="false" outlineLevel="0" collapsed="false">
      <c r="A4613" s="3" t="n">
        <v>2024</v>
      </c>
      <c r="B4613" s="3" t="n">
        <v>8</v>
      </c>
      <c r="C4613" s="3" t="n">
        <v>16</v>
      </c>
      <c r="D4613" s="3" t="s">
        <v>4617</v>
      </c>
      <c r="E4613" s="4" t="n">
        <v>6</v>
      </c>
    </row>
    <row r="4614" customFormat="false" ht="15" hidden="false" customHeight="false" outlineLevel="0" collapsed="false">
      <c r="A4614" s="3" t="n">
        <v>2024</v>
      </c>
      <c r="B4614" s="3" t="n">
        <v>8</v>
      </c>
      <c r="C4614" s="3" t="n">
        <v>17</v>
      </c>
      <c r="D4614" s="3" t="s">
        <v>4618</v>
      </c>
      <c r="E4614" s="4" t="n">
        <v>44</v>
      </c>
    </row>
    <row r="4615" customFormat="false" ht="15" hidden="false" customHeight="false" outlineLevel="0" collapsed="false">
      <c r="A4615" s="3" t="n">
        <v>2024</v>
      </c>
      <c r="B4615" s="3" t="n">
        <v>8</v>
      </c>
      <c r="C4615" s="3" t="n">
        <v>18</v>
      </c>
      <c r="D4615" s="3" t="s">
        <v>4619</v>
      </c>
      <c r="E4615" s="4" t="n">
        <v>6</v>
      </c>
    </row>
    <row r="4616" customFormat="false" ht="15" hidden="false" customHeight="false" outlineLevel="0" collapsed="false">
      <c r="A4616" s="3" t="n">
        <v>2024</v>
      </c>
      <c r="B4616" s="3" t="n">
        <v>8</v>
      </c>
      <c r="C4616" s="3" t="n">
        <v>19</v>
      </c>
      <c r="D4616" s="3" t="s">
        <v>4620</v>
      </c>
      <c r="E4616" s="4" t="n">
        <v>3</v>
      </c>
    </row>
    <row r="4617" customFormat="false" ht="15" hidden="false" customHeight="false" outlineLevel="0" collapsed="false">
      <c r="A4617" s="3" t="n">
        <v>2024</v>
      </c>
      <c r="B4617" s="3" t="n">
        <v>8</v>
      </c>
      <c r="C4617" s="3" t="n">
        <v>20</v>
      </c>
      <c r="D4617" s="3" t="s">
        <v>4621</v>
      </c>
      <c r="E4617" s="4" t="n">
        <v>36</v>
      </c>
    </row>
    <row r="4618" customFormat="false" ht="15" hidden="false" customHeight="false" outlineLevel="0" collapsed="false">
      <c r="A4618" s="3" t="n">
        <v>2024</v>
      </c>
      <c r="B4618" s="3" t="n">
        <v>8</v>
      </c>
      <c r="C4618" s="3" t="n">
        <v>21</v>
      </c>
      <c r="D4618" s="3" t="s">
        <v>4622</v>
      </c>
      <c r="E4618" s="4" t="n">
        <v>5</v>
      </c>
    </row>
    <row r="4619" customFormat="false" ht="15" hidden="false" customHeight="false" outlineLevel="0" collapsed="false">
      <c r="A4619" s="3" t="n">
        <v>2024</v>
      </c>
      <c r="B4619" s="3" t="n">
        <v>8</v>
      </c>
      <c r="C4619" s="3" t="n">
        <v>22</v>
      </c>
      <c r="D4619" s="3" t="s">
        <v>4623</v>
      </c>
      <c r="E4619" s="4" t="n">
        <v>13</v>
      </c>
    </row>
    <row r="4620" customFormat="false" ht="15" hidden="false" customHeight="false" outlineLevel="0" collapsed="false">
      <c r="A4620" s="3" t="n">
        <v>2024</v>
      </c>
      <c r="B4620" s="3" t="n">
        <v>8</v>
      </c>
      <c r="C4620" s="3" t="n">
        <v>23</v>
      </c>
      <c r="D4620" s="3" t="s">
        <v>4624</v>
      </c>
      <c r="E4620" s="4" t="n">
        <v>1</v>
      </c>
    </row>
    <row r="4621" customFormat="false" ht="15" hidden="false" customHeight="false" outlineLevel="0" collapsed="false">
      <c r="A4621" s="3" t="n">
        <v>2024</v>
      </c>
      <c r="B4621" s="3" t="n">
        <v>8</v>
      </c>
      <c r="C4621" s="3" t="n">
        <v>24</v>
      </c>
      <c r="D4621" s="3" t="s">
        <v>4625</v>
      </c>
      <c r="E4621" s="4" t="n">
        <v>7</v>
      </c>
    </row>
    <row r="4622" customFormat="false" ht="15" hidden="false" customHeight="false" outlineLevel="0" collapsed="false">
      <c r="A4622" s="3" t="n">
        <v>2024</v>
      </c>
      <c r="B4622" s="3" t="n">
        <v>8</v>
      </c>
      <c r="C4622" s="3" t="n">
        <v>25</v>
      </c>
      <c r="D4622" s="3" t="s">
        <v>4626</v>
      </c>
      <c r="E4622" s="4" t="n">
        <v>9</v>
      </c>
    </row>
    <row r="4623" customFormat="false" ht="15" hidden="false" customHeight="false" outlineLevel="0" collapsed="false">
      <c r="A4623" s="3" t="n">
        <v>2024</v>
      </c>
      <c r="B4623" s="3" t="n">
        <v>8</v>
      </c>
      <c r="C4623" s="3" t="n">
        <v>26</v>
      </c>
      <c r="D4623" s="3" t="s">
        <v>4627</v>
      </c>
      <c r="E4623" s="4" t="n">
        <v>1</v>
      </c>
    </row>
    <row r="4624" customFormat="false" ht="15" hidden="false" customHeight="false" outlineLevel="0" collapsed="false">
      <c r="A4624" s="3" t="n">
        <v>2024</v>
      </c>
      <c r="B4624" s="3" t="n">
        <v>8</v>
      </c>
      <c r="C4624" s="3" t="n">
        <v>27</v>
      </c>
      <c r="D4624" s="3" t="s">
        <v>4628</v>
      </c>
      <c r="E4624" s="4" t="n">
        <v>3</v>
      </c>
    </row>
    <row r="4625" customFormat="false" ht="15" hidden="false" customHeight="false" outlineLevel="0" collapsed="false">
      <c r="A4625" s="3" t="n">
        <v>2024</v>
      </c>
      <c r="B4625" s="3" t="n">
        <v>8</v>
      </c>
      <c r="C4625" s="3" t="n">
        <v>28</v>
      </c>
      <c r="D4625" s="3" t="s">
        <v>4629</v>
      </c>
      <c r="E4625" s="4" t="n">
        <v>59</v>
      </c>
    </row>
    <row r="4626" customFormat="false" ht="15" hidden="false" customHeight="false" outlineLevel="0" collapsed="false">
      <c r="A4626" s="3" t="n">
        <v>2024</v>
      </c>
      <c r="B4626" s="3" t="n">
        <v>8</v>
      </c>
      <c r="C4626" s="3" t="n">
        <v>29</v>
      </c>
      <c r="D4626" s="3" t="s">
        <v>4630</v>
      </c>
      <c r="E4626" s="4" t="n">
        <v>8</v>
      </c>
    </row>
    <row r="4627" customFormat="false" ht="15" hidden="false" customHeight="false" outlineLevel="0" collapsed="false">
      <c r="A4627" s="3" t="n">
        <v>2024</v>
      </c>
      <c r="B4627" s="3" t="n">
        <v>8</v>
      </c>
      <c r="C4627" s="3" t="n">
        <v>30</v>
      </c>
      <c r="D4627" s="3" t="s">
        <v>4631</v>
      </c>
      <c r="E4627" s="4" t="n">
        <v>0</v>
      </c>
    </row>
    <row r="4628" customFormat="false" ht="15" hidden="false" customHeight="false" outlineLevel="0" collapsed="false">
      <c r="A4628" s="3" t="n">
        <v>2024</v>
      </c>
      <c r="B4628" s="3" t="n">
        <v>8</v>
      </c>
      <c r="C4628" s="3" t="n">
        <v>31</v>
      </c>
      <c r="D4628" s="3" t="s">
        <v>4632</v>
      </c>
      <c r="E4628" s="4" t="n">
        <v>0</v>
      </c>
    </row>
    <row r="4629" customFormat="false" ht="15" hidden="false" customHeight="false" outlineLevel="0" collapsed="false">
      <c r="A4629" s="3" t="n">
        <v>2024</v>
      </c>
      <c r="B4629" s="3" t="n">
        <v>9</v>
      </c>
      <c r="C4629" s="3" t="n">
        <v>1</v>
      </c>
      <c r="D4629" s="3" t="s">
        <v>4633</v>
      </c>
      <c r="E4629" s="4" t="n">
        <v>0</v>
      </c>
    </row>
    <row r="4630" customFormat="false" ht="15" hidden="false" customHeight="false" outlineLevel="0" collapsed="false">
      <c r="A4630" s="3" t="n">
        <v>2024</v>
      </c>
      <c r="B4630" s="3" t="n">
        <v>9</v>
      </c>
      <c r="C4630" s="3" t="n">
        <v>2</v>
      </c>
      <c r="D4630" s="3" t="s">
        <v>4634</v>
      </c>
      <c r="E4630" s="4" t="n">
        <v>1</v>
      </c>
    </row>
    <row r="4631" customFormat="false" ht="15" hidden="false" customHeight="false" outlineLevel="0" collapsed="false">
      <c r="A4631" s="3" t="n">
        <v>2024</v>
      </c>
      <c r="B4631" s="3" t="n">
        <v>9</v>
      </c>
      <c r="C4631" s="3" t="n">
        <v>3</v>
      </c>
      <c r="D4631" s="3" t="s">
        <v>4635</v>
      </c>
      <c r="E4631" s="4" t="n">
        <v>0</v>
      </c>
    </row>
    <row r="4632" customFormat="false" ht="15" hidden="false" customHeight="false" outlineLevel="0" collapsed="false">
      <c r="A4632" s="3" t="n">
        <v>2024</v>
      </c>
      <c r="B4632" s="3" t="n">
        <v>9</v>
      </c>
      <c r="C4632" s="3" t="n">
        <v>4</v>
      </c>
      <c r="D4632" s="3" t="s">
        <v>4636</v>
      </c>
      <c r="E4632" s="4" t="n">
        <v>0</v>
      </c>
    </row>
    <row r="4633" customFormat="false" ht="15" hidden="false" customHeight="false" outlineLevel="0" collapsed="false">
      <c r="A4633" s="3" t="n">
        <v>2024</v>
      </c>
      <c r="B4633" s="3" t="n">
        <v>9</v>
      </c>
      <c r="C4633" s="3" t="n">
        <v>5</v>
      </c>
      <c r="D4633" s="3" t="s">
        <v>4637</v>
      </c>
      <c r="E4633" s="4" t="n">
        <v>0</v>
      </c>
    </row>
    <row r="4634" customFormat="false" ht="15" hidden="false" customHeight="false" outlineLevel="0" collapsed="false">
      <c r="A4634" s="3" t="n">
        <v>2024</v>
      </c>
      <c r="B4634" s="3" t="n">
        <v>9</v>
      </c>
      <c r="C4634" s="3" t="n">
        <v>6</v>
      </c>
      <c r="D4634" s="3" t="s">
        <v>4638</v>
      </c>
      <c r="E4634" s="4" t="n">
        <v>0</v>
      </c>
    </row>
    <row r="4635" customFormat="false" ht="15" hidden="false" customHeight="false" outlineLevel="0" collapsed="false">
      <c r="A4635" s="3" t="n">
        <v>2024</v>
      </c>
      <c r="B4635" s="3" t="n">
        <v>9</v>
      </c>
      <c r="C4635" s="3" t="n">
        <v>7</v>
      </c>
      <c r="D4635" s="3" t="s">
        <v>4639</v>
      </c>
      <c r="E4635" s="4" t="n">
        <v>0</v>
      </c>
    </row>
    <row r="4636" customFormat="false" ht="15" hidden="false" customHeight="false" outlineLevel="0" collapsed="false">
      <c r="A4636" s="3" t="n">
        <v>2024</v>
      </c>
      <c r="B4636" s="3" t="n">
        <v>9</v>
      </c>
      <c r="C4636" s="3" t="n">
        <v>8</v>
      </c>
      <c r="D4636" s="3" t="s">
        <v>4640</v>
      </c>
      <c r="E4636" s="4" t="n">
        <v>46</v>
      </c>
    </row>
    <row r="4637" customFormat="false" ht="15" hidden="false" customHeight="false" outlineLevel="0" collapsed="false">
      <c r="A4637" s="3" t="n">
        <v>2024</v>
      </c>
      <c r="B4637" s="3" t="n">
        <v>9</v>
      </c>
      <c r="C4637" s="3" t="n">
        <v>9</v>
      </c>
      <c r="D4637" s="3" t="s">
        <v>4641</v>
      </c>
      <c r="E4637" s="4" t="n">
        <v>29</v>
      </c>
    </row>
    <row r="4638" customFormat="false" ht="15" hidden="false" customHeight="false" outlineLevel="0" collapsed="false">
      <c r="A4638" s="3" t="n">
        <v>2024</v>
      </c>
      <c r="B4638" s="3" t="n">
        <v>9</v>
      </c>
      <c r="C4638" s="3" t="n">
        <v>10</v>
      </c>
      <c r="D4638" s="3" t="s">
        <v>4642</v>
      </c>
      <c r="E4638" s="4" t="n">
        <v>1</v>
      </c>
    </row>
    <row r="4639" customFormat="false" ht="15" hidden="false" customHeight="false" outlineLevel="0" collapsed="false">
      <c r="A4639" s="3" t="n">
        <v>2024</v>
      </c>
      <c r="B4639" s="3" t="n">
        <v>9</v>
      </c>
      <c r="C4639" s="3" t="n">
        <v>11</v>
      </c>
      <c r="D4639" s="3" t="s">
        <v>4643</v>
      </c>
      <c r="E4639" s="4" t="n">
        <v>6</v>
      </c>
    </row>
    <row r="4640" customFormat="false" ht="15" hidden="false" customHeight="false" outlineLevel="0" collapsed="false">
      <c r="A4640" s="3" t="n">
        <v>2024</v>
      </c>
      <c r="B4640" s="3" t="n">
        <v>9</v>
      </c>
      <c r="C4640" s="3" t="n">
        <v>12</v>
      </c>
      <c r="D4640" s="3" t="s">
        <v>4644</v>
      </c>
      <c r="E4640" s="4" t="n">
        <v>0</v>
      </c>
    </row>
    <row r="4641" customFormat="false" ht="15" hidden="false" customHeight="false" outlineLevel="0" collapsed="false">
      <c r="A4641" s="3" t="n">
        <v>2024</v>
      </c>
      <c r="B4641" s="3" t="n">
        <v>9</v>
      </c>
      <c r="C4641" s="3" t="n">
        <v>13</v>
      </c>
      <c r="D4641" s="3" t="s">
        <v>4645</v>
      </c>
      <c r="E4641" s="4" t="n">
        <v>0</v>
      </c>
    </row>
    <row r="4642" customFormat="false" ht="15" hidden="false" customHeight="false" outlineLevel="0" collapsed="false">
      <c r="A4642" s="3" t="n">
        <v>2024</v>
      </c>
      <c r="B4642" s="3" t="n">
        <v>9</v>
      </c>
      <c r="C4642" s="3" t="n">
        <v>14</v>
      </c>
      <c r="D4642" s="3" t="s">
        <v>4646</v>
      </c>
      <c r="E4642" s="4" t="n">
        <v>0</v>
      </c>
    </row>
    <row r="4643" customFormat="false" ht="15" hidden="false" customHeight="false" outlineLevel="0" collapsed="false">
      <c r="A4643" s="3" t="n">
        <v>2024</v>
      </c>
      <c r="B4643" s="3" t="n">
        <v>9</v>
      </c>
      <c r="C4643" s="3" t="n">
        <v>15</v>
      </c>
      <c r="D4643" s="3" t="s">
        <v>4647</v>
      </c>
      <c r="E4643" s="4" t="n">
        <v>0</v>
      </c>
    </row>
    <row r="4644" customFormat="false" ht="15" hidden="false" customHeight="false" outlineLevel="0" collapsed="false">
      <c r="A4644" s="3" t="n">
        <v>2024</v>
      </c>
      <c r="B4644" s="3" t="n">
        <v>9</v>
      </c>
      <c r="C4644" s="3" t="n">
        <v>16</v>
      </c>
      <c r="D4644" s="3" t="s">
        <v>4648</v>
      </c>
      <c r="E4644" s="4" t="n">
        <v>0</v>
      </c>
    </row>
    <row r="4645" customFormat="false" ht="15" hidden="false" customHeight="false" outlineLevel="0" collapsed="false">
      <c r="A4645" s="3" t="n">
        <v>2024</v>
      </c>
      <c r="B4645" s="3" t="n">
        <v>9</v>
      </c>
      <c r="C4645" s="3" t="n">
        <v>17</v>
      </c>
      <c r="D4645" s="3" t="s">
        <v>4649</v>
      </c>
      <c r="E4645" s="4" t="n">
        <v>0</v>
      </c>
    </row>
    <row r="4646" customFormat="false" ht="15" hidden="false" customHeight="false" outlineLevel="0" collapsed="false">
      <c r="A4646" s="3" t="n">
        <v>2024</v>
      </c>
      <c r="B4646" s="3" t="n">
        <v>9</v>
      </c>
      <c r="C4646" s="3" t="n">
        <v>18</v>
      </c>
      <c r="D4646" s="3" t="s">
        <v>4650</v>
      </c>
      <c r="E4646" s="4" t="n">
        <v>56</v>
      </c>
    </row>
    <row r="4647" customFormat="false" ht="15" hidden="false" customHeight="false" outlineLevel="0" collapsed="false">
      <c r="A4647" s="3" t="n">
        <v>2024</v>
      </c>
      <c r="B4647" s="3" t="n">
        <v>9</v>
      </c>
      <c r="C4647" s="3" t="n">
        <v>19</v>
      </c>
      <c r="D4647" s="3" t="s">
        <v>4651</v>
      </c>
      <c r="E4647" s="4" t="n">
        <v>6</v>
      </c>
    </row>
    <row r="4648" customFormat="false" ht="15" hidden="false" customHeight="false" outlineLevel="0" collapsed="false">
      <c r="A4648" s="3" t="n">
        <v>2024</v>
      </c>
      <c r="B4648" s="3" t="n">
        <v>9</v>
      </c>
      <c r="C4648" s="3" t="n">
        <v>20</v>
      </c>
      <c r="D4648" s="3" t="s">
        <v>4652</v>
      </c>
      <c r="E4648" s="4" t="n">
        <v>0</v>
      </c>
    </row>
    <row r="4649" customFormat="false" ht="15" hidden="false" customHeight="false" outlineLevel="0" collapsed="false">
      <c r="A4649" s="3" t="n">
        <v>2024</v>
      </c>
      <c r="B4649" s="3" t="n">
        <v>9</v>
      </c>
      <c r="C4649" s="3" t="n">
        <v>21</v>
      </c>
      <c r="D4649" s="3" t="s">
        <v>4653</v>
      </c>
      <c r="E4649" s="4" t="n">
        <v>0</v>
      </c>
    </row>
    <row r="4650" customFormat="false" ht="15" hidden="false" customHeight="false" outlineLevel="0" collapsed="false">
      <c r="A4650" s="3" t="n">
        <v>2024</v>
      </c>
      <c r="B4650" s="3" t="n">
        <v>9</v>
      </c>
      <c r="C4650" s="3" t="n">
        <v>22</v>
      </c>
      <c r="D4650" s="3" t="s">
        <v>4654</v>
      </c>
      <c r="E4650" s="4" t="n">
        <v>0</v>
      </c>
    </row>
    <row r="4651" customFormat="false" ht="15" hidden="false" customHeight="false" outlineLevel="0" collapsed="false">
      <c r="A4651" s="3" t="n">
        <v>2024</v>
      </c>
      <c r="B4651" s="3" t="n">
        <v>9</v>
      </c>
      <c r="C4651" s="3" t="n">
        <v>23</v>
      </c>
      <c r="D4651" s="3" t="s">
        <v>4655</v>
      </c>
      <c r="E4651" s="4" t="n">
        <v>4</v>
      </c>
    </row>
    <row r="4652" customFormat="false" ht="15" hidden="false" customHeight="false" outlineLevel="0" collapsed="false">
      <c r="A4652" s="3" t="n">
        <v>2024</v>
      </c>
      <c r="B4652" s="3" t="n">
        <v>9</v>
      </c>
      <c r="C4652" s="3" t="n">
        <v>24</v>
      </c>
      <c r="D4652" s="3" t="s">
        <v>4656</v>
      </c>
      <c r="E4652" s="4" t="n">
        <v>0</v>
      </c>
    </row>
    <row r="4653" customFormat="false" ht="15" hidden="false" customHeight="false" outlineLevel="0" collapsed="false">
      <c r="A4653" s="3" t="n">
        <v>2024</v>
      </c>
      <c r="B4653" s="3" t="n">
        <v>9</v>
      </c>
      <c r="C4653" s="3" t="n">
        <v>25</v>
      </c>
      <c r="D4653" s="3" t="s">
        <v>4657</v>
      </c>
      <c r="E4653" s="4" t="n">
        <v>1</v>
      </c>
    </row>
    <row r="4654" customFormat="false" ht="15" hidden="false" customHeight="false" outlineLevel="0" collapsed="false">
      <c r="A4654" s="3" t="n">
        <v>2024</v>
      </c>
      <c r="B4654" s="3" t="n">
        <v>9</v>
      </c>
      <c r="C4654" s="3" t="n">
        <v>26</v>
      </c>
      <c r="D4654" s="3" t="s">
        <v>4658</v>
      </c>
      <c r="E4654" s="4" t="n">
        <v>9</v>
      </c>
    </row>
    <row r="4655" customFormat="false" ht="15" hidden="false" customHeight="false" outlineLevel="0" collapsed="false">
      <c r="A4655" s="3" t="n">
        <v>2024</v>
      </c>
      <c r="B4655" s="3" t="n">
        <v>9</v>
      </c>
      <c r="C4655" s="3" t="n">
        <v>27</v>
      </c>
      <c r="D4655" s="3" t="s">
        <v>4659</v>
      </c>
      <c r="E4655" s="4" t="n">
        <v>0</v>
      </c>
    </row>
    <row r="4656" customFormat="false" ht="15" hidden="false" customHeight="false" outlineLevel="0" collapsed="false">
      <c r="A4656" s="3" t="n">
        <v>2024</v>
      </c>
      <c r="B4656" s="3" t="n">
        <v>9</v>
      </c>
      <c r="C4656" s="3" t="n">
        <v>28</v>
      </c>
      <c r="D4656" s="3" t="s">
        <v>4660</v>
      </c>
      <c r="E4656" s="4" t="n">
        <v>9</v>
      </c>
    </row>
    <row r="4657" customFormat="false" ht="15" hidden="false" customHeight="false" outlineLevel="0" collapsed="false">
      <c r="A4657" s="3" t="n">
        <v>2024</v>
      </c>
      <c r="B4657" s="3" t="n">
        <v>9</v>
      </c>
      <c r="C4657" s="3" t="n">
        <v>29</v>
      </c>
      <c r="D4657" s="3" t="s">
        <v>4661</v>
      </c>
      <c r="E4657" s="4" t="n">
        <v>11</v>
      </c>
    </row>
    <row r="4658" customFormat="false" ht="15" hidden="false" customHeight="false" outlineLevel="0" collapsed="false">
      <c r="A4658" s="3" t="n">
        <v>2024</v>
      </c>
      <c r="B4658" s="3" t="n">
        <v>9</v>
      </c>
      <c r="C4658" s="3" t="n">
        <v>30</v>
      </c>
      <c r="D4658" s="3" t="s">
        <v>4662</v>
      </c>
      <c r="E4658" s="4" t="n">
        <v>18</v>
      </c>
    </row>
    <row r="4659" customFormat="false" ht="15" hidden="false" customHeight="false" outlineLevel="0" collapsed="false">
      <c r="A4659" s="3" t="n">
        <v>2024</v>
      </c>
      <c r="B4659" s="3" t="n">
        <v>10</v>
      </c>
      <c r="C4659" s="3" t="n">
        <v>1</v>
      </c>
      <c r="D4659" s="3" t="s">
        <v>4663</v>
      </c>
      <c r="E4659" s="4" t="n">
        <v>11</v>
      </c>
    </row>
    <row r="4660" customFormat="false" ht="15" hidden="false" customHeight="false" outlineLevel="0" collapsed="false">
      <c r="A4660" s="3" t="n">
        <v>2024</v>
      </c>
      <c r="B4660" s="3" t="n">
        <v>10</v>
      </c>
      <c r="C4660" s="3" t="n">
        <v>2</v>
      </c>
      <c r="D4660" s="3" t="s">
        <v>4664</v>
      </c>
      <c r="E4660" s="4" t="n">
        <v>0</v>
      </c>
    </row>
    <row r="4661" customFormat="false" ht="15" hidden="false" customHeight="false" outlineLevel="0" collapsed="false">
      <c r="A4661" s="3" t="n">
        <v>2024</v>
      </c>
      <c r="B4661" s="3" t="n">
        <v>10</v>
      </c>
      <c r="C4661" s="3" t="n">
        <v>3</v>
      </c>
      <c r="D4661" s="3" t="s">
        <v>4665</v>
      </c>
      <c r="E4661" s="4" t="n">
        <v>0</v>
      </c>
    </row>
    <row r="4662" customFormat="false" ht="15" hidden="false" customHeight="false" outlineLevel="0" collapsed="false">
      <c r="A4662" s="3" t="n">
        <v>2024</v>
      </c>
      <c r="B4662" s="3" t="n">
        <v>10</v>
      </c>
      <c r="C4662" s="3" t="n">
        <v>4</v>
      </c>
      <c r="D4662" s="3" t="s">
        <v>4666</v>
      </c>
      <c r="E4662" s="4" t="n">
        <v>0</v>
      </c>
    </row>
    <row r="4663" customFormat="false" ht="15" hidden="false" customHeight="false" outlineLevel="0" collapsed="false">
      <c r="A4663" s="3" t="n">
        <v>2024</v>
      </c>
      <c r="B4663" s="3" t="n">
        <v>10</v>
      </c>
      <c r="C4663" s="3" t="n">
        <v>5</v>
      </c>
      <c r="D4663" s="3" t="s">
        <v>4667</v>
      </c>
      <c r="E4663" s="4" t="n">
        <v>1</v>
      </c>
    </row>
    <row r="4664" customFormat="false" ht="15" hidden="false" customHeight="false" outlineLevel="0" collapsed="false">
      <c r="A4664" s="3" t="n">
        <v>2024</v>
      </c>
      <c r="B4664" s="3" t="n">
        <v>10</v>
      </c>
      <c r="C4664" s="3" t="n">
        <v>6</v>
      </c>
      <c r="D4664" s="3" t="s">
        <v>4668</v>
      </c>
      <c r="E4664" s="4" t="n">
        <v>13</v>
      </c>
    </row>
    <row r="4665" customFormat="false" ht="15" hidden="false" customHeight="false" outlineLevel="0" collapsed="false">
      <c r="A4665" s="3" t="n">
        <v>2024</v>
      </c>
      <c r="B4665" s="3" t="n">
        <v>10</v>
      </c>
      <c r="C4665" s="3" t="n">
        <v>7</v>
      </c>
      <c r="D4665" s="3" t="s">
        <v>4669</v>
      </c>
      <c r="E4665" s="4" t="n">
        <v>24</v>
      </c>
    </row>
    <row r="4666" customFormat="false" ht="15" hidden="false" customHeight="false" outlineLevel="0" collapsed="false">
      <c r="A4666" s="3" t="n">
        <v>2024</v>
      </c>
      <c r="B4666" s="3" t="n">
        <v>10</v>
      </c>
      <c r="C4666" s="3" t="n">
        <v>8</v>
      </c>
      <c r="D4666" s="3" t="s">
        <v>4670</v>
      </c>
      <c r="E4666" s="4" t="n">
        <v>21</v>
      </c>
    </row>
    <row r="4667" customFormat="false" ht="15" hidden="false" customHeight="false" outlineLevel="0" collapsed="false">
      <c r="A4667" s="3" t="n">
        <v>2024</v>
      </c>
      <c r="B4667" s="3" t="n">
        <v>10</v>
      </c>
      <c r="C4667" s="3" t="n">
        <v>9</v>
      </c>
      <c r="D4667" s="3" t="s">
        <v>4671</v>
      </c>
      <c r="E4667" s="4" t="n">
        <v>0</v>
      </c>
    </row>
    <row r="4668" customFormat="false" ht="15" hidden="false" customHeight="false" outlineLevel="0" collapsed="false">
      <c r="A4668" s="3" t="n">
        <v>2024</v>
      </c>
      <c r="B4668" s="3" t="n">
        <v>10</v>
      </c>
      <c r="C4668" s="3" t="n">
        <v>10</v>
      </c>
      <c r="D4668" s="3" t="s">
        <v>4672</v>
      </c>
      <c r="E4668" s="4" t="n">
        <v>21</v>
      </c>
    </row>
    <row r="4669" customFormat="false" ht="15" hidden="false" customHeight="false" outlineLevel="0" collapsed="false">
      <c r="A4669" s="3" t="n">
        <v>2024</v>
      </c>
      <c r="B4669" s="3" t="n">
        <v>10</v>
      </c>
      <c r="C4669" s="3" t="n">
        <v>11</v>
      </c>
      <c r="D4669" s="3" t="s">
        <v>4673</v>
      </c>
      <c r="E4669" s="4" t="n">
        <v>92</v>
      </c>
    </row>
    <row r="4670" customFormat="false" ht="15" hidden="false" customHeight="false" outlineLevel="0" collapsed="false">
      <c r="A4670" s="3" t="n">
        <v>2024</v>
      </c>
      <c r="B4670" s="3" t="n">
        <v>10</v>
      </c>
      <c r="C4670" s="3" t="n">
        <v>12</v>
      </c>
      <c r="D4670" s="3" t="s">
        <v>4674</v>
      </c>
      <c r="E4670" s="4" t="n">
        <v>40</v>
      </c>
    </row>
    <row r="4671" customFormat="false" ht="15" hidden="false" customHeight="false" outlineLevel="0" collapsed="false">
      <c r="A4671" s="3" t="n">
        <v>2024</v>
      </c>
      <c r="B4671" s="3" t="n">
        <v>10</v>
      </c>
      <c r="C4671" s="3" t="n">
        <v>13</v>
      </c>
      <c r="D4671" s="3" t="s">
        <v>4675</v>
      </c>
      <c r="E4671" s="4" t="n">
        <v>0</v>
      </c>
    </row>
    <row r="4672" customFormat="false" ht="15" hidden="false" customHeight="false" outlineLevel="0" collapsed="false">
      <c r="A4672" s="3" t="n">
        <v>2024</v>
      </c>
      <c r="B4672" s="3" t="n">
        <v>10</v>
      </c>
      <c r="C4672" s="3" t="n">
        <v>14</v>
      </c>
      <c r="D4672" s="3" t="s">
        <v>4676</v>
      </c>
      <c r="E4672" s="4" t="n">
        <v>40</v>
      </c>
    </row>
    <row r="4673" customFormat="false" ht="15" hidden="false" customHeight="false" outlineLevel="0" collapsed="false">
      <c r="A4673" s="3" t="n">
        <v>2024</v>
      </c>
      <c r="B4673" s="3" t="n">
        <v>10</v>
      </c>
      <c r="C4673" s="3" t="n">
        <v>15</v>
      </c>
      <c r="D4673" s="3" t="s">
        <v>4677</v>
      </c>
      <c r="E4673" s="4" t="n">
        <v>17</v>
      </c>
    </row>
    <row r="4674" customFormat="false" ht="15" hidden="false" customHeight="false" outlineLevel="0" collapsed="false">
      <c r="A4674" s="3" t="n">
        <v>2024</v>
      </c>
      <c r="B4674" s="3" t="n">
        <v>10</v>
      </c>
      <c r="C4674" s="3" t="n">
        <v>16</v>
      </c>
      <c r="D4674" s="3" t="s">
        <v>4678</v>
      </c>
      <c r="E4674" s="4" t="n">
        <v>6</v>
      </c>
    </row>
    <row r="4675" customFormat="false" ht="15" hidden="false" customHeight="false" outlineLevel="0" collapsed="false">
      <c r="A4675" s="3" t="n">
        <v>2024</v>
      </c>
      <c r="B4675" s="3" t="n">
        <v>10</v>
      </c>
      <c r="C4675" s="3" t="n">
        <v>17</v>
      </c>
      <c r="D4675" s="3" t="s">
        <v>4679</v>
      </c>
      <c r="E4675" s="4" t="n">
        <v>11</v>
      </c>
    </row>
    <row r="4676" customFormat="false" ht="15" hidden="false" customHeight="false" outlineLevel="0" collapsed="false">
      <c r="A4676" s="3" t="n">
        <v>2024</v>
      </c>
      <c r="B4676" s="3" t="n">
        <v>10</v>
      </c>
      <c r="C4676" s="3" t="n">
        <v>18</v>
      </c>
      <c r="D4676" s="3" t="s">
        <v>4680</v>
      </c>
      <c r="E4676" s="4" t="n">
        <v>0</v>
      </c>
    </row>
    <row r="4677" customFormat="false" ht="15" hidden="false" customHeight="false" outlineLevel="0" collapsed="false">
      <c r="A4677" s="3" t="n">
        <v>2024</v>
      </c>
      <c r="B4677" s="3" t="n">
        <v>10</v>
      </c>
      <c r="C4677" s="3" t="n">
        <v>19</v>
      </c>
      <c r="D4677" s="3" t="s">
        <v>4681</v>
      </c>
      <c r="E4677" s="4" t="n">
        <v>0</v>
      </c>
    </row>
    <row r="4678" customFormat="false" ht="15" hidden="false" customHeight="false" outlineLevel="0" collapsed="false">
      <c r="A4678" s="3" t="n">
        <v>2024</v>
      </c>
      <c r="B4678" s="3" t="n">
        <v>10</v>
      </c>
      <c r="C4678" s="3" t="n">
        <v>20</v>
      </c>
      <c r="D4678" s="3" t="s">
        <v>4682</v>
      </c>
      <c r="E4678" s="4" t="n">
        <v>0</v>
      </c>
    </row>
    <row r="4679" customFormat="false" ht="15" hidden="false" customHeight="false" outlineLevel="0" collapsed="false">
      <c r="A4679" s="3" t="n">
        <v>2024</v>
      </c>
      <c r="B4679" s="3" t="n">
        <v>10</v>
      </c>
      <c r="C4679" s="3" t="n">
        <v>21</v>
      </c>
      <c r="D4679" s="3" t="s">
        <v>4683</v>
      </c>
      <c r="E4679" s="4" t="n">
        <v>14</v>
      </c>
    </row>
    <row r="4680" customFormat="false" ht="15" hidden="false" customHeight="false" outlineLevel="0" collapsed="false">
      <c r="A4680" s="3" t="n">
        <v>2024</v>
      </c>
      <c r="B4680" s="3" t="n">
        <v>10</v>
      </c>
      <c r="C4680" s="3" t="n">
        <v>22</v>
      </c>
      <c r="D4680" s="3" t="s">
        <v>4684</v>
      </c>
      <c r="E4680" s="4" t="n">
        <v>0</v>
      </c>
    </row>
    <row r="4681" customFormat="false" ht="15" hidden="false" customHeight="false" outlineLevel="0" collapsed="false">
      <c r="A4681" s="3" t="n">
        <v>2024</v>
      </c>
      <c r="B4681" s="3" t="n">
        <v>10</v>
      </c>
      <c r="C4681" s="3" t="n">
        <v>23</v>
      </c>
      <c r="D4681" s="3" t="s">
        <v>4685</v>
      </c>
      <c r="E4681" s="4" t="n">
        <v>0</v>
      </c>
    </row>
    <row r="4682" customFormat="false" ht="15" hidden="false" customHeight="false" outlineLevel="0" collapsed="false">
      <c r="A4682" s="3" t="n">
        <v>2024</v>
      </c>
      <c r="B4682" s="3" t="n">
        <v>10</v>
      </c>
      <c r="C4682" s="3" t="n">
        <v>24</v>
      </c>
      <c r="D4682" s="3" t="s">
        <v>4686</v>
      </c>
      <c r="E4682" s="4" t="n">
        <v>0</v>
      </c>
    </row>
    <row r="4683" customFormat="false" ht="15" hidden="false" customHeight="false" outlineLevel="0" collapsed="false">
      <c r="A4683" s="3" t="n">
        <v>2024</v>
      </c>
      <c r="B4683" s="3" t="n">
        <v>10</v>
      </c>
      <c r="C4683" s="3" t="n">
        <v>25</v>
      </c>
      <c r="D4683" s="3" t="s">
        <v>4687</v>
      </c>
      <c r="E4683" s="4" t="n">
        <v>0</v>
      </c>
    </row>
    <row r="4684" customFormat="false" ht="15" hidden="false" customHeight="false" outlineLevel="0" collapsed="false">
      <c r="A4684" s="3" t="n">
        <v>2024</v>
      </c>
      <c r="B4684" s="3" t="n">
        <v>10</v>
      </c>
      <c r="C4684" s="3" t="n">
        <v>26</v>
      </c>
      <c r="D4684" s="3" t="s">
        <v>4688</v>
      </c>
      <c r="E4684" s="4" t="n">
        <v>0</v>
      </c>
    </row>
    <row r="4685" customFormat="false" ht="15" hidden="false" customHeight="false" outlineLevel="0" collapsed="false">
      <c r="A4685" s="3" t="n">
        <v>2024</v>
      </c>
      <c r="B4685" s="3" t="n">
        <v>10</v>
      </c>
      <c r="C4685" s="3" t="n">
        <v>27</v>
      </c>
      <c r="D4685" s="3" t="s">
        <v>4689</v>
      </c>
      <c r="E4685" s="4" t="n">
        <v>1</v>
      </c>
    </row>
    <row r="4686" customFormat="false" ht="15" hidden="false" customHeight="false" outlineLevel="0" collapsed="false">
      <c r="A4686" s="3" t="n">
        <v>2024</v>
      </c>
      <c r="B4686" s="3" t="n">
        <v>10</v>
      </c>
      <c r="C4686" s="3" t="n">
        <v>28</v>
      </c>
      <c r="D4686" s="3" t="s">
        <v>4690</v>
      </c>
      <c r="E4686" s="4" t="n">
        <v>0</v>
      </c>
    </row>
    <row r="4687" customFormat="false" ht="15" hidden="false" customHeight="false" outlineLevel="0" collapsed="false">
      <c r="A4687" s="3" t="n">
        <v>2024</v>
      </c>
      <c r="B4687" s="3" t="n">
        <v>10</v>
      </c>
      <c r="C4687" s="3" t="n">
        <v>29</v>
      </c>
      <c r="D4687" s="3" t="s">
        <v>4691</v>
      </c>
      <c r="E4687" s="4" t="n">
        <v>0</v>
      </c>
    </row>
    <row r="4688" customFormat="false" ht="15" hidden="false" customHeight="false" outlineLevel="0" collapsed="false">
      <c r="A4688" s="3" t="n">
        <v>2024</v>
      </c>
      <c r="B4688" s="3" t="n">
        <v>10</v>
      </c>
      <c r="C4688" s="3" t="n">
        <v>30</v>
      </c>
      <c r="D4688" s="3" t="s">
        <v>4692</v>
      </c>
      <c r="E4688" s="4" t="n">
        <v>0</v>
      </c>
    </row>
    <row r="4689" customFormat="false" ht="15" hidden="false" customHeight="false" outlineLevel="0" collapsed="false">
      <c r="A4689" s="3" t="n">
        <v>2024</v>
      </c>
      <c r="B4689" s="3" t="n">
        <v>10</v>
      </c>
      <c r="C4689" s="3" t="n">
        <v>31</v>
      </c>
      <c r="D4689" s="3" t="s">
        <v>4693</v>
      </c>
      <c r="E4689" s="4" t="n">
        <v>15</v>
      </c>
    </row>
    <row r="4690" customFormat="false" ht="15" hidden="false" customHeight="false" outlineLevel="0" collapsed="false">
      <c r="A4690" s="3" t="n">
        <v>2024</v>
      </c>
      <c r="B4690" s="3" t="n">
        <v>11</v>
      </c>
      <c r="C4690" s="3" t="n">
        <v>1</v>
      </c>
      <c r="D4690" s="3" t="s">
        <v>4694</v>
      </c>
      <c r="E4690" s="4" t="n">
        <v>1</v>
      </c>
    </row>
    <row r="4691" customFormat="false" ht="15" hidden="false" customHeight="false" outlineLevel="0" collapsed="false">
      <c r="A4691" s="3" t="n">
        <v>2024</v>
      </c>
      <c r="B4691" s="3" t="n">
        <v>11</v>
      </c>
      <c r="C4691" s="3" t="n">
        <v>2</v>
      </c>
      <c r="D4691" s="3" t="s">
        <v>4695</v>
      </c>
      <c r="E4691" s="4" t="n">
        <v>1</v>
      </c>
    </row>
    <row r="4692" customFormat="false" ht="15" hidden="false" customHeight="false" outlineLevel="0" collapsed="false">
      <c r="A4692" s="3" t="n">
        <v>2024</v>
      </c>
      <c r="B4692" s="3" t="n">
        <v>11</v>
      </c>
      <c r="C4692" s="3" t="n">
        <v>3</v>
      </c>
      <c r="D4692" s="3" t="s">
        <v>4696</v>
      </c>
      <c r="E4692" s="4" t="n">
        <v>25</v>
      </c>
    </row>
    <row r="4693" customFormat="false" ht="15" hidden="false" customHeight="false" outlineLevel="0" collapsed="false">
      <c r="A4693" s="3" t="n">
        <v>2024</v>
      </c>
      <c r="B4693" s="3" t="n">
        <v>11</v>
      </c>
      <c r="C4693" s="3" t="n">
        <v>4</v>
      </c>
      <c r="D4693" s="3" t="s">
        <v>4697</v>
      </c>
      <c r="E4693" s="4" t="n">
        <v>48</v>
      </c>
    </row>
    <row r="4694" customFormat="false" ht="15" hidden="false" customHeight="false" outlineLevel="0" collapsed="false">
      <c r="A4694" s="3" t="n">
        <v>2024</v>
      </c>
      <c r="B4694" s="3" t="n">
        <v>11</v>
      </c>
      <c r="C4694" s="3" t="n">
        <v>5</v>
      </c>
      <c r="D4694" s="3" t="s">
        <v>4698</v>
      </c>
      <c r="E4694" s="4" t="n">
        <v>31</v>
      </c>
    </row>
    <row r="4695" customFormat="false" ht="15" hidden="false" customHeight="false" outlineLevel="0" collapsed="false">
      <c r="A4695" s="3" t="n">
        <v>2024</v>
      </c>
      <c r="B4695" s="3" t="n">
        <v>11</v>
      </c>
      <c r="C4695" s="3" t="n">
        <v>6</v>
      </c>
      <c r="D4695" s="3" t="s">
        <v>4699</v>
      </c>
      <c r="E4695" s="4" t="n">
        <v>0</v>
      </c>
    </row>
    <row r="4696" customFormat="false" ht="15" hidden="false" customHeight="false" outlineLevel="0" collapsed="false">
      <c r="A4696" s="3" t="n">
        <v>2024</v>
      </c>
      <c r="B4696" s="3" t="n">
        <v>11</v>
      </c>
      <c r="C4696" s="3" t="n">
        <v>7</v>
      </c>
      <c r="D4696" s="3" t="s">
        <v>4700</v>
      </c>
      <c r="E4696" s="4" t="n">
        <v>13</v>
      </c>
    </row>
    <row r="4697" customFormat="false" ht="15" hidden="false" customHeight="false" outlineLevel="0" collapsed="false">
      <c r="A4697" s="3" t="n">
        <v>2024</v>
      </c>
      <c r="B4697" s="3" t="n">
        <v>11</v>
      </c>
      <c r="C4697" s="3" t="n">
        <v>8</v>
      </c>
      <c r="D4697" s="3" t="s">
        <v>4701</v>
      </c>
      <c r="E4697" s="4" t="n">
        <v>0</v>
      </c>
    </row>
    <row r="4698" customFormat="false" ht="15" hidden="false" customHeight="false" outlineLevel="0" collapsed="false">
      <c r="A4698" s="3" t="n">
        <v>2024</v>
      </c>
      <c r="B4698" s="3" t="n">
        <v>11</v>
      </c>
      <c r="C4698" s="3" t="n">
        <v>9</v>
      </c>
      <c r="D4698" s="3" t="s">
        <v>4702</v>
      </c>
      <c r="E4698" s="4" t="n">
        <v>1</v>
      </c>
    </row>
    <row r="4699" customFormat="false" ht="15" hidden="false" customHeight="false" outlineLevel="0" collapsed="false">
      <c r="A4699" s="3" t="n">
        <v>2024</v>
      </c>
      <c r="B4699" s="3" t="n">
        <v>11</v>
      </c>
      <c r="C4699" s="3" t="n">
        <v>10</v>
      </c>
      <c r="D4699" s="3" t="s">
        <v>4703</v>
      </c>
      <c r="E4699" s="4" t="n">
        <v>19</v>
      </c>
    </row>
    <row r="4700" customFormat="false" ht="15" hidden="false" customHeight="false" outlineLevel="0" collapsed="false">
      <c r="A4700" s="3" t="n">
        <v>2024</v>
      </c>
      <c r="B4700" s="3" t="n">
        <v>11</v>
      </c>
      <c r="C4700" s="3" t="n">
        <v>11</v>
      </c>
      <c r="D4700" s="3" t="s">
        <v>4704</v>
      </c>
      <c r="E4700" s="4" t="n">
        <v>3</v>
      </c>
    </row>
    <row r="4701" customFormat="false" ht="15" hidden="false" customHeight="false" outlineLevel="0" collapsed="false">
      <c r="A4701" s="3" t="n">
        <v>2024</v>
      </c>
      <c r="B4701" s="3" t="n">
        <v>11</v>
      </c>
      <c r="C4701" s="3" t="n">
        <v>12</v>
      </c>
      <c r="D4701" s="3" t="s">
        <v>4705</v>
      </c>
      <c r="E4701" s="4" t="n">
        <v>3</v>
      </c>
    </row>
    <row r="4702" customFormat="false" ht="15" hidden="false" customHeight="false" outlineLevel="0" collapsed="false">
      <c r="A4702" s="3" t="n">
        <v>2024</v>
      </c>
      <c r="B4702" s="3" t="n">
        <v>11</v>
      </c>
      <c r="C4702" s="3" t="n">
        <v>13</v>
      </c>
      <c r="D4702" s="3" t="s">
        <v>4706</v>
      </c>
      <c r="E4702" s="4" t="n">
        <v>0</v>
      </c>
    </row>
    <row r="4703" customFormat="false" ht="15" hidden="false" customHeight="false" outlineLevel="0" collapsed="false">
      <c r="A4703" s="3" t="n">
        <v>2024</v>
      </c>
      <c r="B4703" s="3" t="n">
        <v>11</v>
      </c>
      <c r="C4703" s="3" t="n">
        <v>14</v>
      </c>
      <c r="D4703" s="3" t="s">
        <v>4707</v>
      </c>
      <c r="E4703" s="4" t="n">
        <v>0</v>
      </c>
    </row>
    <row r="4704" customFormat="false" ht="15" hidden="false" customHeight="false" outlineLevel="0" collapsed="false">
      <c r="A4704" s="3" t="n">
        <v>2024</v>
      </c>
      <c r="B4704" s="3" t="n">
        <v>11</v>
      </c>
      <c r="C4704" s="3" t="n">
        <v>15</v>
      </c>
      <c r="D4704" s="3" t="s">
        <v>4708</v>
      </c>
      <c r="E4704" s="4" t="n">
        <v>55</v>
      </c>
    </row>
    <row r="4705" customFormat="false" ht="15" hidden="false" customHeight="false" outlineLevel="0" collapsed="false">
      <c r="A4705" s="3" t="n">
        <v>2024</v>
      </c>
      <c r="B4705" s="3" t="n">
        <v>11</v>
      </c>
      <c r="C4705" s="3" t="n">
        <v>16</v>
      </c>
      <c r="D4705" s="3" t="s">
        <v>4709</v>
      </c>
      <c r="E4705" s="4" t="n">
        <v>0</v>
      </c>
    </row>
    <row r="4706" customFormat="false" ht="15" hidden="false" customHeight="false" outlineLevel="0" collapsed="false">
      <c r="A4706" s="3" t="n">
        <v>2024</v>
      </c>
      <c r="B4706" s="3" t="n">
        <v>11</v>
      </c>
      <c r="C4706" s="3" t="n">
        <v>17</v>
      </c>
      <c r="D4706" s="3" t="s">
        <v>4710</v>
      </c>
      <c r="E4706" s="4" t="n">
        <v>3</v>
      </c>
    </row>
    <row r="4707" customFormat="false" ht="15" hidden="false" customHeight="false" outlineLevel="0" collapsed="false">
      <c r="A4707" s="3" t="n">
        <v>2024</v>
      </c>
      <c r="B4707" s="3" t="n">
        <v>11</v>
      </c>
      <c r="C4707" s="3" t="n">
        <v>18</v>
      </c>
      <c r="D4707" s="3" t="s">
        <v>4711</v>
      </c>
      <c r="E4707" s="4" t="n">
        <v>0</v>
      </c>
    </row>
    <row r="4708" customFormat="false" ht="15" hidden="false" customHeight="false" outlineLevel="0" collapsed="false">
      <c r="A4708" s="3" t="n">
        <v>2024</v>
      </c>
      <c r="B4708" s="3" t="n">
        <v>11</v>
      </c>
      <c r="C4708" s="3" t="n">
        <v>19</v>
      </c>
      <c r="D4708" s="3" t="s">
        <v>4712</v>
      </c>
      <c r="E4708" s="4" t="n">
        <v>6</v>
      </c>
    </row>
    <row r="4709" customFormat="false" ht="15" hidden="false" customHeight="false" outlineLevel="0" collapsed="false">
      <c r="A4709" s="3" t="n">
        <v>2024</v>
      </c>
      <c r="B4709" s="3" t="n">
        <v>11</v>
      </c>
      <c r="C4709" s="3" t="n">
        <v>20</v>
      </c>
      <c r="D4709" s="3" t="s">
        <v>4713</v>
      </c>
      <c r="E4709" s="4" t="n">
        <v>10</v>
      </c>
    </row>
    <row r="4710" customFormat="false" ht="15" hidden="false" customHeight="false" outlineLevel="0" collapsed="false">
      <c r="A4710" s="3" t="n">
        <v>2024</v>
      </c>
      <c r="B4710" s="3" t="n">
        <v>11</v>
      </c>
      <c r="C4710" s="3" t="n">
        <v>21</v>
      </c>
      <c r="D4710" s="3" t="s">
        <v>4714</v>
      </c>
      <c r="E4710" s="4" t="n">
        <v>1</v>
      </c>
    </row>
    <row r="4711" customFormat="false" ht="15" hidden="false" customHeight="false" outlineLevel="0" collapsed="false">
      <c r="A4711" s="3" t="n">
        <v>2024</v>
      </c>
      <c r="B4711" s="3" t="n">
        <v>11</v>
      </c>
      <c r="C4711" s="3" t="n">
        <v>22</v>
      </c>
      <c r="D4711" s="3" t="s">
        <v>4715</v>
      </c>
      <c r="E4711" s="4" t="n">
        <v>31</v>
      </c>
    </row>
    <row r="4712" customFormat="false" ht="15" hidden="false" customHeight="false" outlineLevel="0" collapsed="false">
      <c r="A4712" s="3" t="n">
        <v>2024</v>
      </c>
      <c r="B4712" s="3" t="n">
        <v>11</v>
      </c>
      <c r="C4712" s="3" t="n">
        <v>23</v>
      </c>
      <c r="D4712" s="3" t="s">
        <v>4716</v>
      </c>
      <c r="E4712" s="4" t="n">
        <v>12</v>
      </c>
    </row>
    <row r="4713" customFormat="false" ht="15" hidden="false" customHeight="false" outlineLevel="0" collapsed="false">
      <c r="A4713" s="3" t="n">
        <v>2024</v>
      </c>
      <c r="B4713" s="3" t="n">
        <v>11</v>
      </c>
      <c r="C4713" s="3" t="n">
        <v>24</v>
      </c>
      <c r="D4713" s="3" t="s">
        <v>4717</v>
      </c>
      <c r="E4713" s="4" t="n">
        <v>66</v>
      </c>
    </row>
    <row r="4714" customFormat="false" ht="15" hidden="false" customHeight="false" outlineLevel="0" collapsed="false">
      <c r="A4714" s="3" t="n">
        <v>2024</v>
      </c>
      <c r="B4714" s="3" t="n">
        <v>11</v>
      </c>
      <c r="C4714" s="3" t="n">
        <v>25</v>
      </c>
      <c r="D4714" s="3" t="s">
        <v>4718</v>
      </c>
      <c r="E4714" s="4" t="n">
        <v>8</v>
      </c>
    </row>
    <row r="4715" customFormat="false" ht="15" hidden="false" customHeight="false" outlineLevel="0" collapsed="false">
      <c r="A4715" s="3" t="n">
        <v>2024</v>
      </c>
      <c r="B4715" s="3" t="n">
        <v>11</v>
      </c>
      <c r="C4715" s="3" t="n">
        <v>26</v>
      </c>
      <c r="D4715" s="3" t="s">
        <v>4719</v>
      </c>
      <c r="E4715" s="4" t="n">
        <v>46</v>
      </c>
    </row>
    <row r="4716" customFormat="false" ht="15" hidden="false" customHeight="false" outlineLevel="0" collapsed="false">
      <c r="A4716" s="3" t="n">
        <v>2024</v>
      </c>
      <c r="B4716" s="3" t="n">
        <v>11</v>
      </c>
      <c r="C4716" s="3" t="n">
        <v>27</v>
      </c>
      <c r="D4716" s="3" t="s">
        <v>4720</v>
      </c>
      <c r="E4716" s="4" t="n">
        <v>20</v>
      </c>
    </row>
    <row r="4717" customFormat="false" ht="15" hidden="false" customHeight="false" outlineLevel="0" collapsed="false">
      <c r="A4717" s="3" t="n">
        <v>2024</v>
      </c>
      <c r="B4717" s="3" t="n">
        <v>11</v>
      </c>
      <c r="C4717" s="3" t="n">
        <v>28</v>
      </c>
      <c r="D4717" s="3" t="s">
        <v>4721</v>
      </c>
      <c r="E4717" s="4" t="n">
        <v>1</v>
      </c>
    </row>
    <row r="4718" customFormat="false" ht="15" hidden="false" customHeight="false" outlineLevel="0" collapsed="false">
      <c r="A4718" s="3" t="n">
        <v>2024</v>
      </c>
      <c r="B4718" s="3" t="n">
        <v>11</v>
      </c>
      <c r="C4718" s="3" t="n">
        <v>29</v>
      </c>
      <c r="D4718" s="3" t="s">
        <v>4722</v>
      </c>
      <c r="E4718" s="4" t="n">
        <v>15</v>
      </c>
    </row>
    <row r="4719" customFormat="false" ht="15" hidden="false" customHeight="false" outlineLevel="0" collapsed="false">
      <c r="A4719" s="3" t="n">
        <v>2024</v>
      </c>
      <c r="B4719" s="3" t="n">
        <v>11</v>
      </c>
      <c r="C4719" s="3" t="n">
        <v>30</v>
      </c>
      <c r="D4719" s="3" t="s">
        <v>4723</v>
      </c>
      <c r="E4719" s="4" t="n">
        <v>0</v>
      </c>
    </row>
    <row r="4720" customFormat="false" ht="15" hidden="false" customHeight="false" outlineLevel="0" collapsed="false">
      <c r="A4720" s="3" t="n">
        <v>2024</v>
      </c>
      <c r="B4720" s="3" t="n">
        <v>12</v>
      </c>
      <c r="C4720" s="3" t="n">
        <v>1</v>
      </c>
      <c r="D4720" s="3" t="s">
        <v>4724</v>
      </c>
      <c r="E4720" s="4" t="n">
        <v>19</v>
      </c>
    </row>
    <row r="4721" customFormat="false" ht="15" hidden="false" customHeight="false" outlineLevel="0" collapsed="false">
      <c r="A4721" s="3" t="n">
        <v>2024</v>
      </c>
      <c r="B4721" s="3" t="n">
        <v>12</v>
      </c>
      <c r="C4721" s="3" t="n">
        <v>2</v>
      </c>
      <c r="D4721" s="3" t="s">
        <v>4725</v>
      </c>
      <c r="E4721" s="4" t="n">
        <v>8</v>
      </c>
    </row>
    <row r="4722" customFormat="false" ht="15" hidden="false" customHeight="false" outlineLevel="0" collapsed="false">
      <c r="A4722" s="3" t="n">
        <v>2024</v>
      </c>
      <c r="B4722" s="3" t="n">
        <v>12</v>
      </c>
      <c r="C4722" s="3" t="n">
        <v>3</v>
      </c>
      <c r="D4722" s="3" t="s">
        <v>4726</v>
      </c>
      <c r="E4722" s="4" t="n">
        <v>4</v>
      </c>
    </row>
    <row r="4723" customFormat="false" ht="15" hidden="false" customHeight="false" outlineLevel="0" collapsed="false">
      <c r="A4723" s="3" t="n">
        <v>2024</v>
      </c>
      <c r="B4723" s="3" t="n">
        <v>12</v>
      </c>
      <c r="C4723" s="3" t="n">
        <v>4</v>
      </c>
      <c r="D4723" s="3" t="s">
        <v>4727</v>
      </c>
      <c r="E4723" s="4" t="n">
        <v>41</v>
      </c>
    </row>
    <row r="4724" customFormat="false" ht="15" hidden="false" customHeight="false" outlineLevel="0" collapsed="false">
      <c r="A4724" s="3" t="n">
        <v>2024</v>
      </c>
      <c r="B4724" s="3" t="n">
        <v>12</v>
      </c>
      <c r="C4724" s="3" t="n">
        <v>5</v>
      </c>
      <c r="D4724" s="3" t="s">
        <v>4728</v>
      </c>
      <c r="E4724" s="4" t="n">
        <v>0</v>
      </c>
    </row>
    <row r="4725" customFormat="false" ht="15" hidden="false" customHeight="false" outlineLevel="0" collapsed="false">
      <c r="A4725" s="3" t="n">
        <v>2024</v>
      </c>
      <c r="B4725" s="3" t="n">
        <v>12</v>
      </c>
      <c r="C4725" s="3" t="n">
        <v>6</v>
      </c>
      <c r="D4725" s="3" t="s">
        <v>4729</v>
      </c>
      <c r="E4725" s="4" t="n">
        <v>17</v>
      </c>
    </row>
    <row r="4726" customFormat="false" ht="15" hidden="false" customHeight="false" outlineLevel="0" collapsed="false">
      <c r="A4726" s="3" t="n">
        <v>2024</v>
      </c>
      <c r="B4726" s="3" t="n">
        <v>12</v>
      </c>
      <c r="C4726" s="3" t="n">
        <v>7</v>
      </c>
      <c r="D4726" s="3" t="s">
        <v>4730</v>
      </c>
      <c r="E4726" s="4" t="n">
        <v>0</v>
      </c>
    </row>
    <row r="4727" customFormat="false" ht="15" hidden="false" customHeight="false" outlineLevel="0" collapsed="false">
      <c r="A4727" s="3" t="n">
        <v>2024</v>
      </c>
      <c r="B4727" s="3" t="n">
        <v>12</v>
      </c>
      <c r="C4727" s="3" t="n">
        <v>8</v>
      </c>
      <c r="D4727" s="3" t="s">
        <v>4731</v>
      </c>
      <c r="E4727" s="4" t="n">
        <v>11</v>
      </c>
    </row>
    <row r="4728" customFormat="false" ht="15" hidden="false" customHeight="false" outlineLevel="0" collapsed="false">
      <c r="A4728" s="3" t="n">
        <v>2024</v>
      </c>
      <c r="B4728" s="3" t="n">
        <v>12</v>
      </c>
      <c r="C4728" s="3" t="n">
        <v>9</v>
      </c>
      <c r="D4728" s="3" t="s">
        <v>4732</v>
      </c>
      <c r="E4728" s="4" t="n">
        <v>11</v>
      </c>
    </row>
    <row r="4729" customFormat="false" ht="15" hidden="false" customHeight="false" outlineLevel="0" collapsed="false">
      <c r="A4729" s="3" t="n">
        <v>2024</v>
      </c>
      <c r="B4729" s="3" t="n">
        <v>12</v>
      </c>
      <c r="C4729" s="3" t="n">
        <v>10</v>
      </c>
      <c r="D4729" s="3" t="s">
        <v>4733</v>
      </c>
      <c r="E4729" s="4" t="n">
        <v>20</v>
      </c>
    </row>
    <row r="4730" customFormat="false" ht="15" hidden="false" customHeight="false" outlineLevel="0" collapsed="false">
      <c r="A4730" s="3" t="n">
        <v>2024</v>
      </c>
      <c r="B4730" s="3" t="n">
        <v>12</v>
      </c>
      <c r="C4730" s="3" t="n">
        <v>11</v>
      </c>
      <c r="D4730" s="3" t="s">
        <v>4734</v>
      </c>
      <c r="E4730" s="4" t="n">
        <v>16</v>
      </c>
    </row>
    <row r="4731" customFormat="false" ht="15" hidden="false" customHeight="false" outlineLevel="0" collapsed="false">
      <c r="A4731" s="3" t="n">
        <v>2024</v>
      </c>
      <c r="B4731" s="3" t="n">
        <v>12</v>
      </c>
      <c r="C4731" s="3" t="n">
        <v>12</v>
      </c>
      <c r="D4731" s="3" t="s">
        <v>4735</v>
      </c>
      <c r="E4731" s="4" t="n">
        <v>14</v>
      </c>
    </row>
    <row r="4732" customFormat="false" ht="15" hidden="false" customHeight="false" outlineLevel="0" collapsed="false">
      <c r="A4732" s="3" t="n">
        <v>2024</v>
      </c>
      <c r="B4732" s="3" t="n">
        <v>12</v>
      </c>
      <c r="C4732" s="3" t="n">
        <v>13</v>
      </c>
      <c r="D4732" s="3" t="s">
        <v>4736</v>
      </c>
      <c r="E4732" s="4" t="n">
        <v>13</v>
      </c>
    </row>
    <row r="4733" customFormat="false" ht="15" hidden="false" customHeight="false" outlineLevel="0" collapsed="false">
      <c r="A4733" s="3" t="n">
        <v>2024</v>
      </c>
      <c r="B4733" s="3" t="n">
        <v>12</v>
      </c>
      <c r="C4733" s="3" t="n">
        <v>14</v>
      </c>
      <c r="D4733" s="3" t="s">
        <v>4737</v>
      </c>
      <c r="E4733" s="4" t="n">
        <v>2</v>
      </c>
    </row>
    <row r="4734" customFormat="false" ht="15" hidden="false" customHeight="false" outlineLevel="0" collapsed="false">
      <c r="A4734" s="3" t="n">
        <v>2024</v>
      </c>
      <c r="B4734" s="3" t="n">
        <v>12</v>
      </c>
      <c r="C4734" s="3" t="n">
        <v>15</v>
      </c>
      <c r="D4734" s="3" t="s">
        <v>4738</v>
      </c>
      <c r="E4734" s="4" t="n">
        <v>0</v>
      </c>
    </row>
    <row r="4735" customFormat="false" ht="15" hidden="false" customHeight="false" outlineLevel="0" collapsed="false">
      <c r="A4735" s="3" t="n">
        <v>2024</v>
      </c>
      <c r="B4735" s="3" t="n">
        <v>12</v>
      </c>
      <c r="C4735" s="3" t="n">
        <v>16</v>
      </c>
      <c r="D4735" s="3" t="s">
        <v>4739</v>
      </c>
      <c r="E4735" s="4" t="n">
        <v>0</v>
      </c>
    </row>
    <row r="4736" customFormat="false" ht="15" hidden="false" customHeight="false" outlineLevel="0" collapsed="false">
      <c r="A4736" s="3" t="n">
        <v>2024</v>
      </c>
      <c r="B4736" s="3" t="n">
        <v>12</v>
      </c>
      <c r="C4736" s="3" t="n">
        <v>17</v>
      </c>
      <c r="D4736" s="3" t="s">
        <v>4740</v>
      </c>
      <c r="E4736" s="4" t="n">
        <v>0</v>
      </c>
    </row>
    <row r="4737" customFormat="false" ht="15" hidden="false" customHeight="false" outlineLevel="0" collapsed="false">
      <c r="A4737" s="3" t="n">
        <v>2024</v>
      </c>
      <c r="B4737" s="3" t="n">
        <v>12</v>
      </c>
      <c r="C4737" s="3" t="n">
        <v>18</v>
      </c>
      <c r="D4737" s="3" t="s">
        <v>4741</v>
      </c>
      <c r="E4737" s="4" t="n">
        <v>2</v>
      </c>
    </row>
    <row r="4738" customFormat="false" ht="15" hidden="false" customHeight="false" outlineLevel="0" collapsed="false">
      <c r="A4738" s="3" t="n">
        <v>2024</v>
      </c>
      <c r="B4738" s="3" t="n">
        <v>12</v>
      </c>
      <c r="C4738" s="3" t="n">
        <v>19</v>
      </c>
      <c r="D4738" s="3" t="s">
        <v>4742</v>
      </c>
      <c r="E4738" s="4" t="n">
        <v>2</v>
      </c>
    </row>
    <row r="4739" customFormat="false" ht="15" hidden="false" customHeight="false" outlineLevel="0" collapsed="false">
      <c r="A4739" s="3" t="n">
        <v>2024</v>
      </c>
      <c r="B4739" s="3" t="n">
        <v>12</v>
      </c>
      <c r="C4739" s="3" t="n">
        <v>20</v>
      </c>
      <c r="D4739" s="3" t="s">
        <v>4743</v>
      </c>
      <c r="E4739" s="4" t="n">
        <v>3</v>
      </c>
    </row>
    <row r="4740" customFormat="false" ht="15" hidden="false" customHeight="false" outlineLevel="0" collapsed="false">
      <c r="A4740" s="3" t="n">
        <v>2024</v>
      </c>
      <c r="B4740" s="3" t="n">
        <v>12</v>
      </c>
      <c r="C4740" s="3" t="n">
        <v>21</v>
      </c>
      <c r="D4740" s="3" t="s">
        <v>4744</v>
      </c>
      <c r="E4740" s="4" t="n">
        <v>8</v>
      </c>
    </row>
    <row r="4741" customFormat="false" ht="15" hidden="false" customHeight="false" outlineLevel="0" collapsed="false">
      <c r="A4741" s="3" t="n">
        <v>2024</v>
      </c>
      <c r="B4741" s="3" t="n">
        <v>12</v>
      </c>
      <c r="C4741" s="3" t="n">
        <v>22</v>
      </c>
      <c r="D4741" s="3" t="s">
        <v>4745</v>
      </c>
      <c r="E4741" s="4" t="n">
        <v>1</v>
      </c>
    </row>
    <row r="4742" customFormat="false" ht="15" hidden="false" customHeight="false" outlineLevel="0" collapsed="false">
      <c r="A4742" s="3" t="n">
        <v>2024</v>
      </c>
      <c r="B4742" s="3" t="n">
        <v>12</v>
      </c>
      <c r="C4742" s="3" t="n">
        <v>23</v>
      </c>
      <c r="D4742" s="3" t="s">
        <v>4746</v>
      </c>
      <c r="E4742" s="4" t="n">
        <v>0</v>
      </c>
    </row>
    <row r="4743" customFormat="false" ht="15" hidden="false" customHeight="false" outlineLevel="0" collapsed="false">
      <c r="A4743" s="3" t="n">
        <v>2024</v>
      </c>
      <c r="B4743" s="3" t="n">
        <v>12</v>
      </c>
      <c r="C4743" s="3" t="n">
        <v>24</v>
      </c>
      <c r="D4743" s="3" t="s">
        <v>4747</v>
      </c>
      <c r="E4743" s="4" t="n">
        <v>0</v>
      </c>
    </row>
    <row r="4744" customFormat="false" ht="15" hidden="false" customHeight="false" outlineLevel="0" collapsed="false">
      <c r="A4744" s="3" t="n">
        <v>2024</v>
      </c>
      <c r="B4744" s="3" t="n">
        <v>12</v>
      </c>
      <c r="C4744" s="3" t="n">
        <v>25</v>
      </c>
      <c r="D4744" s="3" t="s">
        <v>4748</v>
      </c>
      <c r="E4744" s="4" t="n">
        <v>2</v>
      </c>
    </row>
    <row r="4745" customFormat="false" ht="15" hidden="false" customHeight="false" outlineLevel="0" collapsed="false">
      <c r="A4745" s="3" t="n">
        <v>2024</v>
      </c>
      <c r="B4745" s="3" t="n">
        <v>12</v>
      </c>
      <c r="C4745" s="3" t="n">
        <v>26</v>
      </c>
      <c r="D4745" s="3" t="s">
        <v>4749</v>
      </c>
      <c r="E4745" s="4" t="n">
        <v>0</v>
      </c>
    </row>
    <row r="4746" customFormat="false" ht="15" hidden="false" customHeight="false" outlineLevel="0" collapsed="false">
      <c r="A4746" s="3" t="n">
        <v>2024</v>
      </c>
      <c r="B4746" s="3" t="n">
        <v>12</v>
      </c>
      <c r="C4746" s="3" t="n">
        <v>27</v>
      </c>
      <c r="D4746" s="3" t="s">
        <v>4750</v>
      </c>
      <c r="E4746" s="4" t="n">
        <v>8</v>
      </c>
    </row>
    <row r="4747" customFormat="false" ht="15" hidden="false" customHeight="false" outlineLevel="0" collapsed="false">
      <c r="A4747" s="3" t="n">
        <v>2024</v>
      </c>
      <c r="B4747" s="3" t="n">
        <v>12</v>
      </c>
      <c r="C4747" s="3" t="n">
        <v>28</v>
      </c>
      <c r="D4747" s="3" t="s">
        <v>4751</v>
      </c>
      <c r="E4747" s="4" t="n">
        <v>0</v>
      </c>
    </row>
    <row r="4748" customFormat="false" ht="15" hidden="false" customHeight="false" outlineLevel="0" collapsed="false">
      <c r="A4748" s="3" t="n">
        <v>2024</v>
      </c>
      <c r="B4748" s="3" t="n">
        <v>12</v>
      </c>
      <c r="C4748" s="3" t="n">
        <v>29</v>
      </c>
      <c r="D4748" s="3" t="s">
        <v>4752</v>
      </c>
      <c r="E4748" s="4" t="n">
        <v>0</v>
      </c>
    </row>
    <row r="4749" customFormat="false" ht="15" hidden="false" customHeight="false" outlineLevel="0" collapsed="false">
      <c r="A4749" s="3" t="n">
        <v>2024</v>
      </c>
      <c r="B4749" s="3" t="n">
        <v>12</v>
      </c>
      <c r="C4749" s="3" t="n">
        <v>30</v>
      </c>
      <c r="D4749" s="3" t="s">
        <v>4753</v>
      </c>
      <c r="E4749" s="4" t="n">
        <v>0</v>
      </c>
    </row>
    <row r="4750" customFormat="false" ht="15" hidden="false" customHeight="false" outlineLevel="0" collapsed="false">
      <c r="A4750" s="3" t="n">
        <v>2024</v>
      </c>
      <c r="B4750" s="3" t="n">
        <v>12</v>
      </c>
      <c r="C4750" s="3" t="n">
        <v>31</v>
      </c>
      <c r="D4750" s="3" t="s">
        <v>4754</v>
      </c>
      <c r="E4750" s="4" t="n">
        <v>12</v>
      </c>
    </row>
    <row r="4751" customFormat="false" ht="15" hidden="false" customHeight="false" outlineLevel="0" collapsed="false">
      <c r="A4751" s="3" t="n">
        <v>2025</v>
      </c>
      <c r="B4751" s="3" t="n">
        <v>1</v>
      </c>
      <c r="C4751" s="3" t="n">
        <v>1</v>
      </c>
      <c r="D4751" s="3" t="s">
        <v>4755</v>
      </c>
      <c r="E4751" s="4" t="n">
        <v>8</v>
      </c>
    </row>
    <row r="4752" customFormat="false" ht="15" hidden="false" customHeight="false" outlineLevel="0" collapsed="false">
      <c r="A4752" s="3" t="n">
        <v>2025</v>
      </c>
      <c r="B4752" s="3" t="n">
        <v>1</v>
      </c>
      <c r="C4752" s="3" t="n">
        <v>2</v>
      </c>
      <c r="D4752" s="3" t="s">
        <v>4756</v>
      </c>
      <c r="E4752" s="4" t="n">
        <v>0</v>
      </c>
    </row>
    <row r="4753" customFormat="false" ht="15" hidden="false" customHeight="false" outlineLevel="0" collapsed="false">
      <c r="A4753" s="3" t="n">
        <v>2025</v>
      </c>
      <c r="B4753" s="3" t="n">
        <v>1</v>
      </c>
      <c r="C4753" s="3" t="n">
        <v>3</v>
      </c>
      <c r="D4753" s="3" t="s">
        <v>4757</v>
      </c>
      <c r="E4753" s="4" t="n">
        <v>0</v>
      </c>
    </row>
    <row r="4754" customFormat="false" ht="15" hidden="false" customHeight="false" outlineLevel="0" collapsed="false">
      <c r="A4754" s="3" t="n">
        <v>2025</v>
      </c>
      <c r="B4754" s="3" t="n">
        <v>1</v>
      </c>
      <c r="C4754" s="3" t="n">
        <v>4</v>
      </c>
      <c r="D4754" s="3" t="s">
        <v>4758</v>
      </c>
      <c r="E4754" s="4" t="n">
        <v>0</v>
      </c>
    </row>
    <row r="4755" customFormat="false" ht="15" hidden="false" customHeight="false" outlineLevel="0" collapsed="false">
      <c r="A4755" s="3" t="n">
        <v>2025</v>
      </c>
      <c r="B4755" s="3" t="n">
        <v>1</v>
      </c>
      <c r="C4755" s="3" t="n">
        <v>5</v>
      </c>
      <c r="D4755" s="3" t="s">
        <v>4759</v>
      </c>
      <c r="E4755" s="4" t="n">
        <v>13</v>
      </c>
    </row>
    <row r="4756" customFormat="false" ht="15" hidden="false" customHeight="false" outlineLevel="0" collapsed="false">
      <c r="A4756" s="3" t="n">
        <v>2025</v>
      </c>
      <c r="B4756" s="3" t="n">
        <v>1</v>
      </c>
      <c r="C4756" s="3" t="n">
        <v>6</v>
      </c>
      <c r="D4756" s="3" t="s">
        <v>4760</v>
      </c>
      <c r="E4756" s="4" t="n">
        <v>0</v>
      </c>
    </row>
    <row r="4757" customFormat="false" ht="15" hidden="false" customHeight="false" outlineLevel="0" collapsed="false">
      <c r="A4757" s="3" t="n">
        <v>2025</v>
      </c>
      <c r="B4757" s="3" t="n">
        <v>1</v>
      </c>
      <c r="C4757" s="3" t="n">
        <v>7</v>
      </c>
      <c r="D4757" s="3" t="s">
        <v>4761</v>
      </c>
      <c r="E4757" s="4" t="n">
        <v>1</v>
      </c>
    </row>
    <row r="4758" customFormat="false" ht="15" hidden="false" customHeight="false" outlineLevel="0" collapsed="false">
      <c r="A4758" s="3" t="n">
        <v>2025</v>
      </c>
      <c r="B4758" s="3" t="n">
        <v>1</v>
      </c>
      <c r="C4758" s="3" t="n">
        <v>8</v>
      </c>
      <c r="D4758" s="3" t="s">
        <v>4762</v>
      </c>
      <c r="E4758" s="4" t="n">
        <v>19</v>
      </c>
    </row>
    <row r="4759" customFormat="false" ht="15" hidden="false" customHeight="false" outlineLevel="0" collapsed="false">
      <c r="A4759" s="3" t="n">
        <v>2025</v>
      </c>
      <c r="B4759" s="3" t="n">
        <v>1</v>
      </c>
      <c r="C4759" s="3" t="n">
        <v>9</v>
      </c>
      <c r="D4759" s="3" t="s">
        <v>4763</v>
      </c>
      <c r="E4759" s="4" t="n">
        <v>5</v>
      </c>
    </row>
    <row r="4760" customFormat="false" ht="15" hidden="false" customHeight="false" outlineLevel="0" collapsed="false">
      <c r="A4760" s="3" t="n">
        <v>2025</v>
      </c>
      <c r="B4760" s="3" t="n">
        <v>1</v>
      </c>
      <c r="C4760" s="3" t="n">
        <v>10</v>
      </c>
      <c r="D4760" s="3" t="s">
        <v>4764</v>
      </c>
      <c r="E4760" s="4" t="n">
        <v>23</v>
      </c>
    </row>
    <row r="4761" customFormat="false" ht="15" hidden="false" customHeight="false" outlineLevel="0" collapsed="false">
      <c r="A4761" s="3" t="n">
        <v>2025</v>
      </c>
      <c r="B4761" s="3" t="n">
        <v>1</v>
      </c>
      <c r="C4761" s="3" t="n">
        <v>11</v>
      </c>
      <c r="D4761" s="3" t="s">
        <v>4765</v>
      </c>
      <c r="E4761" s="4" t="n">
        <v>31</v>
      </c>
    </row>
    <row r="4762" customFormat="false" ht="15" hidden="false" customHeight="false" outlineLevel="0" collapsed="false">
      <c r="A4762" s="3" t="n">
        <v>2025</v>
      </c>
      <c r="B4762" s="3" t="n">
        <v>1</v>
      </c>
      <c r="C4762" s="3" t="n">
        <v>12</v>
      </c>
      <c r="D4762" s="3" t="s">
        <v>4766</v>
      </c>
      <c r="E4762" s="4" t="n">
        <v>1</v>
      </c>
    </row>
    <row r="4763" customFormat="false" ht="15" hidden="false" customHeight="false" outlineLevel="0" collapsed="false">
      <c r="A4763" s="3" t="n">
        <v>2025</v>
      </c>
      <c r="B4763" s="3" t="n">
        <v>1</v>
      </c>
      <c r="C4763" s="3" t="n">
        <v>13</v>
      </c>
      <c r="D4763" s="3" t="s">
        <v>4767</v>
      </c>
      <c r="E4763" s="4" t="n">
        <v>3</v>
      </c>
    </row>
    <row r="4764" customFormat="false" ht="15" hidden="false" customHeight="false" outlineLevel="0" collapsed="false">
      <c r="A4764" s="3" t="n">
        <v>2025</v>
      </c>
      <c r="B4764" s="3" t="n">
        <v>1</v>
      </c>
      <c r="C4764" s="3" t="n">
        <v>14</v>
      </c>
      <c r="D4764" s="3" t="s">
        <v>4768</v>
      </c>
      <c r="E4764" s="4" t="n">
        <v>4</v>
      </c>
    </row>
    <row r="4765" customFormat="false" ht="15" hidden="false" customHeight="false" outlineLevel="0" collapsed="false">
      <c r="A4765" s="3" t="n">
        <v>2025</v>
      </c>
      <c r="B4765" s="3" t="n">
        <v>1</v>
      </c>
      <c r="C4765" s="3" t="n">
        <v>15</v>
      </c>
      <c r="D4765" s="3" t="s">
        <v>4769</v>
      </c>
      <c r="E4765" s="4" t="n">
        <v>12</v>
      </c>
    </row>
    <row r="4766" customFormat="false" ht="15" hidden="false" customHeight="false" outlineLevel="0" collapsed="false">
      <c r="A4766" s="3" t="n">
        <v>2025</v>
      </c>
      <c r="B4766" s="3" t="n">
        <v>1</v>
      </c>
      <c r="C4766" s="3" t="n">
        <v>16</v>
      </c>
      <c r="D4766" s="3" t="s">
        <v>4770</v>
      </c>
      <c r="E4766" s="4" t="n">
        <v>43</v>
      </c>
    </row>
    <row r="4767" customFormat="false" ht="15" hidden="false" customHeight="false" outlineLevel="0" collapsed="false">
      <c r="A4767" s="3" t="n">
        <v>2025</v>
      </c>
      <c r="B4767" s="3" t="n">
        <v>1</v>
      </c>
      <c r="C4767" s="3" t="n">
        <v>17</v>
      </c>
      <c r="D4767" s="3" t="s">
        <v>4771</v>
      </c>
      <c r="E4767" s="4" t="n">
        <v>0</v>
      </c>
    </row>
    <row r="4768" customFormat="false" ht="15" hidden="false" customHeight="false" outlineLevel="0" collapsed="false">
      <c r="A4768" s="3" t="n">
        <v>2025</v>
      </c>
      <c r="B4768" s="3" t="n">
        <v>1</v>
      </c>
      <c r="C4768" s="3" t="n">
        <v>18</v>
      </c>
      <c r="D4768" s="3" t="s">
        <v>4772</v>
      </c>
      <c r="E4768" s="4" t="n">
        <v>0</v>
      </c>
    </row>
    <row r="4769" customFormat="false" ht="15" hidden="false" customHeight="false" outlineLevel="0" collapsed="false">
      <c r="A4769" s="3" t="n">
        <v>2025</v>
      </c>
      <c r="B4769" s="3" t="n">
        <v>1</v>
      </c>
      <c r="C4769" s="3" t="n">
        <v>19</v>
      </c>
      <c r="D4769" s="3" t="s">
        <v>4773</v>
      </c>
      <c r="E4769" s="4" t="n">
        <v>39</v>
      </c>
    </row>
    <row r="4770" customFormat="false" ht="15" hidden="false" customHeight="false" outlineLevel="0" collapsed="false">
      <c r="A4770" s="3" t="n">
        <v>2025</v>
      </c>
      <c r="B4770" s="3" t="n">
        <v>1</v>
      </c>
      <c r="C4770" s="3" t="n">
        <v>20</v>
      </c>
      <c r="D4770" s="3" t="s">
        <v>4774</v>
      </c>
      <c r="E4770" s="4" t="n">
        <v>0</v>
      </c>
    </row>
    <row r="4771" customFormat="false" ht="15" hidden="false" customHeight="false" outlineLevel="0" collapsed="false">
      <c r="A4771" s="3" t="n">
        <v>2025</v>
      </c>
      <c r="B4771" s="3" t="n">
        <v>1</v>
      </c>
      <c r="C4771" s="3" t="n">
        <v>21</v>
      </c>
      <c r="D4771" s="3" t="s">
        <v>4775</v>
      </c>
      <c r="E4771" s="4" t="n">
        <v>31</v>
      </c>
    </row>
    <row r="4772" customFormat="false" ht="15" hidden="false" customHeight="false" outlineLevel="0" collapsed="false">
      <c r="A4772" s="3" t="n">
        <v>2025</v>
      </c>
      <c r="B4772" s="3" t="n">
        <v>1</v>
      </c>
      <c r="C4772" s="3" t="n">
        <v>22</v>
      </c>
      <c r="D4772" s="3" t="s">
        <v>4776</v>
      </c>
      <c r="E4772" s="4" t="n">
        <v>4</v>
      </c>
    </row>
    <row r="4773" customFormat="false" ht="15" hidden="false" customHeight="false" outlineLevel="0" collapsed="false">
      <c r="A4773" s="3" t="n">
        <v>2025</v>
      </c>
      <c r="B4773" s="3" t="n">
        <v>1</v>
      </c>
      <c r="C4773" s="3" t="n">
        <v>23</v>
      </c>
      <c r="D4773" s="3" t="s">
        <v>4777</v>
      </c>
      <c r="E4773" s="4" t="n">
        <v>38</v>
      </c>
    </row>
    <row r="4774" customFormat="false" ht="15" hidden="false" customHeight="false" outlineLevel="0" collapsed="false">
      <c r="A4774" s="3" t="n">
        <v>2025</v>
      </c>
      <c r="B4774" s="3" t="n">
        <v>1</v>
      </c>
      <c r="C4774" s="3" t="n">
        <v>24</v>
      </c>
      <c r="D4774" s="3" t="s">
        <v>4778</v>
      </c>
      <c r="E4774" s="4" t="n">
        <v>7</v>
      </c>
    </row>
    <row r="4775" customFormat="false" ht="15" hidden="false" customHeight="false" outlineLevel="0" collapsed="false">
      <c r="A4775" s="3" t="n">
        <v>2025</v>
      </c>
      <c r="B4775" s="3" t="n">
        <v>1</v>
      </c>
      <c r="C4775" s="3" t="n">
        <v>25</v>
      </c>
      <c r="D4775" s="3" t="s">
        <v>4779</v>
      </c>
      <c r="E4775" s="4" t="n">
        <v>14</v>
      </c>
    </row>
    <row r="4776" customFormat="false" ht="15" hidden="false" customHeight="false" outlineLevel="0" collapsed="false">
      <c r="A4776" s="3" t="n">
        <v>2025</v>
      </c>
      <c r="B4776" s="3" t="n">
        <v>1</v>
      </c>
      <c r="C4776" s="3" t="n">
        <v>26</v>
      </c>
      <c r="D4776" s="3" t="s">
        <v>4780</v>
      </c>
      <c r="E4776" s="4" t="n">
        <v>8</v>
      </c>
    </row>
    <row r="4777" customFormat="false" ht="15" hidden="false" customHeight="false" outlineLevel="0" collapsed="false">
      <c r="A4777" s="3" t="n">
        <v>2025</v>
      </c>
      <c r="B4777" s="3" t="n">
        <v>1</v>
      </c>
      <c r="C4777" s="3" t="n">
        <v>27</v>
      </c>
      <c r="D4777" s="3" t="s">
        <v>4781</v>
      </c>
      <c r="E4777" s="4" t="n">
        <v>13</v>
      </c>
    </row>
    <row r="4778" customFormat="false" ht="15" hidden="false" customHeight="false" outlineLevel="0" collapsed="false">
      <c r="A4778" s="3" t="n">
        <v>2025</v>
      </c>
      <c r="B4778" s="3" t="n">
        <v>1</v>
      </c>
      <c r="C4778" s="3" t="n">
        <v>28</v>
      </c>
      <c r="D4778" s="3" t="s">
        <v>4782</v>
      </c>
      <c r="E4778" s="4" t="n">
        <v>73</v>
      </c>
    </row>
    <row r="4779" customFormat="false" ht="15" hidden="false" customHeight="false" outlineLevel="0" collapsed="false">
      <c r="A4779" s="3" t="n">
        <v>2025</v>
      </c>
      <c r="B4779" s="3" t="n">
        <v>1</v>
      </c>
      <c r="C4779" s="3" t="n">
        <v>29</v>
      </c>
      <c r="D4779" s="3" t="s">
        <v>4783</v>
      </c>
      <c r="E4779" s="4" t="n">
        <v>1</v>
      </c>
    </row>
    <row r="4780" customFormat="false" ht="15" hidden="false" customHeight="false" outlineLevel="0" collapsed="false">
      <c r="A4780" s="3" t="n">
        <v>2025</v>
      </c>
      <c r="B4780" s="3" t="n">
        <v>1</v>
      </c>
      <c r="C4780" s="3" t="n">
        <v>30</v>
      </c>
      <c r="D4780" s="3" t="s">
        <v>4784</v>
      </c>
      <c r="E4780" s="4" t="n">
        <v>0</v>
      </c>
    </row>
    <row r="4781" customFormat="false" ht="15" hidden="false" customHeight="false" outlineLevel="0" collapsed="false">
      <c r="A4781" s="3" t="n">
        <v>2025</v>
      </c>
      <c r="B4781" s="3" t="n">
        <v>1</v>
      </c>
      <c r="C4781" s="3" t="n">
        <v>31</v>
      </c>
      <c r="D4781" s="3" t="s">
        <v>4785</v>
      </c>
      <c r="E4781" s="4" t="n">
        <v>9</v>
      </c>
    </row>
    <row r="4782" customFormat="false" ht="15" hidden="false" customHeight="false" outlineLevel="0" collapsed="false">
      <c r="A4782" s="3" t="n">
        <v>2025</v>
      </c>
      <c r="B4782" s="3" t="n">
        <v>2</v>
      </c>
      <c r="C4782" s="3" t="n">
        <v>1</v>
      </c>
      <c r="D4782" s="3" t="s">
        <v>4786</v>
      </c>
      <c r="E4782" s="4" t="n">
        <v>1</v>
      </c>
    </row>
    <row r="4783" customFormat="false" ht="15" hidden="false" customHeight="false" outlineLevel="0" collapsed="false">
      <c r="A4783" s="3" t="n">
        <v>2025</v>
      </c>
      <c r="B4783" s="3" t="n">
        <v>2</v>
      </c>
      <c r="C4783" s="3" t="n">
        <v>2</v>
      </c>
      <c r="D4783" s="3" t="s">
        <v>4787</v>
      </c>
      <c r="E4783" s="4" t="n">
        <v>0</v>
      </c>
    </row>
    <row r="4784" customFormat="false" ht="15" hidden="false" customHeight="false" outlineLevel="0" collapsed="false">
      <c r="A4784" s="3" t="n">
        <v>2025</v>
      </c>
      <c r="B4784" s="3" t="n">
        <v>2</v>
      </c>
      <c r="C4784" s="3" t="n">
        <v>3</v>
      </c>
      <c r="D4784" s="3" t="s">
        <v>4788</v>
      </c>
      <c r="E4784" s="4" t="n">
        <v>0</v>
      </c>
    </row>
    <row r="4785" customFormat="false" ht="15" hidden="false" customHeight="false" outlineLevel="0" collapsed="false">
      <c r="A4785" s="3" t="n">
        <v>2025</v>
      </c>
      <c r="B4785" s="3" t="n">
        <v>2</v>
      </c>
      <c r="C4785" s="3" t="n">
        <v>4</v>
      </c>
      <c r="D4785" s="3" t="s">
        <v>4789</v>
      </c>
      <c r="E4785" s="4" t="n">
        <v>5</v>
      </c>
    </row>
    <row r="4786" customFormat="false" ht="15" hidden="false" customHeight="false" outlineLevel="0" collapsed="false">
      <c r="A4786" s="3" t="n">
        <v>2025</v>
      </c>
      <c r="B4786" s="3" t="n">
        <v>2</v>
      </c>
      <c r="C4786" s="3" t="n">
        <v>5</v>
      </c>
      <c r="D4786" s="3" t="s">
        <v>4790</v>
      </c>
      <c r="E4786" s="4" t="n">
        <v>2</v>
      </c>
    </row>
    <row r="4787" customFormat="false" ht="15" hidden="false" customHeight="false" outlineLevel="0" collapsed="false">
      <c r="A4787" s="3" t="n">
        <v>2025</v>
      </c>
      <c r="B4787" s="3" t="n">
        <v>2</v>
      </c>
      <c r="C4787" s="3" t="n">
        <v>6</v>
      </c>
      <c r="D4787" s="3" t="s">
        <v>4791</v>
      </c>
      <c r="E4787" s="4" t="n">
        <v>0</v>
      </c>
    </row>
    <row r="4788" customFormat="false" ht="15" hidden="false" customHeight="false" outlineLevel="0" collapsed="false">
      <c r="A4788" s="3" t="n">
        <v>2025</v>
      </c>
      <c r="B4788" s="3" t="n">
        <v>2</v>
      </c>
      <c r="C4788" s="3" t="n">
        <v>7</v>
      </c>
      <c r="D4788" s="3" t="s">
        <v>4792</v>
      </c>
      <c r="E4788" s="4" t="n">
        <v>0</v>
      </c>
    </row>
    <row r="4789" customFormat="false" ht="15" hidden="false" customHeight="false" outlineLevel="0" collapsed="false">
      <c r="A4789" s="3" t="n">
        <v>2025</v>
      </c>
      <c r="B4789" s="3" t="n">
        <v>2</v>
      </c>
      <c r="C4789" s="3" t="n">
        <v>8</v>
      </c>
      <c r="D4789" s="3" t="s">
        <v>4793</v>
      </c>
      <c r="E4789" s="4" t="n">
        <v>0</v>
      </c>
    </row>
    <row r="4790" customFormat="false" ht="15" hidden="false" customHeight="false" outlineLevel="0" collapsed="false">
      <c r="A4790" s="3" t="n">
        <v>2025</v>
      </c>
      <c r="B4790" s="3" t="n">
        <v>2</v>
      </c>
      <c r="C4790" s="3" t="n">
        <v>9</v>
      </c>
      <c r="D4790" s="3" t="s">
        <v>4794</v>
      </c>
      <c r="E4790" s="4" t="n">
        <v>0</v>
      </c>
    </row>
    <row r="4791" customFormat="false" ht="15" hidden="false" customHeight="false" outlineLevel="0" collapsed="false">
      <c r="A4791" s="3" t="n">
        <v>2025</v>
      </c>
      <c r="B4791" s="3" t="n">
        <v>2</v>
      </c>
      <c r="C4791" s="3" t="n">
        <v>10</v>
      </c>
      <c r="D4791" s="3" t="s">
        <v>4795</v>
      </c>
      <c r="E4791" s="4" t="n">
        <v>0</v>
      </c>
    </row>
    <row r="4792" customFormat="false" ht="15" hidden="false" customHeight="false" outlineLevel="0" collapsed="false">
      <c r="A4792" s="3" t="n">
        <v>2025</v>
      </c>
      <c r="B4792" s="3" t="n">
        <v>2</v>
      </c>
      <c r="C4792" s="3" t="n">
        <v>11</v>
      </c>
      <c r="D4792" s="3" t="s">
        <v>4796</v>
      </c>
      <c r="E4792" s="4" t="n">
        <v>0</v>
      </c>
    </row>
    <row r="4793" customFormat="false" ht="15" hidden="false" customHeight="false" outlineLevel="0" collapsed="false">
      <c r="A4793" s="3" t="n">
        <v>2025</v>
      </c>
      <c r="B4793" s="3" t="n">
        <v>2</v>
      </c>
      <c r="C4793" s="3" t="n">
        <v>12</v>
      </c>
      <c r="D4793" s="3" t="s">
        <v>4797</v>
      </c>
      <c r="E4793" s="4" t="n">
        <v>0</v>
      </c>
    </row>
    <row r="4794" customFormat="false" ht="15" hidden="false" customHeight="false" outlineLevel="0" collapsed="false">
      <c r="A4794" s="3" t="n">
        <v>2025</v>
      </c>
      <c r="B4794" s="3" t="n">
        <v>2</v>
      </c>
      <c r="C4794" s="3" t="n">
        <v>13</v>
      </c>
      <c r="D4794" s="3" t="s">
        <v>4798</v>
      </c>
      <c r="E4794" s="4" t="n">
        <v>0</v>
      </c>
    </row>
    <row r="4795" customFormat="false" ht="15" hidden="false" customHeight="false" outlineLevel="0" collapsed="false">
      <c r="A4795" s="3" t="n">
        <v>2025</v>
      </c>
      <c r="B4795" s="3" t="n">
        <v>2</v>
      </c>
      <c r="C4795" s="3" t="n">
        <v>14</v>
      </c>
      <c r="D4795" s="3" t="s">
        <v>4799</v>
      </c>
      <c r="E4795" s="4" t="n">
        <v>0</v>
      </c>
    </row>
    <row r="4796" customFormat="false" ht="15" hidden="false" customHeight="false" outlineLevel="0" collapsed="false">
      <c r="A4796" s="3" t="n">
        <v>2025</v>
      </c>
      <c r="B4796" s="3" t="n">
        <v>2</v>
      </c>
      <c r="C4796" s="3" t="n">
        <v>15</v>
      </c>
      <c r="D4796" s="3" t="s">
        <v>4800</v>
      </c>
      <c r="E4796" s="4" t="n">
        <v>0</v>
      </c>
    </row>
    <row r="4797" customFormat="false" ht="15" hidden="false" customHeight="false" outlineLevel="0" collapsed="false">
      <c r="A4797" s="3" t="n">
        <v>2025</v>
      </c>
      <c r="B4797" s="3" t="n">
        <v>2</v>
      </c>
      <c r="C4797" s="3" t="n">
        <v>16</v>
      </c>
      <c r="D4797" s="3" t="s">
        <v>4801</v>
      </c>
      <c r="E4797" s="4" t="n">
        <v>0</v>
      </c>
    </row>
    <row r="4798" customFormat="false" ht="15" hidden="false" customHeight="false" outlineLevel="0" collapsed="false">
      <c r="A4798" s="3" t="n">
        <v>2025</v>
      </c>
      <c r="B4798" s="3" t="n">
        <v>2</v>
      </c>
      <c r="C4798" s="3" t="n">
        <v>17</v>
      </c>
      <c r="D4798" s="3" t="s">
        <v>4802</v>
      </c>
      <c r="E4798" s="4" t="n">
        <v>0</v>
      </c>
    </row>
    <row r="4799" customFormat="false" ht="15" hidden="false" customHeight="false" outlineLevel="0" collapsed="false">
      <c r="A4799" s="3" t="n">
        <v>2025</v>
      </c>
      <c r="B4799" s="3" t="n">
        <v>2</v>
      </c>
      <c r="C4799" s="3" t="n">
        <v>18</v>
      </c>
      <c r="D4799" s="3" t="s">
        <v>4803</v>
      </c>
      <c r="E4799" s="4" t="n">
        <v>0</v>
      </c>
    </row>
    <row r="4800" customFormat="false" ht="15" hidden="false" customHeight="false" outlineLevel="0" collapsed="false">
      <c r="A4800" s="3" t="n">
        <v>2025</v>
      </c>
      <c r="B4800" s="3" t="n">
        <v>2</v>
      </c>
      <c r="C4800" s="3" t="n">
        <v>19</v>
      </c>
      <c r="D4800" s="3" t="s">
        <v>4804</v>
      </c>
      <c r="E4800" s="4" t="n">
        <v>34</v>
      </c>
    </row>
    <row r="4801" customFormat="false" ht="15" hidden="false" customHeight="false" outlineLevel="0" collapsed="false">
      <c r="A4801" s="3" t="n">
        <v>2025</v>
      </c>
      <c r="B4801" s="3" t="n">
        <v>2</v>
      </c>
      <c r="C4801" s="3" t="n">
        <v>20</v>
      </c>
      <c r="D4801" s="3" t="s">
        <v>4805</v>
      </c>
      <c r="E4801" s="4" t="n">
        <v>19</v>
      </c>
    </row>
    <row r="4802" customFormat="false" ht="15" hidden="false" customHeight="false" outlineLevel="0" collapsed="false">
      <c r="A4802" s="3" t="n">
        <v>2025</v>
      </c>
      <c r="B4802" s="3" t="n">
        <v>2</v>
      </c>
      <c r="C4802" s="3" t="n">
        <v>21</v>
      </c>
      <c r="D4802" s="3" t="s">
        <v>4806</v>
      </c>
      <c r="E4802" s="4" t="n">
        <v>11</v>
      </c>
    </row>
    <row r="4803" customFormat="false" ht="15" hidden="false" customHeight="false" outlineLevel="0" collapsed="false">
      <c r="A4803" s="3" t="n">
        <v>2025</v>
      </c>
      <c r="B4803" s="3" t="n">
        <v>2</v>
      </c>
      <c r="C4803" s="3" t="n">
        <v>22</v>
      </c>
      <c r="D4803" s="3" t="s">
        <v>4807</v>
      </c>
      <c r="E4803" s="4" t="n">
        <v>0</v>
      </c>
    </row>
    <row r="4804" customFormat="false" ht="15" hidden="false" customHeight="false" outlineLevel="0" collapsed="false">
      <c r="A4804" s="3" t="n">
        <v>2025</v>
      </c>
      <c r="B4804" s="3" t="n">
        <v>2</v>
      </c>
      <c r="C4804" s="3" t="n">
        <v>23</v>
      </c>
      <c r="D4804" s="3" t="s">
        <v>4808</v>
      </c>
      <c r="E4804" s="4" t="n">
        <v>3</v>
      </c>
    </row>
    <row r="4805" customFormat="false" ht="15" hidden="false" customHeight="false" outlineLevel="0" collapsed="false">
      <c r="A4805" s="3" t="n">
        <v>2025</v>
      </c>
      <c r="B4805" s="3" t="n">
        <v>2</v>
      </c>
      <c r="C4805" s="3" t="n">
        <v>24</v>
      </c>
      <c r="D4805" s="3" t="s">
        <v>4809</v>
      </c>
      <c r="E4805" s="4" t="n">
        <v>59</v>
      </c>
    </row>
    <row r="4806" customFormat="false" ht="15" hidden="false" customHeight="false" outlineLevel="0" collapsed="false">
      <c r="A4806" s="3" t="n">
        <v>2025</v>
      </c>
      <c r="B4806" s="3" t="n">
        <v>2</v>
      </c>
      <c r="C4806" s="3" t="n">
        <v>25</v>
      </c>
      <c r="D4806" s="3" t="s">
        <v>4810</v>
      </c>
      <c r="E4806" s="4" t="n">
        <v>0</v>
      </c>
    </row>
    <row r="4807" customFormat="false" ht="15" hidden="false" customHeight="false" outlineLevel="0" collapsed="false">
      <c r="A4807" s="3" t="n">
        <v>2025</v>
      </c>
      <c r="B4807" s="3" t="n">
        <v>2</v>
      </c>
      <c r="C4807" s="3" t="n">
        <v>26</v>
      </c>
      <c r="D4807" s="3" t="s">
        <v>4811</v>
      </c>
      <c r="E4807" s="4" t="n">
        <v>54</v>
      </c>
    </row>
    <row r="4808" customFormat="false" ht="15" hidden="false" customHeight="false" outlineLevel="0" collapsed="false">
      <c r="A4808" s="3" t="n">
        <v>2025</v>
      </c>
      <c r="B4808" s="3" t="n">
        <v>2</v>
      </c>
      <c r="C4808" s="3" t="n">
        <v>27</v>
      </c>
      <c r="D4808" s="3" t="s">
        <v>4812</v>
      </c>
      <c r="E4808" s="4" t="n">
        <v>1</v>
      </c>
    </row>
    <row r="4809" customFormat="false" ht="15" hidden="false" customHeight="false" outlineLevel="0" collapsed="false">
      <c r="A4809" s="3" t="n">
        <v>2025</v>
      </c>
      <c r="B4809" s="3" t="n">
        <v>2</v>
      </c>
      <c r="C4809" s="3" t="n">
        <v>28</v>
      </c>
      <c r="D4809" s="3" t="s">
        <v>4813</v>
      </c>
      <c r="E4809" s="4" t="n">
        <v>21</v>
      </c>
    </row>
    <row r="4810" customFormat="false" ht="15" hidden="false" customHeight="false" outlineLevel="0" collapsed="false">
      <c r="A4810" s="3" t="n">
        <v>2025</v>
      </c>
      <c r="B4810" s="3" t="n">
        <v>3</v>
      </c>
      <c r="C4810" s="3" t="n">
        <v>1</v>
      </c>
      <c r="D4810" s="3" t="s">
        <v>4814</v>
      </c>
      <c r="E4810" s="4" t="n">
        <v>5</v>
      </c>
    </row>
    <row r="4811" customFormat="false" ht="15" hidden="false" customHeight="false" outlineLevel="0" collapsed="false">
      <c r="A4811" s="3" t="n">
        <v>2025</v>
      </c>
      <c r="B4811" s="3" t="n">
        <v>3</v>
      </c>
      <c r="C4811" s="3" t="n">
        <v>2</v>
      </c>
      <c r="D4811" s="3" t="s">
        <v>4815</v>
      </c>
      <c r="E4811" s="4" t="n">
        <v>6</v>
      </c>
    </row>
    <row r="4812" customFormat="false" ht="15" hidden="false" customHeight="false" outlineLevel="0" collapsed="false">
      <c r="A4812" s="3" t="n">
        <v>2025</v>
      </c>
      <c r="B4812" s="3" t="n">
        <v>3</v>
      </c>
      <c r="C4812" s="3" t="n">
        <v>3</v>
      </c>
      <c r="D4812" s="3" t="s">
        <v>4816</v>
      </c>
      <c r="E4812" s="4" t="n">
        <v>9</v>
      </c>
    </row>
    <row r="4813" customFormat="false" ht="15" hidden="false" customHeight="false" outlineLevel="0" collapsed="false">
      <c r="A4813" s="3" t="n">
        <v>2025</v>
      </c>
      <c r="B4813" s="3" t="n">
        <v>3</v>
      </c>
      <c r="C4813" s="3" t="n">
        <v>4</v>
      </c>
      <c r="D4813" s="3" t="s">
        <v>4817</v>
      </c>
      <c r="E4813" s="4" t="n">
        <v>0</v>
      </c>
    </row>
    <row r="4814" customFormat="false" ht="15" hidden="false" customHeight="false" outlineLevel="0" collapsed="false">
      <c r="A4814" s="3" t="n">
        <v>2025</v>
      </c>
      <c r="B4814" s="3" t="n">
        <v>3</v>
      </c>
      <c r="C4814" s="3" t="n">
        <v>5</v>
      </c>
      <c r="D4814" s="3" t="s">
        <v>4818</v>
      </c>
      <c r="E4814" s="4" t="n">
        <v>8</v>
      </c>
    </row>
    <row r="4815" customFormat="false" ht="15" hidden="false" customHeight="false" outlineLevel="0" collapsed="false">
      <c r="A4815" s="3" t="n">
        <v>2025</v>
      </c>
      <c r="B4815" s="3" t="n">
        <v>3</v>
      </c>
      <c r="C4815" s="3" t="n">
        <v>6</v>
      </c>
      <c r="D4815" s="3" t="s">
        <v>4819</v>
      </c>
      <c r="E4815" s="4" t="n">
        <v>2</v>
      </c>
    </row>
    <row r="4816" customFormat="false" ht="15" hidden="false" customHeight="false" outlineLevel="0" collapsed="false">
      <c r="A4816" s="3" t="n">
        <v>2025</v>
      </c>
      <c r="B4816" s="3" t="n">
        <v>3</v>
      </c>
      <c r="C4816" s="3" t="n">
        <v>7</v>
      </c>
      <c r="D4816" s="3" t="s">
        <v>4820</v>
      </c>
      <c r="E4816" s="4" t="n">
        <v>49</v>
      </c>
    </row>
    <row r="4817" customFormat="false" ht="15" hidden="false" customHeight="false" outlineLevel="0" collapsed="false">
      <c r="A4817" s="3" t="n">
        <v>2025</v>
      </c>
      <c r="B4817" s="3" t="n">
        <v>3</v>
      </c>
      <c r="C4817" s="3" t="n">
        <v>8</v>
      </c>
      <c r="D4817" s="3" t="s">
        <v>4821</v>
      </c>
      <c r="E4817" s="4" t="n">
        <v>14</v>
      </c>
    </row>
    <row r="4818" customFormat="false" ht="15" hidden="false" customHeight="false" outlineLevel="0" collapsed="false">
      <c r="A4818" s="3" t="n">
        <v>2025</v>
      </c>
      <c r="B4818" s="3" t="n">
        <v>3</v>
      </c>
      <c r="C4818" s="3" t="n">
        <v>9</v>
      </c>
      <c r="D4818" s="3" t="s">
        <v>4822</v>
      </c>
      <c r="E4818" s="4" t="n">
        <v>0</v>
      </c>
    </row>
    <row r="4819" customFormat="false" ht="15" hidden="false" customHeight="false" outlineLevel="0" collapsed="false">
      <c r="A4819" s="3" t="n">
        <v>2025</v>
      </c>
      <c r="B4819" s="3" t="n">
        <v>3</v>
      </c>
      <c r="C4819" s="3" t="n">
        <v>10</v>
      </c>
      <c r="D4819" s="3" t="s">
        <v>4823</v>
      </c>
      <c r="E4819" s="4" t="n">
        <v>5</v>
      </c>
    </row>
    <row r="4820" customFormat="false" ht="15" hidden="false" customHeight="false" outlineLevel="0" collapsed="false">
      <c r="A4820" s="3" t="n">
        <v>2025</v>
      </c>
      <c r="B4820" s="3" t="n">
        <v>3</v>
      </c>
      <c r="C4820" s="3" t="n">
        <v>11</v>
      </c>
      <c r="D4820" s="3" t="s">
        <v>4824</v>
      </c>
      <c r="E4820" s="4" t="n">
        <v>0</v>
      </c>
    </row>
    <row r="4821" customFormat="false" ht="15" hidden="false" customHeight="false" outlineLevel="0" collapsed="false">
      <c r="A4821" s="3" t="n">
        <v>2025</v>
      </c>
      <c r="B4821" s="3" t="n">
        <v>3</v>
      </c>
      <c r="C4821" s="3" t="n">
        <v>12</v>
      </c>
      <c r="D4821" s="3" t="s">
        <v>4825</v>
      </c>
      <c r="E4821" s="4" t="n">
        <v>0</v>
      </c>
    </row>
    <row r="4822" customFormat="false" ht="15" hidden="false" customHeight="false" outlineLevel="0" collapsed="false">
      <c r="A4822" s="3" t="n">
        <v>2025</v>
      </c>
      <c r="B4822" s="3" t="n">
        <v>3</v>
      </c>
      <c r="C4822" s="3" t="n">
        <v>13</v>
      </c>
      <c r="D4822" s="3" t="s">
        <v>4826</v>
      </c>
      <c r="E4822" s="4" t="n">
        <v>1</v>
      </c>
    </row>
    <row r="4823" customFormat="false" ht="15" hidden="false" customHeight="false" outlineLevel="0" collapsed="false">
      <c r="A4823" s="3" t="n">
        <v>2025</v>
      </c>
      <c r="B4823" s="3" t="n">
        <v>3</v>
      </c>
      <c r="C4823" s="3" t="n">
        <v>14</v>
      </c>
      <c r="D4823" s="3" t="s">
        <v>4827</v>
      </c>
      <c r="E4823" s="4" t="n">
        <v>3</v>
      </c>
    </row>
    <row r="4824" customFormat="false" ht="15" hidden="false" customHeight="false" outlineLevel="0" collapsed="false">
      <c r="A4824" s="3" t="n">
        <v>2025</v>
      </c>
      <c r="B4824" s="3" t="n">
        <v>3</v>
      </c>
      <c r="C4824" s="3" t="n">
        <v>15</v>
      </c>
      <c r="D4824" s="3" t="s">
        <v>4828</v>
      </c>
      <c r="E4824" s="4" t="n">
        <v>10</v>
      </c>
    </row>
    <row r="4825" customFormat="false" ht="15" hidden="false" customHeight="false" outlineLevel="0" collapsed="false">
      <c r="A4825" s="3" t="n">
        <v>2025</v>
      </c>
      <c r="B4825" s="3" t="n">
        <v>3</v>
      </c>
      <c r="C4825" s="3" t="n">
        <v>16</v>
      </c>
      <c r="D4825" s="3" t="s">
        <v>4829</v>
      </c>
      <c r="E4825" s="4" t="n">
        <v>0</v>
      </c>
    </row>
    <row r="4826" customFormat="false" ht="15" hidden="false" customHeight="false" outlineLevel="0" collapsed="false">
      <c r="A4826" s="3" t="n">
        <v>2025</v>
      </c>
      <c r="B4826" s="3" t="n">
        <v>3</v>
      </c>
      <c r="C4826" s="3" t="n">
        <v>17</v>
      </c>
      <c r="D4826" s="3" t="s">
        <v>4830</v>
      </c>
      <c r="E4826" s="4" t="n">
        <v>2</v>
      </c>
    </row>
    <row r="4827" customFormat="false" ht="15" hidden="false" customHeight="false" outlineLevel="0" collapsed="false">
      <c r="A4827" s="3" t="n">
        <v>2025</v>
      </c>
      <c r="B4827" s="3" t="n">
        <v>3</v>
      </c>
      <c r="C4827" s="3" t="n">
        <v>18</v>
      </c>
      <c r="D4827" s="3" t="s">
        <v>4831</v>
      </c>
      <c r="E4827" s="4" t="n">
        <v>1</v>
      </c>
    </row>
    <row r="4828" customFormat="false" ht="15" hidden="false" customHeight="false" outlineLevel="0" collapsed="false">
      <c r="A4828" s="3" t="n">
        <v>2025</v>
      </c>
      <c r="B4828" s="3" t="n">
        <v>3</v>
      </c>
      <c r="C4828" s="3" t="n">
        <v>19</v>
      </c>
      <c r="D4828" s="3" t="s">
        <v>4832</v>
      </c>
      <c r="E4828" s="4" t="n">
        <v>39</v>
      </c>
    </row>
    <row r="4829" customFormat="false" ht="15" hidden="false" customHeight="false" outlineLevel="0" collapsed="false">
      <c r="A4829" s="3" t="n">
        <v>2025</v>
      </c>
      <c r="B4829" s="3" t="n">
        <v>3</v>
      </c>
      <c r="C4829" s="3" t="n">
        <v>20</v>
      </c>
      <c r="D4829" s="3" t="s">
        <v>4833</v>
      </c>
      <c r="E4829" s="4" t="n">
        <v>47</v>
      </c>
    </row>
    <row r="4830" customFormat="false" ht="15" hidden="false" customHeight="false" outlineLevel="0" collapsed="false">
      <c r="A4830" s="3" t="n">
        <v>2025</v>
      </c>
      <c r="B4830" s="3" t="n">
        <v>3</v>
      </c>
      <c r="C4830" s="3" t="n">
        <v>21</v>
      </c>
      <c r="D4830" s="3" t="s">
        <v>4834</v>
      </c>
      <c r="E4830" s="4" t="n">
        <v>15</v>
      </c>
    </row>
    <row r="4831" customFormat="false" ht="15" hidden="false" customHeight="false" outlineLevel="0" collapsed="false">
      <c r="A4831" s="3" t="n">
        <v>2025</v>
      </c>
      <c r="B4831" s="3" t="n">
        <v>3</v>
      </c>
      <c r="C4831" s="3" t="n">
        <v>22</v>
      </c>
      <c r="D4831" s="3" t="s">
        <v>4835</v>
      </c>
      <c r="E4831" s="4" t="n">
        <v>46</v>
      </c>
    </row>
    <row r="4832" customFormat="false" ht="15" hidden="false" customHeight="false" outlineLevel="0" collapsed="false">
      <c r="A4832" s="3" t="n">
        <v>2025</v>
      </c>
      <c r="B4832" s="3" t="n">
        <v>3</v>
      </c>
      <c r="C4832" s="3" t="n">
        <v>23</v>
      </c>
      <c r="D4832" s="3" t="s">
        <v>4836</v>
      </c>
      <c r="E4832" s="4" t="n">
        <v>4</v>
      </c>
    </row>
    <row r="4833" customFormat="false" ht="15" hidden="false" customHeight="false" outlineLevel="0" collapsed="false">
      <c r="A4833" s="3" t="n">
        <v>2025</v>
      </c>
      <c r="B4833" s="3" t="n">
        <v>3</v>
      </c>
      <c r="C4833" s="3" t="n">
        <v>24</v>
      </c>
      <c r="D4833" s="3" t="s">
        <v>4837</v>
      </c>
      <c r="E4833" s="4" t="n">
        <v>2</v>
      </c>
    </row>
    <row r="4834" customFormat="false" ht="15" hidden="false" customHeight="false" outlineLevel="0" collapsed="false">
      <c r="A4834" s="3" t="n">
        <v>2025</v>
      </c>
      <c r="B4834" s="3" t="n">
        <v>3</v>
      </c>
      <c r="C4834" s="3" t="n">
        <v>25</v>
      </c>
      <c r="D4834" s="3" t="s">
        <v>4838</v>
      </c>
      <c r="E4834" s="4" t="n">
        <v>3</v>
      </c>
    </row>
    <row r="4835" customFormat="false" ht="15" hidden="false" customHeight="false" outlineLevel="0" collapsed="false">
      <c r="A4835" s="3" t="n">
        <v>2025</v>
      </c>
      <c r="B4835" s="3" t="n">
        <v>3</v>
      </c>
      <c r="C4835" s="3" t="n">
        <v>26</v>
      </c>
      <c r="D4835" s="3" t="s">
        <v>4839</v>
      </c>
      <c r="E4835" s="4" t="n">
        <v>0</v>
      </c>
    </row>
    <row r="4836" customFormat="false" ht="15" hidden="false" customHeight="false" outlineLevel="0" collapsed="false">
      <c r="A4836" s="3" t="n">
        <v>2025</v>
      </c>
      <c r="B4836" s="3" t="n">
        <v>3</v>
      </c>
      <c r="C4836" s="3" t="n">
        <v>27</v>
      </c>
      <c r="D4836" s="3" t="s">
        <v>4840</v>
      </c>
      <c r="E4836" s="4" t="n">
        <v>0</v>
      </c>
    </row>
    <row r="4837" customFormat="false" ht="15" hidden="false" customHeight="false" outlineLevel="0" collapsed="false">
      <c r="A4837" s="3" t="n">
        <v>2025</v>
      </c>
      <c r="B4837" s="3" t="n">
        <v>3</v>
      </c>
      <c r="C4837" s="3" t="n">
        <v>28</v>
      </c>
      <c r="D4837" s="3" t="s">
        <v>4841</v>
      </c>
      <c r="E4837" s="4" t="n">
        <v>0</v>
      </c>
    </row>
    <row r="4838" customFormat="false" ht="15" hidden="false" customHeight="false" outlineLevel="0" collapsed="false">
      <c r="A4838" s="3" t="n">
        <v>2025</v>
      </c>
      <c r="B4838" s="3" t="n">
        <v>3</v>
      </c>
      <c r="C4838" s="3" t="n">
        <v>29</v>
      </c>
      <c r="D4838" s="3" t="s">
        <v>4842</v>
      </c>
      <c r="E4838" s="4" t="n">
        <v>0</v>
      </c>
    </row>
    <row r="4839" customFormat="false" ht="15" hidden="false" customHeight="false" outlineLevel="0" collapsed="false">
      <c r="A4839" s="3" t="n">
        <v>2025</v>
      </c>
      <c r="B4839" s="3" t="n">
        <v>3</v>
      </c>
      <c r="C4839" s="3" t="n">
        <v>30</v>
      </c>
      <c r="D4839" s="3" t="s">
        <v>4843</v>
      </c>
      <c r="E4839" s="4" t="n">
        <v>0</v>
      </c>
    </row>
    <row r="4840" customFormat="false" ht="15" hidden="false" customHeight="false" outlineLevel="0" collapsed="false">
      <c r="A4840" s="3" t="n">
        <v>2025</v>
      </c>
      <c r="B4840" s="3" t="n">
        <v>3</v>
      </c>
      <c r="C4840" s="3" t="n">
        <v>31</v>
      </c>
      <c r="D4840" s="3" t="s">
        <v>4844</v>
      </c>
      <c r="E4840" s="4" t="n">
        <v>31</v>
      </c>
    </row>
    <row r="4841" customFormat="false" ht="15" hidden="false" customHeight="false" outlineLevel="0" collapsed="false">
      <c r="A4841" s="3" t="n">
        <v>2025</v>
      </c>
      <c r="B4841" s="3" t="n">
        <v>4</v>
      </c>
      <c r="C4841" s="3" t="n">
        <v>1</v>
      </c>
      <c r="D4841" s="3" t="s">
        <v>4845</v>
      </c>
      <c r="E4841" s="4" t="n">
        <v>10</v>
      </c>
    </row>
    <row r="4842" customFormat="false" ht="15" hidden="false" customHeight="false" outlineLevel="0" collapsed="false">
      <c r="A4842" s="3" t="n">
        <v>2025</v>
      </c>
      <c r="B4842" s="3" t="n">
        <v>4</v>
      </c>
      <c r="C4842" s="3" t="n">
        <v>2</v>
      </c>
      <c r="D4842" s="3" t="s">
        <v>4846</v>
      </c>
      <c r="E4842" s="4" t="n">
        <v>0</v>
      </c>
    </row>
    <row r="4843" customFormat="false" ht="15" hidden="false" customHeight="false" outlineLevel="0" collapsed="false">
      <c r="A4843" s="3" t="n">
        <v>2025</v>
      </c>
      <c r="B4843" s="3" t="n">
        <v>4</v>
      </c>
      <c r="C4843" s="3" t="n">
        <v>3</v>
      </c>
      <c r="D4843" s="3" t="s">
        <v>4847</v>
      </c>
      <c r="E4843" s="4" t="n">
        <v>15</v>
      </c>
    </row>
    <row r="4844" customFormat="false" ht="15" hidden="false" customHeight="false" outlineLevel="0" collapsed="false">
      <c r="A4844" s="3" t="n">
        <v>2025</v>
      </c>
      <c r="B4844" s="3" t="n">
        <v>4</v>
      </c>
      <c r="C4844" s="3" t="n">
        <v>4</v>
      </c>
      <c r="D4844" s="3" t="s">
        <v>4848</v>
      </c>
      <c r="E4844" s="4" t="n">
        <v>2</v>
      </c>
    </row>
    <row r="4845" customFormat="false" ht="15" hidden="false" customHeight="false" outlineLevel="0" collapsed="false">
      <c r="A4845" s="3" t="n">
        <v>2025</v>
      </c>
      <c r="B4845" s="3" t="n">
        <v>4</v>
      </c>
      <c r="C4845" s="3" t="n">
        <v>5</v>
      </c>
      <c r="D4845" s="3" t="s">
        <v>4849</v>
      </c>
      <c r="E4845" s="4" t="n">
        <v>15</v>
      </c>
    </row>
    <row r="4846" customFormat="false" ht="15" hidden="false" customHeight="false" outlineLevel="0" collapsed="false">
      <c r="A4846" s="3" t="n">
        <v>2025</v>
      </c>
      <c r="B4846" s="3" t="n">
        <v>4</v>
      </c>
      <c r="C4846" s="3" t="n">
        <v>6</v>
      </c>
      <c r="D4846" s="3" t="s">
        <v>4850</v>
      </c>
      <c r="E4846" s="4" t="n">
        <v>29</v>
      </c>
    </row>
    <row r="4847" customFormat="false" ht="15" hidden="false" customHeight="false" outlineLevel="0" collapsed="false">
      <c r="A4847" s="3" t="n">
        <v>2025</v>
      </c>
      <c r="B4847" s="3" t="n">
        <v>4</v>
      </c>
      <c r="C4847" s="3" t="n">
        <v>7</v>
      </c>
      <c r="D4847" s="3" t="s">
        <v>4851</v>
      </c>
      <c r="E4847" s="4" t="n">
        <v>1</v>
      </c>
    </row>
    <row r="4848" customFormat="false" ht="15" hidden="false" customHeight="false" outlineLevel="0" collapsed="false">
      <c r="A4848" s="3" t="n">
        <v>2025</v>
      </c>
      <c r="B4848" s="3" t="n">
        <v>4</v>
      </c>
      <c r="C4848" s="3" t="n">
        <v>8</v>
      </c>
      <c r="D4848" s="3" t="s">
        <v>4852</v>
      </c>
      <c r="E4848" s="4" t="n">
        <v>20</v>
      </c>
    </row>
    <row r="4849" customFormat="false" ht="15" hidden="false" customHeight="false" outlineLevel="0" collapsed="false">
      <c r="A4849" s="3" t="n">
        <v>2025</v>
      </c>
      <c r="B4849" s="3" t="n">
        <v>4</v>
      </c>
      <c r="C4849" s="3" t="n">
        <v>9</v>
      </c>
      <c r="D4849" s="3" t="s">
        <v>4853</v>
      </c>
      <c r="E4849" s="4" t="n">
        <v>17</v>
      </c>
    </row>
    <row r="4850" customFormat="false" ht="15" hidden="false" customHeight="false" outlineLevel="0" collapsed="false">
      <c r="A4850" s="3" t="n">
        <v>2025</v>
      </c>
      <c r="B4850" s="3" t="n">
        <v>4</v>
      </c>
      <c r="C4850" s="3" t="n">
        <v>10</v>
      </c>
      <c r="D4850" s="3" t="s">
        <v>4854</v>
      </c>
      <c r="E4850" s="4" t="n">
        <v>0</v>
      </c>
    </row>
    <row r="4851" customFormat="false" ht="15" hidden="false" customHeight="false" outlineLevel="0" collapsed="false">
      <c r="A4851" s="3" t="n">
        <v>2025</v>
      </c>
      <c r="B4851" s="3" t="n">
        <v>4</v>
      </c>
      <c r="C4851" s="3" t="n">
        <v>11</v>
      </c>
      <c r="D4851" s="3" t="s">
        <v>4855</v>
      </c>
      <c r="E4851" s="4" t="n">
        <v>3</v>
      </c>
    </row>
    <row r="4852" customFormat="false" ht="15" hidden="false" customHeight="false" outlineLevel="0" collapsed="false">
      <c r="A4852" s="3" t="n">
        <v>2025</v>
      </c>
      <c r="B4852" s="3" t="n">
        <v>4</v>
      </c>
      <c r="C4852" s="3" t="n">
        <v>12</v>
      </c>
      <c r="D4852" s="3" t="s">
        <v>4856</v>
      </c>
      <c r="E4852" s="4" t="n">
        <v>14</v>
      </c>
    </row>
    <row r="4853" customFormat="false" ht="15" hidden="false" customHeight="false" outlineLevel="0" collapsed="false">
      <c r="A4853" s="3" t="n">
        <v>2025</v>
      </c>
      <c r="B4853" s="3" t="n">
        <v>4</v>
      </c>
      <c r="C4853" s="3" t="n">
        <v>13</v>
      </c>
      <c r="D4853" s="3" t="s">
        <v>4857</v>
      </c>
      <c r="E4853" s="4" t="n">
        <v>1</v>
      </c>
    </row>
    <row r="4854" customFormat="false" ht="15" hidden="false" customHeight="false" outlineLevel="0" collapsed="false">
      <c r="A4854" s="3" t="n">
        <v>2025</v>
      </c>
      <c r="B4854" s="3" t="n">
        <v>4</v>
      </c>
      <c r="C4854" s="3" t="n">
        <v>14</v>
      </c>
      <c r="D4854" s="3" t="s">
        <v>4858</v>
      </c>
      <c r="E4854" s="4" t="n">
        <v>13</v>
      </c>
    </row>
    <row r="4855" customFormat="false" ht="15" hidden="false" customHeight="false" outlineLevel="0" collapsed="false">
      <c r="A4855" s="3" t="n">
        <v>2025</v>
      </c>
      <c r="B4855" s="3" t="n">
        <v>4</v>
      </c>
      <c r="C4855" s="3" t="n">
        <v>15</v>
      </c>
      <c r="D4855" s="3" t="s">
        <v>4859</v>
      </c>
      <c r="E4855" s="4" t="n">
        <v>4</v>
      </c>
    </row>
    <row r="4856" customFormat="false" ht="15" hidden="false" customHeight="false" outlineLevel="0" collapsed="false">
      <c r="A4856" s="3" t="n">
        <v>2025</v>
      </c>
      <c r="B4856" s="3" t="n">
        <v>4</v>
      </c>
      <c r="C4856" s="3" t="n">
        <v>16</v>
      </c>
      <c r="D4856" s="3" t="s">
        <v>4860</v>
      </c>
      <c r="E4856" s="4" t="n">
        <v>8</v>
      </c>
    </row>
    <row r="4857" customFormat="false" ht="15" hidden="false" customHeight="false" outlineLevel="0" collapsed="false">
      <c r="A4857" s="3" t="n">
        <v>2025</v>
      </c>
      <c r="B4857" s="3" t="n">
        <v>4</v>
      </c>
      <c r="C4857" s="3" t="n">
        <v>17</v>
      </c>
      <c r="D4857" s="3" t="s">
        <v>4861</v>
      </c>
      <c r="E4857" s="4" t="n">
        <v>1</v>
      </c>
    </row>
    <row r="4858" customFormat="false" ht="15" hidden="false" customHeight="false" outlineLevel="0" collapsed="false">
      <c r="A4858" s="3" t="n">
        <v>2025</v>
      </c>
      <c r="B4858" s="3" t="n">
        <v>4</v>
      </c>
      <c r="C4858" s="3" t="n">
        <v>18</v>
      </c>
      <c r="D4858" s="3" t="s">
        <v>4862</v>
      </c>
      <c r="E4858" s="4" t="n">
        <v>25</v>
      </c>
    </row>
    <row r="4859" customFormat="false" ht="15" hidden="false" customHeight="false" outlineLevel="0" collapsed="false">
      <c r="A4859" s="3" t="n">
        <v>2025</v>
      </c>
      <c r="B4859" s="3" t="n">
        <v>4</v>
      </c>
      <c r="C4859" s="3" t="n">
        <v>19</v>
      </c>
      <c r="D4859" s="3" t="s">
        <v>4863</v>
      </c>
      <c r="E4859" s="4" t="n">
        <v>0</v>
      </c>
    </row>
    <row r="4860" customFormat="false" ht="15" hidden="false" customHeight="false" outlineLevel="0" collapsed="false">
      <c r="A4860" s="3" t="n">
        <v>2025</v>
      </c>
      <c r="B4860" s="3" t="n">
        <v>4</v>
      </c>
      <c r="C4860" s="3" t="n">
        <v>20</v>
      </c>
      <c r="D4860" s="3" t="s">
        <v>4864</v>
      </c>
      <c r="E4860" s="4" t="n">
        <v>0</v>
      </c>
    </row>
    <row r="4861" customFormat="false" ht="15" hidden="false" customHeight="false" outlineLevel="0" collapsed="false">
      <c r="A4861" s="3" t="n">
        <v>2025</v>
      </c>
      <c r="B4861" s="3" t="n">
        <v>4</v>
      </c>
      <c r="C4861" s="3" t="n">
        <v>21</v>
      </c>
      <c r="D4861" s="3" t="s">
        <v>4865</v>
      </c>
      <c r="E4861" s="4" t="n">
        <v>19</v>
      </c>
    </row>
    <row r="4862" customFormat="false" ht="15" hidden="false" customHeight="false" outlineLevel="0" collapsed="false">
      <c r="A4862" s="3" t="n">
        <v>2025</v>
      </c>
      <c r="B4862" s="3" t="n">
        <v>4</v>
      </c>
      <c r="C4862" s="3" t="n">
        <v>22</v>
      </c>
      <c r="D4862" s="3" t="s">
        <v>4866</v>
      </c>
      <c r="E4862" s="4" t="n">
        <v>6</v>
      </c>
    </row>
    <row r="4863" customFormat="false" ht="15" hidden="false" customHeight="false" outlineLevel="0" collapsed="false">
      <c r="A4863" s="3" t="n">
        <v>2025</v>
      </c>
      <c r="B4863" s="3" t="n">
        <v>4</v>
      </c>
      <c r="C4863" s="3" t="n">
        <v>23</v>
      </c>
      <c r="D4863" s="3" t="s">
        <v>4867</v>
      </c>
      <c r="E4863" s="4" t="n">
        <v>0</v>
      </c>
    </row>
    <row r="4864" customFormat="false" ht="15" hidden="false" customHeight="false" outlineLevel="0" collapsed="false">
      <c r="A4864" s="3" t="n">
        <v>2025</v>
      </c>
      <c r="B4864" s="3" t="n">
        <v>4</v>
      </c>
      <c r="C4864" s="3" t="n">
        <v>24</v>
      </c>
      <c r="D4864" s="3" t="s">
        <v>4868</v>
      </c>
      <c r="E4864" s="4" t="n">
        <v>7</v>
      </c>
    </row>
    <row r="4865" customFormat="false" ht="15" hidden="false" customHeight="false" outlineLevel="0" collapsed="false">
      <c r="A4865" s="3" t="n">
        <v>2025</v>
      </c>
      <c r="B4865" s="3" t="n">
        <v>4</v>
      </c>
      <c r="C4865" s="3" t="n">
        <v>25</v>
      </c>
      <c r="D4865" s="3" t="s">
        <v>4869</v>
      </c>
      <c r="E4865" s="4" t="n">
        <v>2</v>
      </c>
    </row>
    <row r="4866" customFormat="false" ht="15" hidden="false" customHeight="false" outlineLevel="0" collapsed="false">
      <c r="A4866" s="3" t="n">
        <v>2025</v>
      </c>
      <c r="B4866" s="3" t="n">
        <v>4</v>
      </c>
      <c r="C4866" s="3" t="n">
        <v>26</v>
      </c>
      <c r="D4866" s="3" t="s">
        <v>4870</v>
      </c>
      <c r="E4866" s="4" t="n">
        <v>0</v>
      </c>
    </row>
    <row r="4867" customFormat="false" ht="15" hidden="false" customHeight="false" outlineLevel="0" collapsed="false">
      <c r="A4867" s="3" t="n">
        <v>2025</v>
      </c>
      <c r="B4867" s="3" t="n">
        <v>4</v>
      </c>
      <c r="C4867" s="3" t="n">
        <v>27</v>
      </c>
      <c r="D4867" s="3" t="s">
        <v>4871</v>
      </c>
      <c r="E4867" s="4" t="n">
        <v>5</v>
      </c>
    </row>
    <row r="4868" customFormat="false" ht="15" hidden="false" customHeight="false" outlineLevel="0" collapsed="false">
      <c r="A4868" s="3" t="n">
        <v>2025</v>
      </c>
      <c r="B4868" s="3" t="n">
        <v>4</v>
      </c>
      <c r="C4868" s="3" t="n">
        <v>28</v>
      </c>
      <c r="D4868" s="3" t="s">
        <v>4872</v>
      </c>
      <c r="E4868" s="4" t="n">
        <v>14</v>
      </c>
    </row>
    <row r="4869" customFormat="false" ht="15" hidden="false" customHeight="false" outlineLevel="0" collapsed="false">
      <c r="A4869" s="3" t="n">
        <v>2025</v>
      </c>
      <c r="B4869" s="3" t="n">
        <v>4</v>
      </c>
      <c r="C4869" s="3" t="n">
        <v>29</v>
      </c>
      <c r="D4869" s="3" t="s">
        <v>4873</v>
      </c>
      <c r="E4869" s="4" t="n">
        <v>0</v>
      </c>
    </row>
    <row r="4870" customFormat="false" ht="15" hidden="false" customHeight="false" outlineLevel="0" collapsed="false">
      <c r="A4870" s="3" t="n">
        <v>2025</v>
      </c>
      <c r="B4870" s="3" t="n">
        <v>4</v>
      </c>
      <c r="C4870" s="3" t="n">
        <v>30</v>
      </c>
      <c r="D4870" s="3" t="s">
        <v>4874</v>
      </c>
      <c r="E4870" s="4" t="n">
        <v>0</v>
      </c>
    </row>
    <row r="4871" customFormat="false" ht="15" hidden="false" customHeight="false" outlineLevel="0" collapsed="false">
      <c r="A4871" s="3" t="n">
        <v>2025</v>
      </c>
      <c r="B4871" s="3" t="n">
        <v>5</v>
      </c>
      <c r="C4871" s="3" t="n">
        <v>1</v>
      </c>
      <c r="D4871" s="3" t="s">
        <v>4875</v>
      </c>
      <c r="E4871" s="4" t="n">
        <v>3</v>
      </c>
    </row>
    <row r="4872" customFormat="false" ht="15" hidden="false" customHeight="false" outlineLevel="0" collapsed="false">
      <c r="A4872" s="3" t="n">
        <v>2025</v>
      </c>
      <c r="B4872" s="3" t="n">
        <v>5</v>
      </c>
      <c r="C4872" s="3" t="n">
        <v>2</v>
      </c>
      <c r="D4872" s="3" t="s">
        <v>4876</v>
      </c>
      <c r="E4872" s="4" t="n">
        <v>2</v>
      </c>
    </row>
    <row r="4873" customFormat="false" ht="15" hidden="false" customHeight="false" outlineLevel="0" collapsed="false">
      <c r="A4873" s="3" t="n">
        <v>2025</v>
      </c>
      <c r="B4873" s="3" t="n">
        <v>5</v>
      </c>
      <c r="C4873" s="3" t="n">
        <v>3</v>
      </c>
      <c r="D4873" s="3" t="s">
        <v>4877</v>
      </c>
      <c r="E4873" s="4" t="n">
        <v>0</v>
      </c>
    </row>
    <row r="4874" customFormat="false" ht="15" hidden="false" customHeight="false" outlineLevel="0" collapsed="false">
      <c r="A4874" s="3" t="n">
        <v>2025</v>
      </c>
      <c r="B4874" s="3" t="n">
        <v>5</v>
      </c>
      <c r="C4874" s="3" t="n">
        <v>4</v>
      </c>
      <c r="D4874" s="3" t="s">
        <v>4878</v>
      </c>
      <c r="E4874" s="4" t="n">
        <v>0</v>
      </c>
    </row>
    <row r="4875" customFormat="false" ht="15" hidden="false" customHeight="false" outlineLevel="0" collapsed="false">
      <c r="A4875" s="3" t="n">
        <v>2025</v>
      </c>
      <c r="B4875" s="3" t="n">
        <v>5</v>
      </c>
      <c r="C4875" s="3" t="n">
        <v>5</v>
      </c>
      <c r="D4875" s="3" t="s">
        <v>4879</v>
      </c>
      <c r="E4875" s="4" t="n">
        <v>12</v>
      </c>
    </row>
    <row r="4876" customFormat="false" ht="15" hidden="false" customHeight="false" outlineLevel="0" collapsed="false">
      <c r="A4876" s="3" t="n">
        <v>2025</v>
      </c>
      <c r="B4876" s="3" t="n">
        <v>5</v>
      </c>
      <c r="C4876" s="3" t="n">
        <v>6</v>
      </c>
      <c r="D4876" s="3" t="s">
        <v>4880</v>
      </c>
      <c r="E4876" s="4" t="n">
        <v>0</v>
      </c>
    </row>
    <row r="4877" customFormat="false" ht="15" hidden="false" customHeight="false" outlineLevel="0" collapsed="false">
      <c r="A4877" s="3" t="n">
        <v>2025</v>
      </c>
      <c r="B4877" s="3" t="n">
        <v>5</v>
      </c>
      <c r="C4877" s="3" t="n">
        <v>7</v>
      </c>
      <c r="D4877" s="3" t="s">
        <v>4881</v>
      </c>
      <c r="E4877" s="4" t="n">
        <v>0</v>
      </c>
    </row>
    <row r="4878" customFormat="false" ht="15" hidden="false" customHeight="false" outlineLevel="0" collapsed="false">
      <c r="A4878" s="3" t="n">
        <v>2025</v>
      </c>
      <c r="B4878" s="3" t="n">
        <v>5</v>
      </c>
      <c r="C4878" s="3" t="n">
        <v>8</v>
      </c>
      <c r="D4878" s="3" t="s">
        <v>4882</v>
      </c>
      <c r="E4878" s="4" t="n">
        <v>0</v>
      </c>
    </row>
    <row r="4879" customFormat="false" ht="15" hidden="false" customHeight="false" outlineLevel="0" collapsed="false">
      <c r="A4879" s="3" t="n">
        <v>2025</v>
      </c>
      <c r="B4879" s="3" t="n">
        <v>5</v>
      </c>
      <c r="C4879" s="3" t="n">
        <v>9</v>
      </c>
      <c r="D4879" s="3" t="s">
        <v>4883</v>
      </c>
      <c r="E4879" s="4" t="n">
        <v>83</v>
      </c>
    </row>
    <row r="4880" customFormat="false" ht="15" hidden="false" customHeight="false" outlineLevel="0" collapsed="false">
      <c r="A4880" s="3" t="n">
        <v>2025</v>
      </c>
      <c r="B4880" s="3" t="n">
        <v>5</v>
      </c>
      <c r="C4880" s="3" t="n">
        <v>10</v>
      </c>
      <c r="D4880" s="3" t="s">
        <v>4884</v>
      </c>
      <c r="E4880" s="4" t="n">
        <v>0</v>
      </c>
    </row>
    <row r="4881" customFormat="false" ht="15" hidden="false" customHeight="false" outlineLevel="0" collapsed="false">
      <c r="A4881" s="3" t="n">
        <v>2025</v>
      </c>
      <c r="B4881" s="3" t="n">
        <v>5</v>
      </c>
      <c r="C4881" s="3" t="n">
        <v>11</v>
      </c>
      <c r="D4881" s="3" t="s">
        <v>4885</v>
      </c>
      <c r="E4881" s="4" t="n">
        <v>56</v>
      </c>
    </row>
    <row r="4882" customFormat="false" ht="15" hidden="false" customHeight="false" outlineLevel="0" collapsed="false">
      <c r="A4882" s="3" t="n">
        <v>2025</v>
      </c>
      <c r="B4882" s="3" t="n">
        <v>5</v>
      </c>
      <c r="C4882" s="3" t="n">
        <v>12</v>
      </c>
      <c r="D4882" s="3" t="s">
        <v>4886</v>
      </c>
      <c r="E4882" s="4" t="n">
        <v>6</v>
      </c>
    </row>
    <row r="4883" customFormat="false" ht="15" hidden="false" customHeight="false" outlineLevel="0" collapsed="false">
      <c r="A4883" s="3" t="n">
        <v>2025</v>
      </c>
      <c r="B4883" s="3" t="n">
        <v>5</v>
      </c>
      <c r="C4883" s="3" t="n">
        <v>13</v>
      </c>
      <c r="D4883" s="3" t="s">
        <v>4887</v>
      </c>
      <c r="E4883" s="4" t="n">
        <v>1</v>
      </c>
    </row>
    <row r="4884" customFormat="false" ht="15" hidden="false" customHeight="false" outlineLevel="0" collapsed="false">
      <c r="A4884" s="3" t="n">
        <v>2025</v>
      </c>
      <c r="B4884" s="3" t="n">
        <v>5</v>
      </c>
      <c r="C4884" s="3" t="n">
        <v>14</v>
      </c>
      <c r="D4884" s="3" t="s">
        <v>4888</v>
      </c>
      <c r="E4884" s="4" t="n">
        <v>1</v>
      </c>
    </row>
    <row r="4885" customFormat="false" ht="15" hidden="false" customHeight="false" outlineLevel="0" collapsed="false">
      <c r="A4885" s="3" t="n">
        <v>2025</v>
      </c>
      <c r="B4885" s="3" t="n">
        <v>5</v>
      </c>
      <c r="C4885" s="3" t="n">
        <v>15</v>
      </c>
      <c r="D4885" s="3" t="s">
        <v>4889</v>
      </c>
      <c r="E4885" s="4" t="n">
        <v>4</v>
      </c>
    </row>
    <row r="4886" customFormat="false" ht="15" hidden="false" customHeight="false" outlineLevel="0" collapsed="false">
      <c r="A4886" s="3" t="n">
        <v>2025</v>
      </c>
      <c r="B4886" s="3" t="n">
        <v>5</v>
      </c>
      <c r="C4886" s="3" t="n">
        <v>16</v>
      </c>
      <c r="D4886" s="3" t="s">
        <v>4890</v>
      </c>
      <c r="E4886" s="4" t="n">
        <v>37</v>
      </c>
    </row>
    <row r="4887" customFormat="false" ht="15" hidden="false" customHeight="false" outlineLevel="0" collapsed="false">
      <c r="A4887" s="3" t="n">
        <v>2025</v>
      </c>
      <c r="B4887" s="3" t="n">
        <v>5</v>
      </c>
      <c r="C4887" s="3" t="n">
        <v>17</v>
      </c>
      <c r="D4887" s="3" t="s">
        <v>4891</v>
      </c>
      <c r="E4887" s="4" t="n">
        <v>10</v>
      </c>
    </row>
    <row r="4888" customFormat="false" ht="15" hidden="false" customHeight="false" outlineLevel="0" collapsed="false">
      <c r="A4888" s="3" t="n">
        <v>2025</v>
      </c>
      <c r="B4888" s="3" t="n">
        <v>5</v>
      </c>
      <c r="C4888" s="3" t="n">
        <v>18</v>
      </c>
      <c r="D4888" s="3" t="s">
        <v>4892</v>
      </c>
      <c r="E4888" s="4" t="n">
        <v>0</v>
      </c>
    </row>
    <row r="4889" customFormat="false" ht="15" hidden="false" customHeight="false" outlineLevel="0" collapsed="false">
      <c r="A4889" s="3" t="n">
        <v>2025</v>
      </c>
      <c r="B4889" s="3" t="n">
        <v>5</v>
      </c>
      <c r="C4889" s="3" t="n">
        <v>19</v>
      </c>
      <c r="D4889" s="3" t="s">
        <v>4893</v>
      </c>
      <c r="E4889" s="4" t="n">
        <v>0</v>
      </c>
    </row>
    <row r="4890" customFormat="false" ht="15" hidden="false" customHeight="false" outlineLevel="0" collapsed="false">
      <c r="A4890" s="3" t="n">
        <v>2025</v>
      </c>
      <c r="B4890" s="3" t="n">
        <v>5</v>
      </c>
      <c r="C4890" s="3" t="n">
        <v>20</v>
      </c>
      <c r="D4890" s="3" t="s">
        <v>4894</v>
      </c>
      <c r="E4890" s="4" t="n">
        <v>0</v>
      </c>
    </row>
    <row r="4891" customFormat="false" ht="15" hidden="false" customHeight="false" outlineLevel="0" collapsed="false">
      <c r="A4891" s="3" t="n">
        <v>2025</v>
      </c>
      <c r="B4891" s="3" t="n">
        <v>5</v>
      </c>
      <c r="C4891" s="3" t="n">
        <v>21</v>
      </c>
      <c r="D4891" s="3" t="s">
        <v>4895</v>
      </c>
      <c r="E4891" s="4" t="n">
        <v>3</v>
      </c>
    </row>
    <row r="4892" customFormat="false" ht="15" hidden="false" customHeight="false" outlineLevel="0" collapsed="false">
      <c r="A4892" s="3" t="n">
        <v>2025</v>
      </c>
      <c r="B4892" s="3" t="n">
        <v>5</v>
      </c>
      <c r="C4892" s="3" t="n">
        <v>22</v>
      </c>
      <c r="D4892" s="3" t="s">
        <v>4896</v>
      </c>
      <c r="E4892" s="4" t="n">
        <v>0</v>
      </c>
    </row>
    <row r="4893" customFormat="false" ht="15" hidden="false" customHeight="false" outlineLevel="0" collapsed="false">
      <c r="A4893" s="3" t="n">
        <v>2025</v>
      </c>
      <c r="B4893" s="3" t="n">
        <v>5</v>
      </c>
      <c r="C4893" s="3" t="n">
        <v>23</v>
      </c>
      <c r="D4893" s="3" t="s">
        <v>4897</v>
      </c>
      <c r="E4893" s="4" t="n">
        <v>4</v>
      </c>
    </row>
    <row r="4894" customFormat="false" ht="15" hidden="false" customHeight="false" outlineLevel="0" collapsed="false">
      <c r="A4894" s="3" t="n">
        <v>2025</v>
      </c>
      <c r="B4894" s="3" t="n">
        <v>5</v>
      </c>
      <c r="C4894" s="3" t="n">
        <v>24</v>
      </c>
      <c r="D4894" s="3" t="s">
        <v>4898</v>
      </c>
      <c r="E4894" s="4" t="n">
        <v>0</v>
      </c>
    </row>
    <row r="4895" customFormat="false" ht="15" hidden="false" customHeight="false" outlineLevel="0" collapsed="false">
      <c r="A4895" s="3" t="n">
        <v>2025</v>
      </c>
      <c r="B4895" s="3" t="n">
        <v>5</v>
      </c>
      <c r="C4895" s="3" t="n">
        <v>25</v>
      </c>
      <c r="D4895" s="3" t="s">
        <v>4899</v>
      </c>
      <c r="E4895" s="4" t="n">
        <v>0</v>
      </c>
    </row>
    <row r="4896" customFormat="false" ht="15" hidden="false" customHeight="false" outlineLevel="0" collapsed="false">
      <c r="A4896" s="3" t="n">
        <v>2025</v>
      </c>
      <c r="B4896" s="3" t="n">
        <v>5</v>
      </c>
      <c r="C4896" s="3" t="n">
        <v>26</v>
      </c>
      <c r="D4896" s="3" t="s">
        <v>4900</v>
      </c>
      <c r="E4896" s="4" t="n">
        <v>0</v>
      </c>
    </row>
    <row r="4897" customFormat="false" ht="15" hidden="false" customHeight="false" outlineLevel="0" collapsed="false">
      <c r="A4897" s="3" t="n">
        <v>2025</v>
      </c>
      <c r="B4897" s="3" t="n">
        <v>5</v>
      </c>
      <c r="C4897" s="3" t="n">
        <v>27</v>
      </c>
      <c r="D4897" s="3" t="s">
        <v>4901</v>
      </c>
      <c r="E4897" s="4" t="n">
        <v>1</v>
      </c>
    </row>
    <row r="4898" customFormat="false" ht="15" hidden="false" customHeight="false" outlineLevel="0" collapsed="false">
      <c r="A4898" s="3" t="n">
        <v>2025</v>
      </c>
      <c r="B4898" s="3" t="n">
        <v>5</v>
      </c>
      <c r="C4898" s="3" t="n">
        <v>28</v>
      </c>
      <c r="D4898" s="3" t="s">
        <v>4902</v>
      </c>
      <c r="E4898" s="4" t="n">
        <v>0</v>
      </c>
    </row>
    <row r="4899" customFormat="false" ht="15" hidden="false" customHeight="false" outlineLevel="0" collapsed="false">
      <c r="A4899" s="3" t="n">
        <v>2025</v>
      </c>
      <c r="B4899" s="3" t="n">
        <v>5</v>
      </c>
      <c r="C4899" s="3" t="n">
        <v>29</v>
      </c>
      <c r="D4899" s="3" t="s">
        <v>4903</v>
      </c>
      <c r="E4899" s="4" t="n">
        <v>5</v>
      </c>
    </row>
    <row r="4900" customFormat="false" ht="15" hidden="false" customHeight="false" outlineLevel="0" collapsed="false">
      <c r="A4900" s="3" t="n">
        <v>2025</v>
      </c>
      <c r="B4900" s="3" t="n">
        <v>5</v>
      </c>
      <c r="C4900" s="3" t="n">
        <v>30</v>
      </c>
      <c r="D4900" s="3" t="s">
        <v>4904</v>
      </c>
      <c r="E4900" s="4" t="n">
        <v>1</v>
      </c>
    </row>
    <row r="4901" customFormat="false" ht="15" hidden="false" customHeight="false" outlineLevel="0" collapsed="false">
      <c r="A4901" s="3" t="n">
        <v>2025</v>
      </c>
      <c r="B4901" s="3" t="n">
        <v>5</v>
      </c>
      <c r="C4901" s="3" t="n">
        <v>31</v>
      </c>
      <c r="D4901" s="3" t="s">
        <v>4905</v>
      </c>
      <c r="E4901" s="4" t="n">
        <v>2</v>
      </c>
    </row>
    <row r="4902" customFormat="false" ht="15" hidden="false" customHeight="false" outlineLevel="0" collapsed="false">
      <c r="A4902" s="3" t="n">
        <v>2025</v>
      </c>
      <c r="B4902" s="3" t="n">
        <v>6</v>
      </c>
      <c r="C4902" s="3" t="n">
        <v>1</v>
      </c>
      <c r="D4902" s="3" t="s">
        <v>4906</v>
      </c>
      <c r="E4902" s="4" t="n">
        <v>0</v>
      </c>
    </row>
    <row r="4903" customFormat="false" ht="15" hidden="false" customHeight="false" outlineLevel="0" collapsed="false">
      <c r="A4903" s="3" t="n">
        <v>2025</v>
      </c>
      <c r="B4903" s="3" t="n">
        <v>6</v>
      </c>
      <c r="C4903" s="3" t="n">
        <v>2</v>
      </c>
      <c r="D4903" s="3" t="s">
        <v>4907</v>
      </c>
      <c r="E4903" s="4" t="n">
        <v>48</v>
      </c>
    </row>
    <row r="4904" customFormat="false" ht="15" hidden="false" customHeight="false" outlineLevel="0" collapsed="false">
      <c r="A4904" s="3" t="n">
        <v>2025</v>
      </c>
      <c r="B4904" s="3" t="n">
        <v>6</v>
      </c>
      <c r="C4904" s="3" t="n">
        <v>3</v>
      </c>
      <c r="D4904" s="3" t="s">
        <v>4908</v>
      </c>
      <c r="E4904" s="4" t="n">
        <v>0</v>
      </c>
    </row>
    <row r="4905" customFormat="false" ht="15" hidden="false" customHeight="false" outlineLevel="0" collapsed="false">
      <c r="A4905" s="3" t="n">
        <v>2025</v>
      </c>
      <c r="B4905" s="3" t="n">
        <v>6</v>
      </c>
      <c r="C4905" s="3" t="n">
        <v>4</v>
      </c>
      <c r="D4905" s="3" t="s">
        <v>4909</v>
      </c>
      <c r="E4905" s="4" t="n">
        <v>0</v>
      </c>
    </row>
    <row r="4906" customFormat="false" ht="15" hidden="false" customHeight="false" outlineLevel="0" collapsed="false">
      <c r="A4906" s="3" t="n">
        <v>2025</v>
      </c>
      <c r="B4906" s="3" t="n">
        <v>6</v>
      </c>
      <c r="C4906" s="3" t="n">
        <v>5</v>
      </c>
      <c r="D4906" s="3" t="s">
        <v>4910</v>
      </c>
      <c r="E4906" s="4" t="n">
        <v>0</v>
      </c>
    </row>
    <row r="4907" customFormat="false" ht="15" hidden="false" customHeight="false" outlineLevel="0" collapsed="false">
      <c r="A4907" s="3" t="n">
        <v>2025</v>
      </c>
      <c r="B4907" s="3" t="n">
        <v>6</v>
      </c>
      <c r="C4907" s="3" t="n">
        <v>6</v>
      </c>
      <c r="D4907" s="3" t="s">
        <v>4911</v>
      </c>
      <c r="E4907" s="4" t="n">
        <v>0</v>
      </c>
    </row>
    <row r="4908" customFormat="false" ht="15" hidden="false" customHeight="false" outlineLevel="0" collapsed="false">
      <c r="A4908" s="3" t="n">
        <v>2025</v>
      </c>
      <c r="B4908" s="3" t="n">
        <v>6</v>
      </c>
      <c r="C4908" s="3" t="n">
        <v>7</v>
      </c>
      <c r="D4908" s="3" t="s">
        <v>4912</v>
      </c>
      <c r="E4908" s="4" t="n">
        <v>1</v>
      </c>
    </row>
    <row r="4909" customFormat="false" ht="15" hidden="false" customHeight="false" outlineLevel="0" collapsed="false">
      <c r="A4909" s="3" t="n">
        <v>2025</v>
      </c>
      <c r="B4909" s="3" t="n">
        <v>6</v>
      </c>
      <c r="C4909" s="3" t="n">
        <v>8</v>
      </c>
      <c r="D4909" s="3" t="s">
        <v>4913</v>
      </c>
      <c r="E4909" s="4" t="n">
        <v>0</v>
      </c>
    </row>
    <row r="4910" customFormat="false" ht="15" hidden="false" customHeight="false" outlineLevel="0" collapsed="false">
      <c r="A4910" s="3" t="n">
        <v>2025</v>
      </c>
      <c r="B4910" s="3" t="n">
        <v>6</v>
      </c>
      <c r="C4910" s="3" t="n">
        <v>9</v>
      </c>
      <c r="D4910" s="3" t="s">
        <v>4914</v>
      </c>
      <c r="E4910" s="4" t="n">
        <v>0</v>
      </c>
    </row>
    <row r="4911" customFormat="false" ht="15" hidden="false" customHeight="false" outlineLevel="0" collapsed="false">
      <c r="A4911" s="3" t="n">
        <v>2025</v>
      </c>
      <c r="B4911" s="3" t="n">
        <v>6</v>
      </c>
      <c r="C4911" s="3" t="n">
        <v>10</v>
      </c>
      <c r="D4911" s="3" t="s">
        <v>4915</v>
      </c>
      <c r="E4911" s="4" t="n">
        <v>0</v>
      </c>
    </row>
    <row r="4912" customFormat="false" ht="15" hidden="false" customHeight="false" outlineLevel="0" collapsed="false">
      <c r="A4912" s="3" t="n">
        <v>2025</v>
      </c>
      <c r="B4912" s="3" t="n">
        <v>6</v>
      </c>
      <c r="C4912" s="3" t="n">
        <v>11</v>
      </c>
      <c r="D4912" s="3" t="s">
        <v>4916</v>
      </c>
      <c r="E4912" s="4" t="n">
        <v>5</v>
      </c>
    </row>
    <row r="4913" customFormat="false" ht="15" hidden="false" customHeight="false" outlineLevel="0" collapsed="false">
      <c r="A4913" s="3" t="n">
        <v>2025</v>
      </c>
      <c r="B4913" s="3" t="n">
        <v>6</v>
      </c>
      <c r="C4913" s="3" t="n">
        <v>12</v>
      </c>
      <c r="D4913" s="3" t="s">
        <v>4917</v>
      </c>
      <c r="E4913" s="4" t="n">
        <v>0</v>
      </c>
    </row>
    <row r="4914" customFormat="false" ht="15" hidden="false" customHeight="false" outlineLevel="0" collapsed="false">
      <c r="A4914" s="3" t="n">
        <v>2025</v>
      </c>
      <c r="B4914" s="3" t="n">
        <v>6</v>
      </c>
      <c r="C4914" s="3" t="n">
        <v>13</v>
      </c>
      <c r="D4914" s="3" t="s">
        <v>4918</v>
      </c>
      <c r="E4914" s="4" t="n">
        <v>0</v>
      </c>
    </row>
    <row r="4915" customFormat="false" ht="15" hidden="false" customHeight="false" outlineLevel="0" collapsed="false">
      <c r="A4915" s="3" t="n">
        <v>2025</v>
      </c>
      <c r="B4915" s="3" t="n">
        <v>6</v>
      </c>
      <c r="C4915" s="3" t="n">
        <v>14</v>
      </c>
      <c r="D4915" s="3" t="s">
        <v>4919</v>
      </c>
      <c r="E4915" s="4" t="n">
        <v>11</v>
      </c>
    </row>
    <row r="4916" customFormat="false" ht="15" hidden="false" customHeight="false" outlineLevel="0" collapsed="false">
      <c r="A4916" s="3" t="n">
        <v>2025</v>
      </c>
      <c r="B4916" s="3" t="n">
        <v>6</v>
      </c>
      <c r="C4916" s="3" t="n">
        <v>15</v>
      </c>
      <c r="D4916" s="3" t="s">
        <v>4920</v>
      </c>
      <c r="E4916" s="4" t="n">
        <v>23</v>
      </c>
    </row>
    <row r="4917" customFormat="false" ht="15" hidden="false" customHeight="false" outlineLevel="0" collapsed="false">
      <c r="A4917" s="3" t="n">
        <v>2025</v>
      </c>
      <c r="B4917" s="3" t="n">
        <v>6</v>
      </c>
      <c r="C4917" s="3" t="n">
        <v>16</v>
      </c>
      <c r="D4917" s="3" t="s">
        <v>4921</v>
      </c>
      <c r="E4917" s="4" t="n">
        <v>0</v>
      </c>
    </row>
    <row r="4918" customFormat="false" ht="15" hidden="false" customHeight="false" outlineLevel="0" collapsed="false">
      <c r="A4918" s="3" t="n">
        <v>2025</v>
      </c>
      <c r="B4918" s="3" t="n">
        <v>6</v>
      </c>
      <c r="C4918" s="3" t="n">
        <v>17</v>
      </c>
      <c r="D4918" s="3" t="s">
        <v>4922</v>
      </c>
      <c r="E4918" s="4" t="n">
        <v>7</v>
      </c>
    </row>
    <row r="4919" customFormat="false" ht="15" hidden="false" customHeight="false" outlineLevel="0" collapsed="false">
      <c r="A4919" s="3" t="n">
        <v>2025</v>
      </c>
      <c r="B4919" s="3" t="n">
        <v>6</v>
      </c>
      <c r="C4919" s="3" t="n">
        <v>18</v>
      </c>
      <c r="D4919" s="3" t="s">
        <v>4923</v>
      </c>
      <c r="E4919" s="4" t="n">
        <v>3</v>
      </c>
    </row>
    <row r="4920" customFormat="false" ht="15" hidden="false" customHeight="false" outlineLevel="0" collapsed="false">
      <c r="A4920" s="3" t="n">
        <v>2025</v>
      </c>
      <c r="B4920" s="3" t="n">
        <v>6</v>
      </c>
      <c r="C4920" s="3" t="n">
        <v>19</v>
      </c>
      <c r="D4920" s="3" t="s">
        <v>4924</v>
      </c>
      <c r="E4920" s="4" t="n">
        <v>52</v>
      </c>
    </row>
    <row r="4921" customFormat="false" ht="15" hidden="false" customHeight="false" outlineLevel="0" collapsed="false">
      <c r="A4921" s="3" t="n">
        <v>2025</v>
      </c>
      <c r="B4921" s="3" t="n">
        <v>6</v>
      </c>
      <c r="C4921" s="3" t="n">
        <v>20</v>
      </c>
      <c r="D4921" s="3" t="s">
        <v>4925</v>
      </c>
      <c r="E4921" s="4" t="n">
        <v>9</v>
      </c>
    </row>
    <row r="4922" customFormat="false" ht="15" hidden="false" customHeight="false" outlineLevel="0" collapsed="false">
      <c r="A4922" s="3" t="n">
        <v>2025</v>
      </c>
      <c r="B4922" s="3" t="n">
        <v>6</v>
      </c>
      <c r="C4922" s="3" t="n">
        <v>21</v>
      </c>
      <c r="D4922" s="3" t="s">
        <v>4926</v>
      </c>
      <c r="E4922" s="4" t="n">
        <v>0</v>
      </c>
    </row>
    <row r="4923" customFormat="false" ht="15" hidden="false" customHeight="false" outlineLevel="0" collapsed="false">
      <c r="A4923" s="3" t="n">
        <v>2025</v>
      </c>
      <c r="B4923" s="3" t="n">
        <v>6</v>
      </c>
      <c r="C4923" s="3" t="n">
        <v>22</v>
      </c>
      <c r="D4923" s="3" t="s">
        <v>4927</v>
      </c>
      <c r="E4923" s="4" t="n">
        <v>0</v>
      </c>
    </row>
    <row r="4924" customFormat="false" ht="15" hidden="false" customHeight="false" outlineLevel="0" collapsed="false">
      <c r="A4924" s="3" t="n">
        <v>2025</v>
      </c>
      <c r="B4924" s="3" t="n">
        <v>6</v>
      </c>
      <c r="C4924" s="3" t="n">
        <v>23</v>
      </c>
      <c r="D4924" s="3" t="s">
        <v>4928</v>
      </c>
      <c r="E4924" s="4" t="n">
        <v>0</v>
      </c>
    </row>
    <row r="4925" customFormat="false" ht="15" hidden="false" customHeight="false" outlineLevel="0" collapsed="false">
      <c r="A4925" s="3" t="n">
        <v>2025</v>
      </c>
      <c r="B4925" s="3" t="n">
        <v>6</v>
      </c>
      <c r="C4925" s="3" t="n">
        <v>24</v>
      </c>
      <c r="D4925" s="3" t="s">
        <v>4929</v>
      </c>
      <c r="E4925" s="4" t="n">
        <v>0</v>
      </c>
    </row>
    <row r="4926" customFormat="false" ht="15" hidden="false" customHeight="false" outlineLevel="0" collapsed="false">
      <c r="A4926" s="3" t="n">
        <v>2025</v>
      </c>
      <c r="B4926" s="3" t="n">
        <v>6</v>
      </c>
      <c r="C4926" s="3" t="n">
        <v>25</v>
      </c>
      <c r="D4926" s="3" t="s">
        <v>4930</v>
      </c>
      <c r="E4926" s="4" t="n">
        <v>0</v>
      </c>
    </row>
    <row r="4927" customFormat="false" ht="15" hidden="false" customHeight="false" outlineLevel="0" collapsed="false">
      <c r="A4927" s="3" t="n">
        <v>2025</v>
      </c>
      <c r="B4927" s="3" t="n">
        <v>6</v>
      </c>
      <c r="C4927" s="3" t="n">
        <v>26</v>
      </c>
      <c r="D4927" s="3" t="s">
        <v>4931</v>
      </c>
      <c r="E4927" s="4" t="n">
        <v>0</v>
      </c>
    </row>
    <row r="4928" customFormat="false" ht="15" hidden="false" customHeight="false" outlineLevel="0" collapsed="false">
      <c r="A4928" s="3" t="n">
        <v>2025</v>
      </c>
      <c r="B4928" s="3" t="n">
        <v>6</v>
      </c>
      <c r="C4928" s="3" t="n">
        <v>27</v>
      </c>
      <c r="D4928" s="3" t="s">
        <v>4932</v>
      </c>
      <c r="E4928" s="4" t="n">
        <v>0</v>
      </c>
    </row>
    <row r="4929" customFormat="false" ht="15" hidden="false" customHeight="false" outlineLevel="0" collapsed="false">
      <c r="A4929" s="3" t="n">
        <v>2025</v>
      </c>
      <c r="B4929" s="3" t="n">
        <v>6</v>
      </c>
      <c r="C4929" s="3" t="n">
        <v>28</v>
      </c>
      <c r="D4929" s="3" t="s">
        <v>4933</v>
      </c>
      <c r="E4929" s="4" t="n">
        <v>7</v>
      </c>
    </row>
    <row r="4930" customFormat="false" ht="15" hidden="false" customHeight="false" outlineLevel="0" collapsed="false">
      <c r="A4930" s="3" t="n">
        <v>2025</v>
      </c>
      <c r="B4930" s="3" t="n">
        <v>6</v>
      </c>
      <c r="C4930" s="3" t="n">
        <v>29</v>
      </c>
      <c r="D4930" s="3" t="s">
        <v>4934</v>
      </c>
      <c r="E4930" s="4" t="n">
        <v>1</v>
      </c>
    </row>
    <row r="4931" customFormat="false" ht="15" hidden="false" customHeight="false" outlineLevel="0" collapsed="false">
      <c r="A4931" s="3" t="n">
        <v>2025</v>
      </c>
      <c r="B4931" s="3" t="n">
        <v>6</v>
      </c>
      <c r="C4931" s="3" t="n">
        <v>30</v>
      </c>
      <c r="D4931" s="3" t="s">
        <v>4935</v>
      </c>
      <c r="E4931" s="4" t="n">
        <v>0</v>
      </c>
    </row>
    <row r="4932" customFormat="false" ht="15" hidden="false" customHeight="false" outlineLevel="0" collapsed="false">
      <c r="A4932" s="3" t="n">
        <v>2025</v>
      </c>
      <c r="B4932" s="3" t="n">
        <v>7</v>
      </c>
      <c r="C4932" s="3" t="n">
        <v>1</v>
      </c>
      <c r="D4932" s="3" t="s">
        <v>4936</v>
      </c>
      <c r="E4932" s="4" t="n">
        <v>0</v>
      </c>
    </row>
    <row r="4933" customFormat="false" ht="15" hidden="false" customHeight="false" outlineLevel="0" collapsed="false">
      <c r="A4933" s="3" t="n">
        <v>2025</v>
      </c>
      <c r="B4933" s="3" t="n">
        <v>7</v>
      </c>
      <c r="C4933" s="3" t="n">
        <v>2</v>
      </c>
      <c r="D4933" s="3" t="s">
        <v>4937</v>
      </c>
      <c r="E4933" s="4" t="n">
        <v>0</v>
      </c>
    </row>
    <row r="4934" customFormat="false" ht="15" hidden="false" customHeight="false" outlineLevel="0" collapsed="false">
      <c r="A4934" s="3" t="n">
        <v>2025</v>
      </c>
      <c r="B4934" s="3" t="n">
        <v>7</v>
      </c>
      <c r="C4934" s="3" t="n">
        <v>3</v>
      </c>
      <c r="D4934" s="3" t="s">
        <v>4938</v>
      </c>
      <c r="E4934" s="4" t="n">
        <v>6</v>
      </c>
    </row>
    <row r="4935" customFormat="false" ht="15" hidden="false" customHeight="false" outlineLevel="0" collapsed="false">
      <c r="A4935" s="3" t="n">
        <v>2025</v>
      </c>
      <c r="B4935" s="3" t="n">
        <v>7</v>
      </c>
      <c r="C4935" s="3" t="n">
        <v>4</v>
      </c>
      <c r="D4935" s="3" t="s">
        <v>4939</v>
      </c>
      <c r="E4935" s="4" t="n">
        <v>8</v>
      </c>
    </row>
    <row r="4936" customFormat="false" ht="15" hidden="false" customHeight="false" outlineLevel="0" collapsed="false">
      <c r="A4936" s="3" t="n">
        <v>2025</v>
      </c>
      <c r="B4936" s="3" t="n">
        <v>7</v>
      </c>
      <c r="C4936" s="3" t="n">
        <v>5</v>
      </c>
      <c r="D4936" s="3" t="s">
        <v>4940</v>
      </c>
      <c r="E4936" s="4" t="n">
        <v>0</v>
      </c>
    </row>
    <row r="4937" customFormat="false" ht="15" hidden="false" customHeight="false" outlineLevel="0" collapsed="false">
      <c r="A4937" s="3" t="n">
        <v>2025</v>
      </c>
      <c r="B4937" s="3" t="n">
        <v>7</v>
      </c>
      <c r="C4937" s="3" t="n">
        <v>6</v>
      </c>
      <c r="D4937" s="3" t="s">
        <v>4941</v>
      </c>
      <c r="E4937" s="4" t="n">
        <v>7</v>
      </c>
    </row>
    <row r="4938" customFormat="false" ht="15" hidden="false" customHeight="false" outlineLevel="0" collapsed="false">
      <c r="A4938" s="3" t="n">
        <v>2025</v>
      </c>
      <c r="B4938" s="3" t="n">
        <v>7</v>
      </c>
      <c r="C4938" s="3" t="n">
        <v>7</v>
      </c>
      <c r="D4938" s="3" t="s">
        <v>4942</v>
      </c>
      <c r="E4938" s="4" t="n">
        <v>0</v>
      </c>
    </row>
    <row r="4939" customFormat="false" ht="15" hidden="false" customHeight="false" outlineLevel="0" collapsed="false">
      <c r="A4939" s="3" t="n">
        <v>2025</v>
      </c>
      <c r="B4939" s="3" t="n">
        <v>7</v>
      </c>
      <c r="C4939" s="3" t="n">
        <v>8</v>
      </c>
      <c r="D4939" s="3" t="s">
        <v>4943</v>
      </c>
      <c r="E4939" s="4" t="n">
        <v>0</v>
      </c>
    </row>
    <row r="4940" customFormat="false" ht="15" hidden="false" customHeight="false" outlineLevel="0" collapsed="false">
      <c r="A4940" s="3" t="n">
        <v>2025</v>
      </c>
      <c r="B4940" s="3" t="n">
        <v>7</v>
      </c>
      <c r="C4940" s="3" t="n">
        <v>9</v>
      </c>
      <c r="D4940" s="3" t="s">
        <v>4944</v>
      </c>
      <c r="E4940" s="4" t="n">
        <v>0</v>
      </c>
    </row>
    <row r="4941" customFormat="false" ht="15" hidden="false" customHeight="false" outlineLevel="0" collapsed="false">
      <c r="A4941" s="3" t="n">
        <v>2025</v>
      </c>
      <c r="B4941" s="3" t="n">
        <v>7</v>
      </c>
      <c r="C4941" s="3" t="n">
        <v>10</v>
      </c>
      <c r="D4941" s="3" t="s">
        <v>4945</v>
      </c>
      <c r="E4941" s="4" t="n">
        <v>25</v>
      </c>
    </row>
    <row r="4942" customFormat="false" ht="15" hidden="false" customHeight="false" outlineLevel="0" collapsed="false">
      <c r="A4942" s="3" t="n">
        <v>2025</v>
      </c>
      <c r="B4942" s="3" t="n">
        <v>7</v>
      </c>
      <c r="C4942" s="3" t="n">
        <v>11</v>
      </c>
      <c r="D4942" s="3" t="s">
        <v>4946</v>
      </c>
      <c r="E4942" s="4" t="n">
        <v>13</v>
      </c>
    </row>
    <row r="4943" customFormat="false" ht="15" hidden="false" customHeight="false" outlineLevel="0" collapsed="false">
      <c r="A4943" s="3" t="n">
        <v>2025</v>
      </c>
      <c r="B4943" s="3" t="n">
        <v>7</v>
      </c>
      <c r="C4943" s="3" t="n">
        <v>12</v>
      </c>
      <c r="D4943" s="3" t="s">
        <v>4947</v>
      </c>
      <c r="E4943" s="4" t="n">
        <v>0</v>
      </c>
    </row>
    <row r="4944" customFormat="false" ht="15" hidden="false" customHeight="false" outlineLevel="0" collapsed="false">
      <c r="A4944" s="3" t="n">
        <v>2025</v>
      </c>
      <c r="B4944" s="3" t="n">
        <v>7</v>
      </c>
      <c r="C4944" s="3" t="n">
        <v>13</v>
      </c>
      <c r="D4944" s="3" t="s">
        <v>4948</v>
      </c>
      <c r="E4944" s="4" t="n">
        <v>67</v>
      </c>
    </row>
    <row r="4945" customFormat="false" ht="15" hidden="false" customHeight="false" outlineLevel="0" collapsed="false">
      <c r="A4945" s="3" t="n">
        <v>2025</v>
      </c>
      <c r="B4945" s="3" t="n">
        <v>7</v>
      </c>
      <c r="C4945" s="3" t="n">
        <v>14</v>
      </c>
      <c r="D4945" s="3" t="s">
        <v>4949</v>
      </c>
      <c r="E4945" s="4" t="n">
        <v>1</v>
      </c>
    </row>
    <row r="4946" customFormat="false" ht="15" hidden="false" customHeight="false" outlineLevel="0" collapsed="false">
      <c r="A4946" s="3" t="n">
        <v>2025</v>
      </c>
      <c r="B4946" s="3" t="n">
        <v>7</v>
      </c>
      <c r="C4946" s="3" t="n">
        <v>15</v>
      </c>
      <c r="D4946" s="3" t="s">
        <v>4950</v>
      </c>
      <c r="E4946" s="4" t="n">
        <v>0</v>
      </c>
    </row>
    <row r="4947" customFormat="false" ht="15" hidden="false" customHeight="false" outlineLevel="0" collapsed="false">
      <c r="A4947" s="3" t="n">
        <v>2025</v>
      </c>
      <c r="B4947" s="3" t="n">
        <v>7</v>
      </c>
      <c r="C4947" s="3" t="n">
        <v>16</v>
      </c>
      <c r="D4947" s="3" t="s">
        <v>4951</v>
      </c>
      <c r="E4947" s="4" t="n">
        <v>10</v>
      </c>
    </row>
    <row r="4948" customFormat="false" ht="15" hidden="false" customHeight="false" outlineLevel="0" collapsed="false">
      <c r="A4948" s="3" t="n">
        <v>2025</v>
      </c>
      <c r="B4948" s="3" t="n">
        <v>7</v>
      </c>
      <c r="C4948" s="3" t="n">
        <v>17</v>
      </c>
      <c r="D4948" s="3" t="s">
        <v>4952</v>
      </c>
      <c r="E4948" s="4" t="n">
        <v>0</v>
      </c>
    </row>
    <row r="4949" customFormat="false" ht="15" hidden="false" customHeight="false" outlineLevel="0" collapsed="false">
      <c r="A4949" s="3" t="n">
        <v>2025</v>
      </c>
      <c r="B4949" s="3" t="n">
        <v>7</v>
      </c>
      <c r="C4949" s="3" t="n">
        <v>18</v>
      </c>
      <c r="D4949" s="3" t="s">
        <v>4953</v>
      </c>
      <c r="E4949" s="4" t="n">
        <v>14</v>
      </c>
    </row>
    <row r="4950" customFormat="false" ht="15" hidden="false" customHeight="false" outlineLevel="0" collapsed="false">
      <c r="A4950" s="3" t="n">
        <v>2025</v>
      </c>
      <c r="B4950" s="3" t="n">
        <v>7</v>
      </c>
      <c r="C4950" s="3" t="n">
        <v>19</v>
      </c>
      <c r="D4950" s="3" t="s">
        <v>4954</v>
      </c>
      <c r="E4950" s="4" t="n">
        <v>0</v>
      </c>
    </row>
    <row r="4951" customFormat="false" ht="15" hidden="false" customHeight="false" outlineLevel="0" collapsed="false">
      <c r="A4951" s="3" t="n">
        <v>2025</v>
      </c>
      <c r="B4951" s="3" t="n">
        <v>7</v>
      </c>
      <c r="C4951" s="3" t="n">
        <v>20</v>
      </c>
      <c r="D4951" s="3" t="s">
        <v>4955</v>
      </c>
      <c r="E4951" s="4" t="n">
        <v>0</v>
      </c>
    </row>
    <row r="4952" customFormat="false" ht="15" hidden="false" customHeight="false" outlineLevel="0" collapsed="false">
      <c r="A4952" s="3" t="n">
        <v>2025</v>
      </c>
      <c r="B4952" s="3" t="n">
        <v>7</v>
      </c>
      <c r="C4952" s="3" t="n">
        <v>21</v>
      </c>
      <c r="D4952" s="3" t="s">
        <v>4956</v>
      </c>
      <c r="E4952" s="4" t="n">
        <v>0</v>
      </c>
    </row>
    <row r="4953" customFormat="false" ht="15" hidden="false" customHeight="false" outlineLevel="0" collapsed="false">
      <c r="A4953" s="3" t="n">
        <v>2025</v>
      </c>
      <c r="B4953" s="3" t="n">
        <v>7</v>
      </c>
      <c r="C4953" s="3" t="n">
        <v>22</v>
      </c>
      <c r="D4953" s="3" t="s">
        <v>4957</v>
      </c>
      <c r="E4953" s="4" t="n">
        <v>0</v>
      </c>
    </row>
    <row r="4954" customFormat="false" ht="15" hidden="false" customHeight="false" outlineLevel="0" collapsed="false">
      <c r="A4954" s="3" t="n">
        <v>2025</v>
      </c>
      <c r="B4954" s="3" t="n">
        <v>7</v>
      </c>
      <c r="C4954" s="3" t="n">
        <v>23</v>
      </c>
      <c r="D4954" s="3" t="s">
        <v>4958</v>
      </c>
      <c r="E4954" s="4" t="n">
        <v>0</v>
      </c>
    </row>
    <row r="4955" customFormat="false" ht="15" hidden="false" customHeight="false" outlineLevel="0" collapsed="false">
      <c r="A4955" s="3" t="n">
        <v>2025</v>
      </c>
      <c r="B4955" s="3" t="n">
        <v>7</v>
      </c>
      <c r="C4955" s="3" t="n">
        <v>24</v>
      </c>
      <c r="D4955" s="3" t="s">
        <v>4959</v>
      </c>
      <c r="E4955" s="4" t="n">
        <v>0</v>
      </c>
    </row>
    <row r="4956" customFormat="false" ht="15" hidden="false" customHeight="false" outlineLevel="0" collapsed="false">
      <c r="A4956" s="3" t="n">
        <v>2025</v>
      </c>
      <c r="B4956" s="3" t="n">
        <v>7</v>
      </c>
      <c r="C4956" s="3" t="n">
        <v>25</v>
      </c>
      <c r="D4956" s="3" t="s">
        <v>4960</v>
      </c>
      <c r="E4956" s="4" t="n">
        <v>0</v>
      </c>
    </row>
    <row r="4957" customFormat="false" ht="15" hidden="false" customHeight="false" outlineLevel="0" collapsed="false">
      <c r="A4957" s="3" t="n">
        <v>2025</v>
      </c>
      <c r="B4957" s="3" t="n">
        <v>7</v>
      </c>
      <c r="C4957" s="3" t="n">
        <v>26</v>
      </c>
      <c r="D4957" s="3" t="s">
        <v>4961</v>
      </c>
      <c r="E4957" s="4" t="n">
        <v>0</v>
      </c>
    </row>
    <row r="4958" customFormat="false" ht="15" hidden="false" customHeight="false" outlineLevel="0" collapsed="false">
      <c r="A4958" s="3" t="n">
        <v>2025</v>
      </c>
      <c r="B4958" s="3" t="n">
        <v>7</v>
      </c>
      <c r="C4958" s="3" t="n">
        <v>27</v>
      </c>
      <c r="D4958" s="3" t="s">
        <v>4962</v>
      </c>
      <c r="E4958" s="4" t="n">
        <v>8</v>
      </c>
    </row>
    <row r="4959" customFormat="false" ht="15" hidden="false" customHeight="false" outlineLevel="0" collapsed="false">
      <c r="A4959" s="3" t="n">
        <v>2025</v>
      </c>
      <c r="B4959" s="3" t="n">
        <v>7</v>
      </c>
      <c r="C4959" s="3" t="n">
        <v>28</v>
      </c>
      <c r="D4959" s="3" t="s">
        <v>4963</v>
      </c>
      <c r="E4959" s="4" t="n">
        <v>0</v>
      </c>
    </row>
    <row r="4960" customFormat="false" ht="15" hidden="false" customHeight="false" outlineLevel="0" collapsed="false">
      <c r="A4960" s="3" t="n">
        <v>2025</v>
      </c>
      <c r="B4960" s="3" t="n">
        <v>7</v>
      </c>
      <c r="C4960" s="3" t="n">
        <v>29</v>
      </c>
      <c r="D4960" s="3" t="s">
        <v>4964</v>
      </c>
      <c r="E4960" s="4" t="n">
        <v>0</v>
      </c>
    </row>
    <row r="4961" customFormat="false" ht="15" hidden="false" customHeight="false" outlineLevel="0" collapsed="false">
      <c r="A4961" s="3" t="n">
        <v>2025</v>
      </c>
      <c r="B4961" s="3" t="n">
        <v>7</v>
      </c>
      <c r="C4961" s="3" t="n">
        <v>30</v>
      </c>
      <c r="D4961" s="3" t="s">
        <v>4965</v>
      </c>
      <c r="E4961" s="4" t="n">
        <v>0</v>
      </c>
    </row>
    <row r="4962" customFormat="false" ht="15" hidden="false" customHeight="false" outlineLevel="0" collapsed="false">
      <c r="A4962" s="3" t="n">
        <v>2025</v>
      </c>
      <c r="B4962" s="3" t="n">
        <v>7</v>
      </c>
      <c r="C4962" s="3" t="n">
        <v>31</v>
      </c>
      <c r="D4962" s="3" t="s">
        <v>4966</v>
      </c>
      <c r="E4962" s="4" t="n">
        <v>0</v>
      </c>
    </row>
    <row r="4963" customFormat="false" ht="15" hidden="false" customHeight="false" outlineLevel="0" collapsed="false">
      <c r="A4963" s="3" t="n">
        <v>2025</v>
      </c>
      <c r="B4963" s="3" t="n">
        <v>8</v>
      </c>
      <c r="C4963" s="3" t="n">
        <v>1</v>
      </c>
      <c r="D4963" s="3" t="s">
        <v>4967</v>
      </c>
      <c r="E4963" s="4" t="n">
        <v>0</v>
      </c>
    </row>
    <row r="4964" customFormat="false" ht="15" hidden="false" customHeight="false" outlineLevel="0" collapsed="false">
      <c r="A4964" s="3" t="n">
        <v>2025</v>
      </c>
      <c r="B4964" s="3" t="n">
        <v>8</v>
      </c>
      <c r="C4964" s="3" t="n">
        <v>2</v>
      </c>
      <c r="D4964" s="3" t="s">
        <v>4968</v>
      </c>
      <c r="E4964" s="4" t="n">
        <v>58</v>
      </c>
    </row>
    <row r="4965" customFormat="false" ht="15" hidden="false" customHeight="false" outlineLevel="0" collapsed="false">
      <c r="A4965" s="3" t="n">
        <v>2025</v>
      </c>
      <c r="B4965" s="3" t="n">
        <v>8</v>
      </c>
      <c r="C4965" s="3" t="n">
        <v>3</v>
      </c>
      <c r="D4965" s="3" t="s">
        <v>4969</v>
      </c>
      <c r="E4965" s="4" t="n">
        <v>63</v>
      </c>
    </row>
    <row r="4966" customFormat="false" ht="15" hidden="false" customHeight="false" outlineLevel="0" collapsed="false">
      <c r="A4966" s="3" t="n">
        <v>2025</v>
      </c>
      <c r="B4966" s="3" t="n">
        <v>8</v>
      </c>
      <c r="C4966" s="3" t="n">
        <v>4</v>
      </c>
      <c r="D4966" s="3" t="s">
        <v>4970</v>
      </c>
      <c r="E4966" s="4" t="n">
        <v>67</v>
      </c>
    </row>
    <row r="4967" customFormat="false" ht="15" hidden="false" customHeight="false" outlineLevel="0" collapsed="false">
      <c r="A4967" s="3" t="n">
        <v>2025</v>
      </c>
      <c r="B4967" s="3" t="n">
        <v>8</v>
      </c>
      <c r="C4967" s="3" t="n">
        <v>5</v>
      </c>
      <c r="D4967" s="3" t="s">
        <v>4971</v>
      </c>
      <c r="E4967" s="4" t="n">
        <v>0</v>
      </c>
    </row>
    <row r="4968" customFormat="false" ht="15" hidden="false" customHeight="false" outlineLevel="0" collapsed="false">
      <c r="A4968" s="3" t="n">
        <v>2025</v>
      </c>
      <c r="B4968" s="3" t="n">
        <v>8</v>
      </c>
      <c r="C4968" s="3" t="n">
        <v>6</v>
      </c>
      <c r="D4968" s="3" t="s">
        <v>4972</v>
      </c>
      <c r="E4968" s="4" t="n">
        <v>0</v>
      </c>
    </row>
    <row r="4969" customFormat="false" ht="15" hidden="false" customHeight="false" outlineLevel="0" collapsed="false">
      <c r="A4969" s="3" t="n">
        <v>2025</v>
      </c>
      <c r="B4969" s="3" t="n">
        <v>8</v>
      </c>
      <c r="C4969" s="3" t="n">
        <v>7</v>
      </c>
      <c r="D4969" s="3" t="s">
        <v>4973</v>
      </c>
      <c r="E4969" s="4" t="n">
        <v>25</v>
      </c>
    </row>
    <row r="4970" customFormat="false" ht="15" hidden="false" customHeight="false" outlineLevel="0" collapsed="false">
      <c r="A4970" s="3" t="n">
        <v>2025</v>
      </c>
      <c r="B4970" s="3" t="n">
        <v>8</v>
      </c>
      <c r="C4970" s="3" t="n">
        <v>8</v>
      </c>
      <c r="D4970" s="3" t="s">
        <v>4974</v>
      </c>
      <c r="E4970" s="4" t="n">
        <v>1</v>
      </c>
    </row>
    <row r="4971" customFormat="false" ht="15" hidden="false" customHeight="false" outlineLevel="0" collapsed="false">
      <c r="A4971" s="3" t="n">
        <v>2025</v>
      </c>
      <c r="B4971" s="3" t="n">
        <v>8</v>
      </c>
      <c r="C4971" s="3" t="n">
        <v>9</v>
      </c>
      <c r="D4971" s="3" t="s">
        <v>4975</v>
      </c>
      <c r="E4971" s="4" t="n">
        <v>1</v>
      </c>
    </row>
    <row r="4972" customFormat="false" ht="15" hidden="false" customHeight="false" outlineLevel="0" collapsed="false">
      <c r="A4972" s="3" t="n">
        <v>2025</v>
      </c>
      <c r="B4972" s="3" t="n">
        <v>8</v>
      </c>
      <c r="C4972" s="3" t="n">
        <v>10</v>
      </c>
      <c r="D4972" s="3" t="s">
        <v>4976</v>
      </c>
      <c r="E4972" s="4" t="n">
        <v>5</v>
      </c>
    </row>
    <row r="4973" customFormat="false" ht="15" hidden="false" customHeight="false" outlineLevel="0" collapsed="false">
      <c r="A4973" s="3" t="n">
        <v>2025</v>
      </c>
      <c r="B4973" s="3" t="n">
        <v>8</v>
      </c>
      <c r="C4973" s="3" t="n">
        <v>11</v>
      </c>
      <c r="D4973" s="3" t="s">
        <v>4977</v>
      </c>
      <c r="E4973" s="4" t="n">
        <v>12</v>
      </c>
    </row>
    <row r="4974" customFormat="false" ht="15" hidden="false" customHeight="false" outlineLevel="0" collapsed="false">
      <c r="A4974" s="3" t="n">
        <v>2025</v>
      </c>
      <c r="B4974" s="3" t="n">
        <v>8</v>
      </c>
      <c r="C4974" s="3" t="n">
        <v>12</v>
      </c>
      <c r="D4974" s="3" t="s">
        <v>4978</v>
      </c>
      <c r="E4974" s="4" t="n">
        <v>38</v>
      </c>
    </row>
    <row r="4975" customFormat="false" ht="15" hidden="false" customHeight="false" outlineLevel="0" collapsed="false">
      <c r="A4975" s="3" t="n">
        <v>2025</v>
      </c>
      <c r="B4975" s="3" t="n">
        <v>8</v>
      </c>
      <c r="C4975" s="3" t="n">
        <v>13</v>
      </c>
      <c r="D4975" s="3" t="s">
        <v>4979</v>
      </c>
      <c r="E4975" s="4" t="n">
        <v>1</v>
      </c>
    </row>
    <row r="4976" customFormat="false" ht="15" hidden="false" customHeight="false" outlineLevel="0" collapsed="false">
      <c r="A4976" s="3" t="n">
        <v>2025</v>
      </c>
      <c r="B4976" s="3" t="n">
        <v>8</v>
      </c>
      <c r="C4976" s="3" t="n">
        <v>14</v>
      </c>
      <c r="D4976" s="3" t="s">
        <v>4980</v>
      </c>
      <c r="E4976" s="4" t="n">
        <v>21</v>
      </c>
    </row>
    <row r="4977" customFormat="false" ht="15" hidden="false" customHeight="false" outlineLevel="0" collapsed="false">
      <c r="A4977" s="3" t="n">
        <v>2025</v>
      </c>
      <c r="B4977" s="3" t="n">
        <v>8</v>
      </c>
      <c r="C4977" s="3" t="n">
        <v>15</v>
      </c>
      <c r="D4977" s="3" t="s">
        <v>4981</v>
      </c>
      <c r="E4977" s="4" t="n">
        <v>1</v>
      </c>
    </row>
    <row r="4978" customFormat="false" ht="15" hidden="false" customHeight="false" outlineLevel="0" collapsed="false">
      <c r="A4978" s="3" t="n">
        <v>2025</v>
      </c>
      <c r="B4978" s="3" t="n">
        <v>8</v>
      </c>
      <c r="C4978" s="3" t="n">
        <v>16</v>
      </c>
      <c r="D4978" s="3" t="s">
        <v>4982</v>
      </c>
      <c r="E4978" s="4" t="n">
        <v>0</v>
      </c>
    </row>
    <row r="4979" customFormat="false" ht="15" hidden="false" customHeight="false" outlineLevel="0" collapsed="false">
      <c r="A4979" s="3" t="n">
        <v>2025</v>
      </c>
      <c r="B4979" s="3" t="n">
        <v>8</v>
      </c>
      <c r="C4979" s="3" t="n">
        <v>17</v>
      </c>
      <c r="D4979" s="3" t="s">
        <v>4983</v>
      </c>
      <c r="E4979" s="4" t="n">
        <v>1</v>
      </c>
    </row>
    <row r="4980" customFormat="false" ht="15" hidden="false" customHeight="false" outlineLevel="0" collapsed="false">
      <c r="A4980" s="3" t="n">
        <v>2025</v>
      </c>
      <c r="B4980" s="3" t="n">
        <v>8</v>
      </c>
      <c r="C4980" s="3" t="n">
        <v>18</v>
      </c>
      <c r="D4980" s="3" t="s">
        <v>4984</v>
      </c>
      <c r="E4980" s="4" t="n">
        <v>0</v>
      </c>
    </row>
    <row r="4981" customFormat="false" ht="15" hidden="false" customHeight="false" outlineLevel="0" collapsed="false">
      <c r="A4981" s="3" t="n">
        <v>2025</v>
      </c>
      <c r="B4981" s="3" t="n">
        <v>8</v>
      </c>
      <c r="C4981" s="3" t="n">
        <v>19</v>
      </c>
      <c r="D4981" s="3" t="s">
        <v>4985</v>
      </c>
      <c r="E4981" s="4" t="n">
        <v>26</v>
      </c>
    </row>
    <row r="4982" customFormat="false" ht="15" hidden="false" customHeight="false" outlineLevel="0" collapsed="false">
      <c r="A4982" s="3" t="n">
        <v>2025</v>
      </c>
      <c r="B4982" s="3" t="n">
        <v>8</v>
      </c>
      <c r="C4982" s="3" t="n">
        <v>20</v>
      </c>
      <c r="D4982" s="3" t="s">
        <v>4986</v>
      </c>
      <c r="E4982" s="4" t="n">
        <v>1</v>
      </c>
    </row>
    <row r="4983" customFormat="false" ht="15" hidden="false" customHeight="false" outlineLevel="0" collapsed="false">
      <c r="A4983" s="3" t="n">
        <v>2025</v>
      </c>
      <c r="B4983" s="3" t="n">
        <v>8</v>
      </c>
      <c r="C4983" s="3" t="n">
        <v>21</v>
      </c>
      <c r="D4983" s="3" t="s">
        <v>4987</v>
      </c>
      <c r="E4983" s="4" t="n">
        <v>3</v>
      </c>
    </row>
    <row r="4984" customFormat="false" ht="15" hidden="false" customHeight="false" outlineLevel="0" collapsed="false">
      <c r="A4984" s="3" t="n">
        <v>2025</v>
      </c>
      <c r="B4984" s="3" t="n">
        <v>8</v>
      </c>
      <c r="C4984" s="3" t="n">
        <v>22</v>
      </c>
      <c r="D4984" s="3" t="s">
        <v>4988</v>
      </c>
      <c r="E4984" s="4" t="n">
        <v>7</v>
      </c>
    </row>
    <row r="4985" customFormat="false" ht="15" hidden="false" customHeight="false" outlineLevel="0" collapsed="false">
      <c r="A4985" s="3" t="n">
        <v>2025</v>
      </c>
      <c r="B4985" s="3" t="n">
        <v>8</v>
      </c>
      <c r="C4985" s="3" t="n">
        <v>23</v>
      </c>
      <c r="D4985" s="3" t="s">
        <v>4989</v>
      </c>
      <c r="E4985" s="4" t="n">
        <v>0</v>
      </c>
    </row>
    <row r="4986" customFormat="false" ht="15" hidden="false" customHeight="false" outlineLevel="0" collapsed="false">
      <c r="A4986" s="3" t="n">
        <v>2025</v>
      </c>
      <c r="B4986" s="3" t="n">
        <v>8</v>
      </c>
      <c r="C4986" s="3" t="n">
        <v>24</v>
      </c>
      <c r="D4986" s="3" t="s">
        <v>4990</v>
      </c>
      <c r="E4986" s="4" t="n">
        <v>19</v>
      </c>
    </row>
    <row r="4987" customFormat="false" ht="15" hidden="false" customHeight="false" outlineLevel="0" collapsed="false">
      <c r="A4987" s="3" t="n">
        <v>2025</v>
      </c>
      <c r="B4987" s="3" t="n">
        <v>8</v>
      </c>
      <c r="C4987" s="3" t="n">
        <v>25</v>
      </c>
      <c r="D4987" s="3" t="s">
        <v>4991</v>
      </c>
      <c r="E4987" s="4" t="n">
        <v>35</v>
      </c>
    </row>
    <row r="4988" customFormat="false" ht="15" hidden="false" customHeight="false" outlineLevel="0" collapsed="false">
      <c r="A4988" s="3" t="n">
        <v>2025</v>
      </c>
      <c r="B4988" s="3" t="n">
        <v>8</v>
      </c>
      <c r="C4988" s="3" t="n">
        <v>26</v>
      </c>
      <c r="D4988" s="3" t="s">
        <v>4992</v>
      </c>
      <c r="E4988" s="4" t="n">
        <v>0</v>
      </c>
    </row>
    <row r="4989" customFormat="false" ht="15" hidden="false" customHeight="false" outlineLevel="0" collapsed="false">
      <c r="A4989" s="3" t="n">
        <v>2025</v>
      </c>
      <c r="B4989" s="3" t="n">
        <v>8</v>
      </c>
      <c r="C4989" s="3" t="n">
        <v>27</v>
      </c>
      <c r="D4989" s="3" t="s">
        <v>4993</v>
      </c>
      <c r="E4989" s="4" t="n">
        <v>0</v>
      </c>
    </row>
    <row r="4990" customFormat="false" ht="15" hidden="false" customHeight="false" outlineLevel="0" collapsed="false">
      <c r="A4990" s="3" t="n">
        <v>2025</v>
      </c>
      <c r="B4990" s="3" t="n">
        <v>8</v>
      </c>
      <c r="C4990" s="3" t="n">
        <v>28</v>
      </c>
      <c r="D4990" s="3" t="s">
        <v>4994</v>
      </c>
      <c r="E4990" s="4" t="n">
        <v>0</v>
      </c>
    </row>
    <row r="4991" customFormat="false" ht="15" hidden="false" customHeight="false" outlineLevel="0" collapsed="false">
      <c r="A4991" s="3" t="n">
        <v>2025</v>
      </c>
      <c r="B4991" s="3" t="n">
        <v>8</v>
      </c>
      <c r="C4991" s="3" t="n">
        <v>29</v>
      </c>
      <c r="D4991" s="3" t="s">
        <v>4995</v>
      </c>
      <c r="E4991" s="4" t="n">
        <v>0</v>
      </c>
    </row>
    <row r="4992" customFormat="false" ht="15" hidden="false" customHeight="false" outlineLevel="0" collapsed="false">
      <c r="A4992" s="3" t="n">
        <v>2025</v>
      </c>
      <c r="B4992" s="3" t="n">
        <v>8</v>
      </c>
      <c r="C4992" s="3" t="n">
        <v>30</v>
      </c>
      <c r="D4992" s="3" t="s">
        <v>4996</v>
      </c>
      <c r="E4992" s="4" t="n">
        <v>2</v>
      </c>
    </row>
    <row r="4993" customFormat="false" ht="15" hidden="false" customHeight="false" outlineLevel="0" collapsed="false">
      <c r="A4993" s="3" t="n">
        <v>2025</v>
      </c>
      <c r="B4993" s="3" t="n">
        <v>8</v>
      </c>
      <c r="C4993" s="3" t="n">
        <v>31</v>
      </c>
      <c r="D4993" s="3" t="s">
        <v>4997</v>
      </c>
      <c r="E4993" s="4" t="n">
        <v>5</v>
      </c>
    </row>
    <row r="4994" customFormat="false" ht="15" hidden="false" customHeight="false" outlineLevel="0" collapsed="false">
      <c r="A4994" s="3" t="n">
        <v>2025</v>
      </c>
      <c r="B4994" s="3" t="n">
        <v>9</v>
      </c>
      <c r="C4994" s="3" t="n">
        <v>1</v>
      </c>
      <c r="D4994" s="3" t="s">
        <v>4998</v>
      </c>
      <c r="E4994" s="4" t="n">
        <v>16</v>
      </c>
    </row>
    <row r="4995" customFormat="false" ht="15" hidden="false" customHeight="false" outlineLevel="0" collapsed="false">
      <c r="A4995" s="3" t="n">
        <v>2025</v>
      </c>
      <c r="B4995" s="3" t="n">
        <v>9</v>
      </c>
      <c r="C4995" s="3" t="n">
        <v>2</v>
      </c>
      <c r="D4995" s="3" t="s">
        <v>4999</v>
      </c>
      <c r="E4995" s="4" t="n">
        <v>35</v>
      </c>
    </row>
    <row r="4996" customFormat="false" ht="15" hidden="false" customHeight="false" outlineLevel="0" collapsed="false">
      <c r="A4996" s="3" t="n">
        <v>2025</v>
      </c>
      <c r="B4996" s="3" t="n">
        <v>9</v>
      </c>
      <c r="C4996" s="3" t="n">
        <v>3</v>
      </c>
      <c r="D4996" s="3" t="s">
        <v>5000</v>
      </c>
      <c r="E4996" s="4" t="n">
        <v>0</v>
      </c>
    </row>
    <row r="4997" customFormat="false" ht="15" hidden="false" customHeight="false" outlineLevel="0" collapsed="false">
      <c r="A4997" s="3" t="n">
        <v>2025</v>
      </c>
      <c r="B4997" s="3" t="n">
        <v>9</v>
      </c>
      <c r="C4997" s="3" t="n">
        <v>4</v>
      </c>
      <c r="D4997" s="3" t="s">
        <v>5001</v>
      </c>
      <c r="E4997" s="4" t="n">
        <v>3</v>
      </c>
    </row>
    <row r="4998" customFormat="false" ht="15" hidden="false" customHeight="false" outlineLevel="0" collapsed="false">
      <c r="A4998" s="3" t="n">
        <v>2025</v>
      </c>
      <c r="B4998" s="3" t="n">
        <v>9</v>
      </c>
      <c r="C4998" s="3" t="n">
        <v>5</v>
      </c>
      <c r="D4998" s="3" t="s">
        <v>5002</v>
      </c>
      <c r="E4998" s="4" t="n">
        <v>13</v>
      </c>
    </row>
    <row r="4999" customFormat="false" ht="15" hidden="false" customHeight="false" outlineLevel="0" collapsed="false">
      <c r="A4999" s="3" t="n">
        <v>2025</v>
      </c>
      <c r="B4999" s="3" t="n">
        <v>9</v>
      </c>
      <c r="C4999" s="3" t="n">
        <v>6</v>
      </c>
      <c r="D4999" s="3" t="s">
        <v>5003</v>
      </c>
      <c r="E4999" s="4" t="n">
        <v>89</v>
      </c>
    </row>
    <row r="5000" customFormat="false" ht="15" hidden="false" customHeight="false" outlineLevel="0" collapsed="false">
      <c r="A5000" s="3" t="n">
        <v>2025</v>
      </c>
      <c r="B5000" s="3" t="n">
        <v>9</v>
      </c>
      <c r="C5000" s="3" t="n">
        <v>7</v>
      </c>
      <c r="D5000" s="3" t="s">
        <v>5004</v>
      </c>
      <c r="E5000" s="4" t="n">
        <v>1</v>
      </c>
    </row>
    <row r="5001" customFormat="false" ht="15" hidden="false" customHeight="false" outlineLevel="0" collapsed="false">
      <c r="A5001" s="3" t="n">
        <v>2025</v>
      </c>
      <c r="B5001" s="3" t="n">
        <v>9</v>
      </c>
      <c r="C5001" s="3" t="n">
        <v>8</v>
      </c>
      <c r="D5001" s="3" t="s">
        <v>5005</v>
      </c>
      <c r="E5001" s="4" t="n">
        <v>0</v>
      </c>
    </row>
    <row r="5002" customFormat="false" ht="15" hidden="false" customHeight="false" outlineLevel="0" collapsed="false">
      <c r="A5002" s="3" t="n">
        <v>2025</v>
      </c>
      <c r="B5002" s="3" t="n">
        <v>9</v>
      </c>
      <c r="C5002" s="3" t="n">
        <v>9</v>
      </c>
      <c r="D5002" s="3" t="s">
        <v>5006</v>
      </c>
      <c r="E5002" s="4" t="n">
        <v>12</v>
      </c>
    </row>
    <row r="5003" customFormat="false" ht="15" hidden="false" customHeight="false" outlineLevel="0" collapsed="false">
      <c r="A5003" s="3" t="n">
        <v>2025</v>
      </c>
      <c r="B5003" s="3" t="n">
        <v>9</v>
      </c>
      <c r="C5003" s="3" t="n">
        <v>10</v>
      </c>
      <c r="D5003" s="3" t="s">
        <v>5007</v>
      </c>
      <c r="E5003" s="4" t="n">
        <v>7</v>
      </c>
    </row>
    <row r="5004" customFormat="false" ht="15" hidden="false" customHeight="false" outlineLevel="0" collapsed="false">
      <c r="A5004" s="3" t="n">
        <v>2025</v>
      </c>
      <c r="B5004" s="3" t="n">
        <v>9</v>
      </c>
      <c r="C5004" s="3" t="n">
        <v>11</v>
      </c>
      <c r="D5004" s="3" t="s">
        <v>5008</v>
      </c>
      <c r="E5004" s="4" t="n">
        <v>8</v>
      </c>
    </row>
    <row r="5005" customFormat="false" ht="15" hidden="false" customHeight="false" outlineLevel="0" collapsed="false">
      <c r="A5005" s="3" t="n">
        <v>2025</v>
      </c>
      <c r="B5005" s="3" t="n">
        <v>9</v>
      </c>
      <c r="C5005" s="3" t="n">
        <v>12</v>
      </c>
      <c r="D5005" s="3" t="s">
        <v>5009</v>
      </c>
      <c r="E5005" s="4" t="n">
        <v>16</v>
      </c>
    </row>
    <row r="5006" customFormat="false" ht="15" hidden="false" customHeight="false" outlineLevel="0" collapsed="false">
      <c r="A5006" s="3" t="n">
        <v>2025</v>
      </c>
      <c r="B5006" s="3" t="n">
        <v>9</v>
      </c>
      <c r="C5006" s="3" t="n">
        <v>13</v>
      </c>
      <c r="D5006" s="3" t="s">
        <v>5010</v>
      </c>
      <c r="E5006" s="4" t="n">
        <v>1</v>
      </c>
    </row>
    <row r="5007" customFormat="false" ht="15" hidden="false" customHeight="false" outlineLevel="0" collapsed="false">
      <c r="A5007" s="3" t="n">
        <v>2025</v>
      </c>
      <c r="B5007" s="3" t="n">
        <v>9</v>
      </c>
      <c r="C5007" s="3" t="n">
        <v>14</v>
      </c>
      <c r="D5007" s="3" t="s">
        <v>5011</v>
      </c>
      <c r="E5007" s="4" t="n">
        <v>6</v>
      </c>
    </row>
    <row r="5008" customFormat="false" ht="15" hidden="false" customHeight="false" outlineLevel="0" collapsed="false">
      <c r="A5008" s="3" t="n">
        <v>2025</v>
      </c>
      <c r="B5008" s="3" t="n">
        <v>9</v>
      </c>
      <c r="C5008" s="3" t="n">
        <v>15</v>
      </c>
      <c r="D5008" s="3" t="s">
        <v>5012</v>
      </c>
      <c r="E5008" s="4" t="n">
        <v>26</v>
      </c>
    </row>
    <row r="5009" customFormat="false" ht="15" hidden="false" customHeight="false" outlineLevel="0" collapsed="false">
      <c r="A5009" s="3" t="n">
        <v>2025</v>
      </c>
      <c r="B5009" s="3" t="n">
        <v>9</v>
      </c>
      <c r="C5009" s="3" t="n">
        <v>16</v>
      </c>
      <c r="D5009" s="3" t="s">
        <v>5013</v>
      </c>
      <c r="E5009" s="4" t="n">
        <v>11</v>
      </c>
    </row>
    <row r="5010" customFormat="false" ht="15" hidden="false" customHeight="false" outlineLevel="0" collapsed="false">
      <c r="A5010" s="3" t="n">
        <v>2025</v>
      </c>
      <c r="B5010" s="3" t="n">
        <v>9</v>
      </c>
      <c r="C5010" s="3" t="n">
        <v>17</v>
      </c>
      <c r="D5010" s="3" t="s">
        <v>5014</v>
      </c>
      <c r="E5010" s="4" t="n">
        <v>29</v>
      </c>
    </row>
    <row r="5011" customFormat="false" ht="15" hidden="false" customHeight="false" outlineLevel="0" collapsed="false">
      <c r="A5011" s="3" t="n">
        <v>2025</v>
      </c>
      <c r="B5011" s="3" t="n">
        <v>9</v>
      </c>
      <c r="C5011" s="3" t="n">
        <v>18</v>
      </c>
      <c r="D5011" s="3" t="s">
        <v>5015</v>
      </c>
      <c r="E5011" s="4" t="n">
        <v>0</v>
      </c>
    </row>
    <row r="5012" customFormat="false" ht="15" hidden="false" customHeight="false" outlineLevel="0" collapsed="false">
      <c r="A5012" s="3" t="n">
        <v>2025</v>
      </c>
      <c r="B5012" s="3" t="n">
        <v>9</v>
      </c>
      <c r="C5012" s="3" t="n">
        <v>19</v>
      </c>
      <c r="D5012" s="3" t="s">
        <v>5016</v>
      </c>
      <c r="E5012" s="4" t="n">
        <v>5</v>
      </c>
    </row>
    <row r="5013" customFormat="false" ht="15" hidden="false" customHeight="false" outlineLevel="0" collapsed="false">
      <c r="A5013" s="3" t="n">
        <v>2025</v>
      </c>
      <c r="B5013" s="3" t="n">
        <v>9</v>
      </c>
      <c r="C5013" s="3" t="n">
        <v>20</v>
      </c>
      <c r="D5013" s="3" t="s">
        <v>5017</v>
      </c>
      <c r="E5013" s="4" t="n">
        <v>36</v>
      </c>
    </row>
    <row r="5014" customFormat="false" ht="15" hidden="false" customHeight="false" outlineLevel="0" collapsed="false">
      <c r="A5014" s="3" t="n">
        <v>2025</v>
      </c>
      <c r="B5014" s="3" t="n">
        <v>9</v>
      </c>
      <c r="C5014" s="3" t="n">
        <v>21</v>
      </c>
      <c r="D5014" s="3" t="s">
        <v>5018</v>
      </c>
      <c r="E5014" s="4" t="n">
        <v>0</v>
      </c>
    </row>
    <row r="5015" customFormat="false" ht="15" hidden="false" customHeight="false" outlineLevel="0" collapsed="false">
      <c r="A5015" s="3" t="n">
        <v>2025</v>
      </c>
      <c r="B5015" s="3" t="n">
        <v>9</v>
      </c>
      <c r="C5015" s="3" t="n">
        <v>22</v>
      </c>
      <c r="D5015" s="3" t="s">
        <v>5019</v>
      </c>
      <c r="E5015" s="4" t="n">
        <v>0</v>
      </c>
    </row>
    <row r="5016" customFormat="false" ht="15" hidden="false" customHeight="false" outlineLevel="0" collapsed="false">
      <c r="A5016" s="3" t="n">
        <v>2025</v>
      </c>
      <c r="B5016" s="3" t="n">
        <v>9</v>
      </c>
      <c r="C5016" s="3" t="n">
        <v>23</v>
      </c>
      <c r="D5016" s="3" t="s">
        <v>5020</v>
      </c>
      <c r="E5016" s="4" t="n">
        <v>0</v>
      </c>
    </row>
    <row r="5017" customFormat="false" ht="15" hidden="false" customHeight="false" outlineLevel="0" collapsed="false">
      <c r="A5017" s="3" t="n">
        <v>2025</v>
      </c>
      <c r="B5017" s="3" t="n">
        <v>9</v>
      </c>
      <c r="C5017" s="3" t="n">
        <v>24</v>
      </c>
      <c r="D5017" s="3" t="s">
        <v>5021</v>
      </c>
      <c r="E5017" s="4" t="n">
        <v>0</v>
      </c>
    </row>
    <row r="5018" customFormat="false" ht="15" hidden="false" customHeight="false" outlineLevel="0" collapsed="false">
      <c r="A5018" s="3" t="n">
        <v>2025</v>
      </c>
      <c r="B5018" s="3" t="n">
        <v>9</v>
      </c>
      <c r="C5018" s="3" t="n">
        <v>25</v>
      </c>
      <c r="D5018" s="3" t="s">
        <v>5022</v>
      </c>
      <c r="E5018" s="4" t="n">
        <v>0</v>
      </c>
    </row>
    <row r="5019" customFormat="false" ht="15" hidden="false" customHeight="false" outlineLevel="0" collapsed="false">
      <c r="A5019" s="3" t="n">
        <v>2025</v>
      </c>
      <c r="B5019" s="3" t="n">
        <v>9</v>
      </c>
      <c r="C5019" s="3" t="n">
        <v>26</v>
      </c>
      <c r="D5019" s="3" t="s">
        <v>5023</v>
      </c>
      <c r="E5019" s="4" t="n">
        <v>1</v>
      </c>
    </row>
    <row r="5020" customFormat="false" ht="15" hidden="false" customHeight="false" outlineLevel="0" collapsed="false">
      <c r="A5020" s="3" t="n">
        <v>2025</v>
      </c>
      <c r="B5020" s="3" t="n">
        <v>9</v>
      </c>
      <c r="C5020" s="3" t="n">
        <v>27</v>
      </c>
      <c r="D5020" s="3" t="s">
        <v>5024</v>
      </c>
      <c r="E5020" s="4" t="n">
        <v>4</v>
      </c>
    </row>
    <row r="5021" customFormat="false" ht="15" hidden="false" customHeight="false" outlineLevel="0" collapsed="false">
      <c r="A5021" s="3" t="n">
        <v>2025</v>
      </c>
      <c r="B5021" s="3" t="n">
        <v>9</v>
      </c>
      <c r="C5021" s="3" t="n">
        <v>28</v>
      </c>
      <c r="D5021" s="3" t="s">
        <v>5025</v>
      </c>
      <c r="E5021" s="4" t="n">
        <v>37</v>
      </c>
    </row>
    <row r="5022" customFormat="false" ht="15" hidden="false" customHeight="false" outlineLevel="0" collapsed="false">
      <c r="A5022" s="3" t="n">
        <v>2025</v>
      </c>
      <c r="B5022" s="3" t="n">
        <v>9</v>
      </c>
      <c r="C5022" s="3" t="n">
        <v>29</v>
      </c>
      <c r="D5022" s="3" t="s">
        <v>5026</v>
      </c>
      <c r="E5022" s="4" t="n">
        <v>4</v>
      </c>
    </row>
    <row r="5023" customFormat="false" ht="15" hidden="false" customHeight="false" outlineLevel="0" collapsed="false">
      <c r="A5023" s="3" t="n">
        <v>2025</v>
      </c>
      <c r="B5023" s="3" t="n">
        <v>9</v>
      </c>
      <c r="C5023" s="3" t="n">
        <v>30</v>
      </c>
      <c r="D5023" s="3" t="s">
        <v>5027</v>
      </c>
      <c r="E5023" s="4" t="n">
        <v>0</v>
      </c>
    </row>
    <row r="5024" customFormat="false" ht="15" hidden="false" customHeight="false" outlineLevel="0" collapsed="false">
      <c r="A5024" s="3" t="n">
        <v>2025</v>
      </c>
      <c r="B5024" s="3" t="n">
        <v>10</v>
      </c>
      <c r="C5024" s="3" t="n">
        <v>1</v>
      </c>
      <c r="D5024" s="3" t="s">
        <v>5028</v>
      </c>
      <c r="E5024" s="4" t="n">
        <v>0</v>
      </c>
    </row>
    <row r="5025" customFormat="false" ht="15" hidden="false" customHeight="false" outlineLevel="0" collapsed="false">
      <c r="A5025" s="3" t="n">
        <v>2025</v>
      </c>
      <c r="B5025" s="3" t="n">
        <v>10</v>
      </c>
      <c r="C5025" s="3" t="n">
        <v>2</v>
      </c>
      <c r="D5025" s="3" t="s">
        <v>5029</v>
      </c>
      <c r="E5025" s="4" t="n">
        <v>15</v>
      </c>
    </row>
    <row r="5026" customFormat="false" ht="15" hidden="false" customHeight="false" outlineLevel="0" collapsed="false">
      <c r="A5026" s="3" t="n">
        <v>2025</v>
      </c>
      <c r="B5026" s="3" t="n">
        <v>10</v>
      </c>
      <c r="C5026" s="3" t="n">
        <v>3</v>
      </c>
      <c r="D5026" s="3" t="s">
        <v>5030</v>
      </c>
      <c r="E5026" s="4" t="n">
        <v>0</v>
      </c>
    </row>
    <row r="5027" customFormat="false" ht="15" hidden="false" customHeight="false" outlineLevel="0" collapsed="false">
      <c r="A5027" s="3" t="n">
        <v>2025</v>
      </c>
      <c r="B5027" s="3" t="n">
        <v>10</v>
      </c>
      <c r="C5027" s="3" t="n">
        <v>4</v>
      </c>
      <c r="D5027" s="3" t="s">
        <v>5031</v>
      </c>
      <c r="E5027" s="4" t="n">
        <v>1</v>
      </c>
    </row>
    <row r="5028" customFormat="false" ht="15" hidden="false" customHeight="false" outlineLevel="0" collapsed="false">
      <c r="A5028" s="3" t="n">
        <v>2025</v>
      </c>
      <c r="B5028" s="3" t="n">
        <v>10</v>
      </c>
      <c r="C5028" s="3" t="n">
        <v>5</v>
      </c>
      <c r="D5028" s="3" t="s">
        <v>5032</v>
      </c>
      <c r="E5028" s="4" t="n">
        <v>28</v>
      </c>
    </row>
    <row r="5029" customFormat="false" ht="15" hidden="false" customHeight="false" outlineLevel="0" collapsed="false">
      <c r="A5029" s="3" t="n">
        <v>2025</v>
      </c>
      <c r="B5029" s="3" t="n">
        <v>10</v>
      </c>
      <c r="C5029" s="3" t="n">
        <v>6</v>
      </c>
      <c r="D5029" s="3" t="s">
        <v>5033</v>
      </c>
      <c r="E5029" s="4" t="n">
        <v>0</v>
      </c>
    </row>
    <row r="5030" customFormat="false" ht="15" hidden="false" customHeight="false" outlineLevel="0" collapsed="false">
      <c r="A5030" s="3" t="n">
        <v>2025</v>
      </c>
      <c r="B5030" s="3" t="n">
        <v>10</v>
      </c>
      <c r="C5030" s="3" t="n">
        <v>7</v>
      </c>
      <c r="D5030" s="3" t="s">
        <v>5034</v>
      </c>
      <c r="E5030" s="4" t="n">
        <v>8</v>
      </c>
    </row>
    <row r="5031" customFormat="false" ht="15" hidden="false" customHeight="false" outlineLevel="0" collapsed="false">
      <c r="A5031" s="3" t="n">
        <v>2025</v>
      </c>
      <c r="B5031" s="3" t="n">
        <v>10</v>
      </c>
      <c r="C5031" s="3" t="n">
        <v>8</v>
      </c>
      <c r="D5031" s="3" t="s">
        <v>5035</v>
      </c>
      <c r="E5031" s="4" t="n">
        <v>33</v>
      </c>
    </row>
    <row r="5032" customFormat="false" ht="15" hidden="false" customHeight="false" outlineLevel="0" collapsed="false">
      <c r="A5032" s="3" t="n">
        <v>2025</v>
      </c>
      <c r="B5032" s="3" t="n">
        <v>10</v>
      </c>
      <c r="C5032" s="3" t="n">
        <v>9</v>
      </c>
      <c r="D5032" s="3" t="s">
        <v>5036</v>
      </c>
      <c r="E5032" s="4" t="n">
        <v>28</v>
      </c>
    </row>
    <row r="5033" customFormat="false" ht="15" hidden="false" customHeight="false" outlineLevel="0" collapsed="false">
      <c r="A5033" s="3" t="n">
        <v>2025</v>
      </c>
      <c r="B5033" s="3" t="n">
        <v>10</v>
      </c>
      <c r="C5033" s="3" t="n">
        <v>10</v>
      </c>
      <c r="D5033" s="3" t="s">
        <v>5037</v>
      </c>
      <c r="E5033" s="4" t="n">
        <v>13</v>
      </c>
    </row>
    <row r="5034" customFormat="false" ht="15" hidden="false" customHeight="false" outlineLevel="0" collapsed="false">
      <c r="A5034" s="3" t="n">
        <v>2025</v>
      </c>
      <c r="B5034" s="3" t="n">
        <v>10</v>
      </c>
      <c r="C5034" s="3" t="n">
        <v>11</v>
      </c>
      <c r="D5034" s="3" t="s">
        <v>5038</v>
      </c>
      <c r="E5034" s="4" t="n">
        <v>0</v>
      </c>
    </row>
    <row r="5035" customFormat="false" ht="15" hidden="false" customHeight="false" outlineLevel="0" collapsed="false">
      <c r="A5035" s="3" t="n">
        <v>2025</v>
      </c>
      <c r="B5035" s="3" t="n">
        <v>10</v>
      </c>
      <c r="C5035" s="3" t="n">
        <v>12</v>
      </c>
      <c r="D5035" s="3" t="s">
        <v>5039</v>
      </c>
      <c r="E5035" s="4" t="n">
        <v>15</v>
      </c>
    </row>
    <row r="5036" customFormat="false" ht="15" hidden="false" customHeight="false" outlineLevel="0" collapsed="false">
      <c r="A5036" s="3" t="n">
        <v>2025</v>
      </c>
      <c r="B5036" s="3" t="n">
        <v>10</v>
      </c>
      <c r="C5036" s="3" t="n">
        <v>13</v>
      </c>
      <c r="D5036" s="3" t="s">
        <v>5040</v>
      </c>
      <c r="E5036" s="4" t="n">
        <v>3</v>
      </c>
    </row>
    <row r="5037" customFormat="false" ht="15" hidden="false" customHeight="false" outlineLevel="0" collapsed="false">
      <c r="A5037" s="3" t="n">
        <v>2025</v>
      </c>
      <c r="B5037" s="3" t="n">
        <v>10</v>
      </c>
      <c r="C5037" s="3" t="n">
        <v>14</v>
      </c>
      <c r="D5037" s="3" t="s">
        <v>5041</v>
      </c>
      <c r="E5037" s="4" t="n">
        <v>0</v>
      </c>
    </row>
    <row r="5038" customFormat="false" ht="15" hidden="false" customHeight="false" outlineLevel="0" collapsed="false">
      <c r="A5038" s="3" t="n">
        <v>2025</v>
      </c>
      <c r="B5038" s="3" t="n">
        <v>10</v>
      </c>
      <c r="C5038" s="3" t="n">
        <v>15</v>
      </c>
      <c r="D5038" s="3" t="s">
        <v>5042</v>
      </c>
      <c r="E5038" s="4" t="n">
        <v>41</v>
      </c>
    </row>
    <row r="5039" customFormat="false" ht="15" hidden="false" customHeight="false" outlineLevel="0" collapsed="false">
      <c r="A5039" s="3" t="n">
        <v>2025</v>
      </c>
      <c r="B5039" s="3" t="n">
        <v>10</v>
      </c>
      <c r="C5039" s="3" t="n">
        <v>16</v>
      </c>
      <c r="D5039" s="3" t="s">
        <v>5043</v>
      </c>
      <c r="E5039" s="4" t="n">
        <v>13</v>
      </c>
    </row>
    <row r="5040" customFormat="false" ht="15" hidden="false" customHeight="false" outlineLevel="0" collapsed="false">
      <c r="A5040" s="3" t="n">
        <v>2025</v>
      </c>
      <c r="B5040" s="3" t="n">
        <v>10</v>
      </c>
      <c r="C5040" s="3" t="n">
        <v>17</v>
      </c>
      <c r="D5040" s="3" t="s">
        <v>5044</v>
      </c>
      <c r="E5040" s="4" t="n">
        <v>1</v>
      </c>
    </row>
    <row r="5041" customFormat="false" ht="15" hidden="false" customHeight="false" outlineLevel="0" collapsed="false">
      <c r="A5041" s="3" t="n">
        <v>2025</v>
      </c>
      <c r="B5041" s="3" t="n">
        <v>10</v>
      </c>
      <c r="C5041" s="3" t="n">
        <v>18</v>
      </c>
      <c r="D5041" s="3" t="s">
        <v>5045</v>
      </c>
      <c r="E5041" s="4" t="n">
        <v>2</v>
      </c>
    </row>
    <row r="5042" customFormat="false" ht="15" hidden="false" customHeight="false" outlineLevel="0" collapsed="false">
      <c r="A5042" s="3" t="n">
        <v>2025</v>
      </c>
      <c r="B5042" s="3" t="n">
        <v>10</v>
      </c>
      <c r="C5042" s="3" t="n">
        <v>19</v>
      </c>
      <c r="D5042" s="3" t="s">
        <v>5046</v>
      </c>
      <c r="E5042" s="4" t="n">
        <v>40</v>
      </c>
    </row>
    <row r="5043" customFormat="false" ht="15" hidden="false" customHeight="false" outlineLevel="0" collapsed="false">
      <c r="A5043" s="3" t="n">
        <v>2025</v>
      </c>
      <c r="B5043" s="3" t="n">
        <v>10</v>
      </c>
      <c r="C5043" s="3" t="n">
        <v>20</v>
      </c>
      <c r="D5043" s="3" t="s">
        <v>5047</v>
      </c>
      <c r="E5043" s="4" t="n">
        <v>31</v>
      </c>
    </row>
    <row r="5044" customFormat="false" ht="15" hidden="false" customHeight="false" outlineLevel="0" collapsed="false">
      <c r="A5044" s="3" t="n">
        <v>2025</v>
      </c>
      <c r="B5044" s="3" t="n">
        <v>10</v>
      </c>
      <c r="C5044" s="3" t="n">
        <v>21</v>
      </c>
      <c r="D5044" s="3" t="s">
        <v>5048</v>
      </c>
      <c r="E5044" s="4" t="n">
        <v>0</v>
      </c>
    </row>
    <row r="5045" customFormat="false" ht="15" hidden="false" customHeight="false" outlineLevel="0" collapsed="false">
      <c r="A5045" s="3" t="n">
        <v>2025</v>
      </c>
      <c r="B5045" s="3" t="n">
        <v>10</v>
      </c>
      <c r="C5045" s="3" t="n">
        <v>22</v>
      </c>
      <c r="D5045" s="3" t="s">
        <v>5049</v>
      </c>
      <c r="E5045" s="4" t="n">
        <v>34</v>
      </c>
    </row>
    <row r="5046" customFormat="false" ht="15" hidden="false" customHeight="false" outlineLevel="0" collapsed="false">
      <c r="A5046" s="3" t="n">
        <v>2025</v>
      </c>
      <c r="B5046" s="3" t="n">
        <v>10</v>
      </c>
      <c r="C5046" s="3" t="n">
        <v>23</v>
      </c>
      <c r="D5046" s="3" t="s">
        <v>5050</v>
      </c>
      <c r="E5046" s="4" t="n">
        <v>3</v>
      </c>
    </row>
    <row r="5047" customFormat="false" ht="15" hidden="false" customHeight="false" outlineLevel="0" collapsed="false">
      <c r="A5047" s="3" t="n">
        <v>2025</v>
      </c>
      <c r="B5047" s="3" t="n">
        <v>10</v>
      </c>
      <c r="C5047" s="3" t="n">
        <v>24</v>
      </c>
      <c r="D5047" s="3" t="s">
        <v>5051</v>
      </c>
      <c r="E5047" s="4" t="n">
        <v>25</v>
      </c>
    </row>
    <row r="5048" customFormat="false" ht="15" hidden="false" customHeight="false" outlineLevel="0" collapsed="false">
      <c r="A5048" s="3" t="n">
        <v>2025</v>
      </c>
      <c r="B5048" s="3" t="n">
        <v>10</v>
      </c>
      <c r="C5048" s="3" t="n">
        <v>25</v>
      </c>
      <c r="D5048" s="3" t="s">
        <v>5052</v>
      </c>
      <c r="E5048" s="4" t="n">
        <v>4</v>
      </c>
    </row>
    <row r="5049" customFormat="false" ht="15" hidden="false" customHeight="false" outlineLevel="0" collapsed="false">
      <c r="A5049" s="3" t="n">
        <v>2025</v>
      </c>
      <c r="B5049" s="3" t="n">
        <v>10</v>
      </c>
      <c r="C5049" s="3" t="n">
        <v>26</v>
      </c>
      <c r="D5049" s="3" t="s">
        <v>5053</v>
      </c>
      <c r="E5049" s="4" t="n">
        <v>2</v>
      </c>
    </row>
    <row r="5050" customFormat="false" ht="15" hidden="false" customHeight="false" outlineLevel="0" collapsed="false">
      <c r="A5050" s="3" t="n">
        <v>2025</v>
      </c>
      <c r="B5050" s="3" t="n">
        <v>10</v>
      </c>
      <c r="C5050" s="3" t="n">
        <v>27</v>
      </c>
      <c r="D5050" s="3" t="s">
        <v>5054</v>
      </c>
      <c r="E5050" s="4" t="n">
        <v>10</v>
      </c>
    </row>
    <row r="5051" customFormat="false" ht="15" hidden="false" customHeight="false" outlineLevel="0" collapsed="false">
      <c r="A5051" s="3" t="n">
        <v>2025</v>
      </c>
      <c r="B5051" s="3" t="n">
        <v>10</v>
      </c>
      <c r="C5051" s="3" t="n">
        <v>28</v>
      </c>
      <c r="D5051" s="3" t="s">
        <v>5055</v>
      </c>
      <c r="E5051" s="4" t="n">
        <v>0</v>
      </c>
    </row>
    <row r="5052" customFormat="false" ht="15" hidden="false" customHeight="false" outlineLevel="0" collapsed="false">
      <c r="A5052" s="3" t="n">
        <v>2025</v>
      </c>
      <c r="B5052" s="3" t="n">
        <v>10</v>
      </c>
      <c r="C5052" s="3" t="n">
        <v>29</v>
      </c>
      <c r="D5052" s="3" t="s">
        <v>5056</v>
      </c>
      <c r="E5052" s="4" t="n">
        <v>0</v>
      </c>
    </row>
    <row r="5053" customFormat="false" ht="15" hidden="false" customHeight="false" outlineLevel="0" collapsed="false">
      <c r="A5053" s="3" t="n">
        <v>2025</v>
      </c>
      <c r="B5053" s="3" t="n">
        <v>10</v>
      </c>
      <c r="C5053" s="3" t="n">
        <v>30</v>
      </c>
      <c r="D5053" s="3" t="s">
        <v>5057</v>
      </c>
      <c r="E5053" s="4" t="n">
        <v>0</v>
      </c>
    </row>
    <row r="5054" customFormat="false" ht="15" hidden="false" customHeight="false" outlineLevel="0" collapsed="false">
      <c r="A5054" s="3" t="n">
        <v>2025</v>
      </c>
      <c r="B5054" s="3" t="n">
        <v>10</v>
      </c>
      <c r="C5054" s="3" t="n">
        <v>31</v>
      </c>
      <c r="D5054" s="3" t="s">
        <v>5058</v>
      </c>
      <c r="E5054" s="4" t="n">
        <v>41</v>
      </c>
    </row>
    <row r="5055" customFormat="false" ht="15" hidden="false" customHeight="false" outlineLevel="0" collapsed="false">
      <c r="A5055" s="3" t="n">
        <v>2025</v>
      </c>
      <c r="B5055" s="3" t="n">
        <v>11</v>
      </c>
      <c r="C5055" s="3" t="n">
        <v>1</v>
      </c>
      <c r="D5055" s="3" t="s">
        <v>5059</v>
      </c>
      <c r="E5055" s="4" t="n">
        <v>0</v>
      </c>
    </row>
    <row r="5056" customFormat="false" ht="15" hidden="false" customHeight="false" outlineLevel="0" collapsed="false">
      <c r="A5056" s="3" t="n">
        <v>2025</v>
      </c>
      <c r="B5056" s="3" t="n">
        <v>11</v>
      </c>
      <c r="C5056" s="3" t="n">
        <v>2</v>
      </c>
      <c r="D5056" s="3" t="s">
        <v>5060</v>
      </c>
      <c r="E5056" s="4" t="n">
        <v>0</v>
      </c>
    </row>
    <row r="5057" customFormat="false" ht="15" hidden="false" customHeight="false" outlineLevel="0" collapsed="false">
      <c r="A5057" s="3" t="n">
        <v>2025</v>
      </c>
      <c r="B5057" s="3" t="n">
        <v>11</v>
      </c>
      <c r="C5057" s="3" t="n">
        <v>3</v>
      </c>
      <c r="D5057" s="3" t="s">
        <v>5061</v>
      </c>
      <c r="E5057" s="4" t="n">
        <v>0</v>
      </c>
    </row>
    <row r="5058" customFormat="false" ht="15" hidden="false" customHeight="false" outlineLevel="0" collapsed="false">
      <c r="A5058" s="3" t="n">
        <v>2025</v>
      </c>
      <c r="B5058" s="3" t="n">
        <v>11</v>
      </c>
      <c r="C5058" s="3" t="n">
        <v>4</v>
      </c>
      <c r="D5058" s="3" t="s">
        <v>5062</v>
      </c>
      <c r="E5058" s="4" t="n">
        <v>16</v>
      </c>
    </row>
    <row r="5059" customFormat="false" ht="15" hidden="false" customHeight="false" outlineLevel="0" collapsed="false">
      <c r="A5059" s="3" t="n">
        <v>2025</v>
      </c>
      <c r="B5059" s="3" t="n">
        <v>11</v>
      </c>
      <c r="C5059" s="3" t="n">
        <v>5</v>
      </c>
      <c r="D5059" s="3" t="s">
        <v>5063</v>
      </c>
      <c r="E5059" s="4" t="n">
        <v>2</v>
      </c>
    </row>
    <row r="5060" customFormat="false" ht="15" hidden="false" customHeight="false" outlineLevel="0" collapsed="false">
      <c r="A5060" s="3" t="n">
        <v>2025</v>
      </c>
      <c r="B5060" s="3" t="n">
        <v>11</v>
      </c>
      <c r="C5060" s="3" t="n">
        <v>6</v>
      </c>
      <c r="D5060" s="3" t="s">
        <v>5064</v>
      </c>
      <c r="E5060" s="4" t="n">
        <v>0</v>
      </c>
    </row>
    <row r="5061" customFormat="false" ht="15" hidden="false" customHeight="false" outlineLevel="0" collapsed="false">
      <c r="A5061" s="3" t="n">
        <v>2025</v>
      </c>
      <c r="B5061" s="3" t="n">
        <v>11</v>
      </c>
      <c r="C5061" s="3" t="n">
        <v>7</v>
      </c>
      <c r="D5061" s="3" t="s">
        <v>5065</v>
      </c>
      <c r="E5061" s="4" t="n">
        <v>0</v>
      </c>
    </row>
    <row r="5062" customFormat="false" ht="15" hidden="false" customHeight="false" outlineLevel="0" collapsed="false">
      <c r="A5062" s="3" t="n">
        <v>2025</v>
      </c>
      <c r="B5062" s="3" t="n">
        <v>11</v>
      </c>
      <c r="C5062" s="3" t="n">
        <v>8</v>
      </c>
      <c r="D5062" s="3" t="s">
        <v>5066</v>
      </c>
      <c r="E5062" s="4" t="n">
        <v>0</v>
      </c>
    </row>
    <row r="5063" customFormat="false" ht="15" hidden="false" customHeight="false" outlineLevel="0" collapsed="false">
      <c r="A5063" s="3" t="n">
        <v>2025</v>
      </c>
      <c r="B5063" s="3" t="n">
        <v>11</v>
      </c>
      <c r="C5063" s="3" t="n">
        <v>9</v>
      </c>
      <c r="D5063" s="3" t="s">
        <v>5067</v>
      </c>
      <c r="E5063" s="4" t="n">
        <v>0</v>
      </c>
    </row>
    <row r="5064" customFormat="false" ht="15" hidden="false" customHeight="false" outlineLevel="0" collapsed="false">
      <c r="A5064" s="3" t="n">
        <v>2025</v>
      </c>
      <c r="B5064" s="3" t="n">
        <v>11</v>
      </c>
      <c r="C5064" s="3" t="n">
        <v>10</v>
      </c>
      <c r="D5064" s="3" t="s">
        <v>5068</v>
      </c>
      <c r="E5064" s="4" t="n">
        <v>2</v>
      </c>
    </row>
    <row r="5065" customFormat="false" ht="15" hidden="false" customHeight="false" outlineLevel="0" collapsed="false">
      <c r="A5065" s="3" t="n">
        <v>2025</v>
      </c>
      <c r="B5065" s="3" t="n">
        <v>11</v>
      </c>
      <c r="C5065" s="3" t="n">
        <v>11</v>
      </c>
      <c r="D5065" s="3" t="s">
        <v>5069</v>
      </c>
      <c r="E5065" s="4" t="n">
        <v>2</v>
      </c>
    </row>
    <row r="5066" customFormat="false" ht="15" hidden="false" customHeight="false" outlineLevel="0" collapsed="false">
      <c r="A5066" s="3" t="n">
        <v>2025</v>
      </c>
      <c r="B5066" s="3" t="n">
        <v>11</v>
      </c>
      <c r="C5066" s="3" t="n">
        <v>12</v>
      </c>
      <c r="D5066" s="3" t="s">
        <v>5070</v>
      </c>
      <c r="E5066" s="4" t="n">
        <v>41</v>
      </c>
    </row>
    <row r="5067" customFormat="false" ht="15" hidden="false" customHeight="false" outlineLevel="0" collapsed="false">
      <c r="A5067" s="3" t="n">
        <v>2025</v>
      </c>
      <c r="B5067" s="3" t="n">
        <v>11</v>
      </c>
      <c r="C5067" s="3" t="n">
        <v>13</v>
      </c>
      <c r="D5067" s="3" t="s">
        <v>5071</v>
      </c>
      <c r="E5067" s="4" t="n">
        <v>12</v>
      </c>
    </row>
    <row r="5068" customFormat="false" ht="15" hidden="false" customHeight="false" outlineLevel="0" collapsed="false">
      <c r="A5068" s="3" t="n">
        <v>2025</v>
      </c>
      <c r="B5068" s="3" t="n">
        <v>11</v>
      </c>
      <c r="C5068" s="3" t="n">
        <v>14</v>
      </c>
      <c r="D5068" s="3" t="s">
        <v>5072</v>
      </c>
      <c r="E5068" s="4" t="n">
        <v>0</v>
      </c>
    </row>
    <row r="5069" customFormat="false" ht="15" hidden="false" customHeight="false" outlineLevel="0" collapsed="false">
      <c r="A5069" s="3" t="n">
        <v>2025</v>
      </c>
      <c r="B5069" s="3" t="n">
        <v>11</v>
      </c>
      <c r="C5069" s="3" t="n">
        <v>15</v>
      </c>
      <c r="D5069" s="3" t="s">
        <v>5073</v>
      </c>
      <c r="E5069" s="4" t="n">
        <v>11</v>
      </c>
    </row>
    <row r="5070" customFormat="false" ht="15" hidden="false" customHeight="false" outlineLevel="0" collapsed="false">
      <c r="A5070" s="3" t="n">
        <v>2025</v>
      </c>
      <c r="B5070" s="3" t="n">
        <v>11</v>
      </c>
      <c r="C5070" s="3" t="n">
        <v>16</v>
      </c>
      <c r="D5070" s="3" t="s">
        <v>5074</v>
      </c>
      <c r="E5070" s="4" t="n">
        <v>0</v>
      </c>
    </row>
    <row r="5071" customFormat="false" ht="15" hidden="false" customHeight="false" outlineLevel="0" collapsed="false">
      <c r="A5071" s="3" t="n">
        <v>2025</v>
      </c>
      <c r="B5071" s="3" t="n">
        <v>11</v>
      </c>
      <c r="C5071" s="3" t="n">
        <v>17</v>
      </c>
      <c r="D5071" s="3" t="s">
        <v>5075</v>
      </c>
      <c r="E5071" s="4" t="n">
        <v>0</v>
      </c>
    </row>
    <row r="5072" customFormat="false" ht="15" hidden="false" customHeight="false" outlineLevel="0" collapsed="false">
      <c r="A5072" s="3" t="n">
        <v>2025</v>
      </c>
      <c r="B5072" s="3" t="n">
        <v>11</v>
      </c>
      <c r="C5072" s="3" t="n">
        <v>18</v>
      </c>
      <c r="D5072" s="3" t="s">
        <v>5076</v>
      </c>
      <c r="E5072" s="4" t="n">
        <v>0</v>
      </c>
    </row>
    <row r="5073" customFormat="false" ht="15" hidden="false" customHeight="false" outlineLevel="0" collapsed="false">
      <c r="A5073" s="3" t="n">
        <v>2025</v>
      </c>
      <c r="B5073" s="3" t="n">
        <v>11</v>
      </c>
      <c r="C5073" s="3" t="n">
        <v>19</v>
      </c>
      <c r="D5073" s="3" t="s">
        <v>5077</v>
      </c>
      <c r="E5073" s="4" t="n">
        <v>0</v>
      </c>
    </row>
    <row r="5074" customFormat="false" ht="15" hidden="false" customHeight="false" outlineLevel="0" collapsed="false">
      <c r="A5074" s="3" t="n">
        <v>2025</v>
      </c>
      <c r="B5074" s="3" t="n">
        <v>11</v>
      </c>
      <c r="C5074" s="3" t="n">
        <v>20</v>
      </c>
      <c r="D5074" s="3" t="s">
        <v>5078</v>
      </c>
      <c r="E5074" s="4" t="n">
        <v>14</v>
      </c>
    </row>
    <row r="5075" customFormat="false" ht="15" hidden="false" customHeight="false" outlineLevel="0" collapsed="false">
      <c r="A5075" s="3" t="n">
        <v>2025</v>
      </c>
      <c r="B5075" s="3" t="n">
        <v>11</v>
      </c>
      <c r="C5075" s="3" t="n">
        <v>21</v>
      </c>
      <c r="D5075" s="3" t="s">
        <v>5079</v>
      </c>
      <c r="E5075" s="4" t="n">
        <v>3</v>
      </c>
    </row>
    <row r="5076" customFormat="false" ht="15" hidden="false" customHeight="false" outlineLevel="0" collapsed="false">
      <c r="A5076" s="3" t="n">
        <v>2025</v>
      </c>
      <c r="B5076" s="3" t="n">
        <v>11</v>
      </c>
      <c r="C5076" s="3" t="n">
        <v>22</v>
      </c>
      <c r="D5076" s="3" t="s">
        <v>5080</v>
      </c>
      <c r="E5076" s="4" t="n">
        <v>56</v>
      </c>
    </row>
    <row r="5077" customFormat="false" ht="15" hidden="false" customHeight="false" outlineLevel="0" collapsed="false">
      <c r="A5077" s="3" t="n">
        <v>2025</v>
      </c>
      <c r="B5077" s="3" t="n">
        <v>11</v>
      </c>
      <c r="C5077" s="3" t="n">
        <v>23</v>
      </c>
      <c r="D5077" s="3" t="s">
        <v>5081</v>
      </c>
      <c r="E5077" s="4" t="n">
        <v>2</v>
      </c>
    </row>
    <row r="5078" customFormat="false" ht="15" hidden="false" customHeight="false" outlineLevel="0" collapsed="false">
      <c r="A5078" s="3" t="n">
        <v>2025</v>
      </c>
      <c r="B5078" s="3" t="n">
        <v>11</v>
      </c>
      <c r="C5078" s="3" t="n">
        <v>24</v>
      </c>
      <c r="D5078" s="3" t="s">
        <v>5082</v>
      </c>
      <c r="E5078" s="4" t="n">
        <v>6</v>
      </c>
    </row>
    <row r="5079" customFormat="false" ht="15" hidden="false" customHeight="false" outlineLevel="0" collapsed="false">
      <c r="A5079" s="3" t="n">
        <v>2025</v>
      </c>
      <c r="B5079" s="3" t="n">
        <v>11</v>
      </c>
      <c r="C5079" s="3" t="n">
        <v>25</v>
      </c>
      <c r="D5079" s="3" t="s">
        <v>5083</v>
      </c>
      <c r="E5079" s="4" t="n">
        <v>35</v>
      </c>
    </row>
    <row r="5080" customFormat="false" ht="15" hidden="false" customHeight="false" outlineLevel="0" collapsed="false">
      <c r="A5080" s="3" t="n">
        <v>2025</v>
      </c>
      <c r="B5080" s="3" t="n">
        <v>11</v>
      </c>
      <c r="C5080" s="3" t="n">
        <v>26</v>
      </c>
      <c r="D5080" s="3" t="s">
        <v>5084</v>
      </c>
      <c r="E5080" s="4" t="n">
        <v>0</v>
      </c>
    </row>
    <row r="5081" customFormat="false" ht="15" hidden="false" customHeight="false" outlineLevel="0" collapsed="false">
      <c r="A5081" s="3" t="n">
        <v>2025</v>
      </c>
      <c r="B5081" s="3" t="n">
        <v>11</v>
      </c>
      <c r="C5081" s="3" t="n">
        <v>27</v>
      </c>
      <c r="D5081" s="3" t="s">
        <v>5085</v>
      </c>
      <c r="E5081" s="4" t="n">
        <v>0</v>
      </c>
    </row>
    <row r="5082" customFormat="false" ht="15" hidden="false" customHeight="false" outlineLevel="0" collapsed="false">
      <c r="A5082" s="3" t="n">
        <v>2025</v>
      </c>
      <c r="B5082" s="3" t="n">
        <v>11</v>
      </c>
      <c r="C5082" s="3" t="n">
        <v>28</v>
      </c>
      <c r="D5082" s="3" t="s">
        <v>5086</v>
      </c>
      <c r="E5082" s="4" t="n">
        <v>23</v>
      </c>
    </row>
    <row r="5083" customFormat="false" ht="15" hidden="false" customHeight="false" outlineLevel="0" collapsed="false">
      <c r="A5083" s="3" t="n">
        <v>2025</v>
      </c>
      <c r="B5083" s="3" t="n">
        <v>11</v>
      </c>
      <c r="C5083" s="3" t="n">
        <v>29</v>
      </c>
      <c r="D5083" s="3" t="s">
        <v>5087</v>
      </c>
      <c r="E5083" s="4" t="n">
        <v>2</v>
      </c>
    </row>
    <row r="5084" customFormat="false" ht="15" hidden="false" customHeight="false" outlineLevel="0" collapsed="false">
      <c r="A5084" s="3" t="n">
        <v>2025</v>
      </c>
      <c r="B5084" s="3" t="n">
        <v>11</v>
      </c>
      <c r="C5084" s="3" t="n">
        <v>30</v>
      </c>
      <c r="D5084" s="3" t="s">
        <v>5088</v>
      </c>
      <c r="E5084" s="4" t="n">
        <v>100</v>
      </c>
    </row>
    <row r="5085" customFormat="false" ht="15" hidden="false" customHeight="false" outlineLevel="0" collapsed="false">
      <c r="A5085" s="3" t="n">
        <v>2025</v>
      </c>
      <c r="B5085" s="3" t="n">
        <v>12</v>
      </c>
      <c r="C5085" s="3" t="n">
        <v>1</v>
      </c>
      <c r="D5085" s="3" t="s">
        <v>5089</v>
      </c>
      <c r="E5085" s="4" t="n">
        <v>25</v>
      </c>
    </row>
    <row r="5086" customFormat="false" ht="15" hidden="false" customHeight="false" outlineLevel="0" collapsed="false">
      <c r="A5086" s="3" t="n">
        <v>2025</v>
      </c>
      <c r="B5086" s="3" t="n">
        <v>12</v>
      </c>
      <c r="C5086" s="3" t="n">
        <v>2</v>
      </c>
      <c r="D5086" s="3" t="s">
        <v>5090</v>
      </c>
      <c r="E5086" s="4" t="n">
        <v>5</v>
      </c>
    </row>
    <row r="5087" customFormat="false" ht="15" hidden="false" customHeight="false" outlineLevel="0" collapsed="false">
      <c r="A5087" s="3" t="n">
        <v>2025</v>
      </c>
      <c r="B5087" s="3" t="n">
        <v>12</v>
      </c>
      <c r="C5087" s="3" t="n">
        <v>3</v>
      </c>
      <c r="D5087" s="3" t="s">
        <v>5091</v>
      </c>
      <c r="E5087" s="4" t="n">
        <v>19</v>
      </c>
    </row>
    <row r="5088" customFormat="false" ht="15" hidden="false" customHeight="false" outlineLevel="0" collapsed="false">
      <c r="A5088" s="3" t="n">
        <v>2025</v>
      </c>
      <c r="B5088" s="3" t="n">
        <v>12</v>
      </c>
      <c r="C5088" s="3" t="n">
        <v>4</v>
      </c>
      <c r="D5088" s="3" t="s">
        <v>5092</v>
      </c>
      <c r="E5088" s="4" t="n">
        <v>12</v>
      </c>
    </row>
    <row r="5089" customFormat="false" ht="15" hidden="false" customHeight="false" outlineLevel="0" collapsed="false">
      <c r="A5089" s="3" t="n">
        <v>2025</v>
      </c>
      <c r="B5089" s="3" t="n">
        <v>12</v>
      </c>
      <c r="C5089" s="3" t="n">
        <v>5</v>
      </c>
      <c r="D5089" s="3" t="s">
        <v>5093</v>
      </c>
      <c r="E5089" s="4" t="n">
        <v>0</v>
      </c>
    </row>
    <row r="5090" customFormat="false" ht="15" hidden="false" customHeight="false" outlineLevel="0" collapsed="false">
      <c r="A5090" s="3" t="n">
        <v>2025</v>
      </c>
      <c r="B5090" s="3" t="n">
        <v>12</v>
      </c>
      <c r="C5090" s="3" t="n">
        <v>6</v>
      </c>
      <c r="D5090" s="3" t="s">
        <v>5094</v>
      </c>
      <c r="E5090" s="4" t="n">
        <v>3</v>
      </c>
    </row>
    <row r="5091" customFormat="false" ht="15" hidden="false" customHeight="false" outlineLevel="0" collapsed="false">
      <c r="A5091" s="3" t="n">
        <v>2025</v>
      </c>
      <c r="B5091" s="3" t="n">
        <v>12</v>
      </c>
      <c r="C5091" s="3" t="n">
        <v>7</v>
      </c>
      <c r="D5091" s="3" t="s">
        <v>5095</v>
      </c>
      <c r="E5091" s="4" t="n">
        <v>0</v>
      </c>
    </row>
    <row r="5092" customFormat="false" ht="15" hidden="false" customHeight="false" outlineLevel="0" collapsed="false">
      <c r="A5092" s="3" t="n">
        <v>2025</v>
      </c>
      <c r="B5092" s="3" t="n">
        <v>12</v>
      </c>
      <c r="C5092" s="3" t="n">
        <v>8</v>
      </c>
      <c r="D5092" s="3" t="s">
        <v>5096</v>
      </c>
      <c r="E5092" s="4" t="n">
        <v>0</v>
      </c>
    </row>
    <row r="5093" customFormat="false" ht="15" hidden="false" customHeight="false" outlineLevel="0" collapsed="false">
      <c r="A5093" s="3" t="n">
        <v>2025</v>
      </c>
      <c r="B5093" s="3" t="n">
        <v>12</v>
      </c>
      <c r="C5093" s="3" t="n">
        <v>9</v>
      </c>
      <c r="D5093" s="3" t="s">
        <v>5097</v>
      </c>
      <c r="E5093" s="4" t="n">
        <v>0</v>
      </c>
    </row>
    <row r="5094" customFormat="false" ht="15" hidden="false" customHeight="false" outlineLevel="0" collapsed="false">
      <c r="A5094" s="3" t="n">
        <v>2025</v>
      </c>
      <c r="B5094" s="3" t="n">
        <v>12</v>
      </c>
      <c r="C5094" s="3" t="n">
        <v>10</v>
      </c>
      <c r="D5094" s="3" t="s">
        <v>5098</v>
      </c>
      <c r="E5094" s="4" t="n">
        <v>0</v>
      </c>
    </row>
    <row r="5095" customFormat="false" ht="15" hidden="false" customHeight="false" outlineLevel="0" collapsed="false">
      <c r="A5095" s="3" t="n">
        <v>2025</v>
      </c>
      <c r="B5095" s="3" t="n">
        <v>12</v>
      </c>
      <c r="C5095" s="3" t="n">
        <v>11</v>
      </c>
      <c r="D5095" s="3" t="s">
        <v>5099</v>
      </c>
      <c r="E5095" s="4" t="n">
        <v>0</v>
      </c>
    </row>
    <row r="5096" customFormat="false" ht="15" hidden="false" customHeight="false" outlineLevel="0" collapsed="false">
      <c r="A5096" s="3" t="n">
        <v>2025</v>
      </c>
      <c r="B5096" s="3" t="n">
        <v>12</v>
      </c>
      <c r="C5096" s="3" t="n">
        <v>12</v>
      </c>
      <c r="D5096" s="3" t="s">
        <v>5100</v>
      </c>
      <c r="E5096" s="4" t="n">
        <v>2</v>
      </c>
    </row>
    <row r="5097" customFormat="false" ht="15" hidden="false" customHeight="false" outlineLevel="0" collapsed="false">
      <c r="A5097" s="3" t="n">
        <v>2025</v>
      </c>
      <c r="B5097" s="3" t="n">
        <v>12</v>
      </c>
      <c r="C5097" s="3" t="n">
        <v>13</v>
      </c>
      <c r="D5097" s="3" t="s">
        <v>5101</v>
      </c>
      <c r="E5097" s="4" t="n">
        <v>0</v>
      </c>
    </row>
    <row r="5098" customFormat="false" ht="15" hidden="false" customHeight="false" outlineLevel="0" collapsed="false">
      <c r="A5098" s="3" t="n">
        <v>2025</v>
      </c>
      <c r="B5098" s="3" t="n">
        <v>12</v>
      </c>
      <c r="C5098" s="3" t="n">
        <v>14</v>
      </c>
      <c r="D5098" s="3" t="s">
        <v>5102</v>
      </c>
      <c r="E5098" s="4" t="n">
        <v>0</v>
      </c>
    </row>
    <row r="5099" customFormat="false" ht="15" hidden="false" customHeight="false" outlineLevel="0" collapsed="false">
      <c r="A5099" s="3" t="n">
        <v>2025</v>
      </c>
      <c r="B5099" s="3" t="n">
        <v>12</v>
      </c>
      <c r="C5099" s="3" t="n">
        <v>15</v>
      </c>
      <c r="D5099" s="3" t="s">
        <v>5103</v>
      </c>
      <c r="E5099" s="4" t="n">
        <v>13</v>
      </c>
    </row>
    <row r="5100" customFormat="false" ht="15" hidden="false" customHeight="false" outlineLevel="0" collapsed="false">
      <c r="A5100" s="3" t="n">
        <v>2025</v>
      </c>
      <c r="B5100" s="3" t="n">
        <v>12</v>
      </c>
      <c r="C5100" s="3" t="n">
        <v>16</v>
      </c>
      <c r="D5100" s="3" t="s">
        <v>5104</v>
      </c>
      <c r="E5100" s="4" t="n">
        <v>0</v>
      </c>
    </row>
    <row r="5101" customFormat="false" ht="15" hidden="false" customHeight="false" outlineLevel="0" collapsed="false">
      <c r="A5101" s="3" t="n">
        <v>2025</v>
      </c>
      <c r="B5101" s="3" t="n">
        <v>12</v>
      </c>
      <c r="C5101" s="3" t="n">
        <v>17</v>
      </c>
      <c r="D5101" s="3" t="s">
        <v>5105</v>
      </c>
      <c r="E5101" s="4" t="n">
        <v>0</v>
      </c>
    </row>
    <row r="5102" customFormat="false" ht="15" hidden="false" customHeight="false" outlineLevel="0" collapsed="false">
      <c r="A5102" s="3" t="n">
        <v>2025</v>
      </c>
      <c r="B5102" s="3" t="n">
        <v>12</v>
      </c>
      <c r="C5102" s="3" t="n">
        <v>18</v>
      </c>
      <c r="D5102" s="3" t="s">
        <v>5106</v>
      </c>
      <c r="E5102" s="4" t="n">
        <v>0</v>
      </c>
    </row>
    <row r="5103" customFormat="false" ht="15" hidden="false" customHeight="false" outlineLevel="0" collapsed="false">
      <c r="A5103" s="3" t="n">
        <v>2025</v>
      </c>
      <c r="B5103" s="3" t="n">
        <v>12</v>
      </c>
      <c r="C5103" s="3" t="n">
        <v>19</v>
      </c>
      <c r="D5103" s="3" t="s">
        <v>5107</v>
      </c>
      <c r="E5103" s="4" t="n">
        <v>0</v>
      </c>
    </row>
    <row r="5104" customFormat="false" ht="15" hidden="false" customHeight="false" outlineLevel="0" collapsed="false">
      <c r="A5104" s="3" t="n">
        <v>2025</v>
      </c>
      <c r="B5104" s="3" t="n">
        <v>12</v>
      </c>
      <c r="C5104" s="3" t="n">
        <v>20</v>
      </c>
      <c r="D5104" s="3" t="s">
        <v>5108</v>
      </c>
      <c r="E5104" s="4" t="n">
        <v>2</v>
      </c>
    </row>
    <row r="5105" customFormat="false" ht="15" hidden="false" customHeight="false" outlineLevel="0" collapsed="false">
      <c r="A5105" s="3" t="n">
        <v>2025</v>
      </c>
      <c r="B5105" s="3" t="n">
        <v>12</v>
      </c>
      <c r="C5105" s="3" t="n">
        <v>21</v>
      </c>
      <c r="D5105" s="3" t="s">
        <v>5109</v>
      </c>
      <c r="E5105" s="4" t="n">
        <v>0</v>
      </c>
    </row>
    <row r="5106" customFormat="false" ht="15" hidden="false" customHeight="false" outlineLevel="0" collapsed="false">
      <c r="A5106" s="3" t="n">
        <v>2025</v>
      </c>
      <c r="B5106" s="3" t="n">
        <v>12</v>
      </c>
      <c r="C5106" s="3" t="n">
        <v>22</v>
      </c>
      <c r="D5106" s="3" t="s">
        <v>5110</v>
      </c>
      <c r="E5106" s="4" t="n">
        <v>2</v>
      </c>
    </row>
    <row r="5107" customFormat="false" ht="15" hidden="false" customHeight="false" outlineLevel="0" collapsed="false">
      <c r="A5107" s="3" t="n">
        <v>2025</v>
      </c>
      <c r="B5107" s="3" t="n">
        <v>12</v>
      </c>
      <c r="C5107" s="3" t="n">
        <v>23</v>
      </c>
      <c r="D5107" s="3" t="s">
        <v>5111</v>
      </c>
      <c r="E5107" s="4" t="n">
        <v>0</v>
      </c>
    </row>
    <row r="5108" customFormat="false" ht="15" hidden="false" customHeight="false" outlineLevel="0" collapsed="false">
      <c r="A5108" s="3" t="n">
        <v>2025</v>
      </c>
      <c r="B5108" s="3" t="n">
        <v>12</v>
      </c>
      <c r="C5108" s="3" t="n">
        <v>24</v>
      </c>
      <c r="D5108" s="3" t="s">
        <v>5112</v>
      </c>
      <c r="E5108" s="4" t="n">
        <v>0</v>
      </c>
    </row>
    <row r="5109" customFormat="false" ht="15" hidden="false" customHeight="false" outlineLevel="0" collapsed="false">
      <c r="A5109" s="3" t="n">
        <v>2025</v>
      </c>
      <c r="B5109" s="3" t="n">
        <v>12</v>
      </c>
      <c r="C5109" s="3" t="n">
        <v>25</v>
      </c>
      <c r="D5109" s="3" t="s">
        <v>5113</v>
      </c>
      <c r="E5109" s="4" t="n">
        <v>0</v>
      </c>
    </row>
    <row r="5110" customFormat="false" ht="15" hidden="false" customHeight="false" outlineLevel="0" collapsed="false">
      <c r="A5110" s="3" t="n">
        <v>2025</v>
      </c>
      <c r="B5110" s="3" t="n">
        <v>12</v>
      </c>
      <c r="C5110" s="3" t="n">
        <v>26</v>
      </c>
      <c r="D5110" s="3" t="s">
        <v>5114</v>
      </c>
      <c r="E5110" s="4" t="n">
        <v>34</v>
      </c>
    </row>
    <row r="5111" customFormat="false" ht="15" hidden="false" customHeight="false" outlineLevel="0" collapsed="false">
      <c r="A5111" s="3" t="n">
        <v>2025</v>
      </c>
      <c r="B5111" s="3" t="n">
        <v>12</v>
      </c>
      <c r="C5111" s="3" t="n">
        <v>27</v>
      </c>
      <c r="D5111" s="3" t="s">
        <v>5115</v>
      </c>
      <c r="E5111" s="4" t="n">
        <v>0</v>
      </c>
    </row>
    <row r="5112" customFormat="false" ht="15" hidden="false" customHeight="false" outlineLevel="0" collapsed="false">
      <c r="A5112" s="3" t="n">
        <v>2025</v>
      </c>
      <c r="B5112" s="3" t="n">
        <v>12</v>
      </c>
      <c r="C5112" s="3" t="n">
        <v>28</v>
      </c>
      <c r="D5112" s="3" t="s">
        <v>5116</v>
      </c>
      <c r="E5112" s="4" t="n">
        <v>0</v>
      </c>
    </row>
    <row r="5113" customFormat="false" ht="15" hidden="false" customHeight="false" outlineLevel="0" collapsed="false">
      <c r="A5113" s="3" t="n">
        <v>2025</v>
      </c>
      <c r="B5113" s="3" t="n">
        <v>12</v>
      </c>
      <c r="C5113" s="3" t="n">
        <v>29</v>
      </c>
      <c r="D5113" s="3" t="s">
        <v>5117</v>
      </c>
      <c r="E5113" s="4" t="n">
        <v>0</v>
      </c>
    </row>
    <row r="5114" customFormat="false" ht="15" hidden="false" customHeight="false" outlineLevel="0" collapsed="false">
      <c r="A5114" s="3" t="n">
        <v>2025</v>
      </c>
      <c r="B5114" s="3" t="n">
        <v>12</v>
      </c>
      <c r="C5114" s="3" t="n">
        <v>30</v>
      </c>
      <c r="D5114" s="3" t="s">
        <v>5118</v>
      </c>
      <c r="E5114" s="4" t="n">
        <v>0</v>
      </c>
    </row>
    <row r="5115" customFormat="false" ht="15" hidden="false" customHeight="false" outlineLevel="0" collapsed="false">
      <c r="A5115" s="3" t="n">
        <v>2025</v>
      </c>
      <c r="B5115" s="3" t="n">
        <v>12</v>
      </c>
      <c r="C5115" s="3" t="n">
        <v>31</v>
      </c>
      <c r="D5115" s="3" t="s">
        <v>5119</v>
      </c>
      <c r="E5115" s="4" t="n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1"/>
    <col collapsed="false" customWidth="true" hidden="false" outlineLevel="0" max="5" min="5" style="0" width="20"/>
    <col collapsed="false" customWidth="true" hidden="false" outlineLevel="0" max="6" min="6" style="0" width="19"/>
    <col collapsed="false" customWidth="true" hidden="false" outlineLevel="0" max="7" min="7" style="0" width="17"/>
  </cols>
  <sheetData>
    <row r="1" customFormat="false" ht="15" hidden="false" customHeight="false" outlineLevel="0" collapsed="false">
      <c r="A1" s="5" t="s">
        <v>5120</v>
      </c>
    </row>
    <row r="2" customFormat="false" ht="23.85" hidden="false" customHeight="false" outlineLevel="0" collapsed="false">
      <c r="A2" s="1" t="s">
        <v>0</v>
      </c>
      <c r="B2" s="1" t="s">
        <v>5121</v>
      </c>
      <c r="C2" s="1" t="s">
        <v>5122</v>
      </c>
      <c r="D2" s="1" t="s">
        <v>5123</v>
      </c>
      <c r="E2" s="1" t="s">
        <v>5124</v>
      </c>
      <c r="F2" s="1" t="s">
        <v>5125</v>
      </c>
      <c r="G2" s="1" t="s">
        <v>5126</v>
      </c>
    </row>
    <row r="3" customFormat="false" ht="15" hidden="false" customHeight="false" outlineLevel="0" collapsed="false">
      <c r="A3" s="3" t="n">
        <v>2012</v>
      </c>
      <c r="B3" s="6" t="n">
        <f aca="false">COUNTIFS(Data_Harian!$A$2:$A$5115,$A3)</f>
        <v>366</v>
      </c>
      <c r="C3" s="6" t="n">
        <f aca="false">COUNTIFS(Data_Harian!$A$2:$A$5115,$A3,Data_Harian!$E$2:$E$5115,"&gt;=0")</f>
        <v>366</v>
      </c>
      <c r="D3" s="6" t="n">
        <f aca="false">B3-C3</f>
        <v>0</v>
      </c>
      <c r="E3" s="4" t="n">
        <f aca="false">SUMIFS(Data_Harian!$E$2:$E$5115,Data_Harian!$A$2:$A$5115,$A3)</f>
        <v>3109</v>
      </c>
      <c r="F3" s="4" t="n">
        <f aca="false">_xlfn.MAXIFS(Data_Harian!$E$2:$E$5115,Data_Harian!$A$2:$A$5115,$A3)</f>
        <v>81</v>
      </c>
      <c r="G3" s="6" t="n">
        <f aca="false">COUNTIFS(Data_Harian!$A$2:$A$5115,$A3,Data_Harian!$E$2:$E$5115,"&gt;0")</f>
        <v>142</v>
      </c>
    </row>
    <row r="4" customFormat="false" ht="15" hidden="false" customHeight="false" outlineLevel="0" collapsed="false">
      <c r="A4" s="3" t="n">
        <v>2013</v>
      </c>
      <c r="B4" s="6" t="n">
        <f aca="false">COUNTIFS(Data_Harian!$A$2:$A$5115,$A4)</f>
        <v>365</v>
      </c>
      <c r="C4" s="6" t="n">
        <f aca="false">COUNTIFS(Data_Harian!$A$2:$A$5115,$A4,Data_Harian!$E$2:$E$5115,"&gt;=0")</f>
        <v>364</v>
      </c>
      <c r="D4" s="6" t="n">
        <f aca="false">B4-C4</f>
        <v>1</v>
      </c>
      <c r="E4" s="4" t="n">
        <f aca="false">SUMIFS(Data_Harian!$E$2:$E$5115,Data_Harian!$A$2:$A$5115,$A4)</f>
        <v>2916</v>
      </c>
      <c r="F4" s="4" t="n">
        <f aca="false">_xlfn.MAXIFS(Data_Harian!$E$2:$E$5115,Data_Harian!$A$2:$A$5115,$A4)</f>
        <v>120</v>
      </c>
      <c r="G4" s="6" t="n">
        <f aca="false">COUNTIFS(Data_Harian!$A$2:$A$5115,$A4,Data_Harian!$E$2:$E$5115,"&gt;0")</f>
        <v>154</v>
      </c>
    </row>
    <row r="5" customFormat="false" ht="15" hidden="false" customHeight="false" outlineLevel="0" collapsed="false">
      <c r="A5" s="3" t="n">
        <v>2014</v>
      </c>
      <c r="B5" s="6" t="n">
        <f aca="false">COUNTIFS(Data_Harian!$A$2:$A$5115,$A5)</f>
        <v>365</v>
      </c>
      <c r="C5" s="6" t="n">
        <f aca="false">COUNTIFS(Data_Harian!$A$2:$A$5115,$A5,Data_Harian!$E$2:$E$5115,"&gt;=0")</f>
        <v>365</v>
      </c>
      <c r="D5" s="6" t="n">
        <f aca="false">B5-C5</f>
        <v>0</v>
      </c>
      <c r="E5" s="4" t="n">
        <f aca="false">SUMIFS(Data_Harian!$E$2:$E$5115,Data_Harian!$A$2:$A$5115,$A5)</f>
        <v>2386</v>
      </c>
      <c r="F5" s="4" t="n">
        <f aca="false">_xlfn.MAXIFS(Data_Harian!$E$2:$E$5115,Data_Harian!$A$2:$A$5115,$A5)</f>
        <v>120</v>
      </c>
      <c r="G5" s="6" t="n">
        <f aca="false">COUNTIFS(Data_Harian!$A$2:$A$5115,$A5,Data_Harian!$E$2:$E$5115,"&gt;0")</f>
        <v>123</v>
      </c>
    </row>
    <row r="6" customFormat="false" ht="15" hidden="false" customHeight="false" outlineLevel="0" collapsed="false">
      <c r="A6" s="3" t="n">
        <v>2015</v>
      </c>
      <c r="B6" s="6" t="n">
        <f aca="false">COUNTIFS(Data_Harian!$A$2:$A$5115,$A6)</f>
        <v>365</v>
      </c>
      <c r="C6" s="6" t="n">
        <f aca="false">COUNTIFS(Data_Harian!$A$2:$A$5115,$A6,Data_Harian!$E$2:$E$5115,"&gt;=0")</f>
        <v>365</v>
      </c>
      <c r="D6" s="6" t="n">
        <f aca="false">B6-C6</f>
        <v>0</v>
      </c>
      <c r="E6" s="4" t="n">
        <f aca="false">SUMIFS(Data_Harian!$E$2:$E$5115,Data_Harian!$A$2:$A$5115,$A6)</f>
        <v>2961</v>
      </c>
      <c r="F6" s="4" t="n">
        <f aca="false">_xlfn.MAXIFS(Data_Harian!$E$2:$E$5115,Data_Harian!$A$2:$A$5115,$A6)</f>
        <v>91</v>
      </c>
      <c r="G6" s="6" t="n">
        <f aca="false">COUNTIFS(Data_Harian!$A$2:$A$5115,$A6,Data_Harian!$E$2:$E$5115,"&gt;0")</f>
        <v>127</v>
      </c>
    </row>
    <row r="7" customFormat="false" ht="15" hidden="false" customHeight="false" outlineLevel="0" collapsed="false">
      <c r="A7" s="3" t="n">
        <v>2016</v>
      </c>
      <c r="B7" s="6" t="n">
        <f aca="false">COUNTIFS(Data_Harian!$A$2:$A$5115,$A7)</f>
        <v>366</v>
      </c>
      <c r="C7" s="6" t="n">
        <f aca="false">COUNTIFS(Data_Harian!$A$2:$A$5115,$A7,Data_Harian!$E$2:$E$5115,"&gt;=0")</f>
        <v>366</v>
      </c>
      <c r="D7" s="6" t="n">
        <f aca="false">B7-C7</f>
        <v>0</v>
      </c>
      <c r="E7" s="4" t="n">
        <f aca="false">SUMIFS(Data_Harian!$E$2:$E$5115,Data_Harian!$A$2:$A$5115,$A7)</f>
        <v>3228</v>
      </c>
      <c r="F7" s="4" t="n">
        <f aca="false">_xlfn.MAXIFS(Data_Harian!$E$2:$E$5115,Data_Harian!$A$2:$A$5115,$A7)</f>
        <v>88</v>
      </c>
      <c r="G7" s="6" t="n">
        <f aca="false">COUNTIFS(Data_Harian!$A$2:$A$5115,$A7,Data_Harian!$E$2:$E$5115,"&gt;0")</f>
        <v>145</v>
      </c>
    </row>
    <row r="8" customFormat="false" ht="15" hidden="false" customHeight="false" outlineLevel="0" collapsed="false">
      <c r="A8" s="3" t="n">
        <v>2017</v>
      </c>
      <c r="B8" s="6" t="n">
        <f aca="false">COUNTIFS(Data_Harian!$A$2:$A$5115,$A8)</f>
        <v>365</v>
      </c>
      <c r="C8" s="6" t="n">
        <f aca="false">COUNTIFS(Data_Harian!$A$2:$A$5115,$A8,Data_Harian!$E$2:$E$5115,"&gt;=0")</f>
        <v>364</v>
      </c>
      <c r="D8" s="6" t="n">
        <f aca="false">B8-C8</f>
        <v>1</v>
      </c>
      <c r="E8" s="4" t="n">
        <f aca="false">SUMIFS(Data_Harian!$E$2:$E$5115,Data_Harian!$A$2:$A$5115,$A8)</f>
        <v>2631</v>
      </c>
      <c r="F8" s="4" t="n">
        <f aca="false">_xlfn.MAXIFS(Data_Harian!$E$2:$E$5115,Data_Harian!$A$2:$A$5115,$A8)</f>
        <v>86</v>
      </c>
      <c r="G8" s="6" t="n">
        <f aca="false">COUNTIFS(Data_Harian!$A$2:$A$5115,$A8,Data_Harian!$E$2:$E$5115,"&gt;0")</f>
        <v>168</v>
      </c>
    </row>
    <row r="9" customFormat="false" ht="15" hidden="false" customHeight="false" outlineLevel="0" collapsed="false">
      <c r="A9" s="3" t="n">
        <v>2018</v>
      </c>
      <c r="B9" s="6" t="n">
        <f aca="false">COUNTIFS(Data_Harian!$A$2:$A$5115,$A9)</f>
        <v>365</v>
      </c>
      <c r="C9" s="6" t="n">
        <f aca="false">COUNTIFS(Data_Harian!$A$2:$A$5115,$A9,Data_Harian!$E$2:$E$5115,"&gt;=0")</f>
        <v>365</v>
      </c>
      <c r="D9" s="6" t="n">
        <f aca="false">B9-C9</f>
        <v>0</v>
      </c>
      <c r="E9" s="4" t="n">
        <f aca="false">SUMIFS(Data_Harian!$E$2:$E$5115,Data_Harian!$A$2:$A$5115,$A9)</f>
        <v>1654</v>
      </c>
      <c r="F9" s="4" t="n">
        <f aca="false">_xlfn.MAXIFS(Data_Harian!$E$2:$E$5115,Data_Harian!$A$2:$A$5115,$A9)</f>
        <v>62</v>
      </c>
      <c r="G9" s="6" t="n">
        <f aca="false">COUNTIFS(Data_Harian!$A$2:$A$5115,$A9,Data_Harian!$E$2:$E$5115,"&gt;0")</f>
        <v>155</v>
      </c>
    </row>
    <row r="10" customFormat="false" ht="15" hidden="false" customHeight="false" outlineLevel="0" collapsed="false">
      <c r="A10" s="3" t="n">
        <v>2019</v>
      </c>
      <c r="B10" s="6" t="n">
        <f aca="false">COUNTIFS(Data_Harian!$A$2:$A$5115,$A10)</f>
        <v>365</v>
      </c>
      <c r="C10" s="6" t="n">
        <f aca="false">COUNTIFS(Data_Harian!$A$2:$A$5115,$A10,Data_Harian!$E$2:$E$5115,"&gt;=0")</f>
        <v>363</v>
      </c>
      <c r="D10" s="6" t="n">
        <f aca="false">B10-C10</f>
        <v>2</v>
      </c>
      <c r="E10" s="4" t="n">
        <f aca="false">SUMIFS(Data_Harian!$E$2:$E$5115,Data_Harian!$A$2:$A$5115,$A10)</f>
        <v>2313</v>
      </c>
      <c r="F10" s="4" t="n">
        <f aca="false">_xlfn.MAXIFS(Data_Harian!$E$2:$E$5115,Data_Harian!$A$2:$A$5115,$A10)</f>
        <v>88</v>
      </c>
      <c r="G10" s="6" t="n">
        <f aca="false">COUNTIFS(Data_Harian!$A$2:$A$5115,$A10,Data_Harian!$E$2:$E$5115,"&gt;0")</f>
        <v>161</v>
      </c>
    </row>
    <row r="11" customFormat="false" ht="15" hidden="false" customHeight="false" outlineLevel="0" collapsed="false">
      <c r="A11" s="3" t="n">
        <v>2020</v>
      </c>
      <c r="B11" s="6" t="n">
        <f aca="false">COUNTIFS(Data_Harian!$A$2:$A$5115,$A11)</f>
        <v>366</v>
      </c>
      <c r="C11" s="6" t="n">
        <f aca="false">COUNTIFS(Data_Harian!$A$2:$A$5115,$A11,Data_Harian!$E$2:$E$5115,"&gt;=0")</f>
        <v>366</v>
      </c>
      <c r="D11" s="6" t="n">
        <f aca="false">B11-C11</f>
        <v>0</v>
      </c>
      <c r="E11" s="4" t="n">
        <f aca="false">SUMIFS(Data_Harian!$E$2:$E$5115,Data_Harian!$A$2:$A$5115,$A11)</f>
        <v>4189</v>
      </c>
      <c r="F11" s="4" t="n">
        <f aca="false">_xlfn.MAXIFS(Data_Harian!$E$2:$E$5115,Data_Harian!$A$2:$A$5115,$A11)</f>
        <v>220</v>
      </c>
      <c r="G11" s="6" t="n">
        <f aca="false">COUNTIFS(Data_Harian!$A$2:$A$5115,$A11,Data_Harian!$E$2:$E$5115,"&gt;0")</f>
        <v>192</v>
      </c>
    </row>
    <row r="12" customFormat="false" ht="15" hidden="false" customHeight="false" outlineLevel="0" collapsed="false">
      <c r="A12" s="3" t="n">
        <v>2021</v>
      </c>
      <c r="B12" s="6" t="n">
        <f aca="false">COUNTIFS(Data_Harian!$A$2:$A$5115,$A12)</f>
        <v>365</v>
      </c>
      <c r="C12" s="6" t="n">
        <f aca="false">COUNTIFS(Data_Harian!$A$2:$A$5115,$A12,Data_Harian!$E$2:$E$5115,"&gt;=0")</f>
        <v>365</v>
      </c>
      <c r="D12" s="6" t="n">
        <f aca="false">B12-C12</f>
        <v>0</v>
      </c>
      <c r="E12" s="4" t="n">
        <f aca="false">SUMIFS(Data_Harian!$E$2:$E$5115,Data_Harian!$A$2:$A$5115,$A12)</f>
        <v>3696</v>
      </c>
      <c r="F12" s="4" t="n">
        <f aca="false">_xlfn.MAXIFS(Data_Harian!$E$2:$E$5115,Data_Harian!$A$2:$A$5115,$A12)</f>
        <v>151</v>
      </c>
      <c r="G12" s="6" t="n">
        <f aca="false">COUNTIFS(Data_Harian!$A$2:$A$5115,$A12,Data_Harian!$E$2:$E$5115,"&gt;0")</f>
        <v>181</v>
      </c>
    </row>
    <row r="13" customFormat="false" ht="15" hidden="false" customHeight="false" outlineLevel="0" collapsed="false">
      <c r="A13" s="3" t="n">
        <v>2022</v>
      </c>
      <c r="B13" s="6" t="n">
        <f aca="false">COUNTIFS(Data_Harian!$A$2:$A$5115,$A13)</f>
        <v>365</v>
      </c>
      <c r="C13" s="6" t="n">
        <f aca="false">COUNTIFS(Data_Harian!$A$2:$A$5115,$A13,Data_Harian!$E$2:$E$5115,"&gt;=0")</f>
        <v>365</v>
      </c>
      <c r="D13" s="6" t="n">
        <f aca="false">B13-C13</f>
        <v>0</v>
      </c>
      <c r="E13" s="4" t="n">
        <f aca="false">SUMIFS(Data_Harian!$E$2:$E$5115,Data_Harian!$A$2:$A$5115,$A13)</f>
        <v>2926</v>
      </c>
      <c r="F13" s="4" t="n">
        <f aca="false">_xlfn.MAXIFS(Data_Harian!$E$2:$E$5115,Data_Harian!$A$2:$A$5115,$A13)</f>
        <v>91</v>
      </c>
      <c r="G13" s="6" t="n">
        <f aca="false">COUNTIFS(Data_Harian!$A$2:$A$5115,$A13,Data_Harian!$E$2:$E$5115,"&gt;0")</f>
        <v>220</v>
      </c>
    </row>
    <row r="14" customFormat="false" ht="15" hidden="false" customHeight="false" outlineLevel="0" collapsed="false">
      <c r="A14" s="3" t="n">
        <v>2023</v>
      </c>
      <c r="B14" s="6" t="n">
        <f aca="false">COUNTIFS(Data_Harian!$A$2:$A$5115,$A14)</f>
        <v>365</v>
      </c>
      <c r="C14" s="6" t="n">
        <f aca="false">COUNTIFS(Data_Harian!$A$2:$A$5115,$A14,Data_Harian!$E$2:$E$5115,"&gt;=0")</f>
        <v>357</v>
      </c>
      <c r="D14" s="6" t="n">
        <f aca="false">B14-C14</f>
        <v>8</v>
      </c>
      <c r="E14" s="4" t="n">
        <f aca="false">SUMIFS(Data_Harian!$E$2:$E$5115,Data_Harian!$A$2:$A$5115,$A14)</f>
        <v>3260</v>
      </c>
      <c r="F14" s="4" t="n">
        <f aca="false">_xlfn.MAXIFS(Data_Harian!$E$2:$E$5115,Data_Harian!$A$2:$A$5115,$A14)</f>
        <v>100</v>
      </c>
      <c r="G14" s="6" t="n">
        <f aca="false">COUNTIFS(Data_Harian!$A$2:$A$5115,$A14,Data_Harian!$E$2:$E$5115,"&gt;0")</f>
        <v>204</v>
      </c>
    </row>
    <row r="15" customFormat="false" ht="15" hidden="false" customHeight="false" outlineLevel="0" collapsed="false">
      <c r="A15" s="3" t="n">
        <v>2024</v>
      </c>
      <c r="B15" s="6" t="n">
        <f aca="false">COUNTIFS(Data_Harian!$A$2:$A$5115,$A15)</f>
        <v>366</v>
      </c>
      <c r="C15" s="6" t="n">
        <f aca="false">COUNTIFS(Data_Harian!$A$2:$A$5115,$A15,Data_Harian!$E$2:$E$5115,"&gt;=0")</f>
        <v>366</v>
      </c>
      <c r="D15" s="6" t="n">
        <f aca="false">B15-C15</f>
        <v>0</v>
      </c>
      <c r="E15" s="4" t="n">
        <f aca="false">SUMIFS(Data_Harian!$E$2:$E$5115,Data_Harian!$A$2:$A$5115,$A15)</f>
        <v>3711</v>
      </c>
      <c r="F15" s="4" t="n">
        <f aca="false">_xlfn.MAXIFS(Data_Harian!$E$2:$E$5115,Data_Harian!$A$2:$A$5115,$A15)</f>
        <v>160</v>
      </c>
      <c r="G15" s="6" t="n">
        <f aca="false">COUNTIFS(Data_Harian!$A$2:$A$5115,$A15,Data_Harian!$E$2:$E$5115,"&gt;0")</f>
        <v>229</v>
      </c>
    </row>
    <row r="16" customFormat="false" ht="15" hidden="false" customHeight="false" outlineLevel="0" collapsed="false">
      <c r="A16" s="3" t="n">
        <v>2025</v>
      </c>
      <c r="B16" s="6" t="n">
        <f aca="false">COUNTIFS(Data_Harian!$A$2:$A$5115,$A16)</f>
        <v>365</v>
      </c>
      <c r="C16" s="6" t="n">
        <f aca="false">COUNTIFS(Data_Harian!$A$2:$A$5115,$A16,Data_Harian!$E$2:$E$5115,"&gt;=0")</f>
        <v>365</v>
      </c>
      <c r="D16" s="6" t="n">
        <f aca="false">B16-C16</f>
        <v>0</v>
      </c>
      <c r="E16" s="4" t="n">
        <f aca="false">SUMIFS(Data_Harian!$E$2:$E$5115,Data_Harian!$A$2:$A$5115,$A16)</f>
        <v>3310</v>
      </c>
      <c r="F16" s="4" t="n">
        <f aca="false">_xlfn.MAXIFS(Data_Harian!$E$2:$E$5115,Data_Harian!$A$2:$A$5115,$A16)</f>
        <v>100</v>
      </c>
      <c r="G16" s="6" t="n">
        <f aca="false">COUNTIFS(Data_Harian!$A$2:$A$5115,$A16,Data_Harian!$E$2:$E$5115,"&gt;0")</f>
        <v>206</v>
      </c>
    </row>
    <row r="17" customFormat="false" ht="15" hidden="false" customHeight="false" outlineLevel="0" collapsed="false">
      <c r="A17" s="7" t="s">
        <v>5127</v>
      </c>
      <c r="E17" s="8" t="n">
        <f aca="false">SUM(E3:E16)</f>
        <v>42290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5" t="s">
        <v>5128</v>
      </c>
    </row>
    <row r="2" customFormat="false" ht="23.85" hidden="false" customHeight="false" outlineLevel="0" collapsed="false">
      <c r="A2" s="1" t="s">
        <v>5129</v>
      </c>
      <c r="B2" s="1" t="s">
        <v>5130</v>
      </c>
    </row>
    <row r="3" customFormat="false" ht="15" hidden="false" customHeight="false" outlineLevel="0" collapsed="false">
      <c r="A3" s="2" t="s">
        <v>5131</v>
      </c>
      <c r="B3" s="9" t="n">
        <f aca="false">COUNT(Statistik_Tahunan!$F$3:$F$16)</f>
        <v>14</v>
      </c>
      <c r="C3" s="2" t="s">
        <v>5132</v>
      </c>
    </row>
    <row r="4" customFormat="false" ht="15" hidden="false" customHeight="false" outlineLevel="0" collapsed="false">
      <c r="A4" s="2" t="s">
        <v>5133</v>
      </c>
      <c r="B4" s="10" t="n">
        <f aca="false">AVERAGE(Statistik_Tahunan!$F$3:$F$16)</f>
        <v>111.285714285714</v>
      </c>
      <c r="C4" s="2" t="s">
        <v>5134</v>
      </c>
    </row>
    <row r="5" customFormat="false" ht="15" hidden="false" customHeight="false" outlineLevel="0" collapsed="false">
      <c r="A5" s="2" t="s">
        <v>5135</v>
      </c>
      <c r="B5" s="10" t="n">
        <f aca="false">STDEV(Statistik_Tahunan!$F$3:$F$16)</f>
        <v>41.201995043983</v>
      </c>
      <c r="C5" s="2" t="s">
        <v>5134</v>
      </c>
    </row>
    <row r="6" customFormat="false" ht="15" hidden="false" customHeight="false" outlineLevel="0" collapsed="false">
      <c r="A6" s="2" t="s">
        <v>5136</v>
      </c>
      <c r="B6" s="10" t="n">
        <f aca="false">B5/B4</f>
        <v>0.370236155722568</v>
      </c>
    </row>
    <row r="7" customFormat="false" ht="15" hidden="false" customHeight="false" outlineLevel="0" collapsed="false">
      <c r="A7" s="2" t="s">
        <v>5137</v>
      </c>
      <c r="B7" s="10" t="n">
        <f aca="false">B3/((B3-1)*(B3-2))*SUMPRODUCT(((Statistik_Tahunan!$F$3:$F$16-B4)/B5)^3)</f>
        <v>1.61146501579493</v>
      </c>
    </row>
    <row r="8" customFormat="false" ht="15" hidden="false" customHeight="false" outlineLevel="0" collapsed="false">
      <c r="A8" s="2" t="s">
        <v>5138</v>
      </c>
      <c r="B8" s="10" t="n">
        <f aca="false">(1/B3)*SUMPRODUCT(((Statistik_Tahunan!$F$3:$F$16-B4)/B5)^4)</f>
        <v>3.86467313260414</v>
      </c>
    </row>
    <row r="9" customFormat="false" ht="15" hidden="false" customHeight="false" outlineLevel="0" collapsed="false">
      <c r="A9" s="2" t="s">
        <v>5139</v>
      </c>
      <c r="B9" s="10" t="n">
        <f aca="false">SUMPRODUCT(LOG10(Statistik_Tahunan!$F$3:$F$16))/B3</f>
        <v>2.02330752795925</v>
      </c>
    </row>
    <row r="10" customFormat="false" ht="15" hidden="false" customHeight="false" outlineLevel="0" collapsed="false">
      <c r="A10" s="2" t="s">
        <v>5140</v>
      </c>
      <c r="B10" s="10" t="n">
        <f aca="false">SQRT(SUMPRODUCT((LOG10(Statistik_Tahunan!$F$3:$F$16)-B9)^2)/(B3-1))</f>
        <v>0.141739520697515</v>
      </c>
    </row>
    <row r="11" customFormat="false" ht="15" hidden="false" customHeight="false" outlineLevel="0" collapsed="false">
      <c r="A11" s="2" t="s">
        <v>5141</v>
      </c>
      <c r="B11" s="10" t="n">
        <f aca="false">B3/((B3-1)*(B3-2))*SUMPRODUCT(((LOG10(Statistik_Tahunan!$F$3:$F$16)-B9)/B10)^3)</f>
        <v>0.834117973767271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5" t="s">
        <v>5142</v>
      </c>
    </row>
    <row r="2" customFormat="false" ht="15" hidden="false" customHeight="false" outlineLevel="0" collapsed="false">
      <c r="A2" s="1" t="s">
        <v>5129</v>
      </c>
      <c r="B2" s="1" t="s">
        <v>5143</v>
      </c>
    </row>
    <row r="3" customFormat="false" ht="15" hidden="false" customHeight="false" outlineLevel="0" collapsed="false">
      <c r="A3" s="2" t="s">
        <v>5144</v>
      </c>
      <c r="B3" s="9" t="n">
        <f aca="false">COUNT(Statistik_Tahunan!$F$3:$F$9)</f>
        <v>7</v>
      </c>
      <c r="C3" s="2" t="s">
        <v>5145</v>
      </c>
    </row>
    <row r="4" customFormat="false" ht="15" hidden="false" customHeight="false" outlineLevel="0" collapsed="false">
      <c r="A4" s="2" t="s">
        <v>5146</v>
      </c>
      <c r="B4" s="9" t="n">
        <f aca="false">COUNT(Statistik_Tahunan!$F$10:$F$16)</f>
        <v>7</v>
      </c>
      <c r="C4" s="2" t="s">
        <v>5147</v>
      </c>
    </row>
    <row r="5" customFormat="false" ht="15" hidden="false" customHeight="false" outlineLevel="0" collapsed="false">
      <c r="A5" s="2" t="s">
        <v>5148</v>
      </c>
      <c r="B5" s="10" t="n">
        <f aca="false">AVERAGE(Statistik_Tahunan!$F$3:$F$9)</f>
        <v>92.5714285714286</v>
      </c>
    </row>
    <row r="6" customFormat="false" ht="15" hidden="false" customHeight="false" outlineLevel="0" collapsed="false">
      <c r="A6" s="2" t="s">
        <v>5149</v>
      </c>
      <c r="B6" s="10" t="n">
        <f aca="false">AVERAGE(Statistik_Tahunan!$F$10:$F$16)</f>
        <v>130</v>
      </c>
    </row>
    <row r="7" customFormat="false" ht="15" hidden="false" customHeight="false" outlineLevel="0" collapsed="false">
      <c r="A7" s="2" t="s">
        <v>5150</v>
      </c>
      <c r="B7" s="10" t="n">
        <f aca="false">SQRT(SUMPRODUCT((Statistik_Tahunan!$F$3:$F$9-B5)^2)/B3)</f>
        <v>19.4191153458732</v>
      </c>
    </row>
    <row r="8" customFormat="false" ht="15" hidden="false" customHeight="false" outlineLevel="0" collapsed="false">
      <c r="A8" s="2" t="s">
        <v>5151</v>
      </c>
      <c r="B8" s="10" t="n">
        <f aca="false">SQRT(SUMPRODUCT((Statistik_Tahunan!$F$10:$F$16-B6)^2)/B4)</f>
        <v>45.5537359295904</v>
      </c>
    </row>
    <row r="9" customFormat="false" ht="15" hidden="false" customHeight="false" outlineLevel="0" collapsed="false">
      <c r="A9" s="2" t="s">
        <v>5152</v>
      </c>
      <c r="B9" s="10" t="n">
        <f aca="false">SQRT((B3*B7^2+B4*B8^2)/(B3+B4-2))</f>
        <v>37.821636538841</v>
      </c>
    </row>
    <row r="10" customFormat="false" ht="15" hidden="false" customHeight="false" outlineLevel="0" collapsed="false">
      <c r="A10" s="2" t="s">
        <v>5153</v>
      </c>
      <c r="B10" s="10" t="n">
        <f aca="false">ABS(B5-B6)/(B9*SQRT(1/B3+1/B4))</f>
        <v>1.85138592057341</v>
      </c>
    </row>
    <row r="11" customFormat="false" ht="15" hidden="false" customHeight="false" outlineLevel="0" collapsed="false">
      <c r="A11" s="2" t="s">
        <v>5154</v>
      </c>
      <c r="B11" s="9" t="n">
        <f aca="false">B3+B4-2</f>
        <v>12</v>
      </c>
    </row>
    <row r="12" customFormat="false" ht="15" hidden="false" customHeight="false" outlineLevel="0" collapsed="false">
      <c r="A12" s="2" t="s">
        <v>5155</v>
      </c>
      <c r="B12" s="11" t="n">
        <f aca="false">INDEX(Koefisien!$C$5:$C$34,MATCH(MIN(B11,30),Koefisien!$A$5:$A$34,1))</f>
        <v>2.179</v>
      </c>
      <c r="C12" s="2" t="s">
        <v>5156</v>
      </c>
    </row>
    <row r="13" customFormat="false" ht="15" hidden="false" customHeight="false" outlineLevel="0" collapsed="false">
      <c r="A13" s="2" t="s">
        <v>5157</v>
      </c>
      <c r="B13" s="11" t="n">
        <f aca="false">INDEX(Koefisien!$B$5:$B$34,MATCH(MIN(B11,30),Koefisien!$A$5:$A$34,1))</f>
        <v>1.782</v>
      </c>
    </row>
    <row r="14" customFormat="false" ht="15" hidden="false" customHeight="false" outlineLevel="0" collapsed="false">
      <c r="A14" s="2" t="s">
        <v>5158</v>
      </c>
      <c r="B14" s="7" t="str">
        <f aca="false">IF(B10&lt;B12,"HOMOGEN","TIDAK HOMOGEN")</f>
        <v>HOMOGEN</v>
      </c>
    </row>
    <row r="15" customFormat="false" ht="15" hidden="false" customHeight="false" outlineLevel="0" collapsed="false">
      <c r="A15" s="2" t="s">
        <v>5159</v>
      </c>
      <c r="B15" s="7" t="str">
        <f aca="false">IF(B10&lt;B13,"HOMOGEN","TIDAK HOMOGEN")</f>
        <v>TIDAK HOMOGEN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4" min="3" style="0" width="18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5" t="s">
        <v>5160</v>
      </c>
    </row>
    <row r="2" customFormat="false" ht="15" hidden="false" customHeight="false" outlineLevel="0" collapsed="false">
      <c r="A2" s="1" t="s">
        <v>5129</v>
      </c>
      <c r="B2" s="1" t="s">
        <v>5143</v>
      </c>
    </row>
    <row r="3" customFormat="false" ht="15" hidden="false" customHeight="false" outlineLevel="0" collapsed="false">
      <c r="A3" s="2" t="s">
        <v>5161</v>
      </c>
      <c r="B3" s="9" t="n">
        <f aca="false">Statistik!B3</f>
        <v>14</v>
      </c>
    </row>
    <row r="4" customFormat="false" ht="15" hidden="false" customHeight="false" outlineLevel="0" collapsed="false">
      <c r="A4" s="2" t="s">
        <v>5162</v>
      </c>
      <c r="B4" s="10" t="n">
        <f aca="false">Statistik!B4</f>
        <v>111.285714285714</v>
      </c>
    </row>
    <row r="5" customFormat="false" ht="15" hidden="false" customHeight="false" outlineLevel="0" collapsed="false">
      <c r="A5" s="2" t="s">
        <v>5163</v>
      </c>
      <c r="B5" s="10" t="n">
        <f aca="false">SQRT(SUMPRODUCT($C$13:$C$26^2)/B3)</f>
        <v>39.7032358728544</v>
      </c>
    </row>
    <row r="6" customFormat="false" ht="15" hidden="false" customHeight="false" outlineLevel="0" collapsed="false">
      <c r="A6" s="2" t="s">
        <v>5164</v>
      </c>
      <c r="B6" s="10" t="n">
        <f aca="false">MAX(MAX($E$13:$E$26),-MIN($E$13:$E$26))</f>
        <v>3.88597329396019</v>
      </c>
    </row>
    <row r="7" customFormat="false" ht="15" hidden="false" customHeight="false" outlineLevel="0" collapsed="false">
      <c r="A7" s="2" t="s">
        <v>5165</v>
      </c>
      <c r="B7" s="10" t="n">
        <f aca="false">B6/SQRT(B3)</f>
        <v>1.03857004858232</v>
      </c>
    </row>
    <row r="8" customFormat="false" ht="15" hidden="false" customHeight="false" outlineLevel="0" collapsed="false">
      <c r="A8" s="2" t="s">
        <v>5166</v>
      </c>
      <c r="B8" s="10" t="n">
        <f aca="false">Koefisien!$B$38+(B3-Koefisien!$A$38)/(Koefisien!$A$39-Koefisien!$A$38)*(Koefisien!$B$39-Koefisien!$B$38)</f>
        <v>1.172</v>
      </c>
    </row>
    <row r="9" customFormat="false" ht="15" hidden="false" customHeight="false" outlineLevel="0" collapsed="false">
      <c r="A9" s="2" t="s">
        <v>5167</v>
      </c>
      <c r="B9" s="10" t="n">
        <f aca="false">Koefisien!$C$38+(B3-Koefisien!$A$38)/(Koefisien!$A$39-Koefisien!$A$38)*(Koefisien!$C$39-Koefisien!$C$38)</f>
        <v>1.342</v>
      </c>
    </row>
    <row r="10" customFormat="false" ht="15" hidden="false" customHeight="false" outlineLevel="0" collapsed="false">
      <c r="A10" s="2" t="s">
        <v>5168</v>
      </c>
      <c r="B10" s="7" t="str">
        <f aca="false">IF(B7&lt;B8,"KONSISTEN","TIDAK KONSISTEN")</f>
        <v>KONSISTEN</v>
      </c>
    </row>
    <row r="11" customFormat="false" ht="15" hidden="false" customHeight="false" outlineLevel="0" collapsed="false">
      <c r="A11" s="2" t="s">
        <v>5169</v>
      </c>
      <c r="B11" s="7" t="str">
        <f aca="false">IF(B7&lt;B9,"KONSISTEN","TIDAK KONSISTEN")</f>
        <v>KONSISTEN</v>
      </c>
    </row>
    <row r="12" customFormat="false" ht="15" hidden="false" customHeight="false" outlineLevel="0" collapsed="false">
      <c r="A12" s="1" t="s">
        <v>0</v>
      </c>
      <c r="B12" s="1" t="s">
        <v>5170</v>
      </c>
      <c r="C12" s="1" t="s">
        <v>5171</v>
      </c>
      <c r="D12" s="1" t="s">
        <v>5172</v>
      </c>
      <c r="E12" s="1" t="s">
        <v>5173</v>
      </c>
    </row>
    <row r="13" customFormat="false" ht="15" hidden="false" customHeight="false" outlineLevel="0" collapsed="false">
      <c r="A13" s="3" t="n">
        <f aca="false">Statistik_Tahunan!A3</f>
        <v>2012</v>
      </c>
      <c r="B13" s="4" t="n">
        <f aca="false">Statistik_Tahunan!F3</f>
        <v>81</v>
      </c>
      <c r="C13" s="12" t="n">
        <f aca="false">B13-$B$4</f>
        <v>-30.2857142857143</v>
      </c>
      <c r="D13" s="12" t="n">
        <f aca="false">C13</f>
        <v>-30.2857142857143</v>
      </c>
      <c r="E13" s="12" t="n">
        <f aca="false">D13/$B$5</f>
        <v>-0.762802165110704</v>
      </c>
    </row>
    <row r="14" customFormat="false" ht="15" hidden="false" customHeight="false" outlineLevel="0" collapsed="false">
      <c r="A14" s="3" t="n">
        <f aca="false">Statistik_Tahunan!A4</f>
        <v>2013</v>
      </c>
      <c r="B14" s="4" t="n">
        <f aca="false">Statistik_Tahunan!F4</f>
        <v>120</v>
      </c>
      <c r="C14" s="12" t="n">
        <f aca="false">B14-$B$4</f>
        <v>8.71428571428571</v>
      </c>
      <c r="D14" s="12" t="n">
        <f aca="false">D13+C14</f>
        <v>-21.5714285714286</v>
      </c>
      <c r="E14" s="12" t="n">
        <f aca="false">D14/$B$5</f>
        <v>-0.54331663647036</v>
      </c>
    </row>
    <row r="15" customFormat="false" ht="15" hidden="false" customHeight="false" outlineLevel="0" collapsed="false">
      <c r="A15" s="3" t="n">
        <f aca="false">Statistik_Tahunan!A5</f>
        <v>2014</v>
      </c>
      <c r="B15" s="4" t="n">
        <f aca="false">Statistik_Tahunan!F5</f>
        <v>120</v>
      </c>
      <c r="C15" s="12" t="n">
        <f aca="false">B15-$B$4</f>
        <v>8.71428571428571</v>
      </c>
      <c r="D15" s="12" t="n">
        <f aca="false">D14+C15</f>
        <v>-12.8571428571429</v>
      </c>
      <c r="E15" s="12" t="n">
        <f aca="false">D15/$B$5</f>
        <v>-0.323831107830016</v>
      </c>
    </row>
    <row r="16" customFormat="false" ht="15" hidden="false" customHeight="false" outlineLevel="0" collapsed="false">
      <c r="A16" s="3" t="n">
        <f aca="false">Statistik_Tahunan!A6</f>
        <v>2015</v>
      </c>
      <c r="B16" s="4" t="n">
        <f aca="false">Statistik_Tahunan!F6</f>
        <v>91</v>
      </c>
      <c r="C16" s="12" t="n">
        <f aca="false">B16-$B$4</f>
        <v>-20.2857142857143</v>
      </c>
      <c r="D16" s="12" t="n">
        <f aca="false">D15+C16</f>
        <v>-33.1428571428572</v>
      </c>
      <c r="E16" s="12" t="n">
        <f aca="false">D16/$B$5</f>
        <v>-0.834764633517375</v>
      </c>
    </row>
    <row r="17" customFormat="false" ht="15" hidden="false" customHeight="false" outlineLevel="0" collapsed="false">
      <c r="A17" s="3" t="n">
        <f aca="false">Statistik_Tahunan!A7</f>
        <v>2016</v>
      </c>
      <c r="B17" s="4" t="n">
        <f aca="false">Statistik_Tahunan!F7</f>
        <v>88</v>
      </c>
      <c r="C17" s="12" t="n">
        <f aca="false">B17-$B$4</f>
        <v>-23.2857142857143</v>
      </c>
      <c r="D17" s="12" t="n">
        <f aca="false">D16+C17</f>
        <v>-56.4285714285715</v>
      </c>
      <c r="E17" s="12" t="n">
        <f aca="false">D17/$B$5</f>
        <v>-1.42125875103174</v>
      </c>
    </row>
    <row r="18" customFormat="false" ht="15" hidden="false" customHeight="false" outlineLevel="0" collapsed="false">
      <c r="A18" s="3" t="n">
        <f aca="false">Statistik_Tahunan!A8</f>
        <v>2017</v>
      </c>
      <c r="B18" s="4" t="n">
        <f aca="false">Statistik_Tahunan!F8</f>
        <v>86</v>
      </c>
      <c r="C18" s="12" t="n">
        <f aca="false">B18-$B$4</f>
        <v>-25.2857142857143</v>
      </c>
      <c r="D18" s="12" t="n">
        <f aca="false">D17+C18</f>
        <v>-81.7142857142858</v>
      </c>
      <c r="E18" s="12" t="n">
        <f aca="false">D18/$B$5</f>
        <v>-2.05812659643077</v>
      </c>
    </row>
    <row r="19" customFormat="false" ht="15" hidden="false" customHeight="false" outlineLevel="0" collapsed="false">
      <c r="A19" s="3" t="n">
        <f aca="false">Statistik_Tahunan!A9</f>
        <v>2018</v>
      </c>
      <c r="B19" s="4" t="n">
        <f aca="false">Statistik_Tahunan!F9</f>
        <v>62</v>
      </c>
      <c r="C19" s="12" t="n">
        <f aca="false">B19-$B$4</f>
        <v>-49.2857142857143</v>
      </c>
      <c r="D19" s="12" t="n">
        <f aca="false">D18+C19</f>
        <v>-131</v>
      </c>
      <c r="E19" s="12" t="n">
        <f aca="false">D19/$B$5</f>
        <v>-3.29947917644583</v>
      </c>
    </row>
    <row r="20" customFormat="false" ht="15" hidden="false" customHeight="false" outlineLevel="0" collapsed="false">
      <c r="A20" s="3" t="n">
        <f aca="false">Statistik_Tahunan!A10</f>
        <v>2019</v>
      </c>
      <c r="B20" s="4" t="n">
        <f aca="false">Statistik_Tahunan!F10</f>
        <v>88</v>
      </c>
      <c r="C20" s="12" t="n">
        <f aca="false">B20-$B$4</f>
        <v>-23.2857142857143</v>
      </c>
      <c r="D20" s="12" t="n">
        <f aca="false">D19+C20</f>
        <v>-154.285714285714</v>
      </c>
      <c r="E20" s="12" t="n">
        <f aca="false">D20/$B$5</f>
        <v>-3.88597329396019</v>
      </c>
    </row>
    <row r="21" customFormat="false" ht="15" hidden="false" customHeight="false" outlineLevel="0" collapsed="false">
      <c r="A21" s="3" t="n">
        <f aca="false">Statistik_Tahunan!A11</f>
        <v>2020</v>
      </c>
      <c r="B21" s="4" t="n">
        <f aca="false">Statistik_Tahunan!F11</f>
        <v>220</v>
      </c>
      <c r="C21" s="12" t="n">
        <f aca="false">B21-$B$4</f>
        <v>108.714285714286</v>
      </c>
      <c r="D21" s="12" t="n">
        <f aca="false">D20+C21</f>
        <v>-45.5714285714286</v>
      </c>
      <c r="E21" s="12" t="n">
        <f aca="false">D21/$B$5</f>
        <v>-1.14780137108639</v>
      </c>
    </row>
    <row r="22" customFormat="false" ht="15" hidden="false" customHeight="false" outlineLevel="0" collapsed="false">
      <c r="A22" s="3" t="n">
        <f aca="false">Statistik_Tahunan!A12</f>
        <v>2021</v>
      </c>
      <c r="B22" s="4" t="n">
        <f aca="false">Statistik_Tahunan!F12</f>
        <v>151</v>
      </c>
      <c r="C22" s="12" t="n">
        <f aca="false">B22-$B$4</f>
        <v>39.7142857142857</v>
      </c>
      <c r="D22" s="12" t="n">
        <f aca="false">D21+C22</f>
        <v>-5.85714285714292</v>
      </c>
      <c r="E22" s="12" t="n">
        <f aca="false">D22/$B$5</f>
        <v>-0.147523060233675</v>
      </c>
    </row>
    <row r="23" customFormat="false" ht="15" hidden="false" customHeight="false" outlineLevel="0" collapsed="false">
      <c r="A23" s="3" t="n">
        <f aca="false">Statistik_Tahunan!A13</f>
        <v>2022</v>
      </c>
      <c r="B23" s="4" t="n">
        <f aca="false">Statistik_Tahunan!F13</f>
        <v>91</v>
      </c>
      <c r="C23" s="12" t="n">
        <f aca="false">B23-$B$4</f>
        <v>-20.2857142857143</v>
      </c>
      <c r="D23" s="12" t="n">
        <f aca="false">D22+C23</f>
        <v>-26.1428571428572</v>
      </c>
      <c r="E23" s="12" t="n">
        <f aca="false">D23/$B$5</f>
        <v>-0.658456585921034</v>
      </c>
    </row>
    <row r="24" customFormat="false" ht="15" hidden="false" customHeight="false" outlineLevel="0" collapsed="false">
      <c r="A24" s="3" t="n">
        <f aca="false">Statistik_Tahunan!A14</f>
        <v>2023</v>
      </c>
      <c r="B24" s="4" t="n">
        <f aca="false">Statistik_Tahunan!F14</f>
        <v>100</v>
      </c>
      <c r="C24" s="12" t="n">
        <f aca="false">B24-$B$4</f>
        <v>-11.2857142857143</v>
      </c>
      <c r="D24" s="12" t="n">
        <f aca="false">D23+C24</f>
        <v>-37.4285714285715</v>
      </c>
      <c r="E24" s="12" t="n">
        <f aca="false">D24/$B$5</f>
        <v>-0.942708336127381</v>
      </c>
    </row>
    <row r="25" customFormat="false" ht="15" hidden="false" customHeight="false" outlineLevel="0" collapsed="false">
      <c r="A25" s="3" t="n">
        <f aca="false">Statistik_Tahunan!A15</f>
        <v>2024</v>
      </c>
      <c r="B25" s="4" t="n">
        <f aca="false">Statistik_Tahunan!F15</f>
        <v>160</v>
      </c>
      <c r="C25" s="12" t="n">
        <f aca="false">B25-$B$4</f>
        <v>48.7142857142857</v>
      </c>
      <c r="D25" s="12" t="n">
        <f aca="false">D24+C25</f>
        <v>11.2857142857142</v>
      </c>
      <c r="E25" s="12" t="n">
        <f aca="false">D25/$B$5</f>
        <v>0.284251750206345</v>
      </c>
    </row>
    <row r="26" customFormat="false" ht="15" hidden="false" customHeight="false" outlineLevel="0" collapsed="false">
      <c r="A26" s="3" t="n">
        <f aca="false">Statistik_Tahunan!A16</f>
        <v>2025</v>
      </c>
      <c r="B26" s="4" t="n">
        <f aca="false">Statistik_Tahunan!F16</f>
        <v>100</v>
      </c>
      <c r="C26" s="12" t="n">
        <f aca="false">B26-$B$4</f>
        <v>-11.2857142857143</v>
      </c>
      <c r="D26" s="12" t="n">
        <f aca="false">D25+C26</f>
        <v>-8.5265128291212E-014</v>
      </c>
      <c r="E26" s="12" t="n">
        <f aca="false">D26/$B$5</f>
        <v>-2.14756118529646E-015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5"/>
  </cols>
  <sheetData>
    <row r="1" customFormat="false" ht="15" hidden="false" customHeight="false" outlineLevel="0" collapsed="false">
      <c r="A1" s="5" t="s">
        <v>5174</v>
      </c>
    </row>
    <row r="3" customFormat="false" ht="15" hidden="false" customHeight="false" outlineLevel="0" collapsed="false">
      <c r="A3" s="2" t="s">
        <v>5175</v>
      </c>
      <c r="B3" s="10" t="n">
        <f aca="false">Statistik!$B$5/1.283</f>
        <v>32.1137919282798</v>
      </c>
    </row>
    <row r="4" customFormat="false" ht="15" hidden="false" customHeight="false" outlineLevel="0" collapsed="false">
      <c r="A4" s="2" t="s">
        <v>5176</v>
      </c>
      <c r="B4" s="10" t="n">
        <f aca="false">Statistik!$B$4-0.577*B3</f>
        <v>92.7560563430969</v>
      </c>
    </row>
    <row r="5" customFormat="false" ht="15" hidden="false" customHeight="false" outlineLevel="0" collapsed="false">
      <c r="A5" s="2" t="s">
        <v>5177</v>
      </c>
      <c r="B5" s="10" t="n">
        <f aca="false">Statistik!$B$11</f>
        <v>0.834117973767271</v>
      </c>
    </row>
    <row r="7" customFormat="false" ht="15" hidden="false" customHeight="false" outlineLevel="0" collapsed="false">
      <c r="A7" s="1" t="s">
        <v>5178</v>
      </c>
      <c r="B7" s="1" t="s">
        <v>5179</v>
      </c>
      <c r="C7" s="1" t="s">
        <v>5180</v>
      </c>
      <c r="D7" s="1" t="s">
        <v>5181</v>
      </c>
      <c r="E7" s="1" t="s">
        <v>5182</v>
      </c>
      <c r="F7" s="1" t="s">
        <v>5183</v>
      </c>
      <c r="G7" s="1" t="s">
        <v>5184</v>
      </c>
    </row>
    <row r="8" customFormat="false" ht="15" hidden="false" customHeight="false" outlineLevel="0" collapsed="false">
      <c r="A8" s="3" t="n">
        <v>2</v>
      </c>
      <c r="B8" s="13" t="n">
        <f aca="false">INDEX(Koefisien!$B$44:$B$49,MATCH($A8,Koefisien!$A$44:$A$49,0))</f>
        <v>0</v>
      </c>
      <c r="C8" s="13" t="n">
        <f aca="false">Statistik!$B$4+B8*Statistik!$B$5</f>
        <v>111.285714285714</v>
      </c>
      <c r="D8" s="13" t="n">
        <f aca="false">INDEX(Koefisien!$B$53:$B$58,MATCH($A8,Koefisien!$A$53:$A$58,0))</f>
        <v>0.366</v>
      </c>
      <c r="E8" s="13" t="n">
        <f aca="false">$B$4+D8*$B$3</f>
        <v>104.509704188847</v>
      </c>
      <c r="F8" s="12" t="n">
        <f aca="false">INDEX(Koefisien!B$62:B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B$62:B$98,MIN(IFERROR(MATCH($B$5,Koefisien!$A$62:$A$98,1),1),36)+1)-INDEX(Koefisien!B$62:B$98,MIN(IFERROR(MATCH($B$5,Koefisien!$A$62:$A$98,1),1),36)))</f>
        <v>-0.137458875802763</v>
      </c>
      <c r="G8" s="13" t="n">
        <f aca="false">10^(Statistik!$B$9+F8*Statistik!$B$10)</f>
        <v>100.88443655629</v>
      </c>
    </row>
    <row r="9" customFormat="false" ht="15" hidden="false" customHeight="false" outlineLevel="0" collapsed="false">
      <c r="A9" s="3" t="n">
        <v>5</v>
      </c>
      <c r="B9" s="13" t="n">
        <f aca="false">INDEX(Koefisien!$B$44:$B$49,MATCH($A9,Koefisien!$A$44:$A$49,0))</f>
        <v>0.84</v>
      </c>
      <c r="C9" s="13" t="n">
        <f aca="false">Statistik!$B$4+B9*Statistik!$B$5</f>
        <v>145.89539012266</v>
      </c>
      <c r="D9" s="13" t="n">
        <f aca="false">INDEX(Koefisien!$B$53:$B$58,MATCH($A9,Koefisien!$A$53:$A$58,0))</f>
        <v>1.51</v>
      </c>
      <c r="E9" s="13" t="n">
        <f aca="false">$B$4+D9*$B$3</f>
        <v>141.247882154799</v>
      </c>
      <c r="F9" s="12" t="n">
        <f aca="false">INDEX(Koefisien!C$62:C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C$62:C$98,MIN(IFERROR(MATCH($B$5,Koefisien!$A$62:$A$98,1),1),36)+1)-INDEX(Koefisien!C$62:C$98,MIN(IFERROR(MATCH($B$5,Koefisien!$A$62:$A$98,1),1),36)))</f>
        <v>0.7762470228856</v>
      </c>
      <c r="G9" s="13" t="n">
        <f aca="false">10^(Statistik!$B$9+F9*Statistik!$B$10)</f>
        <v>135.935349745523</v>
      </c>
    </row>
    <row r="10" customFormat="false" ht="15" hidden="false" customHeight="false" outlineLevel="0" collapsed="false">
      <c r="A10" s="3" t="n">
        <v>10</v>
      </c>
      <c r="B10" s="13" t="n">
        <f aca="false">INDEX(Koefisien!$B$44:$B$49,MATCH($A10,Koefisien!$A$44:$A$49,0))</f>
        <v>1.28</v>
      </c>
      <c r="C10" s="13" t="n">
        <f aca="false">Statistik!$B$4+B10*Statistik!$B$5</f>
        <v>164.024267942012</v>
      </c>
      <c r="D10" s="13" t="n">
        <f aca="false">INDEX(Koefisien!$B$53:$B$58,MATCH($A10,Koefisien!$A$53:$A$58,0))</f>
        <v>2.25</v>
      </c>
      <c r="E10" s="13" t="n">
        <f aca="false">$B$4+D10*$B$3</f>
        <v>165.012088181726</v>
      </c>
      <c r="F10" s="12" t="n">
        <f aca="false">INDEX(Koefisien!D$62:D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D$62:D$98,MIN(IFERROR(MATCH($B$5,Koefisien!$A$62:$A$98,1),1),36)+1)-INDEX(Koefisien!D$62:D$98,MIN(IFERROR(MATCH($B$5,Koefisien!$A$62:$A$98,1),1),36)))</f>
        <v>1.33702353921302</v>
      </c>
      <c r="G10" s="13" t="n">
        <f aca="false">10^(Statistik!$B$9+F10*Statistik!$B$10)</f>
        <v>163.236247868746</v>
      </c>
    </row>
    <row r="11" customFormat="false" ht="15" hidden="false" customHeight="false" outlineLevel="0" collapsed="false">
      <c r="A11" s="3" t="n">
        <v>25</v>
      </c>
      <c r="B11" s="13" t="n">
        <f aca="false">INDEX(Koefisien!$B$44:$B$49,MATCH($A11,Koefisien!$A$44:$A$49,0))</f>
        <v>1.64</v>
      </c>
      <c r="C11" s="13" t="n">
        <f aca="false">Statistik!$B$4+B11*Statistik!$B$5</f>
        <v>178.856986157846</v>
      </c>
      <c r="D11" s="13" t="n">
        <f aca="false">INDEX(Koefisien!$B$53:$B$58,MATCH($A11,Koefisien!$A$53:$A$58,0))</f>
        <v>3.9</v>
      </c>
      <c r="E11" s="13" t="n">
        <f aca="false">$B$4+D11*$B$3</f>
        <v>217.999844863388</v>
      </c>
      <c r="F11" s="12" t="n">
        <f aca="false">INDEX(Koefisien!E$62:E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E$62:E$98,MIN(IFERROR(MATCH($B$5,Koefisien!$A$62:$A$98,1),1),36)+1)-INDEX(Koefisien!E$62:E$98,MIN(IFERROR(MATCH($B$5,Koefisien!$A$62:$A$98,1),1),36)))</f>
        <v>2.00482359475345</v>
      </c>
      <c r="G11" s="13" t="n">
        <f aca="false">10^(Statistik!$B$9+F11*Statistik!$B$10)</f>
        <v>202.987952694039</v>
      </c>
    </row>
    <row r="12" customFormat="false" ht="15" hidden="false" customHeight="false" outlineLevel="0" collapsed="false">
      <c r="A12" s="3" t="n">
        <v>50</v>
      </c>
      <c r="B12" s="13" t="n">
        <f aca="false">INDEX(Koefisien!$B$44:$B$49,MATCH($A12,Koefisien!$A$44:$A$49,0))</f>
        <v>2.05</v>
      </c>
      <c r="C12" s="13" t="n">
        <f aca="false">Statistik!$B$4+B12*Statistik!$B$5</f>
        <v>195.749804125879</v>
      </c>
      <c r="D12" s="13" t="n">
        <f aca="false">INDEX(Koefisien!$B$53:$B$58,MATCH($A12,Koefisien!$A$53:$A$58,0))</f>
        <v>4.6</v>
      </c>
      <c r="E12" s="13" t="n">
        <f aca="false">$B$4+D12*$B$3</f>
        <v>240.479499213184</v>
      </c>
      <c r="F12" s="12" t="n">
        <f aca="false">INDEX(Koefisien!F$62:F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F$62:F$98,MIN(IFERROR(MATCH($B$5,Koefisien!$A$62:$A$98,1),1),36)+1)-INDEX(Koefisien!F$62:F$98,MIN(IFERROR(MATCH($B$5,Koefisien!$A$62:$A$98,1),1),36)))</f>
        <v>2.46835308819527</v>
      </c>
      <c r="G12" s="13" t="n">
        <f aca="false">10^(Statistik!$B$9+F12*Statistik!$B$10)</f>
        <v>236.140626754999</v>
      </c>
    </row>
    <row r="13" customFormat="false" ht="15" hidden="false" customHeight="false" outlineLevel="0" collapsed="false">
      <c r="A13" s="3" t="n">
        <v>100</v>
      </c>
      <c r="B13" s="13" t="n">
        <f aca="false">INDEX(Koefisien!$B$44:$B$49,MATCH($A13,Koefisien!$A$44:$A$49,0))</f>
        <v>2.33</v>
      </c>
      <c r="C13" s="13" t="n">
        <f aca="false">Statistik!$B$4+B13*Statistik!$B$5</f>
        <v>207.286362738195</v>
      </c>
      <c r="D13" s="13" t="n">
        <f aca="false">INDEX(Koefisien!$B$53:$B$58,MATCH($A13,Koefisien!$A$53:$A$58,0))</f>
        <v>5.29</v>
      </c>
      <c r="E13" s="13" t="n">
        <f aca="false">$B$4+D13*$B$3</f>
        <v>262.638015643697</v>
      </c>
      <c r="F13" s="12" t="n">
        <f aca="false">INDEX(Koefisien!G$62:G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G$62:G$98,MIN(IFERROR(MATCH($B$5,Koefisien!$A$62:$A$98,1),1),36)+1)-INDEX(Koefisien!G$62:G$98,MIN(IFERROR(MATCH($B$5,Koefisien!$A$62:$A$98,1),1),36)))</f>
        <v>2.9135178626864</v>
      </c>
      <c r="G13" s="13" t="n">
        <f aca="false">10^(Statistik!$B$9+F13*Statistik!$B$10)</f>
        <v>273.066329933594</v>
      </c>
    </row>
    <row r="15" customFormat="false" ht="15" hidden="false" customHeight="false" outlineLevel="0" collapsed="false">
      <c r="A15" s="2" t="s">
        <v>5185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5" t="s">
        <v>5186</v>
      </c>
    </row>
    <row r="2" customFormat="false" ht="15" hidden="false" customHeight="false" outlineLevel="0" collapsed="false">
      <c r="A2" s="2" t="s">
        <v>5187</v>
      </c>
    </row>
    <row r="6" customFormat="false" ht="15" hidden="false" customHeight="false" outlineLevel="0" collapsed="false">
      <c r="A6" s="7" t="s">
        <v>5188</v>
      </c>
    </row>
    <row r="7" customFormat="false" ht="15" hidden="false" customHeight="false" outlineLevel="0" collapsed="false">
      <c r="A7" s="1" t="s">
        <v>5189</v>
      </c>
      <c r="B7" s="1" t="s">
        <v>5190</v>
      </c>
      <c r="C7" s="1" t="s">
        <v>5191</v>
      </c>
      <c r="D7" s="1" t="s">
        <v>5192</v>
      </c>
      <c r="E7" s="1" t="s">
        <v>5193</v>
      </c>
    </row>
    <row r="8" customFormat="false" ht="15" hidden="false" customHeight="false" outlineLevel="0" collapsed="false">
      <c r="A8" s="3" t="s">
        <v>5194</v>
      </c>
      <c r="B8" s="13" t="n">
        <f aca="false">Frekuensi!$C$8</f>
        <v>111.285714285714</v>
      </c>
      <c r="C8" s="6" t="n">
        <f aca="false">COUNTIFS(Statistik_Tahunan!$F$3:$F$16,"&lt;="&amp;B8)</f>
        <v>9</v>
      </c>
      <c r="D8" s="13" t="n">
        <f aca="false">Statistik!$B$3*Koefisien!$B$102</f>
        <v>7</v>
      </c>
      <c r="E8" s="12" t="n">
        <f aca="false">(C8-D8)^2/D8</f>
        <v>0.571428571428571</v>
      </c>
    </row>
    <row r="9" customFormat="false" ht="15" hidden="false" customHeight="false" outlineLevel="0" collapsed="false">
      <c r="A9" s="3" t="s">
        <v>5195</v>
      </c>
      <c r="B9" s="13" t="n">
        <f aca="false">Frekuensi!$C$9</f>
        <v>145.89539012266</v>
      </c>
      <c r="C9" s="6" t="n">
        <f aca="false">COUNTIFS(Statistik_Tahunan!$F$3:$F$16,"&gt;"&amp;B8,Statistik_Tahunan!$F$3:$F$16,"&lt;="&amp;B9)</f>
        <v>2</v>
      </c>
      <c r="D9" s="13" t="n">
        <f aca="false">Statistik!$B$3*Koefisien!$B$103</f>
        <v>2.8</v>
      </c>
      <c r="E9" s="12" t="n">
        <f aca="false">(C9-D9)^2/D9</f>
        <v>0.228571428571429</v>
      </c>
    </row>
    <row r="10" customFormat="false" ht="15" hidden="false" customHeight="false" outlineLevel="0" collapsed="false">
      <c r="A10" s="3" t="s">
        <v>5196</v>
      </c>
      <c r="B10" s="13" t="n">
        <f aca="false">Frekuensi!$C$10</f>
        <v>164.024267942012</v>
      </c>
      <c r="C10" s="6" t="n">
        <f aca="false">COUNTIFS(Statistik_Tahunan!$F$3:$F$16,"&gt;"&amp;B9,Statistik_Tahunan!$F$3:$F$16,"&lt;="&amp;B10)</f>
        <v>2</v>
      </c>
      <c r="D10" s="13" t="n">
        <f aca="false">Statistik!$B$3*Koefisien!$B$104</f>
        <v>1.4</v>
      </c>
      <c r="E10" s="12" t="n">
        <f aca="false">(C10-D10)^2/D10</f>
        <v>0.257142857142857</v>
      </c>
    </row>
    <row r="11" customFormat="false" ht="15" hidden="false" customHeight="false" outlineLevel="0" collapsed="false">
      <c r="A11" s="3" t="s">
        <v>5197</v>
      </c>
      <c r="B11" s="13" t="n">
        <f aca="false">Frekuensi!$C$11</f>
        <v>178.856986157846</v>
      </c>
      <c r="C11" s="6" t="n">
        <f aca="false">COUNTIFS(Statistik_Tahunan!$F$3:$F$16,"&gt;"&amp;B10,Statistik_Tahunan!$F$3:$F$16,"&lt;="&amp;B11)</f>
        <v>0</v>
      </c>
      <c r="D11" s="13" t="n">
        <f aca="false">Statistik!$B$3*Koefisien!$B$105</f>
        <v>0.84</v>
      </c>
      <c r="E11" s="12" t="n">
        <f aca="false">(C11-D11)^2/D11</f>
        <v>0.84</v>
      </c>
    </row>
    <row r="12" customFormat="false" ht="15" hidden="false" customHeight="false" outlineLevel="0" collapsed="false">
      <c r="A12" s="3" t="s">
        <v>5198</v>
      </c>
      <c r="B12" s="14" t="s">
        <v>5199</v>
      </c>
      <c r="C12" s="6" t="n">
        <f aca="false">COUNTIFS(Statistik_Tahunan!$F$3:$F$16,"&gt;"&amp;B11)</f>
        <v>1</v>
      </c>
      <c r="D12" s="13" t="n">
        <f aca="false">Statistik!$B$3*Koefisien!$B$106</f>
        <v>0.56</v>
      </c>
      <c r="E12" s="12" t="n">
        <f aca="false">(C12-D12)^2/D12</f>
        <v>0.345714285714286</v>
      </c>
    </row>
    <row r="13" customFormat="false" ht="15" hidden="false" customHeight="false" outlineLevel="0" collapsed="false">
      <c r="A13" s="2" t="s">
        <v>5200</v>
      </c>
      <c r="B13" s="10" t="n">
        <f aca="false">SUM(E8:E12)</f>
        <v>2.24285714285714</v>
      </c>
    </row>
    <row r="14" customFormat="false" ht="15" hidden="false" customHeight="false" outlineLevel="0" collapsed="false">
      <c r="A14" s="2" t="s">
        <v>5201</v>
      </c>
      <c r="B14" s="9" t="n">
        <f aca="false">4-2</f>
        <v>2</v>
      </c>
    </row>
    <row r="15" customFormat="false" ht="15" hidden="false" customHeight="false" outlineLevel="0" collapsed="false">
      <c r="A15" s="2" t="s">
        <v>5202</v>
      </c>
      <c r="B15" s="11" t="n">
        <f aca="false">INDEX(Koefisien!$B$110:$B$111,MATCH(B14,Koefisien!$A$110:$A$111,0))</f>
        <v>5.991</v>
      </c>
    </row>
    <row r="16" customFormat="false" ht="15" hidden="false" customHeight="false" outlineLevel="0" collapsed="false">
      <c r="A16" s="2" t="s">
        <v>5203</v>
      </c>
      <c r="B16" s="7" t="str">
        <f aca="false">IF(B13&lt;=B15,"LOLOS","GAGAL")</f>
        <v>LOLOS</v>
      </c>
    </row>
    <row r="17" customFormat="false" ht="15" hidden="false" customHeight="false" outlineLevel="0" collapsed="false">
      <c r="A17" s="2" t="s">
        <v>5204</v>
      </c>
      <c r="B17" s="10" t="n">
        <f aca="false">IF(B16="LOLOS",B13,999)</f>
        <v>2.24285714285714</v>
      </c>
    </row>
    <row r="19" customFormat="false" ht="15" hidden="false" customHeight="false" outlineLevel="0" collapsed="false">
      <c r="A19" s="7" t="s">
        <v>5205</v>
      </c>
    </row>
    <row r="20" customFormat="false" ht="15" hidden="false" customHeight="false" outlineLevel="0" collapsed="false">
      <c r="A20" s="1" t="s">
        <v>5189</v>
      </c>
      <c r="B20" s="1" t="s">
        <v>5190</v>
      </c>
      <c r="C20" s="1" t="s">
        <v>5191</v>
      </c>
      <c r="D20" s="1" t="s">
        <v>5192</v>
      </c>
      <c r="E20" s="1" t="s">
        <v>5193</v>
      </c>
    </row>
    <row r="21" customFormat="false" ht="15" hidden="false" customHeight="false" outlineLevel="0" collapsed="false">
      <c r="A21" s="3" t="s">
        <v>5194</v>
      </c>
      <c r="B21" s="13" t="n">
        <f aca="false">Frekuensi!$E$8</f>
        <v>104.509704188847</v>
      </c>
      <c r="C21" s="6" t="n">
        <f aca="false">COUNTIFS(Statistik_Tahunan!$F$3:$F$16,"&lt;="&amp;B21)</f>
        <v>9</v>
      </c>
      <c r="D21" s="13" t="n">
        <f aca="false">Statistik!$B$3*Koefisien!$B$102</f>
        <v>7</v>
      </c>
      <c r="E21" s="12" t="n">
        <f aca="false">(C21-D21)^2/D21</f>
        <v>0.571428571428571</v>
      </c>
    </row>
    <row r="22" customFormat="false" ht="15" hidden="false" customHeight="false" outlineLevel="0" collapsed="false">
      <c r="A22" s="3" t="s">
        <v>5195</v>
      </c>
      <c r="B22" s="13" t="n">
        <f aca="false">Frekuensi!$E$9</f>
        <v>141.247882154799</v>
      </c>
      <c r="C22" s="6" t="n">
        <f aca="false">COUNTIFS(Statistik_Tahunan!$F$3:$F$16,"&gt;"&amp;B8,Statistik_Tahunan!$F$3:$F$16,"&lt;="&amp;B22)</f>
        <v>2</v>
      </c>
      <c r="D22" s="13" t="n">
        <f aca="false">Statistik!$B$3*Koefisien!$B$103</f>
        <v>2.8</v>
      </c>
      <c r="E22" s="12" t="n">
        <f aca="false">(C22-D22)^2/D22</f>
        <v>0.228571428571429</v>
      </c>
    </row>
    <row r="23" customFormat="false" ht="15" hidden="false" customHeight="false" outlineLevel="0" collapsed="false">
      <c r="A23" s="3" t="s">
        <v>5196</v>
      </c>
      <c r="B23" s="13" t="n">
        <f aca="false">Frekuensi!$E$10</f>
        <v>165.012088181726</v>
      </c>
      <c r="C23" s="6" t="n">
        <f aca="false">COUNTIFS(Statistik_Tahunan!$F$3:$F$16,"&gt;"&amp;B9,Statistik_Tahunan!$F$3:$F$16,"&lt;="&amp;B23)</f>
        <v>2</v>
      </c>
      <c r="D23" s="13" t="n">
        <f aca="false">Statistik!$B$3*Koefisien!$B$104</f>
        <v>1.4</v>
      </c>
      <c r="E23" s="12" t="n">
        <f aca="false">(C23-D23)^2/D23</f>
        <v>0.257142857142857</v>
      </c>
    </row>
    <row r="24" customFormat="false" ht="15" hidden="false" customHeight="false" outlineLevel="0" collapsed="false">
      <c r="A24" s="3" t="s">
        <v>5197</v>
      </c>
      <c r="B24" s="13" t="n">
        <f aca="false">Frekuensi!$E$11</f>
        <v>217.999844863388</v>
      </c>
      <c r="C24" s="6" t="n">
        <f aca="false">COUNTIFS(Statistik_Tahunan!$F$3:$F$16,"&gt;"&amp;B10,Statistik_Tahunan!$F$3:$F$16,"&lt;="&amp;B24)</f>
        <v>0</v>
      </c>
      <c r="D24" s="13" t="n">
        <f aca="false">Statistik!$B$3*Koefisien!$B$105</f>
        <v>0.84</v>
      </c>
      <c r="E24" s="12" t="n">
        <f aca="false">(C24-D24)^2/D24</f>
        <v>0.84</v>
      </c>
    </row>
    <row r="25" customFormat="false" ht="15" hidden="false" customHeight="false" outlineLevel="0" collapsed="false">
      <c r="A25" s="3" t="s">
        <v>5198</v>
      </c>
      <c r="B25" s="14" t="s">
        <v>5199</v>
      </c>
      <c r="C25" s="6" t="n">
        <f aca="false">COUNTIFS(Statistik_Tahunan!$F$3:$F$16,"&gt;"&amp;B11)</f>
        <v>1</v>
      </c>
      <c r="D25" s="13" t="n">
        <f aca="false">Statistik!$B$3*Koefisien!$B$106</f>
        <v>0.56</v>
      </c>
      <c r="E25" s="12" t="n">
        <f aca="false">(C25-D25)^2/D25</f>
        <v>0.345714285714286</v>
      </c>
    </row>
    <row r="26" customFormat="false" ht="15" hidden="false" customHeight="false" outlineLevel="0" collapsed="false">
      <c r="A26" s="2" t="s">
        <v>5200</v>
      </c>
      <c r="B26" s="10" t="n">
        <f aca="false">SUM(E21:E25)</f>
        <v>2.24285714285714</v>
      </c>
    </row>
    <row r="27" customFormat="false" ht="15" hidden="false" customHeight="false" outlineLevel="0" collapsed="false">
      <c r="A27" s="2" t="s">
        <v>5201</v>
      </c>
      <c r="B27" s="9" t="n">
        <f aca="false">4-2</f>
        <v>2</v>
      </c>
    </row>
    <row r="28" customFormat="false" ht="15" hidden="false" customHeight="false" outlineLevel="0" collapsed="false">
      <c r="A28" s="2" t="s">
        <v>5202</v>
      </c>
      <c r="B28" s="11" t="n">
        <f aca="false">INDEX(Koefisien!$B$110:$B$111,MATCH(B27,Koefisien!$A$110:$A$111,0))</f>
        <v>5.991</v>
      </c>
    </row>
    <row r="29" customFormat="false" ht="15" hidden="false" customHeight="false" outlineLevel="0" collapsed="false">
      <c r="A29" s="2" t="s">
        <v>5203</v>
      </c>
      <c r="B29" s="7" t="str">
        <f aca="false">IF(B26&lt;=B28,"LOLOS","GAGAL")</f>
        <v>LOLOS</v>
      </c>
    </row>
    <row r="30" customFormat="false" ht="15" hidden="false" customHeight="false" outlineLevel="0" collapsed="false">
      <c r="A30" s="2" t="s">
        <v>5204</v>
      </c>
      <c r="B30" s="10" t="n">
        <f aca="false">IF(B29="LOLOS",B26,999)</f>
        <v>2.24285714285714</v>
      </c>
    </row>
    <row r="32" customFormat="false" ht="15" hidden="false" customHeight="false" outlineLevel="0" collapsed="false">
      <c r="A32" s="7" t="s">
        <v>5206</v>
      </c>
    </row>
    <row r="33" customFormat="false" ht="15" hidden="false" customHeight="false" outlineLevel="0" collapsed="false">
      <c r="A33" s="1" t="s">
        <v>5189</v>
      </c>
      <c r="B33" s="1" t="s">
        <v>5190</v>
      </c>
      <c r="C33" s="1" t="s">
        <v>5191</v>
      </c>
      <c r="D33" s="1" t="s">
        <v>5192</v>
      </c>
      <c r="E33" s="1" t="s">
        <v>5193</v>
      </c>
    </row>
    <row r="34" customFormat="false" ht="15" hidden="false" customHeight="false" outlineLevel="0" collapsed="false">
      <c r="A34" s="3" t="s">
        <v>5194</v>
      </c>
      <c r="B34" s="13" t="n">
        <f aca="false">Frekuensi!$G$8</f>
        <v>100.88443655629</v>
      </c>
      <c r="C34" s="6" t="n">
        <f aca="false">COUNTIFS(Statistik_Tahunan!$F$3:$F$16,"&lt;="&amp;B34)</f>
        <v>9</v>
      </c>
      <c r="D34" s="13" t="n">
        <f aca="false">Statistik!$B$3*Koefisien!$B$102</f>
        <v>7</v>
      </c>
      <c r="E34" s="12" t="n">
        <f aca="false">(C34-D34)^2/D34</f>
        <v>0.571428571428571</v>
      </c>
    </row>
    <row r="35" customFormat="false" ht="15" hidden="false" customHeight="false" outlineLevel="0" collapsed="false">
      <c r="A35" s="3" t="s">
        <v>5195</v>
      </c>
      <c r="B35" s="13" t="n">
        <f aca="false">Frekuensi!$G$9</f>
        <v>135.935349745523</v>
      </c>
      <c r="C35" s="6" t="n">
        <f aca="false">COUNTIFS(Statistik_Tahunan!$F$3:$F$16,"&gt;"&amp;B8,Statistik_Tahunan!$F$3:$F$16,"&lt;="&amp;B35)</f>
        <v>2</v>
      </c>
      <c r="D35" s="13" t="n">
        <f aca="false">Statistik!$B$3*Koefisien!$B$103</f>
        <v>2.8</v>
      </c>
      <c r="E35" s="12" t="n">
        <f aca="false">(C35-D35)^2/D35</f>
        <v>0.228571428571429</v>
      </c>
    </row>
    <row r="36" customFormat="false" ht="15" hidden="false" customHeight="false" outlineLevel="0" collapsed="false">
      <c r="A36" s="3" t="s">
        <v>5196</v>
      </c>
      <c r="B36" s="13" t="n">
        <f aca="false">Frekuensi!$G$10</f>
        <v>163.236247868746</v>
      </c>
      <c r="C36" s="6" t="n">
        <f aca="false">COUNTIFS(Statistik_Tahunan!$F$3:$F$16,"&gt;"&amp;B9,Statistik_Tahunan!$F$3:$F$16,"&lt;="&amp;B36)</f>
        <v>2</v>
      </c>
      <c r="D36" s="13" t="n">
        <f aca="false">Statistik!$B$3*Koefisien!$B$104</f>
        <v>1.4</v>
      </c>
      <c r="E36" s="12" t="n">
        <f aca="false">(C36-D36)^2/D36</f>
        <v>0.257142857142857</v>
      </c>
    </row>
    <row r="37" customFormat="false" ht="15" hidden="false" customHeight="false" outlineLevel="0" collapsed="false">
      <c r="A37" s="3" t="s">
        <v>5197</v>
      </c>
      <c r="B37" s="13" t="n">
        <f aca="false">Frekuensi!$G$11</f>
        <v>202.987952694039</v>
      </c>
      <c r="C37" s="6" t="n">
        <f aca="false">COUNTIFS(Statistik_Tahunan!$F$3:$F$16,"&gt;"&amp;B10,Statistik_Tahunan!$F$3:$F$16,"&lt;="&amp;B37)</f>
        <v>0</v>
      </c>
      <c r="D37" s="13" t="n">
        <f aca="false">Statistik!$B$3*Koefisien!$B$105</f>
        <v>0.84</v>
      </c>
      <c r="E37" s="12" t="n">
        <f aca="false">(C37-D37)^2/D37</f>
        <v>0.84</v>
      </c>
    </row>
    <row r="38" customFormat="false" ht="15" hidden="false" customHeight="false" outlineLevel="0" collapsed="false">
      <c r="A38" s="3" t="s">
        <v>5198</v>
      </c>
      <c r="B38" s="14" t="s">
        <v>5199</v>
      </c>
      <c r="C38" s="6" t="n">
        <f aca="false">COUNTIFS(Statistik_Tahunan!$F$3:$F$16,"&gt;"&amp;B11)</f>
        <v>1</v>
      </c>
      <c r="D38" s="13" t="n">
        <f aca="false">Statistik!$B$3*Koefisien!$B$106</f>
        <v>0.56</v>
      </c>
      <c r="E38" s="12" t="n">
        <f aca="false">(C38-D38)^2/D38</f>
        <v>0.345714285714286</v>
      </c>
    </row>
    <row r="39" customFormat="false" ht="15" hidden="false" customHeight="false" outlineLevel="0" collapsed="false">
      <c r="A39" s="2" t="s">
        <v>5200</v>
      </c>
      <c r="B39" s="10" t="n">
        <f aca="false">SUM(E34:E38)</f>
        <v>2.24285714285714</v>
      </c>
    </row>
    <row r="40" customFormat="false" ht="15" hidden="false" customHeight="false" outlineLevel="0" collapsed="false">
      <c r="A40" s="2" t="s">
        <v>5201</v>
      </c>
      <c r="B40" s="9" t="n">
        <f aca="false">4-3</f>
        <v>1</v>
      </c>
    </row>
    <row r="41" customFormat="false" ht="15" hidden="false" customHeight="false" outlineLevel="0" collapsed="false">
      <c r="A41" s="2" t="s">
        <v>5202</v>
      </c>
      <c r="B41" s="11" t="n">
        <f aca="false">INDEX(Koefisien!$B$110:$B$111,MATCH(B40,Koefisien!$A$110:$A$111,0))</f>
        <v>3.841</v>
      </c>
    </row>
    <row r="42" customFormat="false" ht="15" hidden="false" customHeight="false" outlineLevel="0" collapsed="false">
      <c r="A42" s="2" t="s">
        <v>5203</v>
      </c>
      <c r="B42" s="7" t="str">
        <f aca="false">IF(B39&lt;=B41,"LOLOS","GAGAL")</f>
        <v>LOLOS</v>
      </c>
    </row>
    <row r="43" customFormat="false" ht="15" hidden="false" customHeight="false" outlineLevel="0" collapsed="false">
      <c r="A43" s="2" t="s">
        <v>5204</v>
      </c>
      <c r="B43" s="10" t="n">
        <f aca="false">IF(B42="LOLOS",B39,999)</f>
        <v>2.24285714285714</v>
      </c>
    </row>
    <row r="45" customFormat="false" ht="15" hidden="false" customHeight="false" outlineLevel="0" collapsed="false">
      <c r="A45" s="2" t="s">
        <v>5207</v>
      </c>
    </row>
    <row r="46" customFormat="false" ht="15" hidden="false" customHeight="false" outlineLevel="0" collapsed="false">
      <c r="A46" s="2" t="s">
        <v>5208</v>
      </c>
      <c r="B46" s="10" t="n">
        <f aca="false">MIN(B17,B30,B43)</f>
        <v>2.24285714285714</v>
      </c>
    </row>
    <row r="47" customFormat="false" ht="15" hidden="false" customHeight="false" outlineLevel="0" collapsed="false">
      <c r="A47" s="7" t="s">
        <v>5209</v>
      </c>
      <c r="B47" s="7" t="str">
        <f aca="false">IF(B43=B46,"LP3",IF(B30=B46,"Gumbel",IF(B17=B46,"Normal","-")))</f>
        <v>LP3</v>
      </c>
    </row>
    <row r="48" customFormat="false" ht="15" hidden="false" customHeight="false" outlineLevel="0" collapsed="false">
      <c r="A48" s="2" t="s">
        <v>5210</v>
      </c>
      <c r="B48" s="10" t="n">
        <f aca="false">IF(B47="LP3",B39,IF(B47="Gumbel",B26,B13))</f>
        <v>2.24285714285714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5" t="s">
        <v>5211</v>
      </c>
    </row>
    <row r="2" customFormat="false" ht="15" hidden="false" customHeight="false" outlineLevel="0" collapsed="false">
      <c r="A2" s="2" t="s">
        <v>5212</v>
      </c>
    </row>
    <row r="3" customFormat="false" ht="15" hidden="false" customHeight="false" outlineLevel="0" collapsed="false">
      <c r="A3" s="1" t="s">
        <v>5213</v>
      </c>
      <c r="B3" s="1" t="s">
        <v>5129</v>
      </c>
      <c r="C3" s="1" t="s">
        <v>5214</v>
      </c>
      <c r="D3" s="1" t="s">
        <v>5215</v>
      </c>
    </row>
    <row r="4" customFormat="false" ht="15" hidden="false" customHeight="false" outlineLevel="0" collapsed="false">
      <c r="A4" s="3" t="s">
        <v>5216</v>
      </c>
      <c r="B4" s="15" t="n">
        <v>200</v>
      </c>
      <c r="C4" s="3" t="s">
        <v>5217</v>
      </c>
      <c r="D4" s="3" t="s">
        <v>5218</v>
      </c>
    </row>
    <row r="5" customFormat="false" ht="15" hidden="false" customHeight="false" outlineLevel="0" collapsed="false">
      <c r="A5" s="3" t="s">
        <v>5219</v>
      </c>
      <c r="B5" s="16" t="n">
        <v>0.002</v>
      </c>
      <c r="C5" s="3" t="s">
        <v>5220</v>
      </c>
      <c r="D5" s="3" t="s">
        <v>5218</v>
      </c>
    </row>
    <row r="6" customFormat="false" ht="15" hidden="false" customHeight="false" outlineLevel="0" collapsed="false">
      <c r="A6" s="3" t="s">
        <v>5221</v>
      </c>
      <c r="B6" s="15" t="n">
        <v>300</v>
      </c>
      <c r="C6" s="3" t="s">
        <v>5217</v>
      </c>
      <c r="D6" s="3" t="s">
        <v>5218</v>
      </c>
    </row>
    <row r="7" customFormat="false" ht="15" hidden="false" customHeight="false" outlineLevel="0" collapsed="false">
      <c r="A7" s="3" t="s">
        <v>5222</v>
      </c>
      <c r="B7" s="16" t="n">
        <v>0.011</v>
      </c>
      <c r="C7" s="3" t="s">
        <v>5199</v>
      </c>
      <c r="D7" s="3" t="s">
        <v>5223</v>
      </c>
    </row>
    <row r="8" customFormat="false" ht="15" hidden="false" customHeight="false" outlineLevel="0" collapsed="false">
      <c r="A8" s="3" t="s">
        <v>5224</v>
      </c>
      <c r="B8" s="17" t="n">
        <v>0.3</v>
      </c>
      <c r="C8" s="3" t="s">
        <v>5217</v>
      </c>
      <c r="D8" s="3" t="s">
        <v>5218</v>
      </c>
    </row>
    <row r="9" customFormat="false" ht="15" hidden="false" customHeight="false" outlineLevel="0" collapsed="false">
      <c r="A9" s="3" t="s">
        <v>5225</v>
      </c>
      <c r="B9" s="17" t="n">
        <v>0.25</v>
      </c>
      <c r="C9" s="3" t="s">
        <v>5217</v>
      </c>
      <c r="D9" s="3" t="s">
        <v>5218</v>
      </c>
    </row>
    <row r="10" customFormat="false" ht="15" hidden="false" customHeight="false" outlineLevel="0" collapsed="false">
      <c r="A10" s="3" t="s">
        <v>5226</v>
      </c>
      <c r="B10" s="18" t="n">
        <f aca="false">Kawasan!$B$11</f>
        <v>0.8</v>
      </c>
      <c r="C10" s="3" t="s">
        <v>5199</v>
      </c>
      <c r="D10" s="3" t="s">
        <v>5227</v>
      </c>
    </row>
    <row r="11" customFormat="false" ht="15" hidden="false" customHeight="false" outlineLevel="0" collapsed="false">
      <c r="A11" s="3" t="s">
        <v>5228</v>
      </c>
      <c r="B11" s="6" t="n">
        <f aca="false">Kawasan!$B$9</f>
        <v>10400</v>
      </c>
      <c r="C11" s="3" t="s">
        <v>5229</v>
      </c>
      <c r="D11" s="3" t="s">
        <v>5230</v>
      </c>
    </row>
    <row r="12" customFormat="false" ht="15" hidden="false" customHeight="false" outlineLevel="0" collapsed="false">
      <c r="A12" s="3" t="s">
        <v>5231</v>
      </c>
      <c r="B12" s="15" t="n">
        <v>1</v>
      </c>
      <c r="C12" s="3" t="s">
        <v>5232</v>
      </c>
      <c r="D12" s="3" t="s">
        <v>5233</v>
      </c>
    </row>
    <row r="14" customFormat="false" ht="15" hidden="false" customHeight="false" outlineLevel="0" collapsed="false">
      <c r="A14" s="7" t="s">
        <v>5234</v>
      </c>
    </row>
    <row r="15" customFormat="false" ht="15" hidden="false" customHeight="false" outlineLevel="0" collapsed="false">
      <c r="A15" s="1" t="s">
        <v>5235</v>
      </c>
      <c r="B15" s="1" t="s">
        <v>5129</v>
      </c>
      <c r="C15" s="1" t="s">
        <v>5214</v>
      </c>
      <c r="D15" s="1" t="s">
        <v>5236</v>
      </c>
    </row>
    <row r="16" customFormat="false" ht="15" hidden="false" customHeight="false" outlineLevel="0" collapsed="false">
      <c r="A16" s="3" t="s">
        <v>5237</v>
      </c>
      <c r="B16" s="13" t="n">
        <f aca="false">IF(Chi_Kuadrat!$B$47="LP3",Frekuensi!$G$10,IF(Chi_Kuadrat!$B$47="Gumbel",Frekuensi!$E$10,Frekuensi!$C$10))</f>
        <v>163.236247868746</v>
      </c>
      <c r="C16" s="3" t="s">
        <v>5134</v>
      </c>
      <c r="D16" s="3" t="s">
        <v>5238</v>
      </c>
    </row>
    <row r="17" customFormat="false" ht="15" hidden="false" customHeight="false" outlineLevel="0" collapsed="false">
      <c r="A17" s="3" t="s">
        <v>5239</v>
      </c>
      <c r="B17" s="18" t="n">
        <f aca="false">0.0195*B4^0.77/B5^0.385</f>
        <v>12.6162753732114</v>
      </c>
      <c r="C17" s="3" t="s">
        <v>5240</v>
      </c>
      <c r="D17" s="3" t="s">
        <v>5241</v>
      </c>
    </row>
    <row r="18" customFormat="false" ht="15" hidden="false" customHeight="false" outlineLevel="0" collapsed="false">
      <c r="A18" s="3" t="s">
        <v>5242</v>
      </c>
      <c r="B18" s="13" t="n">
        <f aca="false">(1/B7)*((B8*B9)/(B8+2*B9))^(2/3)*SQRT(B5)</f>
        <v>0.839015202873552</v>
      </c>
      <c r="C18" s="3" t="s">
        <v>5243</v>
      </c>
      <c r="D18" s="3" t="s">
        <v>5244</v>
      </c>
    </row>
    <row r="19" customFormat="false" ht="15" hidden="false" customHeight="false" outlineLevel="0" collapsed="false">
      <c r="A19" s="3" t="s">
        <v>5245</v>
      </c>
      <c r="B19" s="18" t="n">
        <f aca="false">B6/(60*B18)</f>
        <v>5.95936758103483</v>
      </c>
      <c r="C19" s="3" t="s">
        <v>5240</v>
      </c>
      <c r="D19" s="3" t="s">
        <v>5246</v>
      </c>
    </row>
    <row r="20" customFormat="false" ht="15" hidden="false" customHeight="false" outlineLevel="0" collapsed="false">
      <c r="A20" s="3" t="s">
        <v>5247</v>
      </c>
      <c r="B20" s="12" t="n">
        <f aca="false">(B17+B19)/60</f>
        <v>0.309594049237437</v>
      </c>
      <c r="C20" s="3" t="s">
        <v>5232</v>
      </c>
      <c r="D20" s="3" t="s">
        <v>5248</v>
      </c>
    </row>
    <row r="21" customFormat="false" ht="15" hidden="false" customHeight="false" outlineLevel="0" collapsed="false">
      <c r="A21" s="3" t="s">
        <v>5249</v>
      </c>
      <c r="B21" s="18" t="n">
        <f aca="false">(B16/24)*(24/B20)^(2/3)</f>
        <v>123.656738242683</v>
      </c>
      <c r="C21" s="3" t="s">
        <v>5250</v>
      </c>
      <c r="D21" s="3" t="s">
        <v>5251</v>
      </c>
    </row>
    <row r="22" customFormat="false" ht="15" hidden="false" customHeight="false" outlineLevel="0" collapsed="false">
      <c r="A22" s="3" t="s">
        <v>5252</v>
      </c>
      <c r="B22" s="12" t="n">
        <f aca="false">0.278*B10*B21*(B11/1000000)</f>
        <v>0.286013089285797</v>
      </c>
      <c r="C22" s="3" t="s">
        <v>5253</v>
      </c>
      <c r="D22" s="3" t="s">
        <v>5254</v>
      </c>
    </row>
    <row r="23" customFormat="false" ht="15" hidden="false" customHeight="false" outlineLevel="0" collapsed="false">
      <c r="A23" s="3" t="s">
        <v>5255</v>
      </c>
      <c r="B23" s="4" t="n">
        <f aca="false">B22*B12*3600</f>
        <v>1029.64712142887</v>
      </c>
      <c r="C23" s="3" t="s">
        <v>5256</v>
      </c>
      <c r="D23" s="3" t="s">
        <v>5257</v>
      </c>
    </row>
    <row r="25" customFormat="false" ht="15" hidden="false" customHeight="false" outlineLevel="0" collapsed="false">
      <c r="A25" s="2" t="s">
        <v>5258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5" t="s">
        <v>5259</v>
      </c>
    </row>
    <row r="2" customFormat="false" ht="15" hidden="false" customHeight="false" outlineLevel="0" collapsed="false">
      <c r="A2" s="1" t="s">
        <v>5260</v>
      </c>
      <c r="B2" s="1" t="s">
        <v>5129</v>
      </c>
      <c r="C2" s="1" t="s">
        <v>5214</v>
      </c>
      <c r="D2" s="1" t="s">
        <v>5261</v>
      </c>
    </row>
    <row r="3" customFormat="false" ht="15" hidden="false" customHeight="false" outlineLevel="0" collapsed="false">
      <c r="A3" s="3" t="s">
        <v>5262</v>
      </c>
      <c r="B3" s="3" t="s">
        <v>5263</v>
      </c>
      <c r="C3" s="3" t="s">
        <v>5199</v>
      </c>
      <c r="D3" s="3" t="s">
        <v>5264</v>
      </c>
    </row>
    <row r="4" customFormat="false" ht="15" hidden="false" customHeight="false" outlineLevel="0" collapsed="false">
      <c r="A4" s="3" t="s">
        <v>5265</v>
      </c>
      <c r="B4" s="3" t="s">
        <v>5266</v>
      </c>
      <c r="C4" s="3" t="s">
        <v>5199</v>
      </c>
      <c r="D4" s="3" t="s">
        <v>5267</v>
      </c>
    </row>
    <row r="5" customFormat="false" ht="15" hidden="false" customHeight="false" outlineLevel="0" collapsed="false">
      <c r="A5" s="3" t="s">
        <v>5268</v>
      </c>
      <c r="B5" s="19" t="n">
        <v>28800</v>
      </c>
      <c r="C5" s="3" t="s">
        <v>5229</v>
      </c>
      <c r="D5" s="3" t="s">
        <v>5269</v>
      </c>
    </row>
    <row r="6" customFormat="false" ht="15" hidden="false" customHeight="false" outlineLevel="0" collapsed="false">
      <c r="A6" s="3" t="s">
        <v>5270</v>
      </c>
      <c r="B6" s="19" t="n">
        <v>160</v>
      </c>
      <c r="C6" s="3" t="s">
        <v>5271</v>
      </c>
      <c r="D6" s="3" t="s">
        <v>5272</v>
      </c>
    </row>
    <row r="7" customFormat="false" ht="15" hidden="false" customHeight="false" outlineLevel="0" collapsed="false">
      <c r="A7" s="3" t="s">
        <v>5273</v>
      </c>
      <c r="B7" s="19" t="n">
        <v>4</v>
      </c>
      <c r="C7" s="3" t="s">
        <v>5274</v>
      </c>
      <c r="D7" s="3" t="s">
        <v>5275</v>
      </c>
    </row>
    <row r="8" customFormat="false" ht="15" hidden="false" customHeight="false" outlineLevel="0" collapsed="false">
      <c r="A8" s="3" t="s">
        <v>5276</v>
      </c>
      <c r="B8" s="19" t="n">
        <v>65</v>
      </c>
      <c r="C8" s="3" t="s">
        <v>5229</v>
      </c>
      <c r="D8" s="3" t="s">
        <v>5275</v>
      </c>
    </row>
    <row r="9" customFormat="false" ht="15" hidden="false" customHeight="false" outlineLevel="0" collapsed="false">
      <c r="A9" s="3" t="s">
        <v>5277</v>
      </c>
      <c r="B9" s="19" t="n">
        <v>10400</v>
      </c>
      <c r="C9" s="3" t="s">
        <v>5229</v>
      </c>
      <c r="D9" s="3" t="s">
        <v>5278</v>
      </c>
    </row>
    <row r="10" customFormat="false" ht="15" hidden="false" customHeight="false" outlineLevel="0" collapsed="false">
      <c r="A10" s="3" t="s">
        <v>5279</v>
      </c>
      <c r="B10" s="19" t="n">
        <v>120</v>
      </c>
      <c r="C10" s="3" t="s">
        <v>5280</v>
      </c>
      <c r="D10" s="3" t="s">
        <v>5281</v>
      </c>
    </row>
    <row r="11" customFormat="false" ht="15" hidden="false" customHeight="false" outlineLevel="0" collapsed="false">
      <c r="A11" s="3" t="s">
        <v>5282</v>
      </c>
      <c r="B11" s="19" t="n">
        <v>0.8</v>
      </c>
      <c r="C11" s="3" t="s">
        <v>5199</v>
      </c>
      <c r="D11" s="3" t="s">
        <v>5283</v>
      </c>
    </row>
    <row r="12" customFormat="false" ht="15" hidden="false" customHeight="false" outlineLevel="0" collapsed="false">
      <c r="A12" s="3" t="s">
        <v>5284</v>
      </c>
      <c r="B12" s="19" t="n">
        <v>0.65</v>
      </c>
      <c r="C12" s="3" t="s">
        <v>5199</v>
      </c>
      <c r="D12" s="3" t="s">
        <v>5285</v>
      </c>
    </row>
    <row r="13" customFormat="false" ht="15" hidden="false" customHeight="false" outlineLevel="0" collapsed="false">
      <c r="A13" s="3" t="s">
        <v>5286</v>
      </c>
      <c r="B13" s="3" t="s">
        <v>5287</v>
      </c>
      <c r="C13" s="3" t="s">
        <v>5199</v>
      </c>
      <c r="D13" s="3" t="s">
        <v>5288</v>
      </c>
    </row>
    <row r="14" customFormat="false" ht="15" hidden="false" customHeight="false" outlineLevel="0" collapsed="false">
      <c r="A14" s="3" t="s">
        <v>5289</v>
      </c>
      <c r="B14" s="19" t="n">
        <v>0.5</v>
      </c>
      <c r="C14" s="3" t="s">
        <v>5217</v>
      </c>
      <c r="D14" s="3" t="s">
        <v>5290</v>
      </c>
    </row>
    <row r="15" customFormat="false" ht="15" hidden="false" customHeight="false" outlineLevel="0" collapsed="false">
      <c r="A15" s="3" t="s">
        <v>5291</v>
      </c>
      <c r="B15" s="19" t="n">
        <v>1</v>
      </c>
      <c r="C15" s="3" t="s">
        <v>5232</v>
      </c>
      <c r="D15" s="3" t="s">
        <v>5292</v>
      </c>
    </row>
    <row r="17" customFormat="false" ht="15" hidden="false" customHeight="false" outlineLevel="0" collapsed="false">
      <c r="A17" s="7" t="s">
        <v>5293</v>
      </c>
    </row>
    <row r="18" customFormat="false" ht="15" hidden="false" customHeight="false" outlineLevel="0" collapsed="false">
      <c r="A18" s="1" t="s">
        <v>5235</v>
      </c>
      <c r="B18" s="1" t="s">
        <v>5129</v>
      </c>
      <c r="C18" s="1" t="s">
        <v>5214</v>
      </c>
      <c r="D18" s="1" t="s">
        <v>5236</v>
      </c>
    </row>
    <row r="19" customFormat="false" ht="15" hidden="false" customHeight="false" outlineLevel="0" collapsed="false">
      <c r="A19" s="3" t="s">
        <v>5294</v>
      </c>
      <c r="B19" s="6" t="n">
        <f aca="false">B6*B7*B10</f>
        <v>76800</v>
      </c>
      <c r="C19" s="3" t="s">
        <v>5295</v>
      </c>
      <c r="D19" s="3" t="s">
        <v>5296</v>
      </c>
    </row>
    <row r="20" customFormat="false" ht="15" hidden="false" customHeight="false" outlineLevel="0" collapsed="false">
      <c r="A20" s="3" t="s">
        <v>5297</v>
      </c>
      <c r="B20" s="13" t="n">
        <f aca="false">B19/1000</f>
        <v>76.8</v>
      </c>
      <c r="C20" s="3" t="s">
        <v>5298</v>
      </c>
      <c r="D20" s="3" t="s">
        <v>5299</v>
      </c>
    </row>
    <row r="21" customFormat="false" ht="15" hidden="false" customHeight="false" outlineLevel="0" collapsed="false">
      <c r="A21" s="3" t="s">
        <v>5300</v>
      </c>
      <c r="B21" s="20" t="n">
        <f aca="false">B9/1000000</f>
        <v>0.0104</v>
      </c>
      <c r="C21" s="3" t="s">
        <v>5301</v>
      </c>
    </row>
    <row r="22" customFormat="false" ht="15" hidden="false" customHeight="false" outlineLevel="0" collapsed="false">
      <c r="A22" s="3" t="s">
        <v>5302</v>
      </c>
      <c r="B22" s="21" t="n">
        <f aca="false">B9/B5</f>
        <v>0.361111111111111</v>
      </c>
    </row>
    <row r="24" customFormat="false" ht="15" hidden="false" customHeight="false" outlineLevel="0" collapsed="false">
      <c r="A24" s="7" t="s">
        <v>5303</v>
      </c>
    </row>
    <row r="25" customFormat="false" ht="23.85" hidden="false" customHeight="false" outlineLevel="0" collapsed="false">
      <c r="A25" s="1" t="s">
        <v>5304</v>
      </c>
      <c r="B25" s="1" t="s">
        <v>5305</v>
      </c>
      <c r="C25" s="1" t="s">
        <v>5306</v>
      </c>
    </row>
    <row r="26" customFormat="false" ht="15" hidden="false" customHeight="false" outlineLevel="0" collapsed="false">
      <c r="A26" s="22" t="n">
        <v>1</v>
      </c>
      <c r="B26" s="13" t="n">
        <f aca="false">$B$20*A26</f>
        <v>76.8</v>
      </c>
      <c r="C26" s="6" t="n">
        <f aca="false">A26*$B$19</f>
        <v>76800</v>
      </c>
    </row>
    <row r="27" customFormat="false" ht="15" hidden="false" customHeight="false" outlineLevel="0" collapsed="false">
      <c r="A27" s="22" t="n">
        <v>0.7</v>
      </c>
      <c r="B27" s="13" t="n">
        <f aca="false">$B$20*A27</f>
        <v>53.76</v>
      </c>
      <c r="C27" s="6" t="n">
        <f aca="false">A27*$B$19</f>
        <v>53760</v>
      </c>
    </row>
    <row r="28" customFormat="false" ht="15" hidden="false" customHeight="false" outlineLevel="0" collapsed="false">
      <c r="A28" s="17" t="n">
        <v>0.65</v>
      </c>
      <c r="B28" s="13" t="n">
        <f aca="false">$B$20*A28</f>
        <v>49.92</v>
      </c>
      <c r="C28" s="6" t="n">
        <f aca="false">A28*$B$19</f>
        <v>49920</v>
      </c>
      <c r="D28" s="7" t="s">
        <v>5307</v>
      </c>
    </row>
    <row r="29" customFormat="false" ht="15" hidden="false" customHeight="false" outlineLevel="0" collapsed="false">
      <c r="A29" s="22" t="n">
        <v>0.6</v>
      </c>
      <c r="B29" s="13" t="n">
        <f aca="false">$B$20*A29</f>
        <v>46.08</v>
      </c>
      <c r="C29" s="6" t="n">
        <f aca="false">A29*$B$19</f>
        <v>46080</v>
      </c>
    </row>
    <row r="30" customFormat="false" ht="15" hidden="false" customHeight="false" outlineLevel="0" collapsed="false">
      <c r="A30" s="22" t="n">
        <v>0.5</v>
      </c>
      <c r="B30" s="13" t="n">
        <f aca="false">$B$20*A30</f>
        <v>38.4</v>
      </c>
      <c r="C30" s="6" t="n">
        <f aca="false">A30*$B$19</f>
        <v>38400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5" t="s">
        <v>5308</v>
      </c>
    </row>
    <row r="2" customFormat="false" ht="15" hidden="false" customHeight="false" outlineLevel="0" collapsed="false">
      <c r="A2" s="1" t="s">
        <v>1</v>
      </c>
      <c r="B2" s="1" t="s">
        <v>5309</v>
      </c>
      <c r="C2" s="1" t="s">
        <v>5143</v>
      </c>
    </row>
    <row r="3" customFormat="false" ht="15" hidden="false" customHeight="false" outlineLevel="0" collapsed="false">
      <c r="A3" s="6" t="n">
        <v>1</v>
      </c>
      <c r="B3" s="15" t="n">
        <v>120</v>
      </c>
      <c r="C3" s="3" t="s">
        <v>5310</v>
      </c>
    </row>
    <row r="4" customFormat="false" ht="15" hidden="false" customHeight="false" outlineLevel="0" collapsed="false">
      <c r="A4" s="6" t="n">
        <v>2</v>
      </c>
      <c r="B4" s="15" t="n">
        <v>120</v>
      </c>
      <c r="C4" s="3" t="s">
        <v>5310</v>
      </c>
    </row>
    <row r="5" customFormat="false" ht="15" hidden="false" customHeight="false" outlineLevel="0" collapsed="false">
      <c r="A5" s="6" t="n">
        <v>3</v>
      </c>
      <c r="B5" s="15" t="n">
        <v>120</v>
      </c>
      <c r="C5" s="3" t="s">
        <v>5310</v>
      </c>
    </row>
    <row r="6" customFormat="false" ht="15" hidden="false" customHeight="false" outlineLevel="0" collapsed="false">
      <c r="A6" s="6" t="n">
        <v>4</v>
      </c>
      <c r="B6" s="15" t="n">
        <v>120</v>
      </c>
      <c r="C6" s="3" t="s">
        <v>5310</v>
      </c>
    </row>
    <row r="7" customFormat="false" ht="15" hidden="false" customHeight="false" outlineLevel="0" collapsed="false">
      <c r="A7" s="6" t="n">
        <v>5</v>
      </c>
      <c r="B7" s="15" t="n">
        <v>120</v>
      </c>
      <c r="C7" s="3" t="s">
        <v>5310</v>
      </c>
    </row>
    <row r="8" customFormat="false" ht="15" hidden="false" customHeight="false" outlineLevel="0" collapsed="false">
      <c r="A8" s="6" t="n">
        <v>6</v>
      </c>
      <c r="B8" s="15" t="n">
        <v>120</v>
      </c>
      <c r="C8" s="3" t="s">
        <v>5310</v>
      </c>
    </row>
    <row r="9" customFormat="false" ht="15" hidden="false" customHeight="false" outlineLevel="0" collapsed="false">
      <c r="A9" s="6" t="n">
        <v>7</v>
      </c>
      <c r="B9" s="15" t="n">
        <v>120</v>
      </c>
      <c r="C9" s="3" t="s">
        <v>5310</v>
      </c>
    </row>
    <row r="10" customFormat="false" ht="15" hidden="false" customHeight="false" outlineLevel="0" collapsed="false">
      <c r="A10" s="6" t="n">
        <v>8</v>
      </c>
      <c r="B10" s="15" t="n">
        <v>120</v>
      </c>
      <c r="C10" s="3" t="s">
        <v>5310</v>
      </c>
    </row>
    <row r="11" customFormat="false" ht="15" hidden="false" customHeight="false" outlineLevel="0" collapsed="false">
      <c r="A11" s="6" t="n">
        <v>9</v>
      </c>
      <c r="B11" s="15" t="n">
        <v>120</v>
      </c>
      <c r="C11" s="3" t="s">
        <v>5310</v>
      </c>
    </row>
    <row r="12" customFormat="false" ht="15" hidden="false" customHeight="false" outlineLevel="0" collapsed="false">
      <c r="A12" s="6" t="n">
        <v>10</v>
      </c>
      <c r="B12" s="15" t="n">
        <v>120</v>
      </c>
      <c r="C12" s="3" t="s">
        <v>5310</v>
      </c>
    </row>
    <row r="13" customFormat="false" ht="15" hidden="false" customHeight="false" outlineLevel="0" collapsed="false">
      <c r="A13" s="6" t="n">
        <v>11</v>
      </c>
      <c r="B13" s="15" t="n">
        <v>120</v>
      </c>
      <c r="C13" s="3" t="s">
        <v>5310</v>
      </c>
    </row>
    <row r="14" customFormat="false" ht="15" hidden="false" customHeight="false" outlineLevel="0" collapsed="false">
      <c r="A14" s="6" t="n">
        <v>12</v>
      </c>
      <c r="B14" s="15" t="n">
        <v>120</v>
      </c>
      <c r="C14" s="3" t="s">
        <v>5310</v>
      </c>
    </row>
    <row r="15" customFormat="false" ht="15" hidden="false" customHeight="false" outlineLevel="0" collapsed="false">
      <c r="A15" s="7" t="s">
        <v>5311</v>
      </c>
      <c r="B15" s="8" t="n">
        <f aca="false">SUM(B3:B14)</f>
        <v>1440</v>
      </c>
    </row>
    <row r="16" customFormat="false" ht="15" hidden="false" customHeight="false" outlineLevel="0" collapsed="false">
      <c r="A16" s="7" t="s">
        <v>5312</v>
      </c>
      <c r="B16" s="8" t="n">
        <f aca="false">AVERAGE(B3:B14)</f>
        <v>120</v>
      </c>
      <c r="C16" s="2" t="s">
        <v>5313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9" min="5" style="0" width="12"/>
    <col collapsed="false" customWidth="true" hidden="false" outlineLevel="0" max="10" min="10" style="0" width="13"/>
  </cols>
  <sheetData>
    <row r="1" customFormat="false" ht="15" hidden="false" customHeight="false" outlineLevel="0" collapsed="false">
      <c r="A1" s="5" t="s">
        <v>5314</v>
      </c>
    </row>
    <row r="2" customFormat="false" ht="15" hidden="false" customHeight="false" outlineLevel="0" collapsed="false">
      <c r="A2" s="2" t="s">
        <v>5315</v>
      </c>
    </row>
    <row r="4" customFormat="false" ht="15" hidden="false" customHeight="false" outlineLevel="0" collapsed="false">
      <c r="A4" s="1" t="s">
        <v>5213</v>
      </c>
      <c r="B4" s="1" t="s">
        <v>5129</v>
      </c>
      <c r="C4" s="1" t="s">
        <v>5214</v>
      </c>
      <c r="D4" s="1" t="s">
        <v>5316</v>
      </c>
    </row>
    <row r="5" customFormat="false" ht="15" hidden="false" customHeight="false" outlineLevel="0" collapsed="false">
      <c r="A5" s="3" t="s">
        <v>5317</v>
      </c>
      <c r="B5" s="15" t="n">
        <v>8</v>
      </c>
      <c r="C5" s="3" t="s">
        <v>5217</v>
      </c>
      <c r="D5" s="3" t="s">
        <v>5318</v>
      </c>
    </row>
    <row r="6" customFormat="false" ht="15" hidden="false" customHeight="false" outlineLevel="0" collapsed="false">
      <c r="A6" s="3" t="s">
        <v>5319</v>
      </c>
      <c r="B6" s="16" t="n">
        <v>0.3</v>
      </c>
      <c r="C6" s="3" t="s">
        <v>5220</v>
      </c>
      <c r="D6" s="3" t="s">
        <v>5320</v>
      </c>
    </row>
    <row r="7" customFormat="false" ht="15" hidden="false" customHeight="false" outlineLevel="0" collapsed="false">
      <c r="A7" s="3" t="s">
        <v>5321</v>
      </c>
      <c r="B7" s="15" t="n">
        <v>330</v>
      </c>
      <c r="C7" s="3" t="s">
        <v>5217</v>
      </c>
      <c r="D7" s="3" t="s">
        <v>5322</v>
      </c>
    </row>
    <row r="8" customFormat="false" ht="15" hidden="false" customHeight="false" outlineLevel="0" collapsed="false">
      <c r="A8" s="3" t="s">
        <v>5323</v>
      </c>
      <c r="B8" s="16" t="n">
        <v>0.003</v>
      </c>
      <c r="C8" s="3" t="s">
        <v>5220</v>
      </c>
      <c r="D8" s="3" t="s">
        <v>5324</v>
      </c>
    </row>
    <row r="9" customFormat="false" ht="15" hidden="false" customHeight="false" outlineLevel="0" collapsed="false">
      <c r="A9" s="3" t="s">
        <v>5325</v>
      </c>
      <c r="B9" s="16" t="n">
        <v>0.011</v>
      </c>
      <c r="C9" s="3" t="s">
        <v>5199</v>
      </c>
      <c r="D9" s="3" t="s">
        <v>5326</v>
      </c>
    </row>
    <row r="10" customFormat="false" ht="15" hidden="false" customHeight="false" outlineLevel="0" collapsed="false">
      <c r="A10" s="3" t="s">
        <v>5327</v>
      </c>
      <c r="B10" s="12" t="n">
        <f aca="false">0.0195*(B5/SQRT(B6))^0.77</f>
        <v>0.153717112647791</v>
      </c>
      <c r="C10" s="3" t="s">
        <v>5240</v>
      </c>
      <c r="D10" s="3" t="s">
        <v>5328</v>
      </c>
    </row>
    <row r="11" customFormat="false" ht="15" hidden="false" customHeight="false" outlineLevel="0" collapsed="false">
      <c r="A11" s="3" t="s">
        <v>5329</v>
      </c>
      <c r="B11" s="6" t="n">
        <f aca="false">Kawasan!$B$9</f>
        <v>10400</v>
      </c>
      <c r="C11" s="3" t="s">
        <v>5229</v>
      </c>
      <c r="D11" s="3" t="s">
        <v>5330</v>
      </c>
    </row>
    <row r="12" customFormat="false" ht="15" hidden="false" customHeight="false" outlineLevel="0" collapsed="false">
      <c r="A12" s="3" t="s">
        <v>5226</v>
      </c>
      <c r="B12" s="18" t="n">
        <f aca="false">Kawasan!$B$11</f>
        <v>0.8</v>
      </c>
      <c r="D12" s="3" t="s">
        <v>5227</v>
      </c>
    </row>
    <row r="13" customFormat="false" ht="15" hidden="false" customHeight="false" outlineLevel="0" collapsed="false">
      <c r="A13" s="3" t="s">
        <v>5228</v>
      </c>
      <c r="B13" s="20" t="n">
        <f aca="false">B11/1000000</f>
        <v>0.0104</v>
      </c>
      <c r="C13" s="3" t="s">
        <v>5301</v>
      </c>
    </row>
    <row r="14" customFormat="false" ht="15" hidden="false" customHeight="false" outlineLevel="0" collapsed="false">
      <c r="A14" s="3" t="s">
        <v>5331</v>
      </c>
      <c r="B14" s="13" t="n">
        <f aca="false">IF(Chi_Kuadrat!$B$47="LP3",Frekuensi!$G$10,IF(Chi_Kuadrat!$B$47="Gumbel",Frekuensi!$E$10,Frekuensi!$C$10))</f>
        <v>163.236247868746</v>
      </c>
      <c r="C14" s="3" t="s">
        <v>5134</v>
      </c>
      <c r="D14" s="3" t="s">
        <v>5332</v>
      </c>
    </row>
    <row r="16" customFormat="false" ht="15" hidden="false" customHeight="false" outlineLevel="0" collapsed="false">
      <c r="A16" s="7" t="s">
        <v>5333</v>
      </c>
    </row>
    <row r="17" customFormat="false" ht="23.85" hidden="false" customHeight="false" outlineLevel="0" collapsed="false">
      <c r="A17" s="1" t="s">
        <v>5334</v>
      </c>
      <c r="B17" s="1" t="s">
        <v>5335</v>
      </c>
      <c r="C17" s="1" t="s">
        <v>5336</v>
      </c>
      <c r="D17" s="1" t="s">
        <v>5337</v>
      </c>
      <c r="E17" s="1" t="s">
        <v>5338</v>
      </c>
      <c r="F17" s="1" t="s">
        <v>5339</v>
      </c>
      <c r="G17" s="1" t="s">
        <v>5340</v>
      </c>
      <c r="H17" s="1" t="s">
        <v>5341</v>
      </c>
      <c r="I17" s="1" t="s">
        <v>5342</v>
      </c>
      <c r="J17" s="1" t="s">
        <v>5343</v>
      </c>
    </row>
    <row r="18" customFormat="false" ht="15" hidden="false" customHeight="false" outlineLevel="0" collapsed="false">
      <c r="A18" s="6" t="n">
        <v>1</v>
      </c>
      <c r="B18" s="23" t="n">
        <v>1</v>
      </c>
      <c r="C18" s="13" t="n">
        <f aca="false">$B$7/(60*B18)</f>
        <v>5.5</v>
      </c>
      <c r="D18" s="24" t="n">
        <f aca="false">($B$10+C18)/60</f>
        <v>0.0942286185441299</v>
      </c>
      <c r="E18" s="18" t="n">
        <f aca="false">($B$14/24)*(24/D18)^(2/3)</f>
        <v>273.2903563467</v>
      </c>
      <c r="F18" s="12" t="n">
        <f aca="false">0.278*$B$12*E18*$B$13</f>
        <v>0.632109662615663</v>
      </c>
      <c r="G18" s="12" t="n">
        <f aca="false">(F18*$B$9/(0.312*SQRT($B$8)))^(3/8)</f>
        <v>0.713758362991822</v>
      </c>
      <c r="H18" s="6" t="n">
        <f aca="false">INDEX($B$33:$B$47,MIN(COUNTIF($B$33:$B$47,"&lt;"&amp;G18*1000)+1,15))</f>
        <v>750</v>
      </c>
      <c r="I18" s="20" t="n">
        <f aca="false">INDEX($C$33:$C$47,MATCH(H18,$B$33:$B$47,0))</f>
        <v>0.441786466911065</v>
      </c>
      <c r="J18" s="12" t="n">
        <f aca="false">F18/I18</f>
        <v>1.43080358942482</v>
      </c>
    </row>
    <row r="19" customFormat="false" ht="15" hidden="false" customHeight="false" outlineLevel="0" collapsed="false">
      <c r="A19" s="6" t="n">
        <v>2</v>
      </c>
      <c r="B19" s="12" t="n">
        <f aca="false">J18</f>
        <v>1.43080358942482</v>
      </c>
      <c r="C19" s="13" t="n">
        <f aca="false">$B$7/(60*B19)</f>
        <v>3.8439937114017</v>
      </c>
      <c r="D19" s="24" t="n">
        <f aca="false">($B$10+C19)/60</f>
        <v>0.0666285137341581</v>
      </c>
      <c r="E19" s="18" t="n">
        <f aca="false">($B$14/24)*(24/D19)^(2/3)</f>
        <v>344.328342928464</v>
      </c>
      <c r="F19" s="12" t="n">
        <f aca="false">0.278*$B$12*E19*$B$13</f>
        <v>0.79641768405982</v>
      </c>
      <c r="G19" s="12" t="n">
        <f aca="false">(F19*$B$9/(0.312*SQRT($B$8)))^(3/8)</f>
        <v>0.778362464432844</v>
      </c>
      <c r="H19" s="6" t="n">
        <f aca="false">INDEX($B$33:$B$47,MIN(COUNTIF($B$33:$B$47,"&lt;"&amp;G19*1000)+1,15))</f>
        <v>800</v>
      </c>
      <c r="I19" s="20" t="n">
        <f aca="false">INDEX($C$33:$C$47,MATCH(H19,$B$33:$B$47,0))</f>
        <v>0.502654824574367</v>
      </c>
      <c r="J19" s="12" t="n">
        <f aca="false">F19/I19</f>
        <v>1.584422639799</v>
      </c>
    </row>
    <row r="20" customFormat="false" ht="15" hidden="false" customHeight="false" outlineLevel="0" collapsed="false">
      <c r="A20" s="6" t="n">
        <v>3</v>
      </c>
      <c r="B20" s="12" t="n">
        <f aca="false">J19</f>
        <v>1.584422639799</v>
      </c>
      <c r="C20" s="13" t="n">
        <f aca="false">$B$7/(60*B20)</f>
        <v>3.4712960177707</v>
      </c>
      <c r="D20" s="24" t="n">
        <f aca="false">($B$10+C20)/60</f>
        <v>0.0604168855069749</v>
      </c>
      <c r="E20" s="18" t="n">
        <f aca="false">($B$14/24)*(24/D20)^(2/3)</f>
        <v>367.542276187875</v>
      </c>
      <c r="F20" s="12" t="n">
        <f aca="false">0.278*$B$12*E20*$B$13</f>
        <v>0.850110583131508</v>
      </c>
      <c r="G20" s="12" t="n">
        <f aca="false">(F20*$B$9/(0.312*SQRT($B$8)))^(3/8)</f>
        <v>0.797640748694062</v>
      </c>
      <c r="H20" s="6" t="n">
        <f aca="false">INDEX($B$33:$B$47,MIN(COUNTIF($B$33:$B$47,"&lt;"&amp;G20*1000)+1,15))</f>
        <v>800</v>
      </c>
      <c r="I20" s="20" t="n">
        <f aca="false">INDEX($C$33:$C$47,MATCH(H20,$B$33:$B$47,0))</f>
        <v>0.502654824574367</v>
      </c>
      <c r="J20" s="12" t="n">
        <f aca="false">F20/I20</f>
        <v>1.69124126850141</v>
      </c>
    </row>
    <row r="21" customFormat="false" ht="15" hidden="false" customHeight="false" outlineLevel="0" collapsed="false">
      <c r="A21" s="6" t="n">
        <v>4</v>
      </c>
      <c r="B21" s="12" t="n">
        <f aca="false">J20</f>
        <v>1.69124126850141</v>
      </c>
      <c r="C21" s="13" t="n">
        <f aca="false">$B$7/(60*B21)</f>
        <v>3.25204930983826</v>
      </c>
      <c r="D21" s="24" t="n">
        <f aca="false">($B$10+C21)/60</f>
        <v>0.0567627737081008</v>
      </c>
      <c r="E21" s="18" t="n">
        <f aca="false">($B$14/24)*(24/D21)^(2/3)</f>
        <v>383.15142957188</v>
      </c>
      <c r="F21" s="12" t="n">
        <f aca="false">0.278*$B$12*E21*$B$13</f>
        <v>0.886213930542575</v>
      </c>
      <c r="G21" s="12" t="n">
        <f aca="false">(F21*$B$9/(0.312*SQRT($B$8)))^(3/8)</f>
        <v>0.810179058966422</v>
      </c>
      <c r="H21" s="6" t="n">
        <f aca="false">INDEX($B$33:$B$47,MIN(COUNTIF($B$33:$B$47,"&lt;"&amp;G21*1000)+1,15))</f>
        <v>900</v>
      </c>
      <c r="I21" s="20" t="n">
        <f aca="false">INDEX($C$33:$C$47,MATCH(H21,$B$33:$B$47,0))</f>
        <v>0.636172512351933</v>
      </c>
      <c r="J21" s="12" t="n">
        <f aca="false">F21/I21</f>
        <v>1.39304027340986</v>
      </c>
    </row>
    <row r="22" customFormat="false" ht="15" hidden="false" customHeight="false" outlineLevel="0" collapsed="false">
      <c r="A22" s="6" t="n">
        <v>5</v>
      </c>
      <c r="B22" s="12" t="n">
        <f aca="false">J21</f>
        <v>1.39304027340986</v>
      </c>
      <c r="C22" s="13" t="n">
        <f aca="false">$B$7/(60*B22)</f>
        <v>3.9481988460658</v>
      </c>
      <c r="D22" s="24" t="n">
        <f aca="false">($B$10+C22)/60</f>
        <v>0.0683652659785598</v>
      </c>
      <c r="E22" s="18" t="n">
        <f aca="false">($B$14/24)*(24/D22)^(2/3)</f>
        <v>338.471820894555</v>
      </c>
      <c r="F22" s="12" t="n">
        <f aca="false">0.278*$B$12*E22*$B$13</f>
        <v>0.782871782856269</v>
      </c>
      <c r="G22" s="12" t="n">
        <f aca="false">(F22*$B$9/(0.312*SQRT($B$8)))^(3/8)</f>
        <v>0.773371278031686</v>
      </c>
      <c r="H22" s="6" t="n">
        <f aca="false">INDEX($B$33:$B$47,MIN(COUNTIF($B$33:$B$47,"&lt;"&amp;G22*1000)+1,15))</f>
        <v>800</v>
      </c>
      <c r="I22" s="20" t="n">
        <f aca="false">INDEX($C$33:$C$47,MATCH(H22,$B$33:$B$47,0))</f>
        <v>0.502654824574367</v>
      </c>
      <c r="J22" s="12" t="n">
        <f aca="false">F22/I22</f>
        <v>1.55747392560925</v>
      </c>
    </row>
    <row r="23" customFormat="false" ht="15" hidden="false" customHeight="false" outlineLevel="0" collapsed="false">
      <c r="A23" s="6" t="n">
        <v>6</v>
      </c>
      <c r="B23" s="12" t="n">
        <f aca="false">J22</f>
        <v>1.55747392560925</v>
      </c>
      <c r="C23" s="13" t="n">
        <f aca="false">$B$7/(60*B23)</f>
        <v>3.53135927964156</v>
      </c>
      <c r="D23" s="24" t="n">
        <f aca="false">($B$10+C23)/60</f>
        <v>0.0614179398714892</v>
      </c>
      <c r="E23" s="18" t="n">
        <f aca="false">($B$14/24)*(24/D23)^(2/3)</f>
        <v>363.537620056037</v>
      </c>
      <c r="F23" s="12" t="n">
        <f aca="false">0.278*$B$12*E23*$B$13</f>
        <v>0.840847973684812</v>
      </c>
      <c r="G23" s="12" t="n">
        <f aca="false">(F23*$B$9/(0.312*SQRT($B$8)))^(3/8)</f>
        <v>0.794370494434138</v>
      </c>
      <c r="H23" s="6" t="n">
        <f aca="false">INDEX($B$33:$B$47,MIN(COUNTIF($B$33:$B$47,"&lt;"&amp;G23*1000)+1,15))</f>
        <v>800</v>
      </c>
      <c r="I23" s="20" t="n">
        <f aca="false">INDEX($C$33:$C$47,MATCH(H23,$B$33:$B$47,0))</f>
        <v>0.502654824574367</v>
      </c>
      <c r="J23" s="12" t="n">
        <f aca="false">F23/I23</f>
        <v>1.67281389250927</v>
      </c>
    </row>
    <row r="24" customFormat="false" ht="15" hidden="false" customHeight="false" outlineLevel="0" collapsed="false">
      <c r="A24" s="6" t="n">
        <v>7</v>
      </c>
      <c r="B24" s="12" t="n">
        <f aca="false">J23</f>
        <v>1.67281389250927</v>
      </c>
      <c r="C24" s="13" t="n">
        <f aca="false">$B$7/(60*B24)</f>
        <v>3.28787322046318</v>
      </c>
      <c r="D24" s="24" t="n">
        <f aca="false">($B$10+C24)/60</f>
        <v>0.0573598388851828</v>
      </c>
      <c r="E24" s="18" t="n">
        <f aca="false">($B$14/24)*(24/D24)^(2/3)</f>
        <v>380.487950456935</v>
      </c>
      <c r="F24" s="12" t="n">
        <f aca="false">0.278*$B$12*E24*$B$13</f>
        <v>0.880053409888872</v>
      </c>
      <c r="G24" s="12" t="n">
        <f aca="false">(F24*$B$9/(0.312*SQRT($B$8)))^(3/8)</f>
        <v>0.808062467201585</v>
      </c>
      <c r="H24" s="6" t="n">
        <f aca="false">INDEX($B$33:$B$47,MIN(COUNTIF($B$33:$B$47,"&lt;"&amp;G24*1000)+1,15))</f>
        <v>900</v>
      </c>
      <c r="I24" s="20" t="n">
        <f aca="false">INDEX($C$33:$C$47,MATCH(H24,$B$33:$B$47,0))</f>
        <v>0.636172512351933</v>
      </c>
      <c r="J24" s="12" t="n">
        <f aca="false">F24/I24</f>
        <v>1.38335654685128</v>
      </c>
    </row>
    <row r="25" customFormat="false" ht="15" hidden="false" customHeight="false" outlineLevel="0" collapsed="false">
      <c r="A25" s="6" t="n">
        <v>8</v>
      </c>
      <c r="B25" s="12" t="n">
        <f aca="false">J24</f>
        <v>1.38335654685128</v>
      </c>
      <c r="C25" s="13" t="n">
        <f aca="false">$B$7/(60*B25)</f>
        <v>3.97583689651002</v>
      </c>
      <c r="D25" s="24" t="n">
        <f aca="false">($B$10+C25)/60</f>
        <v>0.0688259001526302</v>
      </c>
      <c r="E25" s="18" t="n">
        <f aca="false">($B$14/24)*(24/D25)^(2/3)</f>
        <v>336.959927653674</v>
      </c>
      <c r="F25" s="12" t="n">
        <f aca="false">0.278*$B$12*E25*$B$13</f>
        <v>0.779374834265841</v>
      </c>
      <c r="G25" s="12" t="n">
        <f aca="false">(F25*$B$9/(0.312*SQRT($B$8)))^(3/8)</f>
        <v>0.772074023536179</v>
      </c>
      <c r="H25" s="6" t="n">
        <f aca="false">INDEX($B$33:$B$47,MIN(COUNTIF($B$33:$B$47,"&lt;"&amp;G25*1000)+1,15))</f>
        <v>800</v>
      </c>
      <c r="I25" s="20" t="n">
        <f aca="false">INDEX($C$33:$C$47,MATCH(H25,$B$33:$B$47,0))</f>
        <v>0.502654824574367</v>
      </c>
      <c r="J25" s="12" t="n">
        <f aca="false">F25/I25</f>
        <v>1.55051696743544</v>
      </c>
    </row>
    <row r="26" customFormat="false" ht="15" hidden="false" customHeight="false" outlineLevel="0" collapsed="false">
      <c r="A26" s="6" t="n">
        <v>9</v>
      </c>
      <c r="B26" s="12" t="n">
        <f aca="false">J25</f>
        <v>1.55051696743544</v>
      </c>
      <c r="C26" s="13" t="n">
        <f aca="false">$B$7/(60*B26)</f>
        <v>3.54720400712352</v>
      </c>
      <c r="D26" s="24" t="n">
        <f aca="false">($B$10+C26)/60</f>
        <v>0.0616820186628551</v>
      </c>
      <c r="E26" s="18" t="n">
        <f aca="false">($B$14/24)*(24/D26)^(2/3)</f>
        <v>362.499270894745</v>
      </c>
      <c r="F26" s="12" t="n">
        <f aca="false">0.278*$B$12*E26*$B$13</f>
        <v>0.83844631360871</v>
      </c>
      <c r="G26" s="12" t="n">
        <f aca="false">(F26*$B$9/(0.312*SQRT($B$8)))^(3/8)</f>
        <v>0.793518892779992</v>
      </c>
      <c r="H26" s="6" t="n">
        <f aca="false">INDEX($B$33:$B$47,MIN(COUNTIF($B$33:$B$47,"&lt;"&amp;G26*1000)+1,15))</f>
        <v>800</v>
      </c>
      <c r="I26" s="20" t="n">
        <f aca="false">INDEX($C$33:$C$47,MATCH(H26,$B$33:$B$47,0))</f>
        <v>0.502654824574367</v>
      </c>
      <c r="J26" s="12" t="n">
        <f aca="false">F26/I26</f>
        <v>1.66803594160005</v>
      </c>
    </row>
    <row r="27" customFormat="false" ht="15" hidden="false" customHeight="false" outlineLevel="0" collapsed="false">
      <c r="A27" s="6" t="n">
        <v>10</v>
      </c>
      <c r="B27" s="12" t="n">
        <f aca="false">J26</f>
        <v>1.66803594160005</v>
      </c>
      <c r="C27" s="13" t="n">
        <f aca="false">$B$7/(60*B27)</f>
        <v>3.2972910612011</v>
      </c>
      <c r="D27" s="24" t="n">
        <f aca="false">($B$10+C27)/60</f>
        <v>0.0575168028974816</v>
      </c>
      <c r="E27" s="18" t="n">
        <f aca="false">($B$14/24)*(24/D27)^(2/3)</f>
        <v>379.795397910998</v>
      </c>
      <c r="F27" s="12" t="n">
        <f aca="false">0.278*$B$12*E27*$B$13</f>
        <v>0.878451563552222</v>
      </c>
      <c r="G27" s="12" t="n">
        <f aca="false">(F27*$B$9/(0.312*SQRT($B$8)))^(3/8)</f>
        <v>0.807510599183257</v>
      </c>
      <c r="H27" s="6" t="n">
        <f aca="false">INDEX($B$33:$B$47,MIN(COUNTIF($B$33:$B$47,"&lt;"&amp;G27*1000)+1,15))</f>
        <v>900</v>
      </c>
      <c r="I27" s="20" t="n">
        <f aca="false">INDEX($C$33:$C$47,MATCH(H27,$B$33:$B$47,0))</f>
        <v>0.636172512351933</v>
      </c>
      <c r="J27" s="12" t="n">
        <f aca="false">F27/I27</f>
        <v>1.38083860351744</v>
      </c>
    </row>
    <row r="28" customFormat="false" ht="15" hidden="false" customHeight="false" outlineLevel="0" collapsed="false">
      <c r="A28" s="6" t="n">
        <v>11</v>
      </c>
      <c r="B28" s="12" t="n">
        <f aca="false">J27</f>
        <v>1.38083860351744</v>
      </c>
      <c r="C28" s="13" t="n">
        <f aca="false">$B$7/(60*B28)</f>
        <v>3.98308678942618</v>
      </c>
      <c r="D28" s="24" t="n">
        <f aca="false">($B$10+C28)/60</f>
        <v>0.0689467317012329</v>
      </c>
      <c r="E28" s="18" t="n">
        <f aca="false">($B$14/24)*(24/D28)^(2/3)</f>
        <v>336.566123232335</v>
      </c>
      <c r="F28" s="12" t="n">
        <f aca="false">0.278*$B$12*E28*$B$13</f>
        <v>0.778463980391461</v>
      </c>
      <c r="G28" s="12" t="n">
        <f aca="false">(F28*$B$9/(0.312*SQRT($B$8)))^(3/8)</f>
        <v>0.771735529342246</v>
      </c>
      <c r="H28" s="6" t="n">
        <f aca="false">INDEX($B$33:$B$47,MIN(COUNTIF($B$33:$B$47,"&lt;"&amp;G28*1000)+1,15))</f>
        <v>800</v>
      </c>
      <c r="I28" s="20" t="n">
        <f aca="false">INDEX($C$33:$C$47,MATCH(H28,$B$33:$B$47,0))</f>
        <v>0.502654824574367</v>
      </c>
      <c r="J28" s="12" t="n">
        <f aca="false">F28/I28</f>
        <v>1.54870488122867</v>
      </c>
    </row>
    <row r="29" customFormat="false" ht="15" hidden="false" customHeight="false" outlineLevel="0" collapsed="false">
      <c r="A29" s="6" t="n">
        <v>12</v>
      </c>
      <c r="B29" s="12" t="n">
        <f aca="false">J28</f>
        <v>1.54870488122867</v>
      </c>
      <c r="C29" s="13" t="n">
        <f aca="false">$B$7/(60*B29)</f>
        <v>3.55135446828099</v>
      </c>
      <c r="D29" s="24" t="n">
        <f aca="false">($B$10+C29)/60</f>
        <v>0.0617511930154796</v>
      </c>
      <c r="E29" s="18" t="n">
        <f aca="false">($B$14/24)*(24/D29)^(2/3)</f>
        <v>362.22850326346</v>
      </c>
      <c r="F29" s="12" t="n">
        <f aca="false">0.278*$B$12*E29*$B$13</f>
        <v>0.837820038908253</v>
      </c>
      <c r="G29" s="12" t="n">
        <f aca="false">(F29*$B$9/(0.312*SQRT($B$8)))^(3/8)</f>
        <v>0.793296572259831</v>
      </c>
      <c r="H29" s="6" t="n">
        <f aca="false">INDEX($B$33:$B$47,MIN(COUNTIF($B$33:$B$47,"&lt;"&amp;G29*1000)+1,15))</f>
        <v>800</v>
      </c>
      <c r="I29" s="20" t="n">
        <f aca="false">INDEX($C$33:$C$47,MATCH(H29,$B$33:$B$47,0))</f>
        <v>0.502654824574367</v>
      </c>
      <c r="J29" s="12" t="n">
        <f aca="false">F29/I29</f>
        <v>1.66679000767116</v>
      </c>
    </row>
    <row r="31" customFormat="false" ht="15" hidden="false" customHeight="false" outlineLevel="0" collapsed="false">
      <c r="A31" s="7" t="s">
        <v>5344</v>
      </c>
    </row>
    <row r="32" customFormat="false" ht="15" hidden="false" customHeight="false" outlineLevel="0" collapsed="false">
      <c r="A32" s="1" t="s">
        <v>5345</v>
      </c>
      <c r="B32" s="1" t="s">
        <v>5346</v>
      </c>
      <c r="C32" s="1" t="s">
        <v>5347</v>
      </c>
    </row>
    <row r="33" customFormat="false" ht="15" hidden="false" customHeight="false" outlineLevel="0" collapsed="false">
      <c r="A33" s="3" t="s">
        <v>5348</v>
      </c>
      <c r="B33" s="25" t="n">
        <v>110</v>
      </c>
      <c r="C33" s="20" t="n">
        <f aca="false">PI()*(B33/1000)^2/4</f>
        <v>0.00950331777710912</v>
      </c>
    </row>
    <row r="34" customFormat="false" ht="15" hidden="false" customHeight="false" outlineLevel="0" collapsed="false">
      <c r="A34" s="3" t="s">
        <v>5349</v>
      </c>
      <c r="B34" s="25" t="n">
        <v>160</v>
      </c>
      <c r="C34" s="20" t="n">
        <f aca="false">PI()*(B34/1000)^2/4</f>
        <v>0.0201061929829747</v>
      </c>
    </row>
    <row r="35" customFormat="false" ht="15" hidden="false" customHeight="false" outlineLevel="0" collapsed="false">
      <c r="A35" s="3" t="s">
        <v>5350</v>
      </c>
      <c r="B35" s="25" t="n">
        <v>200</v>
      </c>
      <c r="C35" s="20" t="n">
        <f aca="false">PI()*(B35/1000)^2/4</f>
        <v>0.0314159265358979</v>
      </c>
    </row>
    <row r="36" customFormat="false" ht="15" hidden="false" customHeight="false" outlineLevel="0" collapsed="false">
      <c r="A36" s="3" t="s">
        <v>5351</v>
      </c>
      <c r="B36" s="25" t="n">
        <v>250</v>
      </c>
      <c r="C36" s="20" t="n">
        <f aca="false">PI()*(B36/1000)^2/4</f>
        <v>0.0490873852123405</v>
      </c>
    </row>
    <row r="37" customFormat="false" ht="15" hidden="false" customHeight="false" outlineLevel="0" collapsed="false">
      <c r="A37" s="3" t="s">
        <v>5352</v>
      </c>
      <c r="B37" s="25" t="n">
        <v>315</v>
      </c>
      <c r="C37" s="20" t="n">
        <f aca="false">PI()*(B37/1000)^2/4</f>
        <v>0.0779311327631118</v>
      </c>
    </row>
    <row r="38" customFormat="false" ht="15" hidden="false" customHeight="false" outlineLevel="0" collapsed="false">
      <c r="A38" s="3" t="s">
        <v>5353</v>
      </c>
      <c r="B38" s="25" t="n">
        <v>355</v>
      </c>
      <c r="C38" s="20" t="n">
        <f aca="false">PI()*(B38/1000)^2/4</f>
        <v>0.0989798035421634</v>
      </c>
    </row>
    <row r="39" customFormat="false" ht="15" hidden="false" customHeight="false" outlineLevel="0" collapsed="false">
      <c r="A39" s="3" t="s">
        <v>5354</v>
      </c>
      <c r="B39" s="25" t="n">
        <v>400</v>
      </c>
      <c r="C39" s="20" t="n">
        <f aca="false">PI()*(B39/1000)^2/4</f>
        <v>0.125663706143592</v>
      </c>
    </row>
    <row r="40" customFormat="false" ht="15" hidden="false" customHeight="false" outlineLevel="0" collapsed="false">
      <c r="A40" s="3" t="s">
        <v>5355</v>
      </c>
      <c r="B40" s="25" t="n">
        <v>450</v>
      </c>
      <c r="C40" s="20" t="n">
        <f aca="false">PI()*(B40/1000)^2/4</f>
        <v>0.159043128087983</v>
      </c>
    </row>
    <row r="41" customFormat="false" ht="15" hidden="false" customHeight="false" outlineLevel="0" collapsed="false">
      <c r="A41" s="3" t="s">
        <v>5356</v>
      </c>
      <c r="B41" s="25" t="n">
        <v>500</v>
      </c>
      <c r="C41" s="20" t="n">
        <f aca="false">PI()*(B41/1000)^2/4</f>
        <v>0.196349540849362</v>
      </c>
    </row>
    <row r="42" customFormat="false" ht="15" hidden="false" customHeight="false" outlineLevel="0" collapsed="false">
      <c r="A42" s="3" t="s">
        <v>5357</v>
      </c>
      <c r="B42" s="25" t="n">
        <v>600</v>
      </c>
      <c r="C42" s="20" t="n">
        <f aca="false">PI()*(B42/1000)^2/4</f>
        <v>0.282743338823081</v>
      </c>
    </row>
    <row r="43" customFormat="false" ht="15" hidden="false" customHeight="false" outlineLevel="0" collapsed="false">
      <c r="A43" s="3" t="s">
        <v>5358</v>
      </c>
      <c r="B43" s="25" t="n">
        <v>750</v>
      </c>
      <c r="C43" s="20" t="n">
        <f aca="false">PI()*(B43/1000)^2/4</f>
        <v>0.441786466911065</v>
      </c>
    </row>
    <row r="44" customFormat="false" ht="15" hidden="false" customHeight="false" outlineLevel="0" collapsed="false">
      <c r="A44" s="3" t="s">
        <v>5359</v>
      </c>
      <c r="B44" s="25" t="n">
        <v>800</v>
      </c>
      <c r="C44" s="20" t="n">
        <f aca="false">PI()*(B44/1000)^2/4</f>
        <v>0.502654824574367</v>
      </c>
    </row>
    <row r="45" customFormat="false" ht="15" hidden="false" customHeight="false" outlineLevel="0" collapsed="false">
      <c r="A45" s="3" t="s">
        <v>5360</v>
      </c>
      <c r="B45" s="25" t="n">
        <v>900</v>
      </c>
      <c r="C45" s="20" t="n">
        <f aca="false">PI()*(B45/1000)^2/4</f>
        <v>0.636172512351933</v>
      </c>
    </row>
    <row r="46" customFormat="false" ht="15" hidden="false" customHeight="false" outlineLevel="0" collapsed="false">
      <c r="A46" s="3" t="s">
        <v>5361</v>
      </c>
      <c r="B46" s="25" t="n">
        <v>1000</v>
      </c>
      <c r="C46" s="20" t="n">
        <f aca="false">PI()*(B46/1000)^2/4</f>
        <v>0.785398163397448</v>
      </c>
    </row>
    <row r="47" customFormat="false" ht="15" hidden="false" customHeight="false" outlineLevel="0" collapsed="false">
      <c r="A47" s="3" t="s">
        <v>5362</v>
      </c>
      <c r="B47" s="25" t="n">
        <v>1200</v>
      </c>
      <c r="C47" s="20" t="n">
        <f aca="false">PI()*(B47/1000)^2/4</f>
        <v>1.13097335529233</v>
      </c>
    </row>
    <row r="49" customFormat="false" ht="15" hidden="false" customHeight="false" outlineLevel="0" collapsed="false">
      <c r="A49" s="7" t="s">
        <v>5363</v>
      </c>
    </row>
    <row r="50" customFormat="false" ht="15" hidden="false" customHeight="false" outlineLevel="0" collapsed="false">
      <c r="A50" s="1" t="s">
        <v>5235</v>
      </c>
      <c r="B50" s="1" t="s">
        <v>5129</v>
      </c>
      <c r="C50" s="1" t="s">
        <v>5214</v>
      </c>
      <c r="D50" s="1" t="s">
        <v>5364</v>
      </c>
    </row>
    <row r="51" customFormat="false" ht="15" hidden="false" customHeight="false" outlineLevel="0" collapsed="false">
      <c r="A51" s="3" t="s">
        <v>5365</v>
      </c>
      <c r="B51" s="26" t="n">
        <f aca="false">MAX(F18:F29)</f>
        <v>0.886213930542575</v>
      </c>
      <c r="C51" s="3" t="s">
        <v>5253</v>
      </c>
      <c r="D51" s="3" t="s">
        <v>5366</v>
      </c>
    </row>
    <row r="52" customFormat="false" ht="15" hidden="false" customHeight="false" outlineLevel="0" collapsed="false">
      <c r="A52" s="3" t="s">
        <v>5367</v>
      </c>
      <c r="B52" s="18" t="n">
        <f aca="false">INDEX($E$18:$E$29,MATCH(B51,$F$18:$F$29,0))</f>
        <v>383.15142957188</v>
      </c>
      <c r="C52" s="3" t="s">
        <v>5250</v>
      </c>
      <c r="D52" s="3" t="s">
        <v>5368</v>
      </c>
    </row>
    <row r="53" customFormat="false" ht="15" hidden="false" customHeight="false" outlineLevel="0" collapsed="false">
      <c r="A53" s="3" t="s">
        <v>5369</v>
      </c>
      <c r="B53" s="13" t="n">
        <f aca="false">INDEX($C$18:$C$29,MATCH(B51,$F$18:$F$29,0))</f>
        <v>3.25204930983826</v>
      </c>
      <c r="C53" s="3" t="s">
        <v>5240</v>
      </c>
      <c r="D53" s="3" t="s">
        <v>5370</v>
      </c>
    </row>
    <row r="54" customFormat="false" ht="15" hidden="false" customHeight="false" outlineLevel="0" collapsed="false">
      <c r="A54" s="3" t="s">
        <v>5371</v>
      </c>
      <c r="B54" s="24" t="n">
        <f aca="false">INDEX($D$18:$D$29,MATCH(B51,$F$18:$F$29,0))</f>
        <v>0.0567627737081008</v>
      </c>
      <c r="C54" s="3" t="s">
        <v>5232</v>
      </c>
      <c r="D54" s="3" t="s">
        <v>5372</v>
      </c>
    </row>
    <row r="55" customFormat="false" ht="15" hidden="false" customHeight="false" outlineLevel="0" collapsed="false">
      <c r="A55" s="3" t="s">
        <v>5373</v>
      </c>
      <c r="B55" s="12" t="n">
        <f aca="false">(B51*$B$9/(0.312*SQRT($B$8)))^(3/8)</f>
        <v>0.810179058966422</v>
      </c>
      <c r="C55" s="3" t="s">
        <v>5217</v>
      </c>
      <c r="D55" s="3" t="s">
        <v>5374</v>
      </c>
    </row>
    <row r="56" customFormat="false" ht="15" hidden="false" customHeight="false" outlineLevel="0" collapsed="false">
      <c r="A56" s="3" t="s">
        <v>5375</v>
      </c>
      <c r="B56" s="6" t="n">
        <f aca="false">INDEX($B$33:$B$47,MIN(COUNTIF($B$33:$B$47,"&lt;"&amp;B55*1000)+1,15))</f>
        <v>900</v>
      </c>
      <c r="C56" s="3" t="s">
        <v>5134</v>
      </c>
      <c r="D56" s="3" t="s">
        <v>5376</v>
      </c>
    </row>
    <row r="57" customFormat="false" ht="15" hidden="false" customHeight="false" outlineLevel="0" collapsed="false">
      <c r="A57" s="3" t="s">
        <v>5377</v>
      </c>
      <c r="B57" s="20" t="n">
        <f aca="false">INDEX($C$33:$C$47,MATCH(B56,$B$33:$B$47,0))</f>
        <v>0.636172512351933</v>
      </c>
      <c r="C57" s="3" t="s">
        <v>5229</v>
      </c>
      <c r="D57" s="3" t="s">
        <v>5378</v>
      </c>
    </row>
    <row r="58" customFormat="false" ht="15" hidden="false" customHeight="false" outlineLevel="0" collapsed="false">
      <c r="A58" s="3" t="s">
        <v>5379</v>
      </c>
      <c r="B58" s="12" t="n">
        <f aca="false">B51/B57</f>
        <v>1.39304027340986</v>
      </c>
      <c r="C58" s="3" t="s">
        <v>5380</v>
      </c>
      <c r="D58" s="3" t="s">
        <v>5381</v>
      </c>
    </row>
    <row r="59" customFormat="false" ht="15" hidden="false" customHeight="false" outlineLevel="0" collapsed="false">
      <c r="A59" s="3" t="s">
        <v>5382</v>
      </c>
      <c r="B59" s="12" t="n">
        <f aca="false">(1/$B$9)*B57*(B56/1000/4)^(2/3)*SQRT($B$8)</f>
        <v>1.17182975448148</v>
      </c>
      <c r="C59" s="3" t="s">
        <v>5253</v>
      </c>
      <c r="D59" s="3" t="s">
        <v>5383</v>
      </c>
    </row>
    <row r="60" customFormat="false" ht="15" hidden="false" customHeight="false" outlineLevel="0" collapsed="false">
      <c r="A60" s="3" t="s">
        <v>5384</v>
      </c>
      <c r="B60" s="3" t="str">
        <f aca="false">IF(B59&gt;=B51,"AMAN","TIDAK AMAN")</f>
        <v>AMAN</v>
      </c>
      <c r="C60" s="3" t="s">
        <v>5199</v>
      </c>
      <c r="D60" s="3" t="s">
        <v>5385</v>
      </c>
    </row>
    <row r="61" customFormat="false" ht="15" hidden="false" customHeight="false" outlineLevel="0" collapsed="false">
      <c r="A61" s="3" t="s">
        <v>5386</v>
      </c>
      <c r="B61" s="6" t="n">
        <f aca="false">B56</f>
        <v>900</v>
      </c>
      <c r="C61" s="3" t="s">
        <v>5134</v>
      </c>
      <c r="D61" s="3" t="s">
        <v>5387</v>
      </c>
    </row>
    <row r="63" customFormat="false" ht="15" hidden="false" customHeight="false" outlineLevel="0" collapsed="false">
      <c r="A63" s="7" t="s">
        <v>5388</v>
      </c>
    </row>
    <row r="64" customFormat="false" ht="15" hidden="false" customHeight="false" outlineLevel="0" collapsed="false">
      <c r="A64" s="1" t="s">
        <v>5235</v>
      </c>
      <c r="B64" s="1" t="s">
        <v>5129</v>
      </c>
      <c r="C64" s="1" t="s">
        <v>5214</v>
      </c>
      <c r="D64" s="1" t="s">
        <v>5364</v>
      </c>
    </row>
    <row r="65" customFormat="false" ht="15" hidden="false" customHeight="false" outlineLevel="0" collapsed="false">
      <c r="A65" s="3" t="s">
        <v>5389</v>
      </c>
      <c r="B65" s="4" t="n">
        <f aca="false">Kawasan!$B$8</f>
        <v>65</v>
      </c>
      <c r="C65" s="3" t="s">
        <v>5229</v>
      </c>
      <c r="D65" s="3" t="s">
        <v>5330</v>
      </c>
    </row>
    <row r="66" customFormat="false" ht="15" hidden="false" customHeight="false" outlineLevel="0" collapsed="false">
      <c r="A66" s="3" t="s">
        <v>5390</v>
      </c>
      <c r="B66" s="24" t="n">
        <f aca="false">0.278*$B$12*$B$52*(B65/1000000)</f>
        <v>0.0055388370658911</v>
      </c>
      <c r="C66" s="3" t="s">
        <v>5253</v>
      </c>
      <c r="D66" s="3" t="s">
        <v>5391</v>
      </c>
    </row>
    <row r="67" customFormat="false" ht="15" hidden="false" customHeight="false" outlineLevel="0" collapsed="false">
      <c r="A67" s="3" t="s">
        <v>5392</v>
      </c>
      <c r="B67" s="12" t="n">
        <f aca="false">(B66*$B$9/(0.312*SQRT($B$8)))^(3/8)</f>
        <v>0.12079140145704</v>
      </c>
      <c r="C67" s="3" t="s">
        <v>5217</v>
      </c>
      <c r="D67" s="3" t="s">
        <v>5393</v>
      </c>
    </row>
    <row r="68" customFormat="false" ht="15" hidden="false" customHeight="false" outlineLevel="0" collapsed="false">
      <c r="A68" s="3" t="s">
        <v>5394</v>
      </c>
      <c r="B68" s="6" t="n">
        <f aca="false">INDEX($B$33:$B$47,MIN(COUNTIF($B$33:$B$47,"&lt;"&amp;B67*1000)+1,15))</f>
        <v>160</v>
      </c>
      <c r="C68" s="3" t="s">
        <v>5134</v>
      </c>
      <c r="D68" s="3" t="s">
        <v>5395</v>
      </c>
    </row>
    <row r="69" customFormat="false" ht="15" hidden="false" customHeight="false" outlineLevel="0" collapsed="false">
      <c r="A69" s="3" t="s">
        <v>5396</v>
      </c>
      <c r="B69" s="20" t="n">
        <f aca="false">INDEX($C$33:$C$47,MATCH(B68,$B$33:$B$47,0))</f>
        <v>0.0201061929829747</v>
      </c>
      <c r="C69" s="3" t="s">
        <v>5229</v>
      </c>
      <c r="D69" s="3" t="s">
        <v>5397</v>
      </c>
    </row>
    <row r="70" customFormat="false" ht="15" hidden="false" customHeight="false" outlineLevel="0" collapsed="false">
      <c r="A70" s="3" t="s">
        <v>5398</v>
      </c>
      <c r="B70" s="12" t="n">
        <f aca="false">B66/B69</f>
        <v>0.275479155630368</v>
      </c>
      <c r="C70" s="3" t="s">
        <v>5380</v>
      </c>
      <c r="D70" s="3" t="s">
        <v>5381</v>
      </c>
    </row>
    <row r="71" customFormat="false" ht="15" hidden="false" customHeight="false" outlineLevel="0" collapsed="false">
      <c r="A71" s="3" t="s">
        <v>5399</v>
      </c>
      <c r="B71" s="17" t="n">
        <v>0.15</v>
      </c>
      <c r="C71" s="3" t="s">
        <v>5217</v>
      </c>
      <c r="D71" s="3" t="s">
        <v>5400</v>
      </c>
    </row>
    <row r="72" customFormat="false" ht="15" hidden="false" customHeight="false" outlineLevel="0" collapsed="false">
      <c r="A72" s="3" t="s">
        <v>5401</v>
      </c>
      <c r="B72" s="17" t="n">
        <v>0.1</v>
      </c>
      <c r="C72" s="3" t="s">
        <v>5217</v>
      </c>
      <c r="D72" s="3" t="s">
        <v>5233</v>
      </c>
    </row>
    <row r="73" customFormat="false" ht="15" hidden="false" customHeight="false" outlineLevel="0" collapsed="false">
      <c r="A73" s="3" t="s">
        <v>5402</v>
      </c>
      <c r="B73" s="16" t="n">
        <v>0.005</v>
      </c>
      <c r="C73" s="3" t="s">
        <v>5220</v>
      </c>
      <c r="D73" s="3" t="s">
        <v>5233</v>
      </c>
    </row>
    <row r="74" customFormat="false" ht="15" hidden="false" customHeight="false" outlineLevel="0" collapsed="false">
      <c r="A74" s="3" t="s">
        <v>5403</v>
      </c>
      <c r="B74" s="16" t="n">
        <v>0.012</v>
      </c>
      <c r="C74" s="3" t="s">
        <v>5199</v>
      </c>
      <c r="D74" s="3" t="s">
        <v>5404</v>
      </c>
    </row>
    <row r="75" customFormat="false" ht="15" hidden="false" customHeight="false" outlineLevel="0" collapsed="false">
      <c r="A75" s="3" t="s">
        <v>5405</v>
      </c>
      <c r="B75" s="12" t="n">
        <f aca="false">B71*B72</f>
        <v>0.015</v>
      </c>
      <c r="C75" s="3" t="s">
        <v>5229</v>
      </c>
      <c r="D75" s="3" t="s">
        <v>5406</v>
      </c>
    </row>
    <row r="76" customFormat="false" ht="15" hidden="false" customHeight="false" outlineLevel="0" collapsed="false">
      <c r="A76" s="3" t="s">
        <v>5407</v>
      </c>
      <c r="B76" s="12" t="n">
        <f aca="false">B71+2*B72</f>
        <v>0.35</v>
      </c>
      <c r="C76" s="3" t="s">
        <v>5217</v>
      </c>
      <c r="D76" s="3" t="s">
        <v>5408</v>
      </c>
    </row>
    <row r="77" customFormat="false" ht="15" hidden="false" customHeight="false" outlineLevel="0" collapsed="false">
      <c r="A77" s="3" t="s">
        <v>5409</v>
      </c>
      <c r="B77" s="12" t="n">
        <f aca="false">B75/B76</f>
        <v>0.0428571428571429</v>
      </c>
      <c r="C77" s="3" t="s">
        <v>5217</v>
      </c>
      <c r="D77" s="3" t="s">
        <v>5410</v>
      </c>
    </row>
    <row r="78" customFormat="false" ht="15" hidden="false" customHeight="false" outlineLevel="0" collapsed="false">
      <c r="A78" s="3" t="s">
        <v>5411</v>
      </c>
      <c r="B78" s="24" t="n">
        <f aca="false">(1/B74)*B75*B77^(2/3)*SQRT(B73)</f>
        <v>0.0108245659718065</v>
      </c>
      <c r="C78" s="3" t="s">
        <v>5253</v>
      </c>
      <c r="D78" s="3" t="s">
        <v>5412</v>
      </c>
    </row>
    <row r="79" customFormat="false" ht="15" hidden="false" customHeight="false" outlineLevel="0" collapsed="false">
      <c r="A79" s="3" t="s">
        <v>5413</v>
      </c>
      <c r="B79" s="12" t="n">
        <f aca="false">B78/B75</f>
        <v>0.721637731453767</v>
      </c>
      <c r="C79" s="3" t="s">
        <v>5380</v>
      </c>
      <c r="D79" s="3" t="s">
        <v>5381</v>
      </c>
    </row>
    <row r="80" customFormat="false" ht="15" hidden="false" customHeight="false" outlineLevel="0" collapsed="false">
      <c r="A80" s="3" t="s">
        <v>5414</v>
      </c>
      <c r="B80" s="4" t="n">
        <f aca="false">CEILING(Kawasan!$B$7*Kawasan!$B$10*Kawasan!$B$12*1.5/1000,0.1)</f>
        <v>0.5</v>
      </c>
      <c r="C80" s="3" t="s">
        <v>5256</v>
      </c>
      <c r="D80" s="3" t="s">
        <v>5415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8" min="6" style="0" width="14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1"/>
    <col collapsed="false" customWidth="true" hidden="false" outlineLevel="0" max="13" min="12" style="0" width="12"/>
    <col collapsed="false" customWidth="true" hidden="false" outlineLevel="0" max="15" min="14" style="0" width="11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2" min="21" style="0" width="12"/>
    <col collapsed="false" customWidth="true" hidden="false" outlineLevel="0" max="23" min="23" style="0" width="11"/>
    <col collapsed="false" customWidth="true" hidden="false" outlineLevel="0" max="24" min="24" style="0" width="13"/>
  </cols>
  <sheetData>
    <row r="1" customFormat="false" ht="15" hidden="false" customHeight="false" outlineLevel="0" collapsed="false">
      <c r="A1" s="5" t="s">
        <v>5416</v>
      </c>
    </row>
    <row r="2" customFormat="false" ht="15" hidden="false" customHeight="false" outlineLevel="0" collapsed="false">
      <c r="A2" s="2" t="s">
        <v>5417</v>
      </c>
    </row>
    <row r="4" customFormat="false" ht="15" hidden="false" customHeight="false" outlineLevel="0" collapsed="false">
      <c r="A4" s="7" t="s">
        <v>5418</v>
      </c>
    </row>
    <row r="5" customFormat="false" ht="23.85" hidden="false" customHeight="false" outlineLevel="0" collapsed="false">
      <c r="A5" s="1" t="s">
        <v>0</v>
      </c>
      <c r="B5" s="1" t="s">
        <v>1</v>
      </c>
      <c r="C5" s="1" t="s">
        <v>5419</v>
      </c>
      <c r="D5" s="1" t="s">
        <v>5420</v>
      </c>
      <c r="E5" s="1" t="s">
        <v>5421</v>
      </c>
      <c r="F5" s="1" t="s">
        <v>5422</v>
      </c>
      <c r="G5" s="1" t="s">
        <v>5423</v>
      </c>
      <c r="H5" s="1" t="s">
        <v>5424</v>
      </c>
      <c r="I5" s="1" t="s">
        <v>5425</v>
      </c>
      <c r="J5" s="1" t="s">
        <v>5426</v>
      </c>
      <c r="K5" s="1" t="s">
        <v>5427</v>
      </c>
      <c r="L5" s="1" t="s">
        <v>5428</v>
      </c>
      <c r="M5" s="1" t="s">
        <v>5429</v>
      </c>
      <c r="N5" s="1" t="s">
        <v>5430</v>
      </c>
    </row>
    <row r="6" customFormat="false" ht="15" hidden="false" customHeight="false" outlineLevel="0" collapsed="false">
      <c r="A6" s="6" t="n">
        <v>2012</v>
      </c>
      <c r="B6" s="6" t="n">
        <v>1</v>
      </c>
      <c r="C6" s="4" t="n">
        <v>349</v>
      </c>
      <c r="D6" s="6" t="n">
        <v>31</v>
      </c>
      <c r="E6" s="4" t="n">
        <f aca="false">INDEX(Evaporasi!$B$3:$B$14,MATCH(B6,Evaporasi!$A$3:$A$14,0))</f>
        <v>120</v>
      </c>
      <c r="F6" s="18" t="n">
        <f aca="false">Kawasan!$B$11*Kawasan!$B$9*C6/1000</f>
        <v>2903.68</v>
      </c>
      <c r="G6" s="18" t="n">
        <f aca="false">Kawasan!$B$26*D6</f>
        <v>2380.8</v>
      </c>
      <c r="H6" s="18" t="n">
        <f aca="false">E6*Desain_Kolam!$B$16/1000</f>
        <v>128.7</v>
      </c>
      <c r="I6" s="18" t="n">
        <f aca="false">F6-G6-H6</f>
        <v>394.18</v>
      </c>
      <c r="J6" s="18" t="n">
        <f aca="false">I6</f>
        <v>394.18</v>
      </c>
      <c r="K6" s="18" t="n">
        <f aca="false">MAX(0,J6)</f>
        <v>394.18</v>
      </c>
      <c r="L6" s="18" t="n">
        <f aca="false">K6-J6</f>
        <v>0</v>
      </c>
      <c r="M6" s="18" t="n">
        <f aca="false">MIN(Desain_Kolam!$B$21,MAX(0,F6-H6-G6))</f>
        <v>394.18</v>
      </c>
      <c r="N6" s="6" t="n">
        <f aca="false">IF(F6-H6&gt;=G6,1,0)</f>
        <v>1</v>
      </c>
    </row>
    <row r="7" customFormat="false" ht="15" hidden="false" customHeight="false" outlineLevel="0" collapsed="false">
      <c r="A7" s="6" t="n">
        <v>2012</v>
      </c>
      <c r="B7" s="6" t="n">
        <v>2</v>
      </c>
      <c r="C7" s="4" t="n">
        <v>340</v>
      </c>
      <c r="D7" s="6" t="n">
        <v>29</v>
      </c>
      <c r="E7" s="4" t="n">
        <f aca="false">INDEX(Evaporasi!$B$3:$B$14,MATCH(B7,Evaporasi!$A$3:$A$14,0))</f>
        <v>120</v>
      </c>
      <c r="F7" s="18" t="n">
        <f aca="false">Kawasan!$B$11*Kawasan!$B$9*C7/1000</f>
        <v>2828.8</v>
      </c>
      <c r="G7" s="18" t="n">
        <f aca="false">Kawasan!$B$26*D7</f>
        <v>2227.2</v>
      </c>
      <c r="H7" s="18" t="n">
        <f aca="false">E7*Desain_Kolam!$B$16/1000</f>
        <v>128.7</v>
      </c>
      <c r="I7" s="18" t="n">
        <f aca="false">F7-G7-H7</f>
        <v>472.9</v>
      </c>
      <c r="J7" s="18" t="n">
        <f aca="false">J6+I7</f>
        <v>867.080000000001</v>
      </c>
      <c r="K7" s="18" t="n">
        <f aca="false">MAX(K6,J7)</f>
        <v>867.080000000001</v>
      </c>
      <c r="L7" s="18" t="n">
        <f aca="false">K7-J7</f>
        <v>0</v>
      </c>
      <c r="M7" s="18" t="n">
        <f aca="false">MIN(Desain_Kolam!$B$21,MAX(0,M6+F7-H7-G7))</f>
        <v>867.080000000001</v>
      </c>
      <c r="N7" s="6" t="n">
        <f aca="false">IF(M6+F7-H7&gt;=G7,1,0)</f>
        <v>1</v>
      </c>
    </row>
    <row r="8" customFormat="false" ht="15" hidden="false" customHeight="false" outlineLevel="0" collapsed="false">
      <c r="A8" s="6" t="n">
        <v>2012</v>
      </c>
      <c r="B8" s="6" t="n">
        <v>3</v>
      </c>
      <c r="C8" s="4" t="n">
        <v>244</v>
      </c>
      <c r="D8" s="6" t="n">
        <v>31</v>
      </c>
      <c r="E8" s="4" t="n">
        <f aca="false">INDEX(Evaporasi!$B$3:$B$14,MATCH(B8,Evaporasi!$A$3:$A$14,0))</f>
        <v>120</v>
      </c>
      <c r="F8" s="18" t="n">
        <f aca="false">Kawasan!$B$11*Kawasan!$B$9*C8/1000</f>
        <v>2030.08</v>
      </c>
      <c r="G8" s="18" t="n">
        <f aca="false">Kawasan!$B$26*D8</f>
        <v>2380.8</v>
      </c>
      <c r="H8" s="18" t="n">
        <f aca="false">E8*Desain_Kolam!$B$16/1000</f>
        <v>128.7</v>
      </c>
      <c r="I8" s="18" t="n">
        <f aca="false">F8-G8-H8</f>
        <v>-479.42</v>
      </c>
      <c r="J8" s="18" t="n">
        <f aca="false">J7+I8</f>
        <v>387.660000000001</v>
      </c>
      <c r="K8" s="18" t="n">
        <f aca="false">MAX(K7,J8)</f>
        <v>867.080000000001</v>
      </c>
      <c r="L8" s="18" t="n">
        <f aca="false">K8-J8</f>
        <v>479.42</v>
      </c>
      <c r="M8" s="18" t="n">
        <f aca="false">MIN(Desain_Kolam!$B$21,MAX(0,M7+F8-H8-G8))</f>
        <v>387.660000000001</v>
      </c>
      <c r="N8" s="6" t="n">
        <f aca="false">IF(M7+F8-H8&gt;=G8,1,0)</f>
        <v>1</v>
      </c>
    </row>
    <row r="9" customFormat="false" ht="15" hidden="false" customHeight="false" outlineLevel="0" collapsed="false">
      <c r="A9" s="6" t="n">
        <v>2012</v>
      </c>
      <c r="B9" s="6" t="n">
        <v>4</v>
      </c>
      <c r="C9" s="4" t="n">
        <v>282</v>
      </c>
      <c r="D9" s="6" t="n">
        <v>30</v>
      </c>
      <c r="E9" s="4" t="n">
        <f aca="false">INDEX(Evaporasi!$B$3:$B$14,MATCH(B9,Evaporasi!$A$3:$A$14,0))</f>
        <v>120</v>
      </c>
      <c r="F9" s="18" t="n">
        <f aca="false">Kawasan!$B$11*Kawasan!$B$9*C9/1000</f>
        <v>2346.24</v>
      </c>
      <c r="G9" s="18" t="n">
        <f aca="false">Kawasan!$B$26*D9</f>
        <v>2304</v>
      </c>
      <c r="H9" s="18" t="n">
        <f aca="false">E9*Desain_Kolam!$B$16/1000</f>
        <v>128.7</v>
      </c>
      <c r="I9" s="18" t="n">
        <f aca="false">F9-G9-H9</f>
        <v>-86.4600000000002</v>
      </c>
      <c r="J9" s="18" t="n">
        <f aca="false">J8+I9</f>
        <v>301.200000000001</v>
      </c>
      <c r="K9" s="18" t="n">
        <f aca="false">MAX(K8,J9)</f>
        <v>867.080000000001</v>
      </c>
      <c r="L9" s="18" t="n">
        <f aca="false">K9-J9</f>
        <v>565.88</v>
      </c>
      <c r="M9" s="18" t="n">
        <f aca="false">MIN(Desain_Kolam!$B$21,MAX(0,M8+F9-H9-G9))</f>
        <v>301.200000000001</v>
      </c>
      <c r="N9" s="6" t="n">
        <f aca="false">IF(M8+F9-H9&gt;=G9,1,0)</f>
        <v>1</v>
      </c>
    </row>
    <row r="10" customFormat="false" ht="15" hidden="false" customHeight="false" outlineLevel="0" collapsed="false">
      <c r="A10" s="6" t="n">
        <v>2012</v>
      </c>
      <c r="B10" s="6" t="n">
        <v>5</v>
      </c>
      <c r="C10" s="4" t="n">
        <v>319</v>
      </c>
      <c r="D10" s="6" t="n">
        <v>31</v>
      </c>
      <c r="E10" s="4" t="n">
        <f aca="false">INDEX(Evaporasi!$B$3:$B$14,MATCH(B10,Evaporasi!$A$3:$A$14,0))</f>
        <v>120</v>
      </c>
      <c r="F10" s="18" t="n">
        <f aca="false">Kawasan!$B$11*Kawasan!$B$9*C10/1000</f>
        <v>2654.08</v>
      </c>
      <c r="G10" s="18" t="n">
        <f aca="false">Kawasan!$B$26*D10</f>
        <v>2380.8</v>
      </c>
      <c r="H10" s="18" t="n">
        <f aca="false">E10*Desain_Kolam!$B$16/1000</f>
        <v>128.7</v>
      </c>
      <c r="I10" s="18" t="n">
        <f aca="false">F10-G10-H10</f>
        <v>144.58</v>
      </c>
      <c r="J10" s="18" t="n">
        <f aca="false">J9+I10</f>
        <v>445.780000000001</v>
      </c>
      <c r="K10" s="18" t="n">
        <f aca="false">MAX(K9,J10)</f>
        <v>867.080000000001</v>
      </c>
      <c r="L10" s="18" t="n">
        <f aca="false">K10-J10</f>
        <v>421.3</v>
      </c>
      <c r="M10" s="18" t="n">
        <f aca="false">MIN(Desain_Kolam!$B$21,MAX(0,M9+F10-H10-G10))</f>
        <v>445.780000000002</v>
      </c>
      <c r="N10" s="6" t="n">
        <f aca="false">IF(M9+F10-H10&gt;=G10,1,0)</f>
        <v>1</v>
      </c>
    </row>
    <row r="11" customFormat="false" ht="15" hidden="false" customHeight="false" outlineLevel="0" collapsed="false">
      <c r="A11" s="6" t="n">
        <v>2012</v>
      </c>
      <c r="B11" s="6" t="n">
        <v>6</v>
      </c>
      <c r="C11" s="4" t="n">
        <v>107</v>
      </c>
      <c r="D11" s="6" t="n">
        <v>30</v>
      </c>
      <c r="E11" s="4" t="n">
        <f aca="false">INDEX(Evaporasi!$B$3:$B$14,MATCH(B11,Evaporasi!$A$3:$A$14,0))</f>
        <v>120</v>
      </c>
      <c r="F11" s="18" t="n">
        <f aca="false">Kawasan!$B$11*Kawasan!$B$9*C11/1000</f>
        <v>890.24</v>
      </c>
      <c r="G11" s="18" t="n">
        <f aca="false">Kawasan!$B$26*D11</f>
        <v>2304</v>
      </c>
      <c r="H11" s="18" t="n">
        <f aca="false">E11*Desain_Kolam!$B$16/1000</f>
        <v>128.7</v>
      </c>
      <c r="I11" s="18" t="n">
        <f aca="false">F11-G11-H11</f>
        <v>-1542.46</v>
      </c>
      <c r="J11" s="18" t="n">
        <f aca="false">J10+I11</f>
        <v>-1096.68</v>
      </c>
      <c r="K11" s="18" t="n">
        <f aca="false">MAX(K10,J11)</f>
        <v>867.080000000001</v>
      </c>
      <c r="L11" s="18" t="n">
        <f aca="false">K11-J11</f>
        <v>1963.76</v>
      </c>
      <c r="M11" s="18" t="n">
        <f aca="false">MIN(Desain_Kolam!$B$21,MAX(0,M10+F11-H11-G11))</f>
        <v>0</v>
      </c>
      <c r="N11" s="6" t="n">
        <f aca="false">IF(M10+F11-H11&gt;=G11,1,0)</f>
        <v>0</v>
      </c>
    </row>
    <row r="12" customFormat="false" ht="15" hidden="false" customHeight="false" outlineLevel="0" collapsed="false">
      <c r="A12" s="6" t="n">
        <v>2012</v>
      </c>
      <c r="B12" s="6" t="n">
        <v>7</v>
      </c>
      <c r="C12" s="4" t="n">
        <v>133</v>
      </c>
      <c r="D12" s="6" t="n">
        <v>31</v>
      </c>
      <c r="E12" s="4" t="n">
        <f aca="false">INDEX(Evaporasi!$B$3:$B$14,MATCH(B12,Evaporasi!$A$3:$A$14,0))</f>
        <v>120</v>
      </c>
      <c r="F12" s="18" t="n">
        <f aca="false">Kawasan!$B$11*Kawasan!$B$9*C12/1000</f>
        <v>1106.56</v>
      </c>
      <c r="G12" s="18" t="n">
        <f aca="false">Kawasan!$B$26*D12</f>
        <v>2380.8</v>
      </c>
      <c r="H12" s="18" t="n">
        <f aca="false">E12*Desain_Kolam!$B$16/1000</f>
        <v>128.7</v>
      </c>
      <c r="I12" s="18" t="n">
        <f aca="false">F12-G12-H12</f>
        <v>-1402.94</v>
      </c>
      <c r="J12" s="18" t="n">
        <f aca="false">J11+I12</f>
        <v>-2499.62</v>
      </c>
      <c r="K12" s="18" t="n">
        <f aca="false">MAX(K11,J12)</f>
        <v>867.080000000001</v>
      </c>
      <c r="L12" s="18" t="n">
        <f aca="false">K12-J12</f>
        <v>3366.7</v>
      </c>
      <c r="M12" s="18" t="n">
        <f aca="false">MIN(Desain_Kolam!$B$21,MAX(0,M11+F12-H12-G12))</f>
        <v>0</v>
      </c>
      <c r="N12" s="6" t="n">
        <f aca="false">IF(M11+F12-H12&gt;=G12,1,0)</f>
        <v>0</v>
      </c>
    </row>
    <row r="13" customFormat="false" ht="15" hidden="false" customHeight="false" outlineLevel="0" collapsed="false">
      <c r="A13" s="6" t="n">
        <v>2012</v>
      </c>
      <c r="B13" s="6" t="n">
        <v>8</v>
      </c>
      <c r="C13" s="4" t="n">
        <v>105</v>
      </c>
      <c r="D13" s="6" t="n">
        <v>31</v>
      </c>
      <c r="E13" s="4" t="n">
        <f aca="false">INDEX(Evaporasi!$B$3:$B$14,MATCH(B13,Evaporasi!$A$3:$A$14,0))</f>
        <v>120</v>
      </c>
      <c r="F13" s="18" t="n">
        <f aca="false">Kawasan!$B$11*Kawasan!$B$9*C13/1000</f>
        <v>873.6</v>
      </c>
      <c r="G13" s="18" t="n">
        <f aca="false">Kawasan!$B$26*D13</f>
        <v>2380.8</v>
      </c>
      <c r="H13" s="18" t="n">
        <f aca="false">E13*Desain_Kolam!$B$16/1000</f>
        <v>128.7</v>
      </c>
      <c r="I13" s="18" t="n">
        <f aca="false">F13-G13-H13</f>
        <v>-1635.9</v>
      </c>
      <c r="J13" s="18" t="n">
        <f aca="false">J12+I13</f>
        <v>-4135.52</v>
      </c>
      <c r="K13" s="18" t="n">
        <f aca="false">MAX(K12,J13)</f>
        <v>867.080000000001</v>
      </c>
      <c r="L13" s="18" t="n">
        <f aca="false">K13-J13</f>
        <v>5002.6</v>
      </c>
      <c r="M13" s="18" t="n">
        <f aca="false">MIN(Desain_Kolam!$B$21,MAX(0,M12+F13-H13-G13))</f>
        <v>0</v>
      </c>
      <c r="N13" s="6" t="n">
        <f aca="false">IF(M12+F13-H13&gt;=G13,1,0)</f>
        <v>0</v>
      </c>
    </row>
    <row r="14" customFormat="false" ht="15" hidden="false" customHeight="false" outlineLevel="0" collapsed="false">
      <c r="A14" s="6" t="n">
        <v>2012</v>
      </c>
      <c r="B14" s="6" t="n">
        <v>9</v>
      </c>
      <c r="C14" s="4" t="n">
        <v>174</v>
      </c>
      <c r="D14" s="6" t="n">
        <v>30</v>
      </c>
      <c r="E14" s="4" t="n">
        <f aca="false">INDEX(Evaporasi!$B$3:$B$14,MATCH(B14,Evaporasi!$A$3:$A$14,0))</f>
        <v>120</v>
      </c>
      <c r="F14" s="18" t="n">
        <f aca="false">Kawasan!$B$11*Kawasan!$B$9*C14/1000</f>
        <v>1447.68</v>
      </c>
      <c r="G14" s="18" t="n">
        <f aca="false">Kawasan!$B$26*D14</f>
        <v>2304</v>
      </c>
      <c r="H14" s="18" t="n">
        <f aca="false">E14*Desain_Kolam!$B$16/1000</f>
        <v>128.7</v>
      </c>
      <c r="I14" s="18" t="n">
        <f aca="false">F14-G14-H14</f>
        <v>-985.02</v>
      </c>
      <c r="J14" s="18" t="n">
        <f aca="false">J13+I14</f>
        <v>-5120.54</v>
      </c>
      <c r="K14" s="18" t="n">
        <f aca="false">MAX(K13,J14)</f>
        <v>867.080000000001</v>
      </c>
      <c r="L14" s="18" t="n">
        <f aca="false">K14-J14</f>
        <v>5987.62</v>
      </c>
      <c r="M14" s="18" t="n">
        <f aca="false">MIN(Desain_Kolam!$B$21,MAX(0,M13+F14-H14-G14))</f>
        <v>0</v>
      </c>
      <c r="N14" s="6" t="n">
        <f aca="false">IF(M13+F14-H14&gt;=G14,1,0)</f>
        <v>0</v>
      </c>
    </row>
    <row r="15" customFormat="false" ht="15" hidden="false" customHeight="false" outlineLevel="0" collapsed="false">
      <c r="A15" s="6" t="n">
        <v>2012</v>
      </c>
      <c r="B15" s="6" t="n">
        <v>10</v>
      </c>
      <c r="C15" s="4" t="n">
        <v>436</v>
      </c>
      <c r="D15" s="6" t="n">
        <v>31</v>
      </c>
      <c r="E15" s="4" t="n">
        <f aca="false">INDEX(Evaporasi!$B$3:$B$14,MATCH(B15,Evaporasi!$A$3:$A$14,0))</f>
        <v>120</v>
      </c>
      <c r="F15" s="18" t="n">
        <f aca="false">Kawasan!$B$11*Kawasan!$B$9*C15/1000</f>
        <v>3627.52</v>
      </c>
      <c r="G15" s="18" t="n">
        <f aca="false">Kawasan!$B$26*D15</f>
        <v>2380.8</v>
      </c>
      <c r="H15" s="18" t="n">
        <f aca="false">E15*Desain_Kolam!$B$16/1000</f>
        <v>128.7</v>
      </c>
      <c r="I15" s="18" t="n">
        <f aca="false">F15-G15-H15</f>
        <v>1118.02</v>
      </c>
      <c r="J15" s="18" t="n">
        <f aca="false">J14+I15</f>
        <v>-4002.52</v>
      </c>
      <c r="K15" s="18" t="n">
        <f aca="false">MAX(K14,J15)</f>
        <v>867.080000000001</v>
      </c>
      <c r="L15" s="18" t="n">
        <f aca="false">K15-J15</f>
        <v>4869.6</v>
      </c>
      <c r="M15" s="18" t="n">
        <f aca="false">MIN(Desain_Kolam!$B$21,MAX(0,M14+F15-H15-G15))</f>
        <v>1118.02</v>
      </c>
      <c r="N15" s="6" t="n">
        <f aca="false">IF(M14+F15-H15&gt;=G15,1,0)</f>
        <v>1</v>
      </c>
    </row>
    <row r="16" customFormat="false" ht="15" hidden="false" customHeight="false" outlineLevel="0" collapsed="false">
      <c r="A16" s="6" t="n">
        <v>2012</v>
      </c>
      <c r="B16" s="6" t="n">
        <v>11</v>
      </c>
      <c r="C16" s="4" t="n">
        <v>323</v>
      </c>
      <c r="D16" s="6" t="n">
        <v>30</v>
      </c>
      <c r="E16" s="4" t="n">
        <f aca="false">INDEX(Evaporasi!$B$3:$B$14,MATCH(B16,Evaporasi!$A$3:$A$14,0))</f>
        <v>120</v>
      </c>
      <c r="F16" s="18" t="n">
        <f aca="false">Kawasan!$B$11*Kawasan!$B$9*C16/1000</f>
        <v>2687.36</v>
      </c>
      <c r="G16" s="18" t="n">
        <f aca="false">Kawasan!$B$26*D16</f>
        <v>2304</v>
      </c>
      <c r="H16" s="18" t="n">
        <f aca="false">E16*Desain_Kolam!$B$16/1000</f>
        <v>128.7</v>
      </c>
      <c r="I16" s="18" t="n">
        <f aca="false">F16-G16-H16</f>
        <v>254.66</v>
      </c>
      <c r="J16" s="18" t="n">
        <f aca="false">J15+I16</f>
        <v>-3747.86</v>
      </c>
      <c r="K16" s="18" t="n">
        <f aca="false">MAX(K15,J16)</f>
        <v>867.080000000001</v>
      </c>
      <c r="L16" s="18" t="n">
        <f aca="false">K16-J16</f>
        <v>4614.94</v>
      </c>
      <c r="M16" s="18" t="n">
        <f aca="false">MIN(Desain_Kolam!$B$21,MAX(0,M15+F16-H16-G16))</f>
        <v>1372.68</v>
      </c>
      <c r="N16" s="6" t="n">
        <f aca="false">IF(M15+F16-H16&gt;=G16,1,0)</f>
        <v>1</v>
      </c>
    </row>
    <row r="17" customFormat="false" ht="15" hidden="false" customHeight="false" outlineLevel="0" collapsed="false">
      <c r="A17" s="6" t="n">
        <v>2012</v>
      </c>
      <c r="B17" s="6" t="n">
        <v>12</v>
      </c>
      <c r="C17" s="4" t="n">
        <v>297</v>
      </c>
      <c r="D17" s="6" t="n">
        <v>31</v>
      </c>
      <c r="E17" s="4" t="n">
        <f aca="false">INDEX(Evaporasi!$B$3:$B$14,MATCH(B17,Evaporasi!$A$3:$A$14,0))</f>
        <v>120</v>
      </c>
      <c r="F17" s="18" t="n">
        <f aca="false">Kawasan!$B$11*Kawasan!$B$9*C17/1000</f>
        <v>2471.04</v>
      </c>
      <c r="G17" s="18" t="n">
        <f aca="false">Kawasan!$B$26*D17</f>
        <v>2380.8</v>
      </c>
      <c r="H17" s="18" t="n">
        <f aca="false">E17*Desain_Kolam!$B$16/1000</f>
        <v>128.7</v>
      </c>
      <c r="I17" s="18" t="n">
        <f aca="false">F17-G17-H17</f>
        <v>-38.4599999999998</v>
      </c>
      <c r="J17" s="18" t="n">
        <f aca="false">J16+I17</f>
        <v>-3786.32</v>
      </c>
      <c r="K17" s="18" t="n">
        <f aca="false">MAX(K16,J17)</f>
        <v>867.080000000001</v>
      </c>
      <c r="L17" s="18" t="n">
        <f aca="false">K17-J17</f>
        <v>4653.4</v>
      </c>
      <c r="M17" s="18" t="n">
        <f aca="false">MIN(Desain_Kolam!$B$21,MAX(0,M16+F17-H17-G17))</f>
        <v>1334.22</v>
      </c>
      <c r="N17" s="6" t="n">
        <f aca="false">IF(M16+F17-H17&gt;=G17,1,0)</f>
        <v>1</v>
      </c>
    </row>
    <row r="18" customFormat="false" ht="15" hidden="false" customHeight="false" outlineLevel="0" collapsed="false">
      <c r="A18" s="6" t="n">
        <v>2013</v>
      </c>
      <c r="B18" s="6" t="n">
        <v>1</v>
      </c>
      <c r="C18" s="4" t="n">
        <v>141</v>
      </c>
      <c r="D18" s="6" t="n">
        <v>31</v>
      </c>
      <c r="E18" s="4" t="n">
        <f aca="false">INDEX(Evaporasi!$B$3:$B$14,MATCH(B18,Evaporasi!$A$3:$A$14,0))</f>
        <v>120</v>
      </c>
      <c r="F18" s="18" t="n">
        <f aca="false">Kawasan!$B$11*Kawasan!$B$9*C18/1000</f>
        <v>1173.12</v>
      </c>
      <c r="G18" s="18" t="n">
        <f aca="false">Kawasan!$B$26*D18</f>
        <v>2380.8</v>
      </c>
      <c r="H18" s="18" t="n">
        <f aca="false">E18*Desain_Kolam!$B$16/1000</f>
        <v>128.7</v>
      </c>
      <c r="I18" s="18" t="n">
        <f aca="false">F18-G18-H18</f>
        <v>-1336.38</v>
      </c>
      <c r="J18" s="18" t="n">
        <f aca="false">J17+I18</f>
        <v>-5122.7</v>
      </c>
      <c r="K18" s="18" t="n">
        <f aca="false">MAX(K17,J18)</f>
        <v>867.080000000001</v>
      </c>
      <c r="L18" s="18" t="n">
        <f aca="false">K18-J18</f>
        <v>5989.78</v>
      </c>
      <c r="M18" s="18" t="n">
        <f aca="false">MIN(Desain_Kolam!$B$21,MAX(0,M17+F18-H18-G18))</f>
        <v>0</v>
      </c>
      <c r="N18" s="6" t="n">
        <f aca="false">IF(M17+F18-H18&gt;=G18,1,0)</f>
        <v>0</v>
      </c>
    </row>
    <row r="19" customFormat="false" ht="15" hidden="false" customHeight="false" outlineLevel="0" collapsed="false">
      <c r="A19" s="6" t="n">
        <v>2013</v>
      </c>
      <c r="B19" s="6" t="n">
        <v>2</v>
      </c>
      <c r="C19" s="4" t="n">
        <v>291</v>
      </c>
      <c r="D19" s="6" t="n">
        <v>28</v>
      </c>
      <c r="E19" s="4" t="n">
        <f aca="false">INDEX(Evaporasi!$B$3:$B$14,MATCH(B19,Evaporasi!$A$3:$A$14,0))</f>
        <v>120</v>
      </c>
      <c r="F19" s="18" t="n">
        <f aca="false">Kawasan!$B$11*Kawasan!$B$9*C19/1000</f>
        <v>2421.12</v>
      </c>
      <c r="G19" s="18" t="n">
        <f aca="false">Kawasan!$B$26*D19</f>
        <v>2150.4</v>
      </c>
      <c r="H19" s="18" t="n">
        <f aca="false">E19*Desain_Kolam!$B$16/1000</f>
        <v>128.7</v>
      </c>
      <c r="I19" s="18" t="n">
        <f aca="false">F19-G19-H19</f>
        <v>142.02</v>
      </c>
      <c r="J19" s="18" t="n">
        <f aca="false">J18+I19</f>
        <v>-4980.68</v>
      </c>
      <c r="K19" s="18" t="n">
        <f aca="false">MAX(K18,J19)</f>
        <v>867.080000000001</v>
      </c>
      <c r="L19" s="18" t="n">
        <f aca="false">K19-J19</f>
        <v>5847.76</v>
      </c>
      <c r="M19" s="18" t="n">
        <f aca="false">MIN(Desain_Kolam!$B$21,MAX(0,M18+F19-H19-G19))</f>
        <v>142.02</v>
      </c>
      <c r="N19" s="6" t="n">
        <f aca="false">IF(M18+F19-H19&gt;=G19,1,0)</f>
        <v>1</v>
      </c>
    </row>
    <row r="20" customFormat="false" ht="15" hidden="false" customHeight="false" outlineLevel="0" collapsed="false">
      <c r="A20" s="6" t="n">
        <v>2013</v>
      </c>
      <c r="B20" s="6" t="n">
        <v>3</v>
      </c>
      <c r="C20" s="4" t="n">
        <v>152</v>
      </c>
      <c r="D20" s="6" t="n">
        <v>31</v>
      </c>
      <c r="E20" s="4" t="n">
        <f aca="false">INDEX(Evaporasi!$B$3:$B$14,MATCH(B20,Evaporasi!$A$3:$A$14,0))</f>
        <v>120</v>
      </c>
      <c r="F20" s="18" t="n">
        <f aca="false">Kawasan!$B$11*Kawasan!$B$9*C20/1000</f>
        <v>1264.64</v>
      </c>
      <c r="G20" s="18" t="n">
        <f aca="false">Kawasan!$B$26*D20</f>
        <v>2380.8</v>
      </c>
      <c r="H20" s="18" t="n">
        <f aca="false">E20*Desain_Kolam!$B$16/1000</f>
        <v>128.7</v>
      </c>
      <c r="I20" s="18" t="n">
        <f aca="false">F20-G20-H20</f>
        <v>-1244.86</v>
      </c>
      <c r="J20" s="18" t="n">
        <f aca="false">J19+I20</f>
        <v>-6225.54</v>
      </c>
      <c r="K20" s="18" t="n">
        <f aca="false">MAX(K19,J20)</f>
        <v>867.080000000001</v>
      </c>
      <c r="L20" s="18" t="n">
        <f aca="false">K20-J20</f>
        <v>7092.62</v>
      </c>
      <c r="M20" s="18" t="n">
        <f aca="false">MIN(Desain_Kolam!$B$21,MAX(0,M19+F20-H20-G20))</f>
        <v>0</v>
      </c>
      <c r="N20" s="6" t="n">
        <f aca="false">IF(M19+F20-H20&gt;=G20,1,0)</f>
        <v>0</v>
      </c>
    </row>
    <row r="21" customFormat="false" ht="15" hidden="false" customHeight="false" outlineLevel="0" collapsed="false">
      <c r="A21" s="6" t="n">
        <v>2013</v>
      </c>
      <c r="B21" s="6" t="n">
        <v>4</v>
      </c>
      <c r="C21" s="4" t="n">
        <v>435</v>
      </c>
      <c r="D21" s="6" t="n">
        <v>30</v>
      </c>
      <c r="E21" s="4" t="n">
        <f aca="false">INDEX(Evaporasi!$B$3:$B$14,MATCH(B21,Evaporasi!$A$3:$A$14,0))</f>
        <v>120</v>
      </c>
      <c r="F21" s="18" t="n">
        <f aca="false">Kawasan!$B$11*Kawasan!$B$9*C21/1000</f>
        <v>3619.2</v>
      </c>
      <c r="G21" s="18" t="n">
        <f aca="false">Kawasan!$B$26*D21</f>
        <v>2304</v>
      </c>
      <c r="H21" s="18" t="n">
        <f aca="false">E21*Desain_Kolam!$B$16/1000</f>
        <v>128.7</v>
      </c>
      <c r="I21" s="18" t="n">
        <f aca="false">F21-G21-H21</f>
        <v>1186.5</v>
      </c>
      <c r="J21" s="18" t="n">
        <f aca="false">J20+I21</f>
        <v>-5039.04</v>
      </c>
      <c r="K21" s="18" t="n">
        <f aca="false">MAX(K20,J21)</f>
        <v>867.080000000001</v>
      </c>
      <c r="L21" s="18" t="n">
        <f aca="false">K21-J21</f>
        <v>5906.12</v>
      </c>
      <c r="M21" s="18" t="n">
        <f aca="false">MIN(Desain_Kolam!$B$21,MAX(0,M20+F21-H21-G21))</f>
        <v>1186.5</v>
      </c>
      <c r="N21" s="6" t="n">
        <f aca="false">IF(M20+F21-H21&gt;=G21,1,0)</f>
        <v>1</v>
      </c>
    </row>
    <row r="22" customFormat="false" ht="15" hidden="false" customHeight="false" outlineLevel="0" collapsed="false">
      <c r="A22" s="6" t="n">
        <v>2013</v>
      </c>
      <c r="B22" s="6" t="n">
        <v>5</v>
      </c>
      <c r="C22" s="4" t="n">
        <v>358</v>
      </c>
      <c r="D22" s="6" t="n">
        <v>31</v>
      </c>
      <c r="E22" s="4" t="n">
        <f aca="false">INDEX(Evaporasi!$B$3:$B$14,MATCH(B22,Evaporasi!$A$3:$A$14,0))</f>
        <v>120</v>
      </c>
      <c r="F22" s="18" t="n">
        <f aca="false">Kawasan!$B$11*Kawasan!$B$9*C22/1000</f>
        <v>2978.56</v>
      </c>
      <c r="G22" s="18" t="n">
        <f aca="false">Kawasan!$B$26*D22</f>
        <v>2380.8</v>
      </c>
      <c r="H22" s="18" t="n">
        <f aca="false">E22*Desain_Kolam!$B$16/1000</f>
        <v>128.7</v>
      </c>
      <c r="I22" s="18" t="n">
        <f aca="false">F22-G22-H22</f>
        <v>469.06</v>
      </c>
      <c r="J22" s="18" t="n">
        <f aca="false">J21+I22</f>
        <v>-4569.98</v>
      </c>
      <c r="K22" s="18" t="n">
        <f aca="false">MAX(K21,J22)</f>
        <v>867.080000000001</v>
      </c>
      <c r="L22" s="18" t="n">
        <f aca="false">K22-J22</f>
        <v>5437.06</v>
      </c>
      <c r="M22" s="18" t="n">
        <f aca="false">MIN(Desain_Kolam!$B$21,MAX(0,M21+F22-H22-G22))</f>
        <v>1655.56</v>
      </c>
      <c r="N22" s="6" t="n">
        <f aca="false">IF(M21+F22-H22&gt;=G22,1,0)</f>
        <v>1</v>
      </c>
    </row>
    <row r="23" customFormat="false" ht="15" hidden="false" customHeight="false" outlineLevel="0" collapsed="false">
      <c r="A23" s="6" t="n">
        <v>2013</v>
      </c>
      <c r="B23" s="6" t="n">
        <v>6</v>
      </c>
      <c r="C23" s="4" t="n">
        <v>212</v>
      </c>
      <c r="D23" s="6" t="n">
        <v>30</v>
      </c>
      <c r="E23" s="4" t="n">
        <f aca="false">INDEX(Evaporasi!$B$3:$B$14,MATCH(B23,Evaporasi!$A$3:$A$14,0))</f>
        <v>120</v>
      </c>
      <c r="F23" s="18" t="n">
        <f aca="false">Kawasan!$B$11*Kawasan!$B$9*C23/1000</f>
        <v>1763.84</v>
      </c>
      <c r="G23" s="18" t="n">
        <f aca="false">Kawasan!$B$26*D23</f>
        <v>2304</v>
      </c>
      <c r="H23" s="18" t="n">
        <f aca="false">E23*Desain_Kolam!$B$16/1000</f>
        <v>128.7</v>
      </c>
      <c r="I23" s="18" t="n">
        <f aca="false">F23-G23-H23</f>
        <v>-668.86</v>
      </c>
      <c r="J23" s="18" t="n">
        <f aca="false">J22+I23</f>
        <v>-5238.84</v>
      </c>
      <c r="K23" s="18" t="n">
        <f aca="false">MAX(K22,J23)</f>
        <v>867.080000000001</v>
      </c>
      <c r="L23" s="18" t="n">
        <f aca="false">K23-J23</f>
        <v>6105.92</v>
      </c>
      <c r="M23" s="18" t="n">
        <f aca="false">MIN(Desain_Kolam!$B$21,MAX(0,M22+F23-H23-G23))</f>
        <v>986.7</v>
      </c>
      <c r="N23" s="6" t="n">
        <f aca="false">IF(M22+F23-H23&gt;=G23,1,0)</f>
        <v>1</v>
      </c>
    </row>
    <row r="24" customFormat="false" ht="15" hidden="false" customHeight="false" outlineLevel="0" collapsed="false">
      <c r="A24" s="6" t="n">
        <v>2013</v>
      </c>
      <c r="B24" s="6" t="n">
        <v>7</v>
      </c>
      <c r="C24" s="4" t="n">
        <v>320</v>
      </c>
      <c r="D24" s="6" t="n">
        <v>31</v>
      </c>
      <c r="E24" s="4" t="n">
        <f aca="false">INDEX(Evaporasi!$B$3:$B$14,MATCH(B24,Evaporasi!$A$3:$A$14,0))</f>
        <v>120</v>
      </c>
      <c r="F24" s="18" t="n">
        <f aca="false">Kawasan!$B$11*Kawasan!$B$9*C24/1000</f>
        <v>2662.4</v>
      </c>
      <c r="G24" s="18" t="n">
        <f aca="false">Kawasan!$B$26*D24</f>
        <v>2380.8</v>
      </c>
      <c r="H24" s="18" t="n">
        <f aca="false">E24*Desain_Kolam!$B$16/1000</f>
        <v>128.7</v>
      </c>
      <c r="I24" s="18" t="n">
        <f aca="false">F24-G24-H24</f>
        <v>152.9</v>
      </c>
      <c r="J24" s="18" t="n">
        <f aca="false">J23+I24</f>
        <v>-5085.94</v>
      </c>
      <c r="K24" s="18" t="n">
        <f aca="false">MAX(K23,J24)</f>
        <v>867.080000000001</v>
      </c>
      <c r="L24" s="18" t="n">
        <f aca="false">K24-J24</f>
        <v>5953.02</v>
      </c>
      <c r="M24" s="18" t="n">
        <f aca="false">MIN(Desain_Kolam!$B$21,MAX(0,M23+F24-H24-G24))</f>
        <v>1139.6</v>
      </c>
      <c r="N24" s="6" t="n">
        <f aca="false">IF(M23+F24-H24&gt;=G24,1,0)</f>
        <v>1</v>
      </c>
    </row>
    <row r="25" customFormat="false" ht="15" hidden="false" customHeight="false" outlineLevel="0" collapsed="false">
      <c r="A25" s="6" t="n">
        <v>2013</v>
      </c>
      <c r="B25" s="6" t="n">
        <v>8</v>
      </c>
      <c r="C25" s="4" t="n">
        <v>167</v>
      </c>
      <c r="D25" s="6" t="n">
        <v>31</v>
      </c>
      <c r="E25" s="4" t="n">
        <f aca="false">INDEX(Evaporasi!$B$3:$B$14,MATCH(B25,Evaporasi!$A$3:$A$14,0))</f>
        <v>120</v>
      </c>
      <c r="F25" s="18" t="n">
        <f aca="false">Kawasan!$B$11*Kawasan!$B$9*C25/1000</f>
        <v>1389.44</v>
      </c>
      <c r="G25" s="18" t="n">
        <f aca="false">Kawasan!$B$26*D25</f>
        <v>2380.8</v>
      </c>
      <c r="H25" s="18" t="n">
        <f aca="false">E25*Desain_Kolam!$B$16/1000</f>
        <v>128.7</v>
      </c>
      <c r="I25" s="18" t="n">
        <f aca="false">F25-G25-H25</f>
        <v>-1120.06</v>
      </c>
      <c r="J25" s="18" t="n">
        <f aca="false">J24+I25</f>
        <v>-6206</v>
      </c>
      <c r="K25" s="18" t="n">
        <f aca="false">MAX(K24,J25)</f>
        <v>867.080000000001</v>
      </c>
      <c r="L25" s="18" t="n">
        <f aca="false">K25-J25</f>
        <v>7073.08</v>
      </c>
      <c r="M25" s="18" t="n">
        <f aca="false">MIN(Desain_Kolam!$B$21,MAX(0,M24+F25-H25-G25))</f>
        <v>19.5400000000009</v>
      </c>
      <c r="N25" s="6" t="n">
        <f aca="false">IF(M24+F25-H25&gt;=G25,1,0)</f>
        <v>1</v>
      </c>
    </row>
    <row r="26" customFormat="false" ht="15" hidden="false" customHeight="false" outlineLevel="0" collapsed="false">
      <c r="A26" s="6" t="n">
        <v>2013</v>
      </c>
      <c r="B26" s="6" t="n">
        <v>9</v>
      </c>
      <c r="C26" s="4" t="n">
        <v>129</v>
      </c>
      <c r="D26" s="6" t="n">
        <v>30</v>
      </c>
      <c r="E26" s="4" t="n">
        <f aca="false">INDEX(Evaporasi!$B$3:$B$14,MATCH(B26,Evaporasi!$A$3:$A$14,0))</f>
        <v>120</v>
      </c>
      <c r="F26" s="18" t="n">
        <f aca="false">Kawasan!$B$11*Kawasan!$B$9*C26/1000</f>
        <v>1073.28</v>
      </c>
      <c r="G26" s="18" t="n">
        <f aca="false">Kawasan!$B$26*D26</f>
        <v>2304</v>
      </c>
      <c r="H26" s="18" t="n">
        <f aca="false">E26*Desain_Kolam!$B$16/1000</f>
        <v>128.7</v>
      </c>
      <c r="I26" s="18" t="n">
        <f aca="false">F26-G26-H26</f>
        <v>-1359.42</v>
      </c>
      <c r="J26" s="18" t="n">
        <f aca="false">J25+I26</f>
        <v>-7565.42</v>
      </c>
      <c r="K26" s="18" t="n">
        <f aca="false">MAX(K25,J26)</f>
        <v>867.080000000001</v>
      </c>
      <c r="L26" s="18" t="n">
        <f aca="false">K26-J26</f>
        <v>8432.5</v>
      </c>
      <c r="M26" s="18" t="n">
        <f aca="false">MIN(Desain_Kolam!$B$21,MAX(0,M25+F26-H26-G26))</f>
        <v>0</v>
      </c>
      <c r="N26" s="6" t="n">
        <f aca="false">IF(M25+F26-H26&gt;=G26,1,0)</f>
        <v>0</v>
      </c>
    </row>
    <row r="27" customFormat="false" ht="15" hidden="false" customHeight="false" outlineLevel="0" collapsed="false">
      <c r="A27" s="6" t="n">
        <v>2013</v>
      </c>
      <c r="B27" s="6" t="n">
        <v>10</v>
      </c>
      <c r="C27" s="4" t="n">
        <v>151</v>
      </c>
      <c r="D27" s="6" t="n">
        <v>31</v>
      </c>
      <c r="E27" s="4" t="n">
        <f aca="false">INDEX(Evaporasi!$B$3:$B$14,MATCH(B27,Evaporasi!$A$3:$A$14,0))</f>
        <v>120</v>
      </c>
      <c r="F27" s="18" t="n">
        <f aca="false">Kawasan!$B$11*Kawasan!$B$9*C27/1000</f>
        <v>1256.32</v>
      </c>
      <c r="G27" s="18" t="n">
        <f aca="false">Kawasan!$B$26*D27</f>
        <v>2380.8</v>
      </c>
      <c r="H27" s="18" t="n">
        <f aca="false">E27*Desain_Kolam!$B$16/1000</f>
        <v>128.7</v>
      </c>
      <c r="I27" s="18" t="n">
        <f aca="false">F27-G27-H27</f>
        <v>-1253.18</v>
      </c>
      <c r="J27" s="18" t="n">
        <f aca="false">J26+I27</f>
        <v>-8818.6</v>
      </c>
      <c r="K27" s="18" t="n">
        <f aca="false">MAX(K26,J27)</f>
        <v>867.080000000001</v>
      </c>
      <c r="L27" s="18" t="n">
        <f aca="false">K27-J27</f>
        <v>9685.68</v>
      </c>
      <c r="M27" s="18" t="n">
        <f aca="false">MIN(Desain_Kolam!$B$21,MAX(0,M26+F27-H27-G27))</f>
        <v>0</v>
      </c>
      <c r="N27" s="6" t="n">
        <f aca="false">IF(M26+F27-H27&gt;=G27,1,0)</f>
        <v>0</v>
      </c>
    </row>
    <row r="28" customFormat="false" ht="15" hidden="false" customHeight="false" outlineLevel="0" collapsed="false">
      <c r="A28" s="6" t="n">
        <v>2013</v>
      </c>
      <c r="B28" s="6" t="n">
        <v>11</v>
      </c>
      <c r="C28" s="4" t="n">
        <v>280</v>
      </c>
      <c r="D28" s="6" t="n">
        <v>30</v>
      </c>
      <c r="E28" s="4" t="n">
        <f aca="false">INDEX(Evaporasi!$B$3:$B$14,MATCH(B28,Evaporasi!$A$3:$A$14,0))</f>
        <v>120</v>
      </c>
      <c r="F28" s="18" t="n">
        <f aca="false">Kawasan!$B$11*Kawasan!$B$9*C28/1000</f>
        <v>2329.6</v>
      </c>
      <c r="G28" s="18" t="n">
        <f aca="false">Kawasan!$B$26*D28</f>
        <v>2304</v>
      </c>
      <c r="H28" s="18" t="n">
        <f aca="false">E28*Desain_Kolam!$B$16/1000</f>
        <v>128.7</v>
      </c>
      <c r="I28" s="18" t="n">
        <f aca="false">F28-G28-H28</f>
        <v>-103.1</v>
      </c>
      <c r="J28" s="18" t="n">
        <f aca="false">J27+I28</f>
        <v>-8921.7</v>
      </c>
      <c r="K28" s="18" t="n">
        <f aca="false">MAX(K27,J28)</f>
        <v>867.080000000001</v>
      </c>
      <c r="L28" s="18" t="n">
        <f aca="false">K28-J28</f>
        <v>9788.78</v>
      </c>
      <c r="M28" s="18" t="n">
        <f aca="false">MIN(Desain_Kolam!$B$21,MAX(0,M27+F28-H28-G28))</f>
        <v>0</v>
      </c>
      <c r="N28" s="6" t="n">
        <f aca="false">IF(M27+F28-H28&gt;=G28,1,0)</f>
        <v>0</v>
      </c>
    </row>
    <row r="29" customFormat="false" ht="15" hidden="false" customHeight="false" outlineLevel="0" collapsed="false">
      <c r="A29" s="6" t="n">
        <v>2013</v>
      </c>
      <c r="B29" s="6" t="n">
        <v>12</v>
      </c>
      <c r="C29" s="4" t="n">
        <v>280</v>
      </c>
      <c r="D29" s="6" t="n">
        <v>31</v>
      </c>
      <c r="E29" s="4" t="n">
        <f aca="false">INDEX(Evaporasi!$B$3:$B$14,MATCH(B29,Evaporasi!$A$3:$A$14,0))</f>
        <v>120</v>
      </c>
      <c r="F29" s="18" t="n">
        <f aca="false">Kawasan!$B$11*Kawasan!$B$9*C29/1000</f>
        <v>2329.6</v>
      </c>
      <c r="G29" s="18" t="n">
        <f aca="false">Kawasan!$B$26*D29</f>
        <v>2380.8</v>
      </c>
      <c r="H29" s="18" t="n">
        <f aca="false">E29*Desain_Kolam!$B$16/1000</f>
        <v>128.7</v>
      </c>
      <c r="I29" s="18" t="n">
        <f aca="false">F29-G29-H29</f>
        <v>-179.9</v>
      </c>
      <c r="J29" s="18" t="n">
        <f aca="false">J28+I29</f>
        <v>-9101.6</v>
      </c>
      <c r="K29" s="18" t="n">
        <f aca="false">MAX(K28,J29)</f>
        <v>867.080000000001</v>
      </c>
      <c r="L29" s="18" t="n">
        <f aca="false">K29-J29</f>
        <v>9968.68</v>
      </c>
      <c r="M29" s="18" t="n">
        <f aca="false">MIN(Desain_Kolam!$B$21,MAX(0,M28+F29-H29-G29))</f>
        <v>0</v>
      </c>
      <c r="N29" s="6" t="n">
        <f aca="false">IF(M28+F29-H29&gt;=G29,1,0)</f>
        <v>0</v>
      </c>
    </row>
    <row r="30" customFormat="false" ht="15" hidden="false" customHeight="false" outlineLevel="0" collapsed="false">
      <c r="A30" s="6" t="n">
        <v>2014</v>
      </c>
      <c r="B30" s="6" t="n">
        <v>1</v>
      </c>
      <c r="C30" s="4" t="n">
        <v>66</v>
      </c>
      <c r="D30" s="6" t="n">
        <v>31</v>
      </c>
      <c r="E30" s="4" t="n">
        <f aca="false">INDEX(Evaporasi!$B$3:$B$14,MATCH(B30,Evaporasi!$A$3:$A$14,0))</f>
        <v>120</v>
      </c>
      <c r="F30" s="18" t="n">
        <f aca="false">Kawasan!$B$11*Kawasan!$B$9*C30/1000</f>
        <v>549.12</v>
      </c>
      <c r="G30" s="18" t="n">
        <f aca="false">Kawasan!$B$26*D30</f>
        <v>2380.8</v>
      </c>
      <c r="H30" s="18" t="n">
        <f aca="false">E30*Desain_Kolam!$B$16/1000</f>
        <v>128.7</v>
      </c>
      <c r="I30" s="18" t="n">
        <f aca="false">F30-G30-H30</f>
        <v>-1960.38</v>
      </c>
      <c r="J30" s="18" t="n">
        <f aca="false">J29+I30</f>
        <v>-11061.98</v>
      </c>
      <c r="K30" s="18" t="n">
        <f aca="false">MAX(K29,J30)</f>
        <v>867.080000000001</v>
      </c>
      <c r="L30" s="18" t="n">
        <f aca="false">K30-J30</f>
        <v>11929.06</v>
      </c>
      <c r="M30" s="18" t="n">
        <f aca="false">MIN(Desain_Kolam!$B$21,MAX(0,M29+F30-H30-G30))</f>
        <v>0</v>
      </c>
      <c r="N30" s="6" t="n">
        <f aca="false">IF(M29+F30-H30&gt;=G30,1,0)</f>
        <v>0</v>
      </c>
    </row>
    <row r="31" customFormat="false" ht="15" hidden="false" customHeight="false" outlineLevel="0" collapsed="false">
      <c r="A31" s="6" t="n">
        <v>2014</v>
      </c>
      <c r="B31" s="6" t="n">
        <v>2</v>
      </c>
      <c r="C31" s="4" t="n">
        <v>24</v>
      </c>
      <c r="D31" s="6" t="n">
        <v>28</v>
      </c>
      <c r="E31" s="4" t="n">
        <f aca="false">INDEX(Evaporasi!$B$3:$B$14,MATCH(B31,Evaporasi!$A$3:$A$14,0))</f>
        <v>120</v>
      </c>
      <c r="F31" s="18" t="n">
        <f aca="false">Kawasan!$B$11*Kawasan!$B$9*C31/1000</f>
        <v>199.68</v>
      </c>
      <c r="G31" s="18" t="n">
        <f aca="false">Kawasan!$B$26*D31</f>
        <v>2150.4</v>
      </c>
      <c r="H31" s="18" t="n">
        <f aca="false">E31*Desain_Kolam!$B$16/1000</f>
        <v>128.7</v>
      </c>
      <c r="I31" s="18" t="n">
        <f aca="false">F31-G31-H31</f>
        <v>-2079.42</v>
      </c>
      <c r="J31" s="18" t="n">
        <f aca="false">J30+I31</f>
        <v>-13141.4</v>
      </c>
      <c r="K31" s="18" t="n">
        <f aca="false">MAX(K30,J31)</f>
        <v>867.080000000001</v>
      </c>
      <c r="L31" s="18" t="n">
        <f aca="false">K31-J31</f>
        <v>14008.48</v>
      </c>
      <c r="M31" s="18" t="n">
        <f aca="false">MIN(Desain_Kolam!$B$21,MAX(0,M30+F31-H31-G31))</f>
        <v>0</v>
      </c>
      <c r="N31" s="6" t="n">
        <f aca="false">IF(M30+F31-H31&gt;=G31,1,0)</f>
        <v>0</v>
      </c>
    </row>
    <row r="32" customFormat="false" ht="15" hidden="false" customHeight="false" outlineLevel="0" collapsed="false">
      <c r="A32" s="6" t="n">
        <v>2014</v>
      </c>
      <c r="B32" s="6" t="n">
        <v>3</v>
      </c>
      <c r="C32" s="4" t="n">
        <v>141</v>
      </c>
      <c r="D32" s="6" t="n">
        <v>31</v>
      </c>
      <c r="E32" s="4" t="n">
        <f aca="false">INDEX(Evaporasi!$B$3:$B$14,MATCH(B32,Evaporasi!$A$3:$A$14,0))</f>
        <v>120</v>
      </c>
      <c r="F32" s="18" t="n">
        <f aca="false">Kawasan!$B$11*Kawasan!$B$9*C32/1000</f>
        <v>1173.12</v>
      </c>
      <c r="G32" s="18" t="n">
        <f aca="false">Kawasan!$B$26*D32</f>
        <v>2380.8</v>
      </c>
      <c r="H32" s="18" t="n">
        <f aca="false">E32*Desain_Kolam!$B$16/1000</f>
        <v>128.7</v>
      </c>
      <c r="I32" s="18" t="n">
        <f aca="false">F32-G32-H32</f>
        <v>-1336.38</v>
      </c>
      <c r="J32" s="18" t="n">
        <f aca="false">J31+I32</f>
        <v>-14477.78</v>
      </c>
      <c r="K32" s="18" t="n">
        <f aca="false">MAX(K31,J32)</f>
        <v>867.080000000001</v>
      </c>
      <c r="L32" s="18" t="n">
        <f aca="false">K32-J32</f>
        <v>15344.86</v>
      </c>
      <c r="M32" s="18" t="n">
        <f aca="false">MIN(Desain_Kolam!$B$21,MAX(0,M31+F32-H32-G32))</f>
        <v>0</v>
      </c>
      <c r="N32" s="6" t="n">
        <f aca="false">IF(M31+F32-H32&gt;=G32,1,0)</f>
        <v>0</v>
      </c>
    </row>
    <row r="33" customFormat="false" ht="15" hidden="false" customHeight="false" outlineLevel="0" collapsed="false">
      <c r="A33" s="6" t="n">
        <v>2014</v>
      </c>
      <c r="B33" s="6" t="n">
        <v>4</v>
      </c>
      <c r="C33" s="4" t="n">
        <v>129</v>
      </c>
      <c r="D33" s="6" t="n">
        <v>30</v>
      </c>
      <c r="E33" s="4" t="n">
        <f aca="false">INDEX(Evaporasi!$B$3:$B$14,MATCH(B33,Evaporasi!$A$3:$A$14,0))</f>
        <v>120</v>
      </c>
      <c r="F33" s="18" t="n">
        <f aca="false">Kawasan!$B$11*Kawasan!$B$9*C33/1000</f>
        <v>1073.28</v>
      </c>
      <c r="G33" s="18" t="n">
        <f aca="false">Kawasan!$B$26*D33</f>
        <v>2304</v>
      </c>
      <c r="H33" s="18" t="n">
        <f aca="false">E33*Desain_Kolam!$B$16/1000</f>
        <v>128.7</v>
      </c>
      <c r="I33" s="18" t="n">
        <f aca="false">F33-G33-H33</f>
        <v>-1359.42</v>
      </c>
      <c r="J33" s="18" t="n">
        <f aca="false">J32+I33</f>
        <v>-15837.2</v>
      </c>
      <c r="K33" s="18" t="n">
        <f aca="false">MAX(K32,J33)</f>
        <v>867.080000000001</v>
      </c>
      <c r="L33" s="18" t="n">
        <f aca="false">K33-J33</f>
        <v>16704.28</v>
      </c>
      <c r="M33" s="18" t="n">
        <f aca="false">MIN(Desain_Kolam!$B$21,MAX(0,M32+F33-H33-G33))</f>
        <v>0</v>
      </c>
      <c r="N33" s="6" t="n">
        <f aca="false">IF(M32+F33-H33&gt;=G33,1,0)</f>
        <v>0</v>
      </c>
    </row>
    <row r="34" customFormat="false" ht="15" hidden="false" customHeight="false" outlineLevel="0" collapsed="false">
      <c r="A34" s="6" t="n">
        <v>2014</v>
      </c>
      <c r="B34" s="6" t="n">
        <v>5</v>
      </c>
      <c r="C34" s="4" t="n">
        <v>279</v>
      </c>
      <c r="D34" s="6" t="n">
        <v>31</v>
      </c>
      <c r="E34" s="4" t="n">
        <f aca="false">INDEX(Evaporasi!$B$3:$B$14,MATCH(B34,Evaporasi!$A$3:$A$14,0))</f>
        <v>120</v>
      </c>
      <c r="F34" s="18" t="n">
        <f aca="false">Kawasan!$B$11*Kawasan!$B$9*C34/1000</f>
        <v>2321.28</v>
      </c>
      <c r="G34" s="18" t="n">
        <f aca="false">Kawasan!$B$26*D34</f>
        <v>2380.8</v>
      </c>
      <c r="H34" s="18" t="n">
        <f aca="false">E34*Desain_Kolam!$B$16/1000</f>
        <v>128.7</v>
      </c>
      <c r="I34" s="18" t="n">
        <f aca="false">F34-G34-H34</f>
        <v>-188.22</v>
      </c>
      <c r="J34" s="18" t="n">
        <f aca="false">J33+I34</f>
        <v>-16025.42</v>
      </c>
      <c r="K34" s="18" t="n">
        <f aca="false">MAX(K33,J34)</f>
        <v>867.080000000001</v>
      </c>
      <c r="L34" s="18" t="n">
        <f aca="false">K34-J34</f>
        <v>16892.5</v>
      </c>
      <c r="M34" s="18" t="n">
        <f aca="false">MIN(Desain_Kolam!$B$21,MAX(0,M33+F34-H34-G34))</f>
        <v>0</v>
      </c>
      <c r="N34" s="6" t="n">
        <f aca="false">IF(M33+F34-H34&gt;=G34,1,0)</f>
        <v>0</v>
      </c>
    </row>
    <row r="35" customFormat="false" ht="15" hidden="false" customHeight="false" outlineLevel="0" collapsed="false">
      <c r="A35" s="6" t="n">
        <v>2014</v>
      </c>
      <c r="B35" s="6" t="n">
        <v>6</v>
      </c>
      <c r="C35" s="4" t="n">
        <v>231</v>
      </c>
      <c r="D35" s="6" t="n">
        <v>30</v>
      </c>
      <c r="E35" s="4" t="n">
        <f aca="false">INDEX(Evaporasi!$B$3:$B$14,MATCH(B35,Evaporasi!$A$3:$A$14,0))</f>
        <v>120</v>
      </c>
      <c r="F35" s="18" t="n">
        <f aca="false">Kawasan!$B$11*Kawasan!$B$9*C35/1000</f>
        <v>1921.92</v>
      </c>
      <c r="G35" s="18" t="n">
        <f aca="false">Kawasan!$B$26*D35</f>
        <v>2304</v>
      </c>
      <c r="H35" s="18" t="n">
        <f aca="false">E35*Desain_Kolam!$B$16/1000</f>
        <v>128.7</v>
      </c>
      <c r="I35" s="18" t="n">
        <f aca="false">F35-G35-H35</f>
        <v>-510.78</v>
      </c>
      <c r="J35" s="18" t="n">
        <f aca="false">J34+I35</f>
        <v>-16536.2</v>
      </c>
      <c r="K35" s="18" t="n">
        <f aca="false">MAX(K34,J35)</f>
        <v>867.080000000001</v>
      </c>
      <c r="L35" s="18" t="n">
        <f aca="false">K35-J35</f>
        <v>17403.28</v>
      </c>
      <c r="M35" s="18" t="n">
        <f aca="false">MIN(Desain_Kolam!$B$21,MAX(0,M34+F35-H35-G35))</f>
        <v>0</v>
      </c>
      <c r="N35" s="6" t="n">
        <f aca="false">IF(M34+F35-H35&gt;=G35,1,0)</f>
        <v>0</v>
      </c>
    </row>
    <row r="36" customFormat="false" ht="15" hidden="false" customHeight="false" outlineLevel="0" collapsed="false">
      <c r="A36" s="6" t="n">
        <v>2014</v>
      </c>
      <c r="B36" s="6" t="n">
        <v>7</v>
      </c>
      <c r="C36" s="4" t="n">
        <v>93</v>
      </c>
      <c r="D36" s="6" t="n">
        <v>31</v>
      </c>
      <c r="E36" s="4" t="n">
        <f aca="false">INDEX(Evaporasi!$B$3:$B$14,MATCH(B36,Evaporasi!$A$3:$A$14,0))</f>
        <v>120</v>
      </c>
      <c r="F36" s="18" t="n">
        <f aca="false">Kawasan!$B$11*Kawasan!$B$9*C36/1000</f>
        <v>773.76</v>
      </c>
      <c r="G36" s="18" t="n">
        <f aca="false">Kawasan!$B$26*D36</f>
        <v>2380.8</v>
      </c>
      <c r="H36" s="18" t="n">
        <f aca="false">E36*Desain_Kolam!$B$16/1000</f>
        <v>128.7</v>
      </c>
      <c r="I36" s="18" t="n">
        <f aca="false">F36-G36-H36</f>
        <v>-1735.74</v>
      </c>
      <c r="J36" s="18" t="n">
        <f aca="false">J35+I36</f>
        <v>-18271.94</v>
      </c>
      <c r="K36" s="18" t="n">
        <f aca="false">MAX(K35,J36)</f>
        <v>867.080000000001</v>
      </c>
      <c r="L36" s="18" t="n">
        <f aca="false">K36-J36</f>
        <v>19139.02</v>
      </c>
      <c r="M36" s="18" t="n">
        <f aca="false">MIN(Desain_Kolam!$B$21,MAX(0,M35+F36-H36-G36))</f>
        <v>0</v>
      </c>
      <c r="N36" s="6" t="n">
        <f aca="false">IF(M35+F36-H36&gt;=G36,1,0)</f>
        <v>0</v>
      </c>
    </row>
    <row r="37" customFormat="false" ht="15" hidden="false" customHeight="false" outlineLevel="0" collapsed="false">
      <c r="A37" s="6" t="n">
        <v>2014</v>
      </c>
      <c r="B37" s="6" t="n">
        <v>8</v>
      </c>
      <c r="C37" s="4" t="n">
        <v>303</v>
      </c>
      <c r="D37" s="6" t="n">
        <v>31</v>
      </c>
      <c r="E37" s="4" t="n">
        <f aca="false">INDEX(Evaporasi!$B$3:$B$14,MATCH(B37,Evaporasi!$A$3:$A$14,0))</f>
        <v>120</v>
      </c>
      <c r="F37" s="18" t="n">
        <f aca="false">Kawasan!$B$11*Kawasan!$B$9*C37/1000</f>
        <v>2520.96</v>
      </c>
      <c r="G37" s="18" t="n">
        <f aca="false">Kawasan!$B$26*D37</f>
        <v>2380.8</v>
      </c>
      <c r="H37" s="18" t="n">
        <f aca="false">E37*Desain_Kolam!$B$16/1000</f>
        <v>128.7</v>
      </c>
      <c r="I37" s="18" t="n">
        <f aca="false">F37-G37-H37</f>
        <v>11.4600000000003</v>
      </c>
      <c r="J37" s="18" t="n">
        <f aca="false">J36+I37</f>
        <v>-18260.48</v>
      </c>
      <c r="K37" s="18" t="n">
        <f aca="false">MAX(K36,J37)</f>
        <v>867.080000000001</v>
      </c>
      <c r="L37" s="18" t="n">
        <f aca="false">K37-J37</f>
        <v>19127.56</v>
      </c>
      <c r="M37" s="18" t="n">
        <f aca="false">MIN(Desain_Kolam!$B$21,MAX(0,M36+F37-H37-G37))</f>
        <v>11.4600000000005</v>
      </c>
      <c r="N37" s="6" t="n">
        <f aca="false">IF(M36+F37-H37&gt;=G37,1,0)</f>
        <v>1</v>
      </c>
    </row>
    <row r="38" customFormat="false" ht="15" hidden="false" customHeight="false" outlineLevel="0" collapsed="false">
      <c r="A38" s="6" t="n">
        <v>2014</v>
      </c>
      <c r="B38" s="6" t="n">
        <v>9</v>
      </c>
      <c r="C38" s="4" t="n">
        <v>156</v>
      </c>
      <c r="D38" s="6" t="n">
        <v>30</v>
      </c>
      <c r="E38" s="4" t="n">
        <f aca="false">INDEX(Evaporasi!$B$3:$B$14,MATCH(B38,Evaporasi!$A$3:$A$14,0))</f>
        <v>120</v>
      </c>
      <c r="F38" s="18" t="n">
        <f aca="false">Kawasan!$B$11*Kawasan!$B$9*C38/1000</f>
        <v>1297.92</v>
      </c>
      <c r="G38" s="18" t="n">
        <f aca="false">Kawasan!$B$26*D38</f>
        <v>2304</v>
      </c>
      <c r="H38" s="18" t="n">
        <f aca="false">E38*Desain_Kolam!$B$16/1000</f>
        <v>128.7</v>
      </c>
      <c r="I38" s="18" t="n">
        <f aca="false">F38-G38-H38</f>
        <v>-1134.78</v>
      </c>
      <c r="J38" s="18" t="n">
        <f aca="false">J37+I38</f>
        <v>-19395.26</v>
      </c>
      <c r="K38" s="18" t="n">
        <f aca="false">MAX(K37,J38)</f>
        <v>867.080000000001</v>
      </c>
      <c r="L38" s="18" t="n">
        <f aca="false">K38-J38</f>
        <v>20262.34</v>
      </c>
      <c r="M38" s="18" t="n">
        <f aca="false">MIN(Desain_Kolam!$B$21,MAX(0,M37+F38-H38-G38))</f>
        <v>0</v>
      </c>
      <c r="N38" s="6" t="n">
        <f aca="false">IF(M37+F38-H38&gt;=G38,1,0)</f>
        <v>0</v>
      </c>
    </row>
    <row r="39" customFormat="false" ht="15" hidden="false" customHeight="false" outlineLevel="0" collapsed="false">
      <c r="A39" s="6" t="n">
        <v>2014</v>
      </c>
      <c r="B39" s="6" t="n">
        <v>10</v>
      </c>
      <c r="C39" s="4" t="n">
        <v>226</v>
      </c>
      <c r="D39" s="6" t="n">
        <v>31</v>
      </c>
      <c r="E39" s="4" t="n">
        <f aca="false">INDEX(Evaporasi!$B$3:$B$14,MATCH(B39,Evaporasi!$A$3:$A$14,0))</f>
        <v>120</v>
      </c>
      <c r="F39" s="18" t="n">
        <f aca="false">Kawasan!$B$11*Kawasan!$B$9*C39/1000</f>
        <v>1880.32</v>
      </c>
      <c r="G39" s="18" t="n">
        <f aca="false">Kawasan!$B$26*D39</f>
        <v>2380.8</v>
      </c>
      <c r="H39" s="18" t="n">
        <f aca="false">E39*Desain_Kolam!$B$16/1000</f>
        <v>128.7</v>
      </c>
      <c r="I39" s="18" t="n">
        <f aca="false">F39-G39-H39</f>
        <v>-629.18</v>
      </c>
      <c r="J39" s="18" t="n">
        <f aca="false">J38+I39</f>
        <v>-20024.44</v>
      </c>
      <c r="K39" s="18" t="n">
        <f aca="false">MAX(K38,J39)</f>
        <v>867.080000000001</v>
      </c>
      <c r="L39" s="18" t="n">
        <f aca="false">K39-J39</f>
        <v>20891.52</v>
      </c>
      <c r="M39" s="18" t="n">
        <f aca="false">MIN(Desain_Kolam!$B$21,MAX(0,M38+F39-H39-G39))</f>
        <v>0</v>
      </c>
      <c r="N39" s="6" t="n">
        <f aca="false">IF(M38+F39-H39&gt;=G39,1,0)</f>
        <v>0</v>
      </c>
    </row>
    <row r="40" customFormat="false" ht="15" hidden="false" customHeight="false" outlineLevel="0" collapsed="false">
      <c r="A40" s="6" t="n">
        <v>2014</v>
      </c>
      <c r="B40" s="6" t="n">
        <v>11</v>
      </c>
      <c r="C40" s="4" t="n">
        <v>290</v>
      </c>
      <c r="D40" s="6" t="n">
        <v>30</v>
      </c>
      <c r="E40" s="4" t="n">
        <f aca="false">INDEX(Evaporasi!$B$3:$B$14,MATCH(B40,Evaporasi!$A$3:$A$14,0))</f>
        <v>120</v>
      </c>
      <c r="F40" s="18" t="n">
        <f aca="false">Kawasan!$B$11*Kawasan!$B$9*C40/1000</f>
        <v>2412.8</v>
      </c>
      <c r="G40" s="18" t="n">
        <f aca="false">Kawasan!$B$26*D40</f>
        <v>2304</v>
      </c>
      <c r="H40" s="18" t="n">
        <f aca="false">E40*Desain_Kolam!$B$16/1000</f>
        <v>128.7</v>
      </c>
      <c r="I40" s="18" t="n">
        <f aca="false">F40-G40-H40</f>
        <v>-19.8999999999998</v>
      </c>
      <c r="J40" s="18" t="n">
        <f aca="false">J39+I40</f>
        <v>-20044.34</v>
      </c>
      <c r="K40" s="18" t="n">
        <f aca="false">MAX(K39,J40)</f>
        <v>867.080000000001</v>
      </c>
      <c r="L40" s="18" t="n">
        <f aca="false">K40-J40</f>
        <v>20911.42</v>
      </c>
      <c r="M40" s="18" t="n">
        <f aca="false">MIN(Desain_Kolam!$B$21,MAX(0,M39+F40-H40-G40))</f>
        <v>0</v>
      </c>
      <c r="N40" s="6" t="n">
        <f aca="false">IF(M39+F40-H40&gt;=G40,1,0)</f>
        <v>0</v>
      </c>
    </row>
    <row r="41" customFormat="false" ht="15" hidden="false" customHeight="false" outlineLevel="0" collapsed="false">
      <c r="A41" s="6" t="n">
        <v>2014</v>
      </c>
      <c r="B41" s="6" t="n">
        <v>12</v>
      </c>
      <c r="C41" s="4" t="n">
        <v>448</v>
      </c>
      <c r="D41" s="6" t="n">
        <v>31</v>
      </c>
      <c r="E41" s="4" t="n">
        <f aca="false">INDEX(Evaporasi!$B$3:$B$14,MATCH(B41,Evaporasi!$A$3:$A$14,0))</f>
        <v>120</v>
      </c>
      <c r="F41" s="18" t="n">
        <f aca="false">Kawasan!$B$11*Kawasan!$B$9*C41/1000</f>
        <v>3727.36</v>
      </c>
      <c r="G41" s="18" t="n">
        <f aca="false">Kawasan!$B$26*D41</f>
        <v>2380.8</v>
      </c>
      <c r="H41" s="18" t="n">
        <f aca="false">E41*Desain_Kolam!$B$16/1000</f>
        <v>128.7</v>
      </c>
      <c r="I41" s="18" t="n">
        <f aca="false">F41-G41-H41</f>
        <v>1217.86</v>
      </c>
      <c r="J41" s="18" t="n">
        <f aca="false">J40+I41</f>
        <v>-18826.48</v>
      </c>
      <c r="K41" s="18" t="n">
        <f aca="false">MAX(K40,J41)</f>
        <v>867.080000000001</v>
      </c>
      <c r="L41" s="18" t="n">
        <f aca="false">K41-J41</f>
        <v>19693.56</v>
      </c>
      <c r="M41" s="18" t="n">
        <f aca="false">MIN(Desain_Kolam!$B$21,MAX(0,M40+F41-H41-G41))</f>
        <v>1217.86</v>
      </c>
      <c r="N41" s="6" t="n">
        <f aca="false">IF(M40+F41-H41&gt;=G41,1,0)</f>
        <v>1</v>
      </c>
    </row>
    <row r="42" customFormat="false" ht="15" hidden="false" customHeight="false" outlineLevel="0" collapsed="false">
      <c r="A42" s="6" t="n">
        <v>2015</v>
      </c>
      <c r="B42" s="6" t="n">
        <v>1</v>
      </c>
      <c r="C42" s="4" t="n">
        <v>266</v>
      </c>
      <c r="D42" s="6" t="n">
        <v>31</v>
      </c>
      <c r="E42" s="4" t="n">
        <f aca="false">INDEX(Evaporasi!$B$3:$B$14,MATCH(B42,Evaporasi!$A$3:$A$14,0))</f>
        <v>120</v>
      </c>
      <c r="F42" s="18" t="n">
        <f aca="false">Kawasan!$B$11*Kawasan!$B$9*C42/1000</f>
        <v>2213.12</v>
      </c>
      <c r="G42" s="18" t="n">
        <f aca="false">Kawasan!$B$26*D42</f>
        <v>2380.8</v>
      </c>
      <c r="H42" s="18" t="n">
        <f aca="false">E42*Desain_Kolam!$B$16/1000</f>
        <v>128.7</v>
      </c>
      <c r="I42" s="18" t="n">
        <f aca="false">F42-G42-H42</f>
        <v>-296.38</v>
      </c>
      <c r="J42" s="18" t="n">
        <f aca="false">J41+I42</f>
        <v>-19122.86</v>
      </c>
      <c r="K42" s="18" t="n">
        <f aca="false">MAX(K41,J42)</f>
        <v>867.080000000001</v>
      </c>
      <c r="L42" s="18" t="n">
        <f aca="false">K42-J42</f>
        <v>19989.94</v>
      </c>
      <c r="M42" s="18" t="n">
        <f aca="false">MIN(Desain_Kolam!$B$21,MAX(0,M41+F42-H42-G42))</f>
        <v>921.480000000001</v>
      </c>
      <c r="N42" s="6" t="n">
        <f aca="false">IF(M41+F42-H42&gt;=G42,1,0)</f>
        <v>1</v>
      </c>
    </row>
    <row r="43" customFormat="false" ht="15" hidden="false" customHeight="false" outlineLevel="0" collapsed="false">
      <c r="A43" s="6" t="n">
        <v>2015</v>
      </c>
      <c r="B43" s="6" t="n">
        <v>2</v>
      </c>
      <c r="C43" s="4" t="n">
        <v>351</v>
      </c>
      <c r="D43" s="6" t="n">
        <v>28</v>
      </c>
      <c r="E43" s="4" t="n">
        <f aca="false">INDEX(Evaporasi!$B$3:$B$14,MATCH(B43,Evaporasi!$A$3:$A$14,0))</f>
        <v>120</v>
      </c>
      <c r="F43" s="18" t="n">
        <f aca="false">Kawasan!$B$11*Kawasan!$B$9*C43/1000</f>
        <v>2920.32</v>
      </c>
      <c r="G43" s="18" t="n">
        <f aca="false">Kawasan!$B$26*D43</f>
        <v>2150.4</v>
      </c>
      <c r="H43" s="18" t="n">
        <f aca="false">E43*Desain_Kolam!$B$16/1000</f>
        <v>128.7</v>
      </c>
      <c r="I43" s="18" t="n">
        <f aca="false">F43-G43-H43</f>
        <v>641.22</v>
      </c>
      <c r="J43" s="18" t="n">
        <f aca="false">J42+I43</f>
        <v>-18481.64</v>
      </c>
      <c r="K43" s="18" t="n">
        <f aca="false">MAX(K42,J43)</f>
        <v>867.080000000001</v>
      </c>
      <c r="L43" s="18" t="n">
        <f aca="false">K43-J43</f>
        <v>19348.72</v>
      </c>
      <c r="M43" s="18" t="n">
        <f aca="false">MIN(Desain_Kolam!$B$21,MAX(0,M42+F43-H43-G43))</f>
        <v>1562.7</v>
      </c>
      <c r="N43" s="6" t="n">
        <f aca="false">IF(M42+F43-H43&gt;=G43,1,0)</f>
        <v>1</v>
      </c>
    </row>
    <row r="44" customFormat="false" ht="15" hidden="false" customHeight="false" outlineLevel="0" collapsed="false">
      <c r="A44" s="6" t="n">
        <v>2015</v>
      </c>
      <c r="B44" s="6" t="n">
        <v>3</v>
      </c>
      <c r="C44" s="4" t="n">
        <v>222</v>
      </c>
      <c r="D44" s="6" t="n">
        <v>31</v>
      </c>
      <c r="E44" s="4" t="n">
        <f aca="false">INDEX(Evaporasi!$B$3:$B$14,MATCH(B44,Evaporasi!$A$3:$A$14,0))</f>
        <v>120</v>
      </c>
      <c r="F44" s="18" t="n">
        <f aca="false">Kawasan!$B$11*Kawasan!$B$9*C44/1000</f>
        <v>1847.04</v>
      </c>
      <c r="G44" s="18" t="n">
        <f aca="false">Kawasan!$B$26*D44</f>
        <v>2380.8</v>
      </c>
      <c r="H44" s="18" t="n">
        <f aca="false">E44*Desain_Kolam!$B$16/1000</f>
        <v>128.7</v>
      </c>
      <c r="I44" s="18" t="n">
        <f aca="false">F44-G44-H44</f>
        <v>-662.46</v>
      </c>
      <c r="J44" s="18" t="n">
        <f aca="false">J43+I44</f>
        <v>-19144.1</v>
      </c>
      <c r="K44" s="18" t="n">
        <f aca="false">MAX(K43,J44)</f>
        <v>867.080000000001</v>
      </c>
      <c r="L44" s="18" t="n">
        <f aca="false">K44-J44</f>
        <v>20011.18</v>
      </c>
      <c r="M44" s="18" t="n">
        <f aca="false">MIN(Desain_Kolam!$B$21,MAX(0,M43+F44-H44-G44))</f>
        <v>900.240000000002</v>
      </c>
      <c r="N44" s="6" t="n">
        <f aca="false">IF(M43+F44-H44&gt;=G44,1,0)</f>
        <v>1</v>
      </c>
    </row>
    <row r="45" customFormat="false" ht="15" hidden="false" customHeight="false" outlineLevel="0" collapsed="false">
      <c r="A45" s="6" t="n">
        <v>2015</v>
      </c>
      <c r="B45" s="6" t="n">
        <v>4</v>
      </c>
      <c r="C45" s="4" t="n">
        <v>202</v>
      </c>
      <c r="D45" s="6" t="n">
        <v>30</v>
      </c>
      <c r="E45" s="4" t="n">
        <f aca="false">INDEX(Evaporasi!$B$3:$B$14,MATCH(B45,Evaporasi!$A$3:$A$14,0))</f>
        <v>120</v>
      </c>
      <c r="F45" s="18" t="n">
        <f aca="false">Kawasan!$B$11*Kawasan!$B$9*C45/1000</f>
        <v>1680.64</v>
      </c>
      <c r="G45" s="18" t="n">
        <f aca="false">Kawasan!$B$26*D45</f>
        <v>2304</v>
      </c>
      <c r="H45" s="18" t="n">
        <f aca="false">E45*Desain_Kolam!$B$16/1000</f>
        <v>128.7</v>
      </c>
      <c r="I45" s="18" t="n">
        <f aca="false">F45-G45-H45</f>
        <v>-752.06</v>
      </c>
      <c r="J45" s="18" t="n">
        <f aca="false">J44+I45</f>
        <v>-19896.16</v>
      </c>
      <c r="K45" s="18" t="n">
        <f aca="false">MAX(K44,J45)</f>
        <v>867.080000000001</v>
      </c>
      <c r="L45" s="18" t="n">
        <f aca="false">K45-J45</f>
        <v>20763.24</v>
      </c>
      <c r="M45" s="18" t="n">
        <f aca="false">MIN(Desain_Kolam!$B$21,MAX(0,M44+F45-H45-G45))</f>
        <v>148.180000000002</v>
      </c>
      <c r="N45" s="6" t="n">
        <f aca="false">IF(M44+F45-H45&gt;=G45,1,0)</f>
        <v>1</v>
      </c>
    </row>
    <row r="46" customFormat="false" ht="15" hidden="false" customHeight="false" outlineLevel="0" collapsed="false">
      <c r="A46" s="6" t="n">
        <v>2015</v>
      </c>
      <c r="B46" s="6" t="n">
        <v>5</v>
      </c>
      <c r="C46" s="4" t="n">
        <v>341</v>
      </c>
      <c r="D46" s="6" t="n">
        <v>31</v>
      </c>
      <c r="E46" s="4" t="n">
        <f aca="false">INDEX(Evaporasi!$B$3:$B$14,MATCH(B46,Evaporasi!$A$3:$A$14,0))</f>
        <v>120</v>
      </c>
      <c r="F46" s="18" t="n">
        <f aca="false">Kawasan!$B$11*Kawasan!$B$9*C46/1000</f>
        <v>2837.12</v>
      </c>
      <c r="G46" s="18" t="n">
        <f aca="false">Kawasan!$B$26*D46</f>
        <v>2380.8</v>
      </c>
      <c r="H46" s="18" t="n">
        <f aca="false">E46*Desain_Kolam!$B$16/1000</f>
        <v>128.7</v>
      </c>
      <c r="I46" s="18" t="n">
        <f aca="false">F46-G46-H46</f>
        <v>327.62</v>
      </c>
      <c r="J46" s="18" t="n">
        <f aca="false">J45+I46</f>
        <v>-19568.54</v>
      </c>
      <c r="K46" s="18" t="n">
        <f aca="false">MAX(K45,J46)</f>
        <v>867.080000000001</v>
      </c>
      <c r="L46" s="18" t="n">
        <f aca="false">K46-J46</f>
        <v>20435.62</v>
      </c>
      <c r="M46" s="18" t="n">
        <f aca="false">MIN(Desain_Kolam!$B$21,MAX(0,M45+F46-H46-G46))</f>
        <v>475.800000000002</v>
      </c>
      <c r="N46" s="6" t="n">
        <f aca="false">IF(M45+F46-H46&gt;=G46,1,0)</f>
        <v>1</v>
      </c>
    </row>
    <row r="47" customFormat="false" ht="15" hidden="false" customHeight="false" outlineLevel="0" collapsed="false">
      <c r="A47" s="6" t="n">
        <v>2015</v>
      </c>
      <c r="B47" s="6" t="n">
        <v>6</v>
      </c>
      <c r="C47" s="4" t="n">
        <v>284</v>
      </c>
      <c r="D47" s="6" t="n">
        <v>30</v>
      </c>
      <c r="E47" s="4" t="n">
        <f aca="false">INDEX(Evaporasi!$B$3:$B$14,MATCH(B47,Evaporasi!$A$3:$A$14,0))</f>
        <v>120</v>
      </c>
      <c r="F47" s="18" t="n">
        <f aca="false">Kawasan!$B$11*Kawasan!$B$9*C47/1000</f>
        <v>2362.88</v>
      </c>
      <c r="G47" s="18" t="n">
        <f aca="false">Kawasan!$B$26*D47</f>
        <v>2304</v>
      </c>
      <c r="H47" s="18" t="n">
        <f aca="false">E47*Desain_Kolam!$B$16/1000</f>
        <v>128.7</v>
      </c>
      <c r="I47" s="18" t="n">
        <f aca="false">F47-G47-H47</f>
        <v>-69.8199999999999</v>
      </c>
      <c r="J47" s="18" t="n">
        <f aca="false">J46+I47</f>
        <v>-19638.36</v>
      </c>
      <c r="K47" s="18" t="n">
        <f aca="false">MAX(K46,J47)</f>
        <v>867.080000000001</v>
      </c>
      <c r="L47" s="18" t="n">
        <f aca="false">K47-J47</f>
        <v>20505.44</v>
      </c>
      <c r="M47" s="18" t="n">
        <f aca="false">MIN(Desain_Kolam!$B$21,MAX(0,M46+F47-H47-G47))</f>
        <v>405.980000000003</v>
      </c>
      <c r="N47" s="6" t="n">
        <f aca="false">IF(M46+F47-H47&gt;=G47,1,0)</f>
        <v>1</v>
      </c>
    </row>
    <row r="48" customFormat="false" ht="15" hidden="false" customHeight="false" outlineLevel="0" collapsed="false">
      <c r="A48" s="6" t="n">
        <v>2015</v>
      </c>
      <c r="B48" s="6" t="n">
        <v>7</v>
      </c>
      <c r="C48" s="4" t="n">
        <v>290</v>
      </c>
      <c r="D48" s="6" t="n">
        <v>31</v>
      </c>
      <c r="E48" s="4" t="n">
        <f aca="false">INDEX(Evaporasi!$B$3:$B$14,MATCH(B48,Evaporasi!$A$3:$A$14,0))</f>
        <v>120</v>
      </c>
      <c r="F48" s="18" t="n">
        <f aca="false">Kawasan!$B$11*Kawasan!$B$9*C48/1000</f>
        <v>2412.8</v>
      </c>
      <c r="G48" s="18" t="n">
        <f aca="false">Kawasan!$B$26*D48</f>
        <v>2380.8</v>
      </c>
      <c r="H48" s="18" t="n">
        <f aca="false">E48*Desain_Kolam!$B$16/1000</f>
        <v>128.7</v>
      </c>
      <c r="I48" s="18" t="n">
        <f aca="false">F48-G48-H48</f>
        <v>-96.6999999999995</v>
      </c>
      <c r="J48" s="18" t="n">
        <f aca="false">J47+I48</f>
        <v>-19735.06</v>
      </c>
      <c r="K48" s="18" t="n">
        <f aca="false">MAX(K47,J48)</f>
        <v>867.080000000001</v>
      </c>
      <c r="L48" s="18" t="n">
        <f aca="false">K48-J48</f>
        <v>20602.14</v>
      </c>
      <c r="M48" s="18" t="n">
        <f aca="false">MIN(Desain_Kolam!$B$21,MAX(0,M47+F48-H48-G48))</f>
        <v>309.280000000003</v>
      </c>
      <c r="N48" s="6" t="n">
        <f aca="false">IF(M47+F48-H48&gt;=G48,1,0)</f>
        <v>1</v>
      </c>
    </row>
    <row r="49" customFormat="false" ht="15" hidden="false" customHeight="false" outlineLevel="0" collapsed="false">
      <c r="A49" s="6" t="n">
        <v>2015</v>
      </c>
      <c r="B49" s="6" t="n">
        <v>8</v>
      </c>
      <c r="C49" s="4" t="n">
        <v>86</v>
      </c>
      <c r="D49" s="6" t="n">
        <v>31</v>
      </c>
      <c r="E49" s="4" t="n">
        <f aca="false">INDEX(Evaporasi!$B$3:$B$14,MATCH(B49,Evaporasi!$A$3:$A$14,0))</f>
        <v>120</v>
      </c>
      <c r="F49" s="18" t="n">
        <f aca="false">Kawasan!$B$11*Kawasan!$B$9*C49/1000</f>
        <v>715.52</v>
      </c>
      <c r="G49" s="18" t="n">
        <f aca="false">Kawasan!$B$26*D49</f>
        <v>2380.8</v>
      </c>
      <c r="H49" s="18" t="n">
        <f aca="false">E49*Desain_Kolam!$B$16/1000</f>
        <v>128.7</v>
      </c>
      <c r="I49" s="18" t="n">
        <f aca="false">F49-G49-H49</f>
        <v>-1793.98</v>
      </c>
      <c r="J49" s="18" t="n">
        <f aca="false">J48+I49</f>
        <v>-21529.04</v>
      </c>
      <c r="K49" s="18" t="n">
        <f aca="false">MAX(K48,J49)</f>
        <v>867.080000000001</v>
      </c>
      <c r="L49" s="18" t="n">
        <f aca="false">K49-J49</f>
        <v>22396.12</v>
      </c>
      <c r="M49" s="18" t="n">
        <f aca="false">MIN(Desain_Kolam!$B$21,MAX(0,M48+F49-H49-G49))</f>
        <v>0</v>
      </c>
      <c r="N49" s="6" t="n">
        <f aca="false">IF(M48+F49-H49&gt;=G49,1,0)</f>
        <v>0</v>
      </c>
    </row>
    <row r="50" customFormat="false" ht="15" hidden="false" customHeight="false" outlineLevel="0" collapsed="false">
      <c r="A50" s="6" t="n">
        <v>2015</v>
      </c>
      <c r="B50" s="6" t="n">
        <v>9</v>
      </c>
      <c r="C50" s="4" t="n">
        <v>37</v>
      </c>
      <c r="D50" s="6" t="n">
        <v>30</v>
      </c>
      <c r="E50" s="4" t="n">
        <f aca="false">INDEX(Evaporasi!$B$3:$B$14,MATCH(B50,Evaporasi!$A$3:$A$14,0))</f>
        <v>120</v>
      </c>
      <c r="F50" s="18" t="n">
        <f aca="false">Kawasan!$B$11*Kawasan!$B$9*C50/1000</f>
        <v>307.84</v>
      </c>
      <c r="G50" s="18" t="n">
        <f aca="false">Kawasan!$B$26*D50</f>
        <v>2304</v>
      </c>
      <c r="H50" s="18" t="n">
        <f aca="false">E50*Desain_Kolam!$B$16/1000</f>
        <v>128.7</v>
      </c>
      <c r="I50" s="18" t="n">
        <f aca="false">F50-G50-H50</f>
        <v>-2124.86</v>
      </c>
      <c r="J50" s="18" t="n">
        <f aca="false">J49+I50</f>
        <v>-23653.9</v>
      </c>
      <c r="K50" s="18" t="n">
        <f aca="false">MAX(K49,J50)</f>
        <v>867.080000000001</v>
      </c>
      <c r="L50" s="18" t="n">
        <f aca="false">K50-J50</f>
        <v>24520.98</v>
      </c>
      <c r="M50" s="18" t="n">
        <f aca="false">MIN(Desain_Kolam!$B$21,MAX(0,M49+F50-H50-G50))</f>
        <v>0</v>
      </c>
      <c r="N50" s="6" t="n">
        <f aca="false">IF(M49+F50-H50&gt;=G50,1,0)</f>
        <v>0</v>
      </c>
    </row>
    <row r="51" customFormat="false" ht="15" hidden="false" customHeight="false" outlineLevel="0" collapsed="false">
      <c r="A51" s="6" t="n">
        <v>2015</v>
      </c>
      <c r="B51" s="6" t="n">
        <v>10</v>
      </c>
      <c r="C51" s="4" t="n">
        <v>159</v>
      </c>
      <c r="D51" s="6" t="n">
        <v>31</v>
      </c>
      <c r="E51" s="4" t="n">
        <f aca="false">INDEX(Evaporasi!$B$3:$B$14,MATCH(B51,Evaporasi!$A$3:$A$14,0))</f>
        <v>120</v>
      </c>
      <c r="F51" s="18" t="n">
        <f aca="false">Kawasan!$B$11*Kawasan!$B$9*C51/1000</f>
        <v>1322.88</v>
      </c>
      <c r="G51" s="18" t="n">
        <f aca="false">Kawasan!$B$26*D51</f>
        <v>2380.8</v>
      </c>
      <c r="H51" s="18" t="n">
        <f aca="false">E51*Desain_Kolam!$B$16/1000</f>
        <v>128.7</v>
      </c>
      <c r="I51" s="18" t="n">
        <f aca="false">F51-G51-H51</f>
        <v>-1186.62</v>
      </c>
      <c r="J51" s="18" t="n">
        <f aca="false">J50+I51</f>
        <v>-24840.52</v>
      </c>
      <c r="K51" s="18" t="n">
        <f aca="false">MAX(K50,J51)</f>
        <v>867.080000000001</v>
      </c>
      <c r="L51" s="18" t="n">
        <f aca="false">K51-J51</f>
        <v>25707.6</v>
      </c>
      <c r="M51" s="18" t="n">
        <f aca="false">MIN(Desain_Kolam!$B$21,MAX(0,M50+F51-H51-G51))</f>
        <v>0</v>
      </c>
      <c r="N51" s="6" t="n">
        <f aca="false">IF(M50+F51-H51&gt;=G51,1,0)</f>
        <v>0</v>
      </c>
    </row>
    <row r="52" customFormat="false" ht="15" hidden="false" customHeight="false" outlineLevel="0" collapsed="false">
      <c r="A52" s="6" t="n">
        <v>2015</v>
      </c>
      <c r="B52" s="6" t="n">
        <v>11</v>
      </c>
      <c r="C52" s="4" t="n">
        <v>471</v>
      </c>
      <c r="D52" s="6" t="n">
        <v>30</v>
      </c>
      <c r="E52" s="4" t="n">
        <f aca="false">INDEX(Evaporasi!$B$3:$B$14,MATCH(B52,Evaporasi!$A$3:$A$14,0))</f>
        <v>120</v>
      </c>
      <c r="F52" s="18" t="n">
        <f aca="false">Kawasan!$B$11*Kawasan!$B$9*C52/1000</f>
        <v>3918.72</v>
      </c>
      <c r="G52" s="18" t="n">
        <f aca="false">Kawasan!$B$26*D52</f>
        <v>2304</v>
      </c>
      <c r="H52" s="18" t="n">
        <f aca="false">E52*Desain_Kolam!$B$16/1000</f>
        <v>128.7</v>
      </c>
      <c r="I52" s="18" t="n">
        <f aca="false">F52-G52-H52</f>
        <v>1486.02</v>
      </c>
      <c r="J52" s="18" t="n">
        <f aca="false">J51+I52</f>
        <v>-23354.5</v>
      </c>
      <c r="K52" s="18" t="n">
        <f aca="false">MAX(K51,J52)</f>
        <v>867.080000000001</v>
      </c>
      <c r="L52" s="18" t="n">
        <f aca="false">K52-J52</f>
        <v>24221.58</v>
      </c>
      <c r="M52" s="18" t="n">
        <f aca="false">MIN(Desain_Kolam!$B$21,MAX(0,M51+F52-H52-G52))</f>
        <v>1486.02</v>
      </c>
      <c r="N52" s="6" t="n">
        <f aca="false">IF(M51+F52-H52&gt;=G52,1,0)</f>
        <v>1</v>
      </c>
    </row>
    <row r="53" customFormat="false" ht="15" hidden="false" customHeight="false" outlineLevel="0" collapsed="false">
      <c r="A53" s="6" t="n">
        <v>2015</v>
      </c>
      <c r="B53" s="6" t="n">
        <v>12</v>
      </c>
      <c r="C53" s="4" t="n">
        <v>252</v>
      </c>
      <c r="D53" s="6" t="n">
        <v>31</v>
      </c>
      <c r="E53" s="4" t="n">
        <f aca="false">INDEX(Evaporasi!$B$3:$B$14,MATCH(B53,Evaporasi!$A$3:$A$14,0))</f>
        <v>120</v>
      </c>
      <c r="F53" s="18" t="n">
        <f aca="false">Kawasan!$B$11*Kawasan!$B$9*C53/1000</f>
        <v>2096.64</v>
      </c>
      <c r="G53" s="18" t="n">
        <f aca="false">Kawasan!$B$26*D53</f>
        <v>2380.8</v>
      </c>
      <c r="H53" s="18" t="n">
        <f aca="false">E53*Desain_Kolam!$B$16/1000</f>
        <v>128.7</v>
      </c>
      <c r="I53" s="18" t="n">
        <f aca="false">F53-G53-H53</f>
        <v>-412.86</v>
      </c>
      <c r="J53" s="18" t="n">
        <f aca="false">J52+I53</f>
        <v>-23767.36</v>
      </c>
      <c r="K53" s="18" t="n">
        <f aca="false">MAX(K52,J53)</f>
        <v>867.080000000001</v>
      </c>
      <c r="L53" s="18" t="n">
        <f aca="false">K53-J53</f>
        <v>24634.44</v>
      </c>
      <c r="M53" s="18" t="n">
        <f aca="false">MIN(Desain_Kolam!$B$21,MAX(0,M52+F53-H53-G53))</f>
        <v>1073.16</v>
      </c>
      <c r="N53" s="6" t="n">
        <f aca="false">IF(M52+F53-H53&gt;=G53,1,0)</f>
        <v>1</v>
      </c>
    </row>
    <row r="54" customFormat="false" ht="15" hidden="false" customHeight="false" outlineLevel="0" collapsed="false">
      <c r="A54" s="6" t="n">
        <v>2016</v>
      </c>
      <c r="B54" s="6" t="n">
        <v>1</v>
      </c>
      <c r="C54" s="4" t="n">
        <v>245</v>
      </c>
      <c r="D54" s="6" t="n">
        <v>31</v>
      </c>
      <c r="E54" s="4" t="n">
        <f aca="false">INDEX(Evaporasi!$B$3:$B$14,MATCH(B54,Evaporasi!$A$3:$A$14,0))</f>
        <v>120</v>
      </c>
      <c r="F54" s="18" t="n">
        <f aca="false">Kawasan!$B$11*Kawasan!$B$9*C54/1000</f>
        <v>2038.4</v>
      </c>
      <c r="G54" s="18" t="n">
        <f aca="false">Kawasan!$B$26*D54</f>
        <v>2380.8</v>
      </c>
      <c r="H54" s="18" t="n">
        <f aca="false">E54*Desain_Kolam!$B$16/1000</f>
        <v>128.7</v>
      </c>
      <c r="I54" s="18" t="n">
        <f aca="false">F54-G54-H54</f>
        <v>-471.1</v>
      </c>
      <c r="J54" s="18" t="n">
        <f aca="false">J53+I54</f>
        <v>-24238.46</v>
      </c>
      <c r="K54" s="18" t="n">
        <f aca="false">MAX(K53,J54)</f>
        <v>867.080000000001</v>
      </c>
      <c r="L54" s="18" t="n">
        <f aca="false">K54-J54</f>
        <v>25105.54</v>
      </c>
      <c r="M54" s="18" t="n">
        <f aca="false">MIN(Desain_Kolam!$B$21,MAX(0,M53+F54-H54-G54))</f>
        <v>602.060000000001</v>
      </c>
      <c r="N54" s="6" t="n">
        <f aca="false">IF(M53+F54-H54&gt;=G54,1,0)</f>
        <v>1</v>
      </c>
    </row>
    <row r="55" customFormat="false" ht="15" hidden="false" customHeight="false" outlineLevel="0" collapsed="false">
      <c r="A55" s="6" t="n">
        <v>2016</v>
      </c>
      <c r="B55" s="6" t="n">
        <v>2</v>
      </c>
      <c r="C55" s="4" t="n">
        <v>204</v>
      </c>
      <c r="D55" s="6" t="n">
        <v>29</v>
      </c>
      <c r="E55" s="4" t="n">
        <f aca="false">INDEX(Evaporasi!$B$3:$B$14,MATCH(B55,Evaporasi!$A$3:$A$14,0))</f>
        <v>120</v>
      </c>
      <c r="F55" s="18" t="n">
        <f aca="false">Kawasan!$B$11*Kawasan!$B$9*C55/1000</f>
        <v>1697.28</v>
      </c>
      <c r="G55" s="18" t="n">
        <f aca="false">Kawasan!$B$26*D55</f>
        <v>2227.2</v>
      </c>
      <c r="H55" s="18" t="n">
        <f aca="false">E55*Desain_Kolam!$B$16/1000</f>
        <v>128.7</v>
      </c>
      <c r="I55" s="18" t="n">
        <f aca="false">F55-G55-H55</f>
        <v>-658.62</v>
      </c>
      <c r="J55" s="18" t="n">
        <f aca="false">J54+I55</f>
        <v>-24897.08</v>
      </c>
      <c r="K55" s="18" t="n">
        <f aca="false">MAX(K54,J55)</f>
        <v>867.080000000001</v>
      </c>
      <c r="L55" s="18" t="n">
        <f aca="false">K55-J55</f>
        <v>25764.16</v>
      </c>
      <c r="M55" s="18" t="n">
        <f aca="false">MIN(Desain_Kolam!$B$21,MAX(0,M54+F55-H55-G55))</f>
        <v>0</v>
      </c>
      <c r="N55" s="6" t="n">
        <f aca="false">IF(M54+F55-H55&gt;=G55,1,0)</f>
        <v>0</v>
      </c>
    </row>
    <row r="56" customFormat="false" ht="15" hidden="false" customHeight="false" outlineLevel="0" collapsed="false">
      <c r="A56" s="6" t="n">
        <v>2016</v>
      </c>
      <c r="B56" s="6" t="n">
        <v>3</v>
      </c>
      <c r="C56" s="4" t="n">
        <v>381</v>
      </c>
      <c r="D56" s="6" t="n">
        <v>31</v>
      </c>
      <c r="E56" s="4" t="n">
        <f aca="false">INDEX(Evaporasi!$B$3:$B$14,MATCH(B56,Evaporasi!$A$3:$A$14,0))</f>
        <v>120</v>
      </c>
      <c r="F56" s="18" t="n">
        <f aca="false">Kawasan!$B$11*Kawasan!$B$9*C56/1000</f>
        <v>3169.92</v>
      </c>
      <c r="G56" s="18" t="n">
        <f aca="false">Kawasan!$B$26*D56</f>
        <v>2380.8</v>
      </c>
      <c r="H56" s="18" t="n">
        <f aca="false">E56*Desain_Kolam!$B$16/1000</f>
        <v>128.7</v>
      </c>
      <c r="I56" s="18" t="n">
        <f aca="false">F56-G56-H56</f>
        <v>660.42</v>
      </c>
      <c r="J56" s="18" t="n">
        <f aca="false">J55+I56</f>
        <v>-24236.66</v>
      </c>
      <c r="K56" s="18" t="n">
        <f aca="false">MAX(K55,J56)</f>
        <v>867.080000000001</v>
      </c>
      <c r="L56" s="18" t="n">
        <f aca="false">K56-J56</f>
        <v>25103.74</v>
      </c>
      <c r="M56" s="18" t="n">
        <f aca="false">MIN(Desain_Kolam!$B$21,MAX(0,M55+F56-H56-G56))</f>
        <v>660.420000000001</v>
      </c>
      <c r="N56" s="6" t="n">
        <f aca="false">IF(M55+F56-H56&gt;=G56,1,0)</f>
        <v>1</v>
      </c>
    </row>
    <row r="57" customFormat="false" ht="15" hidden="false" customHeight="false" outlineLevel="0" collapsed="false">
      <c r="A57" s="6" t="n">
        <v>2016</v>
      </c>
      <c r="B57" s="6" t="n">
        <v>4</v>
      </c>
      <c r="C57" s="4" t="n">
        <v>274</v>
      </c>
      <c r="D57" s="6" t="n">
        <v>30</v>
      </c>
      <c r="E57" s="4" t="n">
        <f aca="false">INDEX(Evaporasi!$B$3:$B$14,MATCH(B57,Evaporasi!$A$3:$A$14,0))</f>
        <v>120</v>
      </c>
      <c r="F57" s="18" t="n">
        <f aca="false">Kawasan!$B$11*Kawasan!$B$9*C57/1000</f>
        <v>2279.68</v>
      </c>
      <c r="G57" s="18" t="n">
        <f aca="false">Kawasan!$B$26*D57</f>
        <v>2304</v>
      </c>
      <c r="H57" s="18" t="n">
        <f aca="false">E57*Desain_Kolam!$B$16/1000</f>
        <v>128.7</v>
      </c>
      <c r="I57" s="18" t="n">
        <f aca="false">F57-G57-H57</f>
        <v>-153.02</v>
      </c>
      <c r="J57" s="18" t="n">
        <f aca="false">J56+I57</f>
        <v>-24389.68</v>
      </c>
      <c r="K57" s="18" t="n">
        <f aca="false">MAX(K56,J57)</f>
        <v>867.080000000001</v>
      </c>
      <c r="L57" s="18" t="n">
        <f aca="false">K57-J57</f>
        <v>25256.76</v>
      </c>
      <c r="M57" s="18" t="n">
        <f aca="false">MIN(Desain_Kolam!$B$21,MAX(0,M56+F57-H57-G57))</f>
        <v>507.400000000001</v>
      </c>
      <c r="N57" s="6" t="n">
        <f aca="false">IF(M56+F57-H57&gt;=G57,1,0)</f>
        <v>1</v>
      </c>
    </row>
    <row r="58" customFormat="false" ht="15" hidden="false" customHeight="false" outlineLevel="0" collapsed="false">
      <c r="A58" s="6" t="n">
        <v>2016</v>
      </c>
      <c r="B58" s="6" t="n">
        <v>5</v>
      </c>
      <c r="C58" s="4" t="n">
        <v>514</v>
      </c>
      <c r="D58" s="6" t="n">
        <v>31</v>
      </c>
      <c r="E58" s="4" t="n">
        <f aca="false">INDEX(Evaporasi!$B$3:$B$14,MATCH(B58,Evaporasi!$A$3:$A$14,0))</f>
        <v>120</v>
      </c>
      <c r="F58" s="18" t="n">
        <f aca="false">Kawasan!$B$11*Kawasan!$B$9*C58/1000</f>
        <v>4276.48</v>
      </c>
      <c r="G58" s="18" t="n">
        <f aca="false">Kawasan!$B$26*D58</f>
        <v>2380.8</v>
      </c>
      <c r="H58" s="18" t="n">
        <f aca="false">E58*Desain_Kolam!$B$16/1000</f>
        <v>128.7</v>
      </c>
      <c r="I58" s="18" t="n">
        <f aca="false">F58-G58-H58</f>
        <v>1766.98</v>
      </c>
      <c r="J58" s="18" t="n">
        <f aca="false">J57+I58</f>
        <v>-22622.7</v>
      </c>
      <c r="K58" s="18" t="n">
        <f aca="false">MAX(K57,J58)</f>
        <v>867.080000000001</v>
      </c>
      <c r="L58" s="18" t="n">
        <f aca="false">K58-J58</f>
        <v>23489.78</v>
      </c>
      <c r="M58" s="18" t="n">
        <f aca="false">MIN(Desain_Kolam!$B$21,MAX(0,M57+F58-H58-G58))</f>
        <v>2274.38</v>
      </c>
      <c r="N58" s="6" t="n">
        <f aca="false">IF(M57+F58-H58&gt;=G58,1,0)</f>
        <v>1</v>
      </c>
    </row>
    <row r="59" customFormat="false" ht="15" hidden="false" customHeight="false" outlineLevel="0" collapsed="false">
      <c r="A59" s="6" t="n">
        <v>2016</v>
      </c>
      <c r="B59" s="6" t="n">
        <v>6</v>
      </c>
      <c r="C59" s="4" t="n">
        <v>279</v>
      </c>
      <c r="D59" s="6" t="n">
        <v>30</v>
      </c>
      <c r="E59" s="4" t="n">
        <f aca="false">INDEX(Evaporasi!$B$3:$B$14,MATCH(B59,Evaporasi!$A$3:$A$14,0))</f>
        <v>120</v>
      </c>
      <c r="F59" s="18" t="n">
        <f aca="false">Kawasan!$B$11*Kawasan!$B$9*C59/1000</f>
        <v>2321.28</v>
      </c>
      <c r="G59" s="18" t="n">
        <f aca="false">Kawasan!$B$26*D59</f>
        <v>2304</v>
      </c>
      <c r="H59" s="18" t="n">
        <f aca="false">E59*Desain_Kolam!$B$16/1000</f>
        <v>128.7</v>
      </c>
      <c r="I59" s="18" t="n">
        <f aca="false">F59-G59-H59</f>
        <v>-111.42</v>
      </c>
      <c r="J59" s="18" t="n">
        <f aca="false">J58+I59</f>
        <v>-22734.12</v>
      </c>
      <c r="K59" s="18" t="n">
        <f aca="false">MAX(K58,J59)</f>
        <v>867.080000000001</v>
      </c>
      <c r="L59" s="18" t="n">
        <f aca="false">K59-J59</f>
        <v>23601.2</v>
      </c>
      <c r="M59" s="18" t="n">
        <f aca="false">MIN(Desain_Kolam!$B$21,MAX(0,M58+F59-H59-G59))</f>
        <v>2162.96</v>
      </c>
      <c r="N59" s="6" t="n">
        <f aca="false">IF(M58+F59-H59&gt;=G59,1,0)</f>
        <v>1</v>
      </c>
    </row>
    <row r="60" customFormat="false" ht="15" hidden="false" customHeight="false" outlineLevel="0" collapsed="false">
      <c r="A60" s="6" t="n">
        <v>2016</v>
      </c>
      <c r="B60" s="6" t="n">
        <v>7</v>
      </c>
      <c r="C60" s="4" t="n">
        <v>254</v>
      </c>
      <c r="D60" s="6" t="n">
        <v>31</v>
      </c>
      <c r="E60" s="4" t="n">
        <f aca="false">INDEX(Evaporasi!$B$3:$B$14,MATCH(B60,Evaporasi!$A$3:$A$14,0))</f>
        <v>120</v>
      </c>
      <c r="F60" s="18" t="n">
        <f aca="false">Kawasan!$B$11*Kawasan!$B$9*C60/1000</f>
        <v>2113.28</v>
      </c>
      <c r="G60" s="18" t="n">
        <f aca="false">Kawasan!$B$26*D60</f>
        <v>2380.8</v>
      </c>
      <c r="H60" s="18" t="n">
        <f aca="false">E60*Desain_Kolam!$B$16/1000</f>
        <v>128.7</v>
      </c>
      <c r="I60" s="18" t="n">
        <f aca="false">F60-G60-H60</f>
        <v>-396.22</v>
      </c>
      <c r="J60" s="18" t="n">
        <f aca="false">J59+I60</f>
        <v>-23130.34</v>
      </c>
      <c r="K60" s="18" t="n">
        <f aca="false">MAX(K59,J60)</f>
        <v>867.080000000001</v>
      </c>
      <c r="L60" s="18" t="n">
        <f aca="false">K60-J60</f>
        <v>23997.42</v>
      </c>
      <c r="M60" s="18" t="n">
        <f aca="false">MIN(Desain_Kolam!$B$21,MAX(0,M59+F60-H60-G60))</f>
        <v>1766.74</v>
      </c>
      <c r="N60" s="6" t="n">
        <f aca="false">IF(M59+F60-H60&gt;=G60,1,0)</f>
        <v>1</v>
      </c>
    </row>
    <row r="61" customFormat="false" ht="15" hidden="false" customHeight="false" outlineLevel="0" collapsed="false">
      <c r="A61" s="6" t="n">
        <v>2016</v>
      </c>
      <c r="B61" s="6" t="n">
        <v>8</v>
      </c>
      <c r="C61" s="4" t="n">
        <v>14</v>
      </c>
      <c r="D61" s="6" t="n">
        <v>31</v>
      </c>
      <c r="E61" s="4" t="n">
        <f aca="false">INDEX(Evaporasi!$B$3:$B$14,MATCH(B61,Evaporasi!$A$3:$A$14,0))</f>
        <v>120</v>
      </c>
      <c r="F61" s="18" t="n">
        <f aca="false">Kawasan!$B$11*Kawasan!$B$9*C61/1000</f>
        <v>116.48</v>
      </c>
      <c r="G61" s="18" t="n">
        <f aca="false">Kawasan!$B$26*D61</f>
        <v>2380.8</v>
      </c>
      <c r="H61" s="18" t="n">
        <f aca="false">E61*Desain_Kolam!$B$16/1000</f>
        <v>128.7</v>
      </c>
      <c r="I61" s="18" t="n">
        <f aca="false">F61-G61-H61</f>
        <v>-2393.02</v>
      </c>
      <c r="J61" s="18" t="n">
        <f aca="false">J60+I61</f>
        <v>-25523.36</v>
      </c>
      <c r="K61" s="18" t="n">
        <f aca="false">MAX(K60,J61)</f>
        <v>867.080000000001</v>
      </c>
      <c r="L61" s="18" t="n">
        <f aca="false">K61-J61</f>
        <v>26390.44</v>
      </c>
      <c r="M61" s="18" t="n">
        <f aca="false">MIN(Desain_Kolam!$B$21,MAX(0,M60+F61-H61-G61))</f>
        <v>0</v>
      </c>
      <c r="N61" s="6" t="n">
        <f aca="false">IF(M60+F61-H61&gt;=G61,1,0)</f>
        <v>0</v>
      </c>
    </row>
    <row r="62" customFormat="false" ht="15" hidden="false" customHeight="false" outlineLevel="0" collapsed="false">
      <c r="A62" s="6" t="n">
        <v>2016</v>
      </c>
      <c r="B62" s="6" t="n">
        <v>9</v>
      </c>
      <c r="C62" s="4" t="n">
        <v>200</v>
      </c>
      <c r="D62" s="6" t="n">
        <v>30</v>
      </c>
      <c r="E62" s="4" t="n">
        <f aca="false">INDEX(Evaporasi!$B$3:$B$14,MATCH(B62,Evaporasi!$A$3:$A$14,0))</f>
        <v>120</v>
      </c>
      <c r="F62" s="18" t="n">
        <f aca="false">Kawasan!$B$11*Kawasan!$B$9*C62/1000</f>
        <v>1664</v>
      </c>
      <c r="G62" s="18" t="n">
        <f aca="false">Kawasan!$B$26*D62</f>
        <v>2304</v>
      </c>
      <c r="H62" s="18" t="n">
        <f aca="false">E62*Desain_Kolam!$B$16/1000</f>
        <v>128.7</v>
      </c>
      <c r="I62" s="18" t="n">
        <f aca="false">F62-G62-H62</f>
        <v>-768.7</v>
      </c>
      <c r="J62" s="18" t="n">
        <f aca="false">J61+I62</f>
        <v>-26292.06</v>
      </c>
      <c r="K62" s="18" t="n">
        <f aca="false">MAX(K61,J62)</f>
        <v>867.080000000001</v>
      </c>
      <c r="L62" s="18" t="n">
        <f aca="false">K62-J62</f>
        <v>27159.14</v>
      </c>
      <c r="M62" s="18" t="n">
        <f aca="false">MIN(Desain_Kolam!$B$21,MAX(0,M61+F62-H62-G62))</f>
        <v>0</v>
      </c>
      <c r="N62" s="6" t="n">
        <f aca="false">IF(M61+F62-H62&gt;=G62,1,0)</f>
        <v>0</v>
      </c>
    </row>
    <row r="63" customFormat="false" ht="15" hidden="false" customHeight="false" outlineLevel="0" collapsed="false">
      <c r="A63" s="6" t="n">
        <v>2016</v>
      </c>
      <c r="B63" s="6" t="n">
        <v>10</v>
      </c>
      <c r="C63" s="4" t="n">
        <v>302</v>
      </c>
      <c r="D63" s="6" t="n">
        <v>31</v>
      </c>
      <c r="E63" s="4" t="n">
        <f aca="false">INDEX(Evaporasi!$B$3:$B$14,MATCH(B63,Evaporasi!$A$3:$A$14,0))</f>
        <v>120</v>
      </c>
      <c r="F63" s="18" t="n">
        <f aca="false">Kawasan!$B$11*Kawasan!$B$9*C63/1000</f>
        <v>2512.64</v>
      </c>
      <c r="G63" s="18" t="n">
        <f aca="false">Kawasan!$B$26*D63</f>
        <v>2380.8</v>
      </c>
      <c r="H63" s="18" t="n">
        <f aca="false">E63*Desain_Kolam!$B$16/1000</f>
        <v>128.7</v>
      </c>
      <c r="I63" s="18" t="n">
        <f aca="false">F63-G63-H63</f>
        <v>3.14000000000016</v>
      </c>
      <c r="J63" s="18" t="n">
        <f aca="false">J62+I63</f>
        <v>-26288.92</v>
      </c>
      <c r="K63" s="18" t="n">
        <f aca="false">MAX(K62,J63)</f>
        <v>867.080000000001</v>
      </c>
      <c r="L63" s="18" t="n">
        <f aca="false">K63-J63</f>
        <v>27156</v>
      </c>
      <c r="M63" s="18" t="n">
        <f aca="false">MIN(Desain_Kolam!$B$21,MAX(0,M62+F63-H63-G63))</f>
        <v>3.14000000000033</v>
      </c>
      <c r="N63" s="6" t="n">
        <f aca="false">IF(M62+F63-H63&gt;=G63,1,0)</f>
        <v>1</v>
      </c>
    </row>
    <row r="64" customFormat="false" ht="15" hidden="false" customHeight="false" outlineLevel="0" collapsed="false">
      <c r="A64" s="6" t="n">
        <v>2016</v>
      </c>
      <c r="B64" s="6" t="n">
        <v>11</v>
      </c>
      <c r="C64" s="4" t="n">
        <v>256</v>
      </c>
      <c r="D64" s="6" t="n">
        <v>30</v>
      </c>
      <c r="E64" s="4" t="n">
        <f aca="false">INDEX(Evaporasi!$B$3:$B$14,MATCH(B64,Evaporasi!$A$3:$A$14,0))</f>
        <v>120</v>
      </c>
      <c r="F64" s="18" t="n">
        <f aca="false">Kawasan!$B$11*Kawasan!$B$9*C64/1000</f>
        <v>2129.92</v>
      </c>
      <c r="G64" s="18" t="n">
        <f aca="false">Kawasan!$B$26*D64</f>
        <v>2304</v>
      </c>
      <c r="H64" s="18" t="n">
        <f aca="false">E64*Desain_Kolam!$B$16/1000</f>
        <v>128.7</v>
      </c>
      <c r="I64" s="18" t="n">
        <f aca="false">F64-G64-H64</f>
        <v>-302.78</v>
      </c>
      <c r="J64" s="18" t="n">
        <f aca="false">J63+I64</f>
        <v>-26591.7</v>
      </c>
      <c r="K64" s="18" t="n">
        <f aca="false">MAX(K63,J64)</f>
        <v>867.080000000001</v>
      </c>
      <c r="L64" s="18" t="n">
        <f aca="false">K64-J64</f>
        <v>27458.78</v>
      </c>
      <c r="M64" s="18" t="n">
        <f aca="false">MIN(Desain_Kolam!$B$21,MAX(0,M63+F64-H64-G64))</f>
        <v>0</v>
      </c>
      <c r="N64" s="6" t="n">
        <f aca="false">IF(M63+F64-H64&gt;=G64,1,0)</f>
        <v>0</v>
      </c>
    </row>
    <row r="65" customFormat="false" ht="15" hidden="false" customHeight="false" outlineLevel="0" collapsed="false">
      <c r="A65" s="6" t="n">
        <v>2016</v>
      </c>
      <c r="B65" s="6" t="n">
        <v>12</v>
      </c>
      <c r="C65" s="4" t="n">
        <v>305</v>
      </c>
      <c r="D65" s="6" t="n">
        <v>31</v>
      </c>
      <c r="E65" s="4" t="n">
        <f aca="false">INDEX(Evaporasi!$B$3:$B$14,MATCH(B65,Evaporasi!$A$3:$A$14,0))</f>
        <v>120</v>
      </c>
      <c r="F65" s="18" t="n">
        <f aca="false">Kawasan!$B$11*Kawasan!$B$9*C65/1000</f>
        <v>2537.6</v>
      </c>
      <c r="G65" s="18" t="n">
        <f aca="false">Kawasan!$B$26*D65</f>
        <v>2380.8</v>
      </c>
      <c r="H65" s="18" t="n">
        <f aca="false">E65*Desain_Kolam!$B$16/1000</f>
        <v>128.7</v>
      </c>
      <c r="I65" s="18" t="n">
        <f aca="false">F65-G65-H65</f>
        <v>28.1000000000002</v>
      </c>
      <c r="J65" s="18" t="n">
        <f aca="false">J64+I65</f>
        <v>-26563.6</v>
      </c>
      <c r="K65" s="18" t="n">
        <f aca="false">MAX(K64,J65)</f>
        <v>867.080000000001</v>
      </c>
      <c r="L65" s="18" t="n">
        <f aca="false">K65-J65</f>
        <v>27430.68</v>
      </c>
      <c r="M65" s="18" t="n">
        <f aca="false">MIN(Desain_Kolam!$B$21,MAX(0,M64+F65-H65-G65))</f>
        <v>28.1000000000004</v>
      </c>
      <c r="N65" s="6" t="n">
        <f aca="false">IF(M64+F65-H65&gt;=G65,1,0)</f>
        <v>1</v>
      </c>
    </row>
    <row r="66" customFormat="false" ht="15" hidden="false" customHeight="false" outlineLevel="0" collapsed="false">
      <c r="A66" s="6" t="n">
        <v>2017</v>
      </c>
      <c r="B66" s="6" t="n">
        <v>1</v>
      </c>
      <c r="C66" s="4" t="n">
        <v>212</v>
      </c>
      <c r="D66" s="6" t="n">
        <v>31</v>
      </c>
      <c r="E66" s="4" t="n">
        <f aca="false">INDEX(Evaporasi!$B$3:$B$14,MATCH(B66,Evaporasi!$A$3:$A$14,0))</f>
        <v>120</v>
      </c>
      <c r="F66" s="18" t="n">
        <f aca="false">Kawasan!$B$11*Kawasan!$B$9*C66/1000</f>
        <v>1763.84</v>
      </c>
      <c r="G66" s="18" t="n">
        <f aca="false">Kawasan!$B$26*D66</f>
        <v>2380.8</v>
      </c>
      <c r="H66" s="18" t="n">
        <f aca="false">E66*Desain_Kolam!$B$16/1000</f>
        <v>128.7</v>
      </c>
      <c r="I66" s="18" t="n">
        <f aca="false">F66-G66-H66</f>
        <v>-745.66</v>
      </c>
      <c r="J66" s="18" t="n">
        <f aca="false">J65+I66</f>
        <v>-27309.26</v>
      </c>
      <c r="K66" s="18" t="n">
        <f aca="false">MAX(K65,J66)</f>
        <v>867.080000000001</v>
      </c>
      <c r="L66" s="18" t="n">
        <f aca="false">K66-J66</f>
        <v>28176.34</v>
      </c>
      <c r="M66" s="18" t="n">
        <f aca="false">MIN(Desain_Kolam!$B$21,MAX(0,M65+F66-H66-G66))</f>
        <v>0</v>
      </c>
      <c r="N66" s="6" t="n">
        <f aca="false">IF(M65+F66-H66&gt;=G66,1,0)</f>
        <v>0</v>
      </c>
    </row>
    <row r="67" customFormat="false" ht="15" hidden="false" customHeight="false" outlineLevel="0" collapsed="false">
      <c r="A67" s="6" t="n">
        <v>2017</v>
      </c>
      <c r="B67" s="6" t="n">
        <v>2</v>
      </c>
      <c r="C67" s="4" t="n">
        <v>198</v>
      </c>
      <c r="D67" s="6" t="n">
        <v>28</v>
      </c>
      <c r="E67" s="4" t="n">
        <f aca="false">INDEX(Evaporasi!$B$3:$B$14,MATCH(B67,Evaporasi!$A$3:$A$14,0))</f>
        <v>120</v>
      </c>
      <c r="F67" s="18" t="n">
        <f aca="false">Kawasan!$B$11*Kawasan!$B$9*C67/1000</f>
        <v>1647.36</v>
      </c>
      <c r="G67" s="18" t="n">
        <f aca="false">Kawasan!$B$26*D67</f>
        <v>2150.4</v>
      </c>
      <c r="H67" s="18" t="n">
        <f aca="false">E67*Desain_Kolam!$B$16/1000</f>
        <v>128.7</v>
      </c>
      <c r="I67" s="18" t="n">
        <f aca="false">F67-G67-H67</f>
        <v>-631.74</v>
      </c>
      <c r="J67" s="18" t="n">
        <f aca="false">J66+I67</f>
        <v>-27941</v>
      </c>
      <c r="K67" s="18" t="n">
        <f aca="false">MAX(K66,J67)</f>
        <v>867.080000000001</v>
      </c>
      <c r="L67" s="18" t="n">
        <f aca="false">K67-J67</f>
        <v>28808.08</v>
      </c>
      <c r="M67" s="18" t="n">
        <f aca="false">MIN(Desain_Kolam!$B$21,MAX(0,M66+F67-H67-G67))</f>
        <v>0</v>
      </c>
      <c r="N67" s="6" t="n">
        <f aca="false">IF(M66+F67-H67&gt;=G67,1,0)</f>
        <v>0</v>
      </c>
    </row>
    <row r="68" customFormat="false" ht="15" hidden="false" customHeight="false" outlineLevel="0" collapsed="false">
      <c r="A68" s="6" t="n">
        <v>2017</v>
      </c>
      <c r="B68" s="6" t="n">
        <v>3</v>
      </c>
      <c r="C68" s="4" t="n">
        <v>310</v>
      </c>
      <c r="D68" s="6" t="n">
        <v>31</v>
      </c>
      <c r="E68" s="4" t="n">
        <f aca="false">INDEX(Evaporasi!$B$3:$B$14,MATCH(B68,Evaporasi!$A$3:$A$14,0))</f>
        <v>120</v>
      </c>
      <c r="F68" s="18" t="n">
        <f aca="false">Kawasan!$B$11*Kawasan!$B$9*C68/1000</f>
        <v>2579.2</v>
      </c>
      <c r="G68" s="18" t="n">
        <f aca="false">Kawasan!$B$26*D68</f>
        <v>2380.8</v>
      </c>
      <c r="H68" s="18" t="n">
        <f aca="false">E68*Desain_Kolam!$B$16/1000</f>
        <v>128.7</v>
      </c>
      <c r="I68" s="18" t="n">
        <f aca="false">F68-G68-H68</f>
        <v>69.7000000000001</v>
      </c>
      <c r="J68" s="18" t="n">
        <f aca="false">J67+I68</f>
        <v>-27871.3</v>
      </c>
      <c r="K68" s="18" t="n">
        <f aca="false">MAX(K67,J68)</f>
        <v>867.080000000001</v>
      </c>
      <c r="L68" s="18" t="n">
        <f aca="false">K68-J68</f>
        <v>28738.38</v>
      </c>
      <c r="M68" s="18" t="n">
        <f aca="false">MIN(Desain_Kolam!$B$21,MAX(0,M67+F68-H68-G68))</f>
        <v>69.7000000000003</v>
      </c>
      <c r="N68" s="6" t="n">
        <f aca="false">IF(M67+F68-H68&gt;=G68,1,0)</f>
        <v>1</v>
      </c>
    </row>
    <row r="69" customFormat="false" ht="15" hidden="false" customHeight="false" outlineLevel="0" collapsed="false">
      <c r="A69" s="6" t="n">
        <v>2017</v>
      </c>
      <c r="B69" s="6" t="n">
        <v>4</v>
      </c>
      <c r="C69" s="4" t="n">
        <v>216</v>
      </c>
      <c r="D69" s="6" t="n">
        <v>30</v>
      </c>
      <c r="E69" s="4" t="n">
        <f aca="false">INDEX(Evaporasi!$B$3:$B$14,MATCH(B69,Evaporasi!$A$3:$A$14,0))</f>
        <v>120</v>
      </c>
      <c r="F69" s="18" t="n">
        <f aca="false">Kawasan!$B$11*Kawasan!$B$9*C69/1000</f>
        <v>1797.12</v>
      </c>
      <c r="G69" s="18" t="n">
        <f aca="false">Kawasan!$B$26*D69</f>
        <v>2304</v>
      </c>
      <c r="H69" s="18" t="n">
        <f aca="false">E69*Desain_Kolam!$B$16/1000</f>
        <v>128.7</v>
      </c>
      <c r="I69" s="18" t="n">
        <f aca="false">F69-G69-H69</f>
        <v>-635.58</v>
      </c>
      <c r="J69" s="18" t="n">
        <f aca="false">J68+I69</f>
        <v>-28506.88</v>
      </c>
      <c r="K69" s="18" t="n">
        <f aca="false">MAX(K68,J69)</f>
        <v>867.080000000001</v>
      </c>
      <c r="L69" s="18" t="n">
        <f aca="false">K69-J69</f>
        <v>29373.96</v>
      </c>
      <c r="M69" s="18" t="n">
        <f aca="false">MIN(Desain_Kolam!$B$21,MAX(0,M68+F69-H69-G69))</f>
        <v>0</v>
      </c>
      <c r="N69" s="6" t="n">
        <f aca="false">IF(M68+F69-H69&gt;=G69,1,0)</f>
        <v>0</v>
      </c>
    </row>
    <row r="70" customFormat="false" ht="15" hidden="false" customHeight="false" outlineLevel="0" collapsed="false">
      <c r="A70" s="6" t="n">
        <v>2017</v>
      </c>
      <c r="B70" s="6" t="n">
        <v>5</v>
      </c>
      <c r="C70" s="4" t="n">
        <v>314</v>
      </c>
      <c r="D70" s="6" t="n">
        <v>31</v>
      </c>
      <c r="E70" s="4" t="n">
        <f aca="false">INDEX(Evaporasi!$B$3:$B$14,MATCH(B70,Evaporasi!$A$3:$A$14,0))</f>
        <v>120</v>
      </c>
      <c r="F70" s="18" t="n">
        <f aca="false">Kawasan!$B$11*Kawasan!$B$9*C70/1000</f>
        <v>2612.48</v>
      </c>
      <c r="G70" s="18" t="n">
        <f aca="false">Kawasan!$B$26*D70</f>
        <v>2380.8</v>
      </c>
      <c r="H70" s="18" t="n">
        <f aca="false">E70*Desain_Kolam!$B$16/1000</f>
        <v>128.7</v>
      </c>
      <c r="I70" s="18" t="n">
        <f aca="false">F70-G70-H70</f>
        <v>102.98</v>
      </c>
      <c r="J70" s="18" t="n">
        <f aca="false">J69+I70</f>
        <v>-28403.9</v>
      </c>
      <c r="K70" s="18" t="n">
        <f aca="false">MAX(K69,J70)</f>
        <v>867.080000000001</v>
      </c>
      <c r="L70" s="18" t="n">
        <f aca="false">K70-J70</f>
        <v>29270.98</v>
      </c>
      <c r="M70" s="18" t="n">
        <f aca="false">MIN(Desain_Kolam!$B$21,MAX(0,M69+F70-H70-G70))</f>
        <v>102.98</v>
      </c>
      <c r="N70" s="6" t="n">
        <f aca="false">IF(M69+F70-H70&gt;=G70,1,0)</f>
        <v>1</v>
      </c>
    </row>
    <row r="71" customFormat="false" ht="15" hidden="false" customHeight="false" outlineLevel="0" collapsed="false">
      <c r="A71" s="6" t="n">
        <v>2017</v>
      </c>
      <c r="B71" s="6" t="n">
        <v>6</v>
      </c>
      <c r="C71" s="4" t="n">
        <v>248</v>
      </c>
      <c r="D71" s="6" t="n">
        <v>30</v>
      </c>
      <c r="E71" s="4" t="n">
        <f aca="false">INDEX(Evaporasi!$B$3:$B$14,MATCH(B71,Evaporasi!$A$3:$A$14,0))</f>
        <v>120</v>
      </c>
      <c r="F71" s="18" t="n">
        <f aca="false">Kawasan!$B$11*Kawasan!$B$9*C71/1000</f>
        <v>2063.36</v>
      </c>
      <c r="G71" s="18" t="n">
        <f aca="false">Kawasan!$B$26*D71</f>
        <v>2304</v>
      </c>
      <c r="H71" s="18" t="n">
        <f aca="false">E71*Desain_Kolam!$B$16/1000</f>
        <v>128.7</v>
      </c>
      <c r="I71" s="18" t="n">
        <f aca="false">F71-G71-H71</f>
        <v>-369.34</v>
      </c>
      <c r="J71" s="18" t="n">
        <f aca="false">J70+I71</f>
        <v>-28773.24</v>
      </c>
      <c r="K71" s="18" t="n">
        <f aca="false">MAX(K70,J71)</f>
        <v>867.080000000001</v>
      </c>
      <c r="L71" s="18" t="n">
        <f aca="false">K71-J71</f>
        <v>29640.32</v>
      </c>
      <c r="M71" s="18" t="n">
        <f aca="false">MIN(Desain_Kolam!$B$21,MAX(0,M70+F71-H71-G71))</f>
        <v>0</v>
      </c>
      <c r="N71" s="6" t="n">
        <f aca="false">IF(M70+F71-H71&gt;=G71,1,0)</f>
        <v>0</v>
      </c>
    </row>
    <row r="72" customFormat="false" ht="15" hidden="false" customHeight="false" outlineLevel="0" collapsed="false">
      <c r="A72" s="6" t="n">
        <v>2017</v>
      </c>
      <c r="B72" s="6" t="n">
        <v>7</v>
      </c>
      <c r="C72" s="4" t="n">
        <v>279</v>
      </c>
      <c r="D72" s="6" t="n">
        <v>31</v>
      </c>
      <c r="E72" s="4" t="n">
        <f aca="false">INDEX(Evaporasi!$B$3:$B$14,MATCH(B72,Evaporasi!$A$3:$A$14,0))</f>
        <v>120</v>
      </c>
      <c r="F72" s="18" t="n">
        <f aca="false">Kawasan!$B$11*Kawasan!$B$9*C72/1000</f>
        <v>2321.28</v>
      </c>
      <c r="G72" s="18" t="n">
        <f aca="false">Kawasan!$B$26*D72</f>
        <v>2380.8</v>
      </c>
      <c r="H72" s="18" t="n">
        <f aca="false">E72*Desain_Kolam!$B$16/1000</f>
        <v>128.7</v>
      </c>
      <c r="I72" s="18" t="n">
        <f aca="false">F72-G72-H72</f>
        <v>-188.22</v>
      </c>
      <c r="J72" s="18" t="n">
        <f aca="false">J71+I72</f>
        <v>-28961.46</v>
      </c>
      <c r="K72" s="18" t="n">
        <f aca="false">MAX(K71,J72)</f>
        <v>867.080000000001</v>
      </c>
      <c r="L72" s="18" t="n">
        <f aca="false">K72-J72</f>
        <v>29828.54</v>
      </c>
      <c r="M72" s="18" t="n">
        <f aca="false">MIN(Desain_Kolam!$B$21,MAX(0,M71+F72-H72-G72))</f>
        <v>0</v>
      </c>
      <c r="N72" s="6" t="n">
        <f aca="false">IF(M71+F72-H72&gt;=G72,1,0)</f>
        <v>0</v>
      </c>
    </row>
    <row r="73" customFormat="false" ht="15" hidden="false" customHeight="false" outlineLevel="0" collapsed="false">
      <c r="A73" s="6" t="n">
        <v>2017</v>
      </c>
      <c r="B73" s="6" t="n">
        <v>8</v>
      </c>
      <c r="C73" s="4" t="n">
        <v>321</v>
      </c>
      <c r="D73" s="6" t="n">
        <v>31</v>
      </c>
      <c r="E73" s="4" t="n">
        <f aca="false">INDEX(Evaporasi!$B$3:$B$14,MATCH(B73,Evaporasi!$A$3:$A$14,0))</f>
        <v>120</v>
      </c>
      <c r="F73" s="18" t="n">
        <f aca="false">Kawasan!$B$11*Kawasan!$B$9*C73/1000</f>
        <v>2670.72</v>
      </c>
      <c r="G73" s="18" t="n">
        <f aca="false">Kawasan!$B$26*D73</f>
        <v>2380.8</v>
      </c>
      <c r="H73" s="18" t="n">
        <f aca="false">E73*Desain_Kolam!$B$16/1000</f>
        <v>128.7</v>
      </c>
      <c r="I73" s="18" t="n">
        <f aca="false">F73-G73-H73</f>
        <v>161.22</v>
      </c>
      <c r="J73" s="18" t="n">
        <f aca="false">J72+I73</f>
        <v>-28800.24</v>
      </c>
      <c r="K73" s="18" t="n">
        <f aca="false">MAX(K72,J73)</f>
        <v>867.080000000001</v>
      </c>
      <c r="L73" s="18" t="n">
        <f aca="false">K73-J73</f>
        <v>29667.32</v>
      </c>
      <c r="M73" s="18" t="n">
        <f aca="false">MIN(Desain_Kolam!$B$21,MAX(0,M72+F73-H73-G73))</f>
        <v>161.22</v>
      </c>
      <c r="N73" s="6" t="n">
        <f aca="false">IF(M72+F73-H73&gt;=G73,1,0)</f>
        <v>1</v>
      </c>
    </row>
    <row r="74" customFormat="false" ht="15" hidden="false" customHeight="false" outlineLevel="0" collapsed="false">
      <c r="A74" s="6" t="n">
        <v>2017</v>
      </c>
      <c r="B74" s="6" t="n">
        <v>9</v>
      </c>
      <c r="C74" s="4" t="n">
        <v>122</v>
      </c>
      <c r="D74" s="6" t="n">
        <v>30</v>
      </c>
      <c r="E74" s="4" t="n">
        <f aca="false">INDEX(Evaporasi!$B$3:$B$14,MATCH(B74,Evaporasi!$A$3:$A$14,0))</f>
        <v>120</v>
      </c>
      <c r="F74" s="18" t="n">
        <f aca="false">Kawasan!$B$11*Kawasan!$B$9*C74/1000</f>
        <v>1015.04</v>
      </c>
      <c r="G74" s="18" t="n">
        <f aca="false">Kawasan!$B$26*D74</f>
        <v>2304</v>
      </c>
      <c r="H74" s="18" t="n">
        <f aca="false">E74*Desain_Kolam!$B$16/1000</f>
        <v>128.7</v>
      </c>
      <c r="I74" s="18" t="n">
        <f aca="false">F74-G74-H74</f>
        <v>-1417.66</v>
      </c>
      <c r="J74" s="18" t="n">
        <f aca="false">J73+I74</f>
        <v>-30217.9</v>
      </c>
      <c r="K74" s="18" t="n">
        <f aca="false">MAX(K73,J74)</f>
        <v>867.080000000001</v>
      </c>
      <c r="L74" s="18" t="n">
        <f aca="false">K74-J74</f>
        <v>31084.98</v>
      </c>
      <c r="M74" s="18" t="n">
        <f aca="false">MIN(Desain_Kolam!$B$21,MAX(0,M73+F74-H74-G74))</f>
        <v>0</v>
      </c>
      <c r="N74" s="6" t="n">
        <f aca="false">IF(M73+F74-H74&gt;=G74,1,0)</f>
        <v>0</v>
      </c>
    </row>
    <row r="75" customFormat="false" ht="15" hidden="false" customHeight="false" outlineLevel="0" collapsed="false">
      <c r="A75" s="6" t="n">
        <v>2017</v>
      </c>
      <c r="B75" s="6" t="n">
        <v>10</v>
      </c>
      <c r="C75" s="4" t="n">
        <v>107</v>
      </c>
      <c r="D75" s="6" t="n">
        <v>31</v>
      </c>
      <c r="E75" s="4" t="n">
        <f aca="false">INDEX(Evaporasi!$B$3:$B$14,MATCH(B75,Evaporasi!$A$3:$A$14,0))</f>
        <v>120</v>
      </c>
      <c r="F75" s="18" t="n">
        <f aca="false">Kawasan!$B$11*Kawasan!$B$9*C75/1000</f>
        <v>890.24</v>
      </c>
      <c r="G75" s="18" t="n">
        <f aca="false">Kawasan!$B$26*D75</f>
        <v>2380.8</v>
      </c>
      <c r="H75" s="18" t="n">
        <f aca="false">E75*Desain_Kolam!$B$16/1000</f>
        <v>128.7</v>
      </c>
      <c r="I75" s="18" t="n">
        <f aca="false">F75-G75-H75</f>
        <v>-1619.26</v>
      </c>
      <c r="J75" s="18" t="n">
        <f aca="false">J74+I75</f>
        <v>-31837.16</v>
      </c>
      <c r="K75" s="18" t="n">
        <f aca="false">MAX(K74,J75)</f>
        <v>867.080000000001</v>
      </c>
      <c r="L75" s="18" t="n">
        <f aca="false">K75-J75</f>
        <v>32704.24</v>
      </c>
      <c r="M75" s="18" t="n">
        <f aca="false">MIN(Desain_Kolam!$B$21,MAX(0,M74+F75-H75-G75))</f>
        <v>0</v>
      </c>
      <c r="N75" s="6" t="n">
        <f aca="false">IF(M74+F75-H75&gt;=G75,1,0)</f>
        <v>0</v>
      </c>
    </row>
    <row r="76" customFormat="false" ht="15" hidden="false" customHeight="false" outlineLevel="0" collapsed="false">
      <c r="A76" s="6" t="n">
        <v>2017</v>
      </c>
      <c r="B76" s="6" t="n">
        <v>11</v>
      </c>
      <c r="C76" s="4" t="n">
        <v>184</v>
      </c>
      <c r="D76" s="6" t="n">
        <v>30</v>
      </c>
      <c r="E76" s="4" t="n">
        <f aca="false">INDEX(Evaporasi!$B$3:$B$14,MATCH(B76,Evaporasi!$A$3:$A$14,0))</f>
        <v>120</v>
      </c>
      <c r="F76" s="18" t="n">
        <f aca="false">Kawasan!$B$11*Kawasan!$B$9*C76/1000</f>
        <v>1530.88</v>
      </c>
      <c r="G76" s="18" t="n">
        <f aca="false">Kawasan!$B$26*D76</f>
        <v>2304</v>
      </c>
      <c r="H76" s="18" t="n">
        <f aca="false">E76*Desain_Kolam!$B$16/1000</f>
        <v>128.7</v>
      </c>
      <c r="I76" s="18" t="n">
        <f aca="false">F76-G76-H76</f>
        <v>-901.82</v>
      </c>
      <c r="J76" s="18" t="n">
        <f aca="false">J75+I76</f>
        <v>-32738.98</v>
      </c>
      <c r="K76" s="18" t="n">
        <f aca="false">MAX(K75,J76)</f>
        <v>867.080000000001</v>
      </c>
      <c r="L76" s="18" t="n">
        <f aca="false">K76-J76</f>
        <v>33606.06</v>
      </c>
      <c r="M76" s="18" t="n">
        <f aca="false">MIN(Desain_Kolam!$B$21,MAX(0,M75+F76-H76-G76))</f>
        <v>0</v>
      </c>
      <c r="N76" s="6" t="n">
        <f aca="false">IF(M75+F76-H76&gt;=G76,1,0)</f>
        <v>0</v>
      </c>
    </row>
    <row r="77" customFormat="false" ht="15" hidden="false" customHeight="false" outlineLevel="0" collapsed="false">
      <c r="A77" s="6" t="n">
        <v>2017</v>
      </c>
      <c r="B77" s="6" t="n">
        <v>12</v>
      </c>
      <c r="C77" s="4" t="n">
        <v>120</v>
      </c>
      <c r="D77" s="6" t="n">
        <v>31</v>
      </c>
      <c r="E77" s="4" t="n">
        <f aca="false">INDEX(Evaporasi!$B$3:$B$14,MATCH(B77,Evaporasi!$A$3:$A$14,0))</f>
        <v>120</v>
      </c>
      <c r="F77" s="18" t="n">
        <f aca="false">Kawasan!$B$11*Kawasan!$B$9*C77/1000</f>
        <v>998.4</v>
      </c>
      <c r="G77" s="18" t="n">
        <f aca="false">Kawasan!$B$26*D77</f>
        <v>2380.8</v>
      </c>
      <c r="H77" s="18" t="n">
        <f aca="false">E77*Desain_Kolam!$B$16/1000</f>
        <v>128.7</v>
      </c>
      <c r="I77" s="18" t="n">
        <f aca="false">F77-G77-H77</f>
        <v>-1511.1</v>
      </c>
      <c r="J77" s="18" t="n">
        <f aca="false">J76+I77</f>
        <v>-34250.08</v>
      </c>
      <c r="K77" s="18" t="n">
        <f aca="false">MAX(K76,J77)</f>
        <v>867.080000000001</v>
      </c>
      <c r="L77" s="18" t="n">
        <f aca="false">K77-J77</f>
        <v>35117.16</v>
      </c>
      <c r="M77" s="18" t="n">
        <f aca="false">MIN(Desain_Kolam!$B$21,MAX(0,M76+F77-H77-G77))</f>
        <v>0</v>
      </c>
      <c r="N77" s="6" t="n">
        <f aca="false">IF(M76+F77-H77&gt;=G77,1,0)</f>
        <v>0</v>
      </c>
    </row>
    <row r="78" customFormat="false" ht="15" hidden="false" customHeight="false" outlineLevel="0" collapsed="false">
      <c r="A78" s="6" t="n">
        <v>2018</v>
      </c>
      <c r="B78" s="6" t="n">
        <v>1</v>
      </c>
      <c r="C78" s="4" t="n">
        <v>220</v>
      </c>
      <c r="D78" s="6" t="n">
        <v>31</v>
      </c>
      <c r="E78" s="4" t="n">
        <f aca="false">INDEX(Evaporasi!$B$3:$B$14,MATCH(B78,Evaporasi!$A$3:$A$14,0))</f>
        <v>120</v>
      </c>
      <c r="F78" s="18" t="n">
        <f aca="false">Kawasan!$B$11*Kawasan!$B$9*C78/1000</f>
        <v>1830.4</v>
      </c>
      <c r="G78" s="18" t="n">
        <f aca="false">Kawasan!$B$26*D78</f>
        <v>2380.8</v>
      </c>
      <c r="H78" s="18" t="n">
        <f aca="false">E78*Desain_Kolam!$B$16/1000</f>
        <v>128.7</v>
      </c>
      <c r="I78" s="18" t="n">
        <f aca="false">F78-G78-H78</f>
        <v>-679.1</v>
      </c>
      <c r="J78" s="18" t="n">
        <f aca="false">J77+I78</f>
        <v>-34929.18</v>
      </c>
      <c r="K78" s="18" t="n">
        <f aca="false">MAX(K77,J78)</f>
        <v>867.080000000001</v>
      </c>
      <c r="L78" s="18" t="n">
        <f aca="false">K78-J78</f>
        <v>35796.26</v>
      </c>
      <c r="M78" s="18" t="n">
        <f aca="false">MIN(Desain_Kolam!$B$21,MAX(0,M77+F78-H78-G78))</f>
        <v>0</v>
      </c>
      <c r="N78" s="6" t="n">
        <f aca="false">IF(M77+F78-H78&gt;=G78,1,0)</f>
        <v>0</v>
      </c>
    </row>
    <row r="79" customFormat="false" ht="15" hidden="false" customHeight="false" outlineLevel="0" collapsed="false">
      <c r="A79" s="6" t="n">
        <v>2018</v>
      </c>
      <c r="B79" s="6" t="n">
        <v>2</v>
      </c>
      <c r="C79" s="4" t="n">
        <v>93</v>
      </c>
      <c r="D79" s="6" t="n">
        <v>28</v>
      </c>
      <c r="E79" s="4" t="n">
        <f aca="false">INDEX(Evaporasi!$B$3:$B$14,MATCH(B79,Evaporasi!$A$3:$A$14,0))</f>
        <v>120</v>
      </c>
      <c r="F79" s="18" t="n">
        <f aca="false">Kawasan!$B$11*Kawasan!$B$9*C79/1000</f>
        <v>773.76</v>
      </c>
      <c r="G79" s="18" t="n">
        <f aca="false">Kawasan!$B$26*D79</f>
        <v>2150.4</v>
      </c>
      <c r="H79" s="18" t="n">
        <f aca="false">E79*Desain_Kolam!$B$16/1000</f>
        <v>128.7</v>
      </c>
      <c r="I79" s="18" t="n">
        <f aca="false">F79-G79-H79</f>
        <v>-1505.34</v>
      </c>
      <c r="J79" s="18" t="n">
        <f aca="false">J78+I79</f>
        <v>-36434.52</v>
      </c>
      <c r="K79" s="18" t="n">
        <f aca="false">MAX(K78,J79)</f>
        <v>867.080000000001</v>
      </c>
      <c r="L79" s="18" t="n">
        <f aca="false">K79-J79</f>
        <v>37301.6</v>
      </c>
      <c r="M79" s="18" t="n">
        <f aca="false">MIN(Desain_Kolam!$B$21,MAX(0,M78+F79-H79-G79))</f>
        <v>0</v>
      </c>
      <c r="N79" s="6" t="n">
        <f aca="false">IF(M78+F79-H79&gt;=G79,1,0)</f>
        <v>0</v>
      </c>
    </row>
    <row r="80" customFormat="false" ht="15" hidden="false" customHeight="false" outlineLevel="0" collapsed="false">
      <c r="A80" s="6" t="n">
        <v>2018</v>
      </c>
      <c r="B80" s="6" t="n">
        <v>3</v>
      </c>
      <c r="C80" s="4" t="n">
        <v>162</v>
      </c>
      <c r="D80" s="6" t="n">
        <v>31</v>
      </c>
      <c r="E80" s="4" t="n">
        <f aca="false">INDEX(Evaporasi!$B$3:$B$14,MATCH(B80,Evaporasi!$A$3:$A$14,0))</f>
        <v>120</v>
      </c>
      <c r="F80" s="18" t="n">
        <f aca="false">Kawasan!$B$11*Kawasan!$B$9*C80/1000</f>
        <v>1347.84</v>
      </c>
      <c r="G80" s="18" t="n">
        <f aca="false">Kawasan!$B$26*D80</f>
        <v>2380.8</v>
      </c>
      <c r="H80" s="18" t="n">
        <f aca="false">E80*Desain_Kolam!$B$16/1000</f>
        <v>128.7</v>
      </c>
      <c r="I80" s="18" t="n">
        <f aca="false">F80-G80-H80</f>
        <v>-1161.66</v>
      </c>
      <c r="J80" s="18" t="n">
        <f aca="false">J79+I80</f>
        <v>-37596.18</v>
      </c>
      <c r="K80" s="18" t="n">
        <f aca="false">MAX(K79,J80)</f>
        <v>867.080000000001</v>
      </c>
      <c r="L80" s="18" t="n">
        <f aca="false">K80-J80</f>
        <v>38463.26</v>
      </c>
      <c r="M80" s="18" t="n">
        <f aca="false">MIN(Desain_Kolam!$B$21,MAX(0,M79+F80-H80-G80))</f>
        <v>0</v>
      </c>
      <c r="N80" s="6" t="n">
        <f aca="false">IF(M79+F80-H80&gt;=G80,1,0)</f>
        <v>0</v>
      </c>
    </row>
    <row r="81" customFormat="false" ht="15" hidden="false" customHeight="false" outlineLevel="0" collapsed="false">
      <c r="A81" s="6" t="n">
        <v>2018</v>
      </c>
      <c r="B81" s="6" t="n">
        <v>4</v>
      </c>
      <c r="C81" s="4" t="n">
        <v>135</v>
      </c>
      <c r="D81" s="6" t="n">
        <v>30</v>
      </c>
      <c r="E81" s="4" t="n">
        <f aca="false">INDEX(Evaporasi!$B$3:$B$14,MATCH(B81,Evaporasi!$A$3:$A$14,0))</f>
        <v>120</v>
      </c>
      <c r="F81" s="18" t="n">
        <f aca="false">Kawasan!$B$11*Kawasan!$B$9*C81/1000</f>
        <v>1123.2</v>
      </c>
      <c r="G81" s="18" t="n">
        <f aca="false">Kawasan!$B$26*D81</f>
        <v>2304</v>
      </c>
      <c r="H81" s="18" t="n">
        <f aca="false">E81*Desain_Kolam!$B$16/1000</f>
        <v>128.7</v>
      </c>
      <c r="I81" s="18" t="n">
        <f aca="false">F81-G81-H81</f>
        <v>-1309.5</v>
      </c>
      <c r="J81" s="18" t="n">
        <f aca="false">J80+I81</f>
        <v>-38905.68</v>
      </c>
      <c r="K81" s="18" t="n">
        <f aca="false">MAX(K80,J81)</f>
        <v>867.080000000001</v>
      </c>
      <c r="L81" s="18" t="n">
        <f aca="false">K81-J81</f>
        <v>39772.76</v>
      </c>
      <c r="M81" s="18" t="n">
        <f aca="false">MIN(Desain_Kolam!$B$21,MAX(0,M80+F81-H81-G81))</f>
        <v>0</v>
      </c>
      <c r="N81" s="6" t="n">
        <f aca="false">IF(M80+F81-H81&gt;=G81,1,0)</f>
        <v>0</v>
      </c>
    </row>
    <row r="82" customFormat="false" ht="15" hidden="false" customHeight="false" outlineLevel="0" collapsed="false">
      <c r="A82" s="6" t="n">
        <v>2018</v>
      </c>
      <c r="B82" s="6" t="n">
        <v>5</v>
      </c>
      <c r="C82" s="4" t="n">
        <v>214</v>
      </c>
      <c r="D82" s="6" t="n">
        <v>31</v>
      </c>
      <c r="E82" s="4" t="n">
        <f aca="false">INDEX(Evaporasi!$B$3:$B$14,MATCH(B82,Evaporasi!$A$3:$A$14,0))</f>
        <v>120</v>
      </c>
      <c r="F82" s="18" t="n">
        <f aca="false">Kawasan!$B$11*Kawasan!$B$9*C82/1000</f>
        <v>1780.48</v>
      </c>
      <c r="G82" s="18" t="n">
        <f aca="false">Kawasan!$B$26*D82</f>
        <v>2380.8</v>
      </c>
      <c r="H82" s="18" t="n">
        <f aca="false">E82*Desain_Kolam!$B$16/1000</f>
        <v>128.7</v>
      </c>
      <c r="I82" s="18" t="n">
        <f aca="false">F82-G82-H82</f>
        <v>-729.02</v>
      </c>
      <c r="J82" s="18" t="n">
        <f aca="false">J81+I82</f>
        <v>-39634.7</v>
      </c>
      <c r="K82" s="18" t="n">
        <f aca="false">MAX(K81,J82)</f>
        <v>867.080000000001</v>
      </c>
      <c r="L82" s="18" t="n">
        <f aca="false">K82-J82</f>
        <v>40501.78</v>
      </c>
      <c r="M82" s="18" t="n">
        <f aca="false">MIN(Desain_Kolam!$B$21,MAX(0,M81+F82-H82-G82))</f>
        <v>0</v>
      </c>
      <c r="N82" s="6" t="n">
        <f aca="false">IF(M81+F82-H82&gt;=G82,1,0)</f>
        <v>0</v>
      </c>
    </row>
    <row r="83" customFormat="false" ht="15" hidden="false" customHeight="false" outlineLevel="0" collapsed="false">
      <c r="A83" s="6" t="n">
        <v>2018</v>
      </c>
      <c r="B83" s="6" t="n">
        <v>6</v>
      </c>
      <c r="C83" s="4" t="n">
        <v>125</v>
      </c>
      <c r="D83" s="6" t="n">
        <v>30</v>
      </c>
      <c r="E83" s="4" t="n">
        <f aca="false">INDEX(Evaporasi!$B$3:$B$14,MATCH(B83,Evaporasi!$A$3:$A$14,0))</f>
        <v>120</v>
      </c>
      <c r="F83" s="18" t="n">
        <f aca="false">Kawasan!$B$11*Kawasan!$B$9*C83/1000</f>
        <v>1040</v>
      </c>
      <c r="G83" s="18" t="n">
        <f aca="false">Kawasan!$B$26*D83</f>
        <v>2304</v>
      </c>
      <c r="H83" s="18" t="n">
        <f aca="false">E83*Desain_Kolam!$B$16/1000</f>
        <v>128.7</v>
      </c>
      <c r="I83" s="18" t="n">
        <f aca="false">F83-G83-H83</f>
        <v>-1392.7</v>
      </c>
      <c r="J83" s="18" t="n">
        <f aca="false">J82+I83</f>
        <v>-41027.4</v>
      </c>
      <c r="K83" s="18" t="n">
        <f aca="false">MAX(K82,J83)</f>
        <v>867.080000000001</v>
      </c>
      <c r="L83" s="18" t="n">
        <f aca="false">K83-J83</f>
        <v>41894.48</v>
      </c>
      <c r="M83" s="18" t="n">
        <f aca="false">MIN(Desain_Kolam!$B$21,MAX(0,M82+F83-H83-G83))</f>
        <v>0</v>
      </c>
      <c r="N83" s="6" t="n">
        <f aca="false">IF(M82+F83-H83&gt;=G83,1,0)</f>
        <v>0</v>
      </c>
    </row>
    <row r="84" customFormat="false" ht="15" hidden="false" customHeight="false" outlineLevel="0" collapsed="false">
      <c r="A84" s="6" t="n">
        <v>2018</v>
      </c>
      <c r="B84" s="6" t="n">
        <v>7</v>
      </c>
      <c r="C84" s="4" t="n">
        <v>24</v>
      </c>
      <c r="D84" s="6" t="n">
        <v>31</v>
      </c>
      <c r="E84" s="4" t="n">
        <f aca="false">INDEX(Evaporasi!$B$3:$B$14,MATCH(B84,Evaporasi!$A$3:$A$14,0))</f>
        <v>120</v>
      </c>
      <c r="F84" s="18" t="n">
        <f aca="false">Kawasan!$B$11*Kawasan!$B$9*C84/1000</f>
        <v>199.68</v>
      </c>
      <c r="G84" s="18" t="n">
        <f aca="false">Kawasan!$B$26*D84</f>
        <v>2380.8</v>
      </c>
      <c r="H84" s="18" t="n">
        <f aca="false">E84*Desain_Kolam!$B$16/1000</f>
        <v>128.7</v>
      </c>
      <c r="I84" s="18" t="n">
        <f aca="false">F84-G84-H84</f>
        <v>-2309.82</v>
      </c>
      <c r="J84" s="18" t="n">
        <f aca="false">J83+I84</f>
        <v>-43337.22</v>
      </c>
      <c r="K84" s="18" t="n">
        <f aca="false">MAX(K83,J84)</f>
        <v>867.080000000001</v>
      </c>
      <c r="L84" s="18" t="n">
        <f aca="false">K84-J84</f>
        <v>44204.3</v>
      </c>
      <c r="M84" s="18" t="n">
        <f aca="false">MIN(Desain_Kolam!$B$21,MAX(0,M83+F84-H84-G84))</f>
        <v>0</v>
      </c>
      <c r="N84" s="6" t="n">
        <f aca="false">IF(M83+F84-H84&gt;=G84,1,0)</f>
        <v>0</v>
      </c>
    </row>
    <row r="85" customFormat="false" ht="15" hidden="false" customHeight="false" outlineLevel="0" collapsed="false">
      <c r="A85" s="6" t="n">
        <v>2018</v>
      </c>
      <c r="B85" s="6" t="n">
        <v>8</v>
      </c>
      <c r="C85" s="4" t="n">
        <v>48</v>
      </c>
      <c r="D85" s="6" t="n">
        <v>31</v>
      </c>
      <c r="E85" s="4" t="n">
        <f aca="false">INDEX(Evaporasi!$B$3:$B$14,MATCH(B85,Evaporasi!$A$3:$A$14,0))</f>
        <v>120</v>
      </c>
      <c r="F85" s="18" t="n">
        <f aca="false">Kawasan!$B$11*Kawasan!$B$9*C85/1000</f>
        <v>399.36</v>
      </c>
      <c r="G85" s="18" t="n">
        <f aca="false">Kawasan!$B$26*D85</f>
        <v>2380.8</v>
      </c>
      <c r="H85" s="18" t="n">
        <f aca="false">E85*Desain_Kolam!$B$16/1000</f>
        <v>128.7</v>
      </c>
      <c r="I85" s="18" t="n">
        <f aca="false">F85-G85-H85</f>
        <v>-2110.14</v>
      </c>
      <c r="J85" s="18" t="n">
        <f aca="false">J84+I85</f>
        <v>-45447.36</v>
      </c>
      <c r="K85" s="18" t="n">
        <f aca="false">MAX(K84,J85)</f>
        <v>867.080000000001</v>
      </c>
      <c r="L85" s="18" t="n">
        <f aca="false">K85-J85</f>
        <v>46314.44</v>
      </c>
      <c r="M85" s="18" t="n">
        <f aca="false">MIN(Desain_Kolam!$B$21,MAX(0,M84+F85-H85-G85))</f>
        <v>0</v>
      </c>
      <c r="N85" s="6" t="n">
        <f aca="false">IF(M84+F85-H85&gt;=G85,1,0)</f>
        <v>0</v>
      </c>
    </row>
    <row r="86" customFormat="false" ht="15" hidden="false" customHeight="false" outlineLevel="0" collapsed="false">
      <c r="A86" s="6" t="n">
        <v>2018</v>
      </c>
      <c r="B86" s="6" t="n">
        <v>9</v>
      </c>
      <c r="C86" s="4" t="n">
        <v>103</v>
      </c>
      <c r="D86" s="6" t="n">
        <v>30</v>
      </c>
      <c r="E86" s="4" t="n">
        <f aca="false">INDEX(Evaporasi!$B$3:$B$14,MATCH(B86,Evaporasi!$A$3:$A$14,0))</f>
        <v>120</v>
      </c>
      <c r="F86" s="18" t="n">
        <f aca="false">Kawasan!$B$11*Kawasan!$B$9*C86/1000</f>
        <v>856.96</v>
      </c>
      <c r="G86" s="18" t="n">
        <f aca="false">Kawasan!$B$26*D86</f>
        <v>2304</v>
      </c>
      <c r="H86" s="18" t="n">
        <f aca="false">E86*Desain_Kolam!$B$16/1000</f>
        <v>128.7</v>
      </c>
      <c r="I86" s="18" t="n">
        <f aca="false">F86-G86-H86</f>
        <v>-1575.74</v>
      </c>
      <c r="J86" s="18" t="n">
        <f aca="false">J85+I86</f>
        <v>-47023.1</v>
      </c>
      <c r="K86" s="18" t="n">
        <f aca="false">MAX(K85,J86)</f>
        <v>867.080000000001</v>
      </c>
      <c r="L86" s="18" t="n">
        <f aca="false">K86-J86</f>
        <v>47890.18</v>
      </c>
      <c r="M86" s="18" t="n">
        <f aca="false">MIN(Desain_Kolam!$B$21,MAX(0,M85+F86-H86-G86))</f>
        <v>0</v>
      </c>
      <c r="N86" s="6" t="n">
        <f aca="false">IF(M85+F86-H86&gt;=G86,1,0)</f>
        <v>0</v>
      </c>
    </row>
    <row r="87" customFormat="false" ht="15" hidden="false" customHeight="false" outlineLevel="0" collapsed="false">
      <c r="A87" s="6" t="n">
        <v>2018</v>
      </c>
      <c r="B87" s="6" t="n">
        <v>10</v>
      </c>
      <c r="C87" s="4" t="n">
        <v>176</v>
      </c>
      <c r="D87" s="6" t="n">
        <v>31</v>
      </c>
      <c r="E87" s="4" t="n">
        <f aca="false">INDEX(Evaporasi!$B$3:$B$14,MATCH(B87,Evaporasi!$A$3:$A$14,0))</f>
        <v>120</v>
      </c>
      <c r="F87" s="18" t="n">
        <f aca="false">Kawasan!$B$11*Kawasan!$B$9*C87/1000</f>
        <v>1464.32</v>
      </c>
      <c r="G87" s="18" t="n">
        <f aca="false">Kawasan!$B$26*D87</f>
        <v>2380.8</v>
      </c>
      <c r="H87" s="18" t="n">
        <f aca="false">E87*Desain_Kolam!$B$16/1000</f>
        <v>128.7</v>
      </c>
      <c r="I87" s="18" t="n">
        <f aca="false">F87-G87-H87</f>
        <v>-1045.18</v>
      </c>
      <c r="J87" s="18" t="n">
        <f aca="false">J86+I87</f>
        <v>-48068.28</v>
      </c>
      <c r="K87" s="18" t="n">
        <f aca="false">MAX(K86,J87)</f>
        <v>867.080000000001</v>
      </c>
      <c r="L87" s="18" t="n">
        <f aca="false">K87-J87</f>
        <v>48935.36</v>
      </c>
      <c r="M87" s="18" t="n">
        <f aca="false">MIN(Desain_Kolam!$B$21,MAX(0,M86+F87-H87-G87))</f>
        <v>0</v>
      </c>
      <c r="N87" s="6" t="n">
        <f aca="false">IF(M86+F87-H87&gt;=G87,1,0)</f>
        <v>0</v>
      </c>
    </row>
    <row r="88" customFormat="false" ht="15" hidden="false" customHeight="false" outlineLevel="0" collapsed="false">
      <c r="A88" s="6" t="n">
        <v>2018</v>
      </c>
      <c r="B88" s="6" t="n">
        <v>11</v>
      </c>
      <c r="C88" s="4" t="n">
        <v>172</v>
      </c>
      <c r="D88" s="6" t="n">
        <v>30</v>
      </c>
      <c r="E88" s="4" t="n">
        <f aca="false">INDEX(Evaporasi!$B$3:$B$14,MATCH(B88,Evaporasi!$A$3:$A$14,0))</f>
        <v>120</v>
      </c>
      <c r="F88" s="18" t="n">
        <f aca="false">Kawasan!$B$11*Kawasan!$B$9*C88/1000</f>
        <v>1431.04</v>
      </c>
      <c r="G88" s="18" t="n">
        <f aca="false">Kawasan!$B$26*D88</f>
        <v>2304</v>
      </c>
      <c r="H88" s="18" t="n">
        <f aca="false">E88*Desain_Kolam!$B$16/1000</f>
        <v>128.7</v>
      </c>
      <c r="I88" s="18" t="n">
        <f aca="false">F88-G88-H88</f>
        <v>-1001.66</v>
      </c>
      <c r="J88" s="18" t="n">
        <f aca="false">J87+I88</f>
        <v>-49069.94</v>
      </c>
      <c r="K88" s="18" t="n">
        <f aca="false">MAX(K87,J88)</f>
        <v>867.080000000001</v>
      </c>
      <c r="L88" s="18" t="n">
        <f aca="false">K88-J88</f>
        <v>49937.02</v>
      </c>
      <c r="M88" s="18" t="n">
        <f aca="false">MIN(Desain_Kolam!$B$21,MAX(0,M87+F88-H88-G88))</f>
        <v>0</v>
      </c>
      <c r="N88" s="6" t="n">
        <f aca="false">IF(M87+F88-H88&gt;=G88,1,0)</f>
        <v>0</v>
      </c>
    </row>
    <row r="89" customFormat="false" ht="15" hidden="false" customHeight="false" outlineLevel="0" collapsed="false">
      <c r="A89" s="6" t="n">
        <v>2018</v>
      </c>
      <c r="B89" s="6" t="n">
        <v>12</v>
      </c>
      <c r="C89" s="4" t="n">
        <v>182</v>
      </c>
      <c r="D89" s="6" t="n">
        <v>31</v>
      </c>
      <c r="E89" s="4" t="n">
        <f aca="false">INDEX(Evaporasi!$B$3:$B$14,MATCH(B89,Evaporasi!$A$3:$A$14,0))</f>
        <v>120</v>
      </c>
      <c r="F89" s="18" t="n">
        <f aca="false">Kawasan!$B$11*Kawasan!$B$9*C89/1000</f>
        <v>1514.24</v>
      </c>
      <c r="G89" s="18" t="n">
        <f aca="false">Kawasan!$B$26*D89</f>
        <v>2380.8</v>
      </c>
      <c r="H89" s="18" t="n">
        <f aca="false">E89*Desain_Kolam!$B$16/1000</f>
        <v>128.7</v>
      </c>
      <c r="I89" s="18" t="n">
        <f aca="false">F89-G89-H89</f>
        <v>-995.26</v>
      </c>
      <c r="J89" s="18" t="n">
        <f aca="false">J88+I89</f>
        <v>-50065.2</v>
      </c>
      <c r="K89" s="18" t="n">
        <f aca="false">MAX(K88,J89)</f>
        <v>867.080000000001</v>
      </c>
      <c r="L89" s="18" t="n">
        <f aca="false">K89-J89</f>
        <v>50932.28</v>
      </c>
      <c r="M89" s="18" t="n">
        <f aca="false">MIN(Desain_Kolam!$B$21,MAX(0,M88+F89-H89-G89))</f>
        <v>0</v>
      </c>
      <c r="N89" s="6" t="n">
        <f aca="false">IF(M88+F89-H89&gt;=G89,1,0)</f>
        <v>0</v>
      </c>
    </row>
    <row r="90" customFormat="false" ht="15" hidden="false" customHeight="false" outlineLevel="0" collapsed="false">
      <c r="A90" s="6" t="n">
        <v>2019</v>
      </c>
      <c r="B90" s="6" t="n">
        <v>1</v>
      </c>
      <c r="C90" s="4" t="n">
        <v>124</v>
      </c>
      <c r="D90" s="6" t="n">
        <v>31</v>
      </c>
      <c r="E90" s="4" t="n">
        <f aca="false">INDEX(Evaporasi!$B$3:$B$14,MATCH(B90,Evaporasi!$A$3:$A$14,0))</f>
        <v>120</v>
      </c>
      <c r="F90" s="18" t="n">
        <f aca="false">Kawasan!$B$11*Kawasan!$B$9*C90/1000</f>
        <v>1031.68</v>
      </c>
      <c r="G90" s="18" t="n">
        <f aca="false">Kawasan!$B$26*D90</f>
        <v>2380.8</v>
      </c>
      <c r="H90" s="18" t="n">
        <f aca="false">E90*Desain_Kolam!$B$16/1000</f>
        <v>128.7</v>
      </c>
      <c r="I90" s="18" t="n">
        <f aca="false">F90-G90-H90</f>
        <v>-1477.82</v>
      </c>
      <c r="J90" s="18" t="n">
        <f aca="false">J89+I90</f>
        <v>-51543.02</v>
      </c>
      <c r="K90" s="18" t="n">
        <f aca="false">MAX(K89,J90)</f>
        <v>867.080000000001</v>
      </c>
      <c r="L90" s="18" t="n">
        <f aca="false">K90-J90</f>
        <v>52410.1</v>
      </c>
      <c r="M90" s="18" t="n">
        <f aca="false">MIN(Desain_Kolam!$B$21,MAX(0,M89+F90-H90-G90))</f>
        <v>0</v>
      </c>
      <c r="N90" s="6" t="n">
        <f aca="false">IF(M89+F90-H90&gt;=G90,1,0)</f>
        <v>0</v>
      </c>
    </row>
    <row r="91" customFormat="false" ht="15" hidden="false" customHeight="false" outlineLevel="0" collapsed="false">
      <c r="A91" s="6" t="n">
        <v>2019</v>
      </c>
      <c r="B91" s="6" t="n">
        <v>2</v>
      </c>
      <c r="C91" s="4" t="n">
        <v>207</v>
      </c>
      <c r="D91" s="6" t="n">
        <v>28</v>
      </c>
      <c r="E91" s="4" t="n">
        <f aca="false">INDEX(Evaporasi!$B$3:$B$14,MATCH(B91,Evaporasi!$A$3:$A$14,0))</f>
        <v>120</v>
      </c>
      <c r="F91" s="18" t="n">
        <f aca="false">Kawasan!$B$11*Kawasan!$B$9*C91/1000</f>
        <v>1722.24</v>
      </c>
      <c r="G91" s="18" t="n">
        <f aca="false">Kawasan!$B$26*D91</f>
        <v>2150.4</v>
      </c>
      <c r="H91" s="18" t="n">
        <f aca="false">E91*Desain_Kolam!$B$16/1000</f>
        <v>128.7</v>
      </c>
      <c r="I91" s="18" t="n">
        <f aca="false">F91-G91-H91</f>
        <v>-556.86</v>
      </c>
      <c r="J91" s="18" t="n">
        <f aca="false">J90+I91</f>
        <v>-52099.88</v>
      </c>
      <c r="K91" s="18" t="n">
        <f aca="false">MAX(K90,J91)</f>
        <v>867.080000000001</v>
      </c>
      <c r="L91" s="18" t="n">
        <f aca="false">K91-J91</f>
        <v>52966.96</v>
      </c>
      <c r="M91" s="18" t="n">
        <f aca="false">MIN(Desain_Kolam!$B$21,MAX(0,M90+F91-H91-G91))</f>
        <v>0</v>
      </c>
      <c r="N91" s="6" t="n">
        <f aca="false">IF(M90+F91-H91&gt;=G91,1,0)</f>
        <v>0</v>
      </c>
    </row>
    <row r="92" customFormat="false" ht="15" hidden="false" customHeight="false" outlineLevel="0" collapsed="false">
      <c r="A92" s="6" t="n">
        <v>2019</v>
      </c>
      <c r="B92" s="6" t="n">
        <v>3</v>
      </c>
      <c r="C92" s="4" t="n">
        <v>44</v>
      </c>
      <c r="D92" s="6" t="n">
        <v>31</v>
      </c>
      <c r="E92" s="4" t="n">
        <f aca="false">INDEX(Evaporasi!$B$3:$B$14,MATCH(B92,Evaporasi!$A$3:$A$14,0))</f>
        <v>120</v>
      </c>
      <c r="F92" s="18" t="n">
        <f aca="false">Kawasan!$B$11*Kawasan!$B$9*C92/1000</f>
        <v>366.08</v>
      </c>
      <c r="G92" s="18" t="n">
        <f aca="false">Kawasan!$B$26*D92</f>
        <v>2380.8</v>
      </c>
      <c r="H92" s="18" t="n">
        <f aca="false">E92*Desain_Kolam!$B$16/1000</f>
        <v>128.7</v>
      </c>
      <c r="I92" s="18" t="n">
        <f aca="false">F92-G92-H92</f>
        <v>-2143.42</v>
      </c>
      <c r="J92" s="18" t="n">
        <f aca="false">J91+I92</f>
        <v>-54243.3</v>
      </c>
      <c r="K92" s="18" t="n">
        <f aca="false">MAX(K91,J92)</f>
        <v>867.080000000001</v>
      </c>
      <c r="L92" s="18" t="n">
        <f aca="false">K92-J92</f>
        <v>55110.38</v>
      </c>
      <c r="M92" s="18" t="n">
        <f aca="false">MIN(Desain_Kolam!$B$21,MAX(0,M91+F92-H92-G92))</f>
        <v>0</v>
      </c>
      <c r="N92" s="6" t="n">
        <f aca="false">IF(M91+F92-H92&gt;=G92,1,0)</f>
        <v>0</v>
      </c>
    </row>
    <row r="93" customFormat="false" ht="15" hidden="false" customHeight="false" outlineLevel="0" collapsed="false">
      <c r="A93" s="6" t="n">
        <v>2019</v>
      </c>
      <c r="B93" s="6" t="n">
        <v>4</v>
      </c>
      <c r="C93" s="4" t="n">
        <v>151</v>
      </c>
      <c r="D93" s="6" t="n">
        <v>30</v>
      </c>
      <c r="E93" s="4" t="n">
        <f aca="false">INDEX(Evaporasi!$B$3:$B$14,MATCH(B93,Evaporasi!$A$3:$A$14,0))</f>
        <v>120</v>
      </c>
      <c r="F93" s="18" t="n">
        <f aca="false">Kawasan!$B$11*Kawasan!$B$9*C93/1000</f>
        <v>1256.32</v>
      </c>
      <c r="G93" s="18" t="n">
        <f aca="false">Kawasan!$B$26*D93</f>
        <v>2304</v>
      </c>
      <c r="H93" s="18" t="n">
        <f aca="false">E93*Desain_Kolam!$B$16/1000</f>
        <v>128.7</v>
      </c>
      <c r="I93" s="18" t="n">
        <f aca="false">F93-G93-H93</f>
        <v>-1176.38</v>
      </c>
      <c r="J93" s="18" t="n">
        <f aca="false">J92+I93</f>
        <v>-55419.68</v>
      </c>
      <c r="K93" s="18" t="n">
        <f aca="false">MAX(K92,J93)</f>
        <v>867.080000000001</v>
      </c>
      <c r="L93" s="18" t="n">
        <f aca="false">K93-J93</f>
        <v>56286.76</v>
      </c>
      <c r="M93" s="18" t="n">
        <f aca="false">MIN(Desain_Kolam!$B$21,MAX(0,M92+F93-H93-G93))</f>
        <v>0</v>
      </c>
      <c r="N93" s="6" t="n">
        <f aca="false">IF(M92+F93-H93&gt;=G93,1,0)</f>
        <v>0</v>
      </c>
    </row>
    <row r="94" customFormat="false" ht="15" hidden="false" customHeight="false" outlineLevel="0" collapsed="false">
      <c r="A94" s="6" t="n">
        <v>2019</v>
      </c>
      <c r="B94" s="6" t="n">
        <v>5</v>
      </c>
      <c r="C94" s="4" t="n">
        <v>118</v>
      </c>
      <c r="D94" s="6" t="n">
        <v>31</v>
      </c>
      <c r="E94" s="4" t="n">
        <f aca="false">INDEX(Evaporasi!$B$3:$B$14,MATCH(B94,Evaporasi!$A$3:$A$14,0))</f>
        <v>120</v>
      </c>
      <c r="F94" s="18" t="n">
        <f aca="false">Kawasan!$B$11*Kawasan!$B$9*C94/1000</f>
        <v>981.76</v>
      </c>
      <c r="G94" s="18" t="n">
        <f aca="false">Kawasan!$B$26*D94</f>
        <v>2380.8</v>
      </c>
      <c r="H94" s="18" t="n">
        <f aca="false">E94*Desain_Kolam!$B$16/1000</f>
        <v>128.7</v>
      </c>
      <c r="I94" s="18" t="n">
        <f aca="false">F94-G94-H94</f>
        <v>-1527.74</v>
      </c>
      <c r="J94" s="18" t="n">
        <f aca="false">J93+I94</f>
        <v>-56947.42</v>
      </c>
      <c r="K94" s="18" t="n">
        <f aca="false">MAX(K93,J94)</f>
        <v>867.080000000001</v>
      </c>
      <c r="L94" s="18" t="n">
        <f aca="false">K94-J94</f>
        <v>57814.5</v>
      </c>
      <c r="M94" s="18" t="n">
        <f aca="false">MIN(Desain_Kolam!$B$21,MAX(0,M93+F94-H94-G94))</f>
        <v>0</v>
      </c>
      <c r="N94" s="6" t="n">
        <f aca="false">IF(M93+F94-H94&gt;=G94,1,0)</f>
        <v>0</v>
      </c>
    </row>
    <row r="95" customFormat="false" ht="15" hidden="false" customHeight="false" outlineLevel="0" collapsed="false">
      <c r="A95" s="6" t="n">
        <v>2019</v>
      </c>
      <c r="B95" s="6" t="n">
        <v>6</v>
      </c>
      <c r="C95" s="4" t="n">
        <v>125</v>
      </c>
      <c r="D95" s="6" t="n">
        <v>30</v>
      </c>
      <c r="E95" s="4" t="n">
        <f aca="false">INDEX(Evaporasi!$B$3:$B$14,MATCH(B95,Evaporasi!$A$3:$A$14,0))</f>
        <v>120</v>
      </c>
      <c r="F95" s="18" t="n">
        <f aca="false">Kawasan!$B$11*Kawasan!$B$9*C95/1000</f>
        <v>1040</v>
      </c>
      <c r="G95" s="18" t="n">
        <f aca="false">Kawasan!$B$26*D95</f>
        <v>2304</v>
      </c>
      <c r="H95" s="18" t="n">
        <f aca="false">E95*Desain_Kolam!$B$16/1000</f>
        <v>128.7</v>
      </c>
      <c r="I95" s="18" t="n">
        <f aca="false">F95-G95-H95</f>
        <v>-1392.7</v>
      </c>
      <c r="J95" s="18" t="n">
        <f aca="false">J94+I95</f>
        <v>-58340.12</v>
      </c>
      <c r="K95" s="18" t="n">
        <f aca="false">MAX(K94,J95)</f>
        <v>867.080000000001</v>
      </c>
      <c r="L95" s="18" t="n">
        <f aca="false">K95-J95</f>
        <v>59207.2</v>
      </c>
      <c r="M95" s="18" t="n">
        <f aca="false">MIN(Desain_Kolam!$B$21,MAX(0,M94+F95-H95-G95))</f>
        <v>0</v>
      </c>
      <c r="N95" s="6" t="n">
        <f aca="false">IF(M94+F95-H95&gt;=G95,1,0)</f>
        <v>0</v>
      </c>
    </row>
    <row r="96" customFormat="false" ht="15" hidden="false" customHeight="false" outlineLevel="0" collapsed="false">
      <c r="A96" s="6" t="n">
        <v>2019</v>
      </c>
      <c r="B96" s="6" t="n">
        <v>7</v>
      </c>
      <c r="C96" s="4" t="n">
        <v>53</v>
      </c>
      <c r="D96" s="6" t="n">
        <v>31</v>
      </c>
      <c r="E96" s="4" t="n">
        <f aca="false">INDEX(Evaporasi!$B$3:$B$14,MATCH(B96,Evaporasi!$A$3:$A$14,0))</f>
        <v>120</v>
      </c>
      <c r="F96" s="18" t="n">
        <f aca="false">Kawasan!$B$11*Kawasan!$B$9*C96/1000</f>
        <v>440.96</v>
      </c>
      <c r="G96" s="18" t="n">
        <f aca="false">Kawasan!$B$26*D96</f>
        <v>2380.8</v>
      </c>
      <c r="H96" s="18" t="n">
        <f aca="false">E96*Desain_Kolam!$B$16/1000</f>
        <v>128.7</v>
      </c>
      <c r="I96" s="18" t="n">
        <f aca="false">F96-G96-H96</f>
        <v>-2068.54</v>
      </c>
      <c r="J96" s="18" t="n">
        <f aca="false">J95+I96</f>
        <v>-60408.66</v>
      </c>
      <c r="K96" s="18" t="n">
        <f aca="false">MAX(K95,J96)</f>
        <v>867.080000000001</v>
      </c>
      <c r="L96" s="18" t="n">
        <f aca="false">K96-J96</f>
        <v>61275.74</v>
      </c>
      <c r="M96" s="18" t="n">
        <f aca="false">MIN(Desain_Kolam!$B$21,MAX(0,M95+F96-H96-G96))</f>
        <v>0</v>
      </c>
      <c r="N96" s="6" t="n">
        <f aca="false">IF(M95+F96-H96&gt;=G96,1,0)</f>
        <v>0</v>
      </c>
    </row>
    <row r="97" customFormat="false" ht="15" hidden="false" customHeight="false" outlineLevel="0" collapsed="false">
      <c r="A97" s="6" t="n">
        <v>2019</v>
      </c>
      <c r="B97" s="6" t="n">
        <v>8</v>
      </c>
      <c r="C97" s="4" t="n">
        <v>76</v>
      </c>
      <c r="D97" s="6" t="n">
        <v>31</v>
      </c>
      <c r="E97" s="4" t="n">
        <f aca="false">INDEX(Evaporasi!$B$3:$B$14,MATCH(B97,Evaporasi!$A$3:$A$14,0))</f>
        <v>120</v>
      </c>
      <c r="F97" s="18" t="n">
        <f aca="false">Kawasan!$B$11*Kawasan!$B$9*C97/1000</f>
        <v>632.32</v>
      </c>
      <c r="G97" s="18" t="n">
        <f aca="false">Kawasan!$B$26*D97</f>
        <v>2380.8</v>
      </c>
      <c r="H97" s="18" t="n">
        <f aca="false">E97*Desain_Kolam!$B$16/1000</f>
        <v>128.7</v>
      </c>
      <c r="I97" s="18" t="n">
        <f aca="false">F97-G97-H97</f>
        <v>-1877.18</v>
      </c>
      <c r="J97" s="18" t="n">
        <f aca="false">J96+I97</f>
        <v>-62285.84</v>
      </c>
      <c r="K97" s="18" t="n">
        <f aca="false">MAX(K96,J97)</f>
        <v>867.080000000001</v>
      </c>
      <c r="L97" s="18" t="n">
        <f aca="false">K97-J97</f>
        <v>63152.92</v>
      </c>
      <c r="M97" s="18" t="n">
        <f aca="false">MIN(Desain_Kolam!$B$21,MAX(0,M96+F97-H97-G97))</f>
        <v>0</v>
      </c>
      <c r="N97" s="6" t="n">
        <f aca="false">IF(M96+F97-H97&gt;=G97,1,0)</f>
        <v>0</v>
      </c>
    </row>
    <row r="98" customFormat="false" ht="15" hidden="false" customHeight="false" outlineLevel="0" collapsed="false">
      <c r="A98" s="6" t="n">
        <v>2019</v>
      </c>
      <c r="B98" s="6" t="n">
        <v>9</v>
      </c>
      <c r="C98" s="4" t="n">
        <v>41</v>
      </c>
      <c r="D98" s="6" t="n">
        <v>30</v>
      </c>
      <c r="E98" s="4" t="n">
        <f aca="false">INDEX(Evaporasi!$B$3:$B$14,MATCH(B98,Evaporasi!$A$3:$A$14,0))</f>
        <v>120</v>
      </c>
      <c r="F98" s="18" t="n">
        <f aca="false">Kawasan!$B$11*Kawasan!$B$9*C98/1000</f>
        <v>341.12</v>
      </c>
      <c r="G98" s="18" t="n">
        <f aca="false">Kawasan!$B$26*D98</f>
        <v>2304</v>
      </c>
      <c r="H98" s="18" t="n">
        <f aca="false">E98*Desain_Kolam!$B$16/1000</f>
        <v>128.7</v>
      </c>
      <c r="I98" s="18" t="n">
        <f aca="false">F98-G98-H98</f>
        <v>-2091.58</v>
      </c>
      <c r="J98" s="18" t="n">
        <f aca="false">J97+I98</f>
        <v>-64377.42</v>
      </c>
      <c r="K98" s="18" t="n">
        <f aca="false">MAX(K97,J98)</f>
        <v>867.080000000001</v>
      </c>
      <c r="L98" s="18" t="n">
        <f aca="false">K98-J98</f>
        <v>65244.5</v>
      </c>
      <c r="M98" s="18" t="n">
        <f aca="false">MIN(Desain_Kolam!$B$21,MAX(0,M97+F98-H98-G98))</f>
        <v>0</v>
      </c>
      <c r="N98" s="6" t="n">
        <f aca="false">IF(M97+F98-H98&gt;=G98,1,0)</f>
        <v>0</v>
      </c>
    </row>
    <row r="99" customFormat="false" ht="15" hidden="false" customHeight="false" outlineLevel="0" collapsed="false">
      <c r="A99" s="6" t="n">
        <v>2019</v>
      </c>
      <c r="B99" s="6" t="n">
        <v>10</v>
      </c>
      <c r="C99" s="4" t="n">
        <v>548</v>
      </c>
      <c r="D99" s="6" t="n">
        <v>31</v>
      </c>
      <c r="E99" s="4" t="n">
        <f aca="false">INDEX(Evaporasi!$B$3:$B$14,MATCH(B99,Evaporasi!$A$3:$A$14,0))</f>
        <v>120</v>
      </c>
      <c r="F99" s="18" t="n">
        <f aca="false">Kawasan!$B$11*Kawasan!$B$9*C99/1000</f>
        <v>4559.36</v>
      </c>
      <c r="G99" s="18" t="n">
        <f aca="false">Kawasan!$B$26*D99</f>
        <v>2380.8</v>
      </c>
      <c r="H99" s="18" t="n">
        <f aca="false">E99*Desain_Kolam!$B$16/1000</f>
        <v>128.7</v>
      </c>
      <c r="I99" s="18" t="n">
        <f aca="false">F99-G99-H99</f>
        <v>2049.86</v>
      </c>
      <c r="J99" s="18" t="n">
        <f aca="false">J98+I99</f>
        <v>-62327.56</v>
      </c>
      <c r="K99" s="18" t="n">
        <f aca="false">MAX(K98,J99)</f>
        <v>867.080000000001</v>
      </c>
      <c r="L99" s="18" t="n">
        <f aca="false">K99-J99</f>
        <v>63194.64</v>
      </c>
      <c r="M99" s="18" t="n">
        <f aca="false">MIN(Desain_Kolam!$B$21,MAX(0,M98+F99-H99-G99))</f>
        <v>2049.86</v>
      </c>
      <c r="N99" s="6" t="n">
        <f aca="false">IF(M98+F99-H99&gt;=G99,1,0)</f>
        <v>1</v>
      </c>
    </row>
    <row r="100" customFormat="false" ht="15" hidden="false" customHeight="false" outlineLevel="0" collapsed="false">
      <c r="A100" s="6" t="n">
        <v>2019</v>
      </c>
      <c r="B100" s="6" t="n">
        <v>11</v>
      </c>
      <c r="C100" s="4" t="n">
        <v>469</v>
      </c>
      <c r="D100" s="6" t="n">
        <v>30</v>
      </c>
      <c r="E100" s="4" t="n">
        <f aca="false">INDEX(Evaporasi!$B$3:$B$14,MATCH(B100,Evaporasi!$A$3:$A$14,0))</f>
        <v>120</v>
      </c>
      <c r="F100" s="18" t="n">
        <f aca="false">Kawasan!$B$11*Kawasan!$B$9*C100/1000</f>
        <v>3902.08</v>
      </c>
      <c r="G100" s="18" t="n">
        <f aca="false">Kawasan!$B$26*D100</f>
        <v>2304</v>
      </c>
      <c r="H100" s="18" t="n">
        <f aca="false">E100*Desain_Kolam!$B$16/1000</f>
        <v>128.7</v>
      </c>
      <c r="I100" s="18" t="n">
        <f aca="false">F100-G100-H100</f>
        <v>1469.38</v>
      </c>
      <c r="J100" s="18" t="n">
        <f aca="false">J99+I100</f>
        <v>-60858.18</v>
      </c>
      <c r="K100" s="18" t="n">
        <f aca="false">MAX(K99,J100)</f>
        <v>867.080000000001</v>
      </c>
      <c r="L100" s="18" t="n">
        <f aca="false">K100-J100</f>
        <v>61725.26</v>
      </c>
      <c r="M100" s="18" t="n">
        <f aca="false">MIN(Desain_Kolam!$B$21,MAX(0,M99+F100-H100-G100))</f>
        <v>3519.24</v>
      </c>
      <c r="N100" s="6" t="n">
        <f aca="false">IF(M99+F100-H100&gt;=G100,1,0)</f>
        <v>1</v>
      </c>
    </row>
    <row r="101" customFormat="false" ht="15" hidden="false" customHeight="false" outlineLevel="0" collapsed="false">
      <c r="A101" s="6" t="n">
        <v>2019</v>
      </c>
      <c r="B101" s="6" t="n">
        <v>12</v>
      </c>
      <c r="C101" s="4" t="n">
        <v>357</v>
      </c>
      <c r="D101" s="6" t="n">
        <v>31</v>
      </c>
      <c r="E101" s="4" t="n">
        <f aca="false">INDEX(Evaporasi!$B$3:$B$14,MATCH(B101,Evaporasi!$A$3:$A$14,0))</f>
        <v>120</v>
      </c>
      <c r="F101" s="18" t="n">
        <f aca="false">Kawasan!$B$11*Kawasan!$B$9*C101/1000</f>
        <v>2970.24</v>
      </c>
      <c r="G101" s="18" t="n">
        <f aca="false">Kawasan!$B$26*D101</f>
        <v>2380.8</v>
      </c>
      <c r="H101" s="18" t="n">
        <f aca="false">E101*Desain_Kolam!$B$16/1000</f>
        <v>128.7</v>
      </c>
      <c r="I101" s="18" t="n">
        <f aca="false">F101-G101-H101</f>
        <v>460.74</v>
      </c>
      <c r="J101" s="18" t="n">
        <f aca="false">J100+I101</f>
        <v>-60397.44</v>
      </c>
      <c r="K101" s="18" t="n">
        <f aca="false">MAX(K100,J101)</f>
        <v>867.080000000001</v>
      </c>
      <c r="L101" s="18" t="n">
        <f aca="false">K101-J101</f>
        <v>61264.52</v>
      </c>
      <c r="M101" s="18" t="n">
        <f aca="false">MIN(Desain_Kolam!$B$21,MAX(0,M100+F101-H101-G101))</f>
        <v>3979.98</v>
      </c>
      <c r="N101" s="6" t="n">
        <f aca="false">IF(M100+F101-H101&gt;=G101,1,0)</f>
        <v>1</v>
      </c>
    </row>
    <row r="102" customFormat="false" ht="15" hidden="false" customHeight="false" outlineLevel="0" collapsed="false">
      <c r="A102" s="6" t="n">
        <v>2020</v>
      </c>
      <c r="B102" s="6" t="n">
        <v>1</v>
      </c>
      <c r="C102" s="4" t="n">
        <v>337</v>
      </c>
      <c r="D102" s="6" t="n">
        <v>31</v>
      </c>
      <c r="E102" s="4" t="n">
        <f aca="false">INDEX(Evaporasi!$B$3:$B$14,MATCH(B102,Evaporasi!$A$3:$A$14,0))</f>
        <v>120</v>
      </c>
      <c r="F102" s="18" t="n">
        <f aca="false">Kawasan!$B$11*Kawasan!$B$9*C102/1000</f>
        <v>2803.84</v>
      </c>
      <c r="G102" s="18" t="n">
        <f aca="false">Kawasan!$B$26*D102</f>
        <v>2380.8</v>
      </c>
      <c r="H102" s="18" t="n">
        <f aca="false">E102*Desain_Kolam!$B$16/1000</f>
        <v>128.7</v>
      </c>
      <c r="I102" s="18" t="n">
        <f aca="false">F102-G102-H102</f>
        <v>294.34</v>
      </c>
      <c r="J102" s="18" t="n">
        <f aca="false">J101+I102</f>
        <v>-60103.1</v>
      </c>
      <c r="K102" s="18" t="n">
        <f aca="false">MAX(K101,J102)</f>
        <v>867.080000000001</v>
      </c>
      <c r="L102" s="18" t="n">
        <f aca="false">K102-J102</f>
        <v>60970.18</v>
      </c>
      <c r="M102" s="18" t="n">
        <f aca="false">MIN(Desain_Kolam!$B$21,MAX(0,M101+F102-H102-G102))</f>
        <v>4274.32</v>
      </c>
      <c r="N102" s="6" t="n">
        <f aca="false">IF(M101+F102-H102&gt;=G102,1,0)</f>
        <v>1</v>
      </c>
    </row>
    <row r="103" customFormat="false" ht="15" hidden="false" customHeight="false" outlineLevel="0" collapsed="false">
      <c r="A103" s="6" t="n">
        <v>2020</v>
      </c>
      <c r="B103" s="6" t="n">
        <v>2</v>
      </c>
      <c r="C103" s="4" t="n">
        <v>305</v>
      </c>
      <c r="D103" s="6" t="n">
        <v>29</v>
      </c>
      <c r="E103" s="4" t="n">
        <f aca="false">INDEX(Evaporasi!$B$3:$B$14,MATCH(B103,Evaporasi!$A$3:$A$14,0))</f>
        <v>120</v>
      </c>
      <c r="F103" s="18" t="n">
        <f aca="false">Kawasan!$B$11*Kawasan!$B$9*C103/1000</f>
        <v>2537.6</v>
      </c>
      <c r="G103" s="18" t="n">
        <f aca="false">Kawasan!$B$26*D103</f>
        <v>2227.2</v>
      </c>
      <c r="H103" s="18" t="n">
        <f aca="false">E103*Desain_Kolam!$B$16/1000</f>
        <v>128.7</v>
      </c>
      <c r="I103" s="18" t="n">
        <f aca="false">F103-G103-H103</f>
        <v>181.7</v>
      </c>
      <c r="J103" s="18" t="n">
        <f aca="false">J102+I103</f>
        <v>-59921.4</v>
      </c>
      <c r="K103" s="18" t="n">
        <f aca="false">MAX(K102,J103)</f>
        <v>867.080000000001</v>
      </c>
      <c r="L103" s="18" t="n">
        <f aca="false">K103-J103</f>
        <v>60788.48</v>
      </c>
      <c r="M103" s="18" t="n">
        <f aca="false">MIN(Desain_Kolam!$B$21,MAX(0,M102+F103-H103-G103))</f>
        <v>4456.02</v>
      </c>
      <c r="N103" s="6" t="n">
        <f aca="false">IF(M102+F103-H103&gt;=G103,1,0)</f>
        <v>1</v>
      </c>
    </row>
    <row r="104" customFormat="false" ht="15" hidden="false" customHeight="false" outlineLevel="0" collapsed="false">
      <c r="A104" s="6" t="n">
        <v>2020</v>
      </c>
      <c r="B104" s="6" t="n">
        <v>3</v>
      </c>
      <c r="C104" s="4" t="n">
        <v>219</v>
      </c>
      <c r="D104" s="6" t="n">
        <v>31</v>
      </c>
      <c r="E104" s="4" t="n">
        <f aca="false">INDEX(Evaporasi!$B$3:$B$14,MATCH(B104,Evaporasi!$A$3:$A$14,0))</f>
        <v>120</v>
      </c>
      <c r="F104" s="18" t="n">
        <f aca="false">Kawasan!$B$11*Kawasan!$B$9*C104/1000</f>
        <v>1822.08</v>
      </c>
      <c r="G104" s="18" t="n">
        <f aca="false">Kawasan!$B$26*D104</f>
        <v>2380.8</v>
      </c>
      <c r="H104" s="18" t="n">
        <f aca="false">E104*Desain_Kolam!$B$16/1000</f>
        <v>128.7</v>
      </c>
      <c r="I104" s="18" t="n">
        <f aca="false">F104-G104-H104</f>
        <v>-687.42</v>
      </c>
      <c r="J104" s="18" t="n">
        <f aca="false">J103+I104</f>
        <v>-60608.82</v>
      </c>
      <c r="K104" s="18" t="n">
        <f aca="false">MAX(K103,J104)</f>
        <v>867.080000000001</v>
      </c>
      <c r="L104" s="18" t="n">
        <f aca="false">K104-J104</f>
        <v>61475.9</v>
      </c>
      <c r="M104" s="18" t="n">
        <f aca="false">MIN(Desain_Kolam!$B$21,MAX(0,M103+F104-H104-G104))</f>
        <v>3768.6</v>
      </c>
      <c r="N104" s="6" t="n">
        <f aca="false">IF(M103+F104-H104&gt;=G104,1,0)</f>
        <v>1</v>
      </c>
    </row>
    <row r="105" customFormat="false" ht="15" hidden="false" customHeight="false" outlineLevel="0" collapsed="false">
      <c r="A105" s="6" t="n">
        <v>2020</v>
      </c>
      <c r="B105" s="6" t="n">
        <v>4</v>
      </c>
      <c r="C105" s="4" t="n">
        <v>358</v>
      </c>
      <c r="D105" s="6" t="n">
        <v>30</v>
      </c>
      <c r="E105" s="4" t="n">
        <f aca="false">INDEX(Evaporasi!$B$3:$B$14,MATCH(B105,Evaporasi!$A$3:$A$14,0))</f>
        <v>120</v>
      </c>
      <c r="F105" s="18" t="n">
        <f aca="false">Kawasan!$B$11*Kawasan!$B$9*C105/1000</f>
        <v>2978.56</v>
      </c>
      <c r="G105" s="18" t="n">
        <f aca="false">Kawasan!$B$26*D105</f>
        <v>2304</v>
      </c>
      <c r="H105" s="18" t="n">
        <f aca="false">E105*Desain_Kolam!$B$16/1000</f>
        <v>128.7</v>
      </c>
      <c r="I105" s="18" t="n">
        <f aca="false">F105-G105-H105</f>
        <v>545.86</v>
      </c>
      <c r="J105" s="18" t="n">
        <f aca="false">J104+I105</f>
        <v>-60062.96</v>
      </c>
      <c r="K105" s="18" t="n">
        <f aca="false">MAX(K104,J105)</f>
        <v>867.080000000001</v>
      </c>
      <c r="L105" s="18" t="n">
        <f aca="false">K105-J105</f>
        <v>60930.04</v>
      </c>
      <c r="M105" s="18" t="n">
        <f aca="false">MIN(Desain_Kolam!$B$21,MAX(0,M104+F105-H105-G105))</f>
        <v>4314.46</v>
      </c>
      <c r="N105" s="6" t="n">
        <f aca="false">IF(M104+F105-H105&gt;=G105,1,0)</f>
        <v>1</v>
      </c>
    </row>
    <row r="106" customFormat="false" ht="15" hidden="false" customHeight="false" outlineLevel="0" collapsed="false">
      <c r="A106" s="6" t="n">
        <v>2020</v>
      </c>
      <c r="B106" s="6" t="n">
        <v>5</v>
      </c>
      <c r="C106" s="4" t="n">
        <v>305</v>
      </c>
      <c r="D106" s="6" t="n">
        <v>31</v>
      </c>
      <c r="E106" s="4" t="n">
        <f aca="false">INDEX(Evaporasi!$B$3:$B$14,MATCH(B106,Evaporasi!$A$3:$A$14,0))</f>
        <v>120</v>
      </c>
      <c r="F106" s="18" t="n">
        <f aca="false">Kawasan!$B$11*Kawasan!$B$9*C106/1000</f>
        <v>2537.6</v>
      </c>
      <c r="G106" s="18" t="n">
        <f aca="false">Kawasan!$B$26*D106</f>
        <v>2380.8</v>
      </c>
      <c r="H106" s="18" t="n">
        <f aca="false">E106*Desain_Kolam!$B$16/1000</f>
        <v>128.7</v>
      </c>
      <c r="I106" s="18" t="n">
        <f aca="false">F106-G106-H106</f>
        <v>28.1000000000002</v>
      </c>
      <c r="J106" s="18" t="n">
        <f aca="false">J105+I106</f>
        <v>-60034.86</v>
      </c>
      <c r="K106" s="18" t="n">
        <f aca="false">MAX(K105,J106)</f>
        <v>867.080000000001</v>
      </c>
      <c r="L106" s="18" t="n">
        <f aca="false">K106-J106</f>
        <v>60901.94</v>
      </c>
      <c r="M106" s="18" t="n">
        <f aca="false">MIN(Desain_Kolam!$B$21,MAX(0,M105+F106-H106-G106))</f>
        <v>4342.56</v>
      </c>
      <c r="N106" s="6" t="n">
        <f aca="false">IF(M105+F106-H106&gt;=G106,1,0)</f>
        <v>1</v>
      </c>
    </row>
    <row r="107" customFormat="false" ht="15" hidden="false" customHeight="false" outlineLevel="0" collapsed="false">
      <c r="A107" s="6" t="n">
        <v>2020</v>
      </c>
      <c r="B107" s="6" t="n">
        <v>6</v>
      </c>
      <c r="C107" s="4" t="n">
        <v>388</v>
      </c>
      <c r="D107" s="6" t="n">
        <v>30</v>
      </c>
      <c r="E107" s="4" t="n">
        <f aca="false">INDEX(Evaporasi!$B$3:$B$14,MATCH(B107,Evaporasi!$A$3:$A$14,0))</f>
        <v>120</v>
      </c>
      <c r="F107" s="18" t="n">
        <f aca="false">Kawasan!$B$11*Kawasan!$B$9*C107/1000</f>
        <v>3228.16</v>
      </c>
      <c r="G107" s="18" t="n">
        <f aca="false">Kawasan!$B$26*D107</f>
        <v>2304</v>
      </c>
      <c r="H107" s="18" t="n">
        <f aca="false">E107*Desain_Kolam!$B$16/1000</f>
        <v>128.7</v>
      </c>
      <c r="I107" s="18" t="n">
        <f aca="false">F107-G107-H107</f>
        <v>795.46</v>
      </c>
      <c r="J107" s="18" t="n">
        <f aca="false">J106+I107</f>
        <v>-59239.4</v>
      </c>
      <c r="K107" s="18" t="n">
        <f aca="false">MAX(K106,J107)</f>
        <v>867.080000000001</v>
      </c>
      <c r="L107" s="18" t="n">
        <f aca="false">K107-J107</f>
        <v>60106.48</v>
      </c>
      <c r="M107" s="18" t="n">
        <f aca="false">MIN(Desain_Kolam!$B$21,MAX(0,M106+F107-H107-G107))</f>
        <v>5138.02</v>
      </c>
      <c r="N107" s="6" t="n">
        <f aca="false">IF(M106+F107-H107&gt;=G107,1,0)</f>
        <v>1</v>
      </c>
    </row>
    <row r="108" customFormat="false" ht="15" hidden="false" customHeight="false" outlineLevel="0" collapsed="false">
      <c r="A108" s="6" t="n">
        <v>2020</v>
      </c>
      <c r="B108" s="6" t="n">
        <v>7</v>
      </c>
      <c r="C108" s="4" t="n">
        <v>507</v>
      </c>
      <c r="D108" s="6" t="n">
        <v>31</v>
      </c>
      <c r="E108" s="4" t="n">
        <f aca="false">INDEX(Evaporasi!$B$3:$B$14,MATCH(B108,Evaporasi!$A$3:$A$14,0))</f>
        <v>120</v>
      </c>
      <c r="F108" s="18" t="n">
        <f aca="false">Kawasan!$B$11*Kawasan!$B$9*C108/1000</f>
        <v>4218.24</v>
      </c>
      <c r="G108" s="18" t="n">
        <f aca="false">Kawasan!$B$26*D108</f>
        <v>2380.8</v>
      </c>
      <c r="H108" s="18" t="n">
        <f aca="false">E108*Desain_Kolam!$B$16/1000</f>
        <v>128.7</v>
      </c>
      <c r="I108" s="18" t="n">
        <f aca="false">F108-G108-H108</f>
        <v>1708.74</v>
      </c>
      <c r="J108" s="18" t="n">
        <f aca="false">J107+I108</f>
        <v>-57530.66</v>
      </c>
      <c r="K108" s="18" t="n">
        <f aca="false">MAX(K107,J108)</f>
        <v>867.080000000001</v>
      </c>
      <c r="L108" s="18" t="n">
        <f aca="false">K108-J108</f>
        <v>58397.74</v>
      </c>
      <c r="M108" s="18" t="n">
        <f aca="false">MIN(Desain_Kolam!$B$21,MAX(0,M107+F108-H108-G108))</f>
        <v>6846.76</v>
      </c>
      <c r="N108" s="6" t="n">
        <f aca="false">IF(M107+F108-H108&gt;=G108,1,0)</f>
        <v>1</v>
      </c>
    </row>
    <row r="109" customFormat="false" ht="15" hidden="false" customHeight="false" outlineLevel="0" collapsed="false">
      <c r="A109" s="6" t="n">
        <v>2020</v>
      </c>
      <c r="B109" s="6" t="n">
        <v>8</v>
      </c>
      <c r="C109" s="4" t="n">
        <v>212</v>
      </c>
      <c r="D109" s="6" t="n">
        <v>31</v>
      </c>
      <c r="E109" s="4" t="n">
        <f aca="false">INDEX(Evaporasi!$B$3:$B$14,MATCH(B109,Evaporasi!$A$3:$A$14,0))</f>
        <v>120</v>
      </c>
      <c r="F109" s="18" t="n">
        <f aca="false">Kawasan!$B$11*Kawasan!$B$9*C109/1000</f>
        <v>1763.84</v>
      </c>
      <c r="G109" s="18" t="n">
        <f aca="false">Kawasan!$B$26*D109</f>
        <v>2380.8</v>
      </c>
      <c r="H109" s="18" t="n">
        <f aca="false">E109*Desain_Kolam!$B$16/1000</f>
        <v>128.7</v>
      </c>
      <c r="I109" s="18" t="n">
        <f aca="false">F109-G109-H109</f>
        <v>-745.66</v>
      </c>
      <c r="J109" s="18" t="n">
        <f aca="false">J108+I109</f>
        <v>-58276.32</v>
      </c>
      <c r="K109" s="18" t="n">
        <f aca="false">MAX(K108,J109)</f>
        <v>867.080000000001</v>
      </c>
      <c r="L109" s="18" t="n">
        <f aca="false">K109-J109</f>
        <v>59143.4</v>
      </c>
      <c r="M109" s="18" t="n">
        <f aca="false">MIN(Desain_Kolam!$B$21,MAX(0,M108+F109-H109-G109))</f>
        <v>6101.1</v>
      </c>
      <c r="N109" s="6" t="n">
        <f aca="false">IF(M108+F109-H109&gt;=G109,1,0)</f>
        <v>1</v>
      </c>
    </row>
    <row r="110" customFormat="false" ht="15" hidden="false" customHeight="false" outlineLevel="0" collapsed="false">
      <c r="A110" s="6" t="n">
        <v>2020</v>
      </c>
      <c r="B110" s="6" t="n">
        <v>9</v>
      </c>
      <c r="C110" s="4" t="n">
        <v>460</v>
      </c>
      <c r="D110" s="6" t="n">
        <v>30</v>
      </c>
      <c r="E110" s="4" t="n">
        <f aca="false">INDEX(Evaporasi!$B$3:$B$14,MATCH(B110,Evaporasi!$A$3:$A$14,0))</f>
        <v>120</v>
      </c>
      <c r="F110" s="18" t="n">
        <f aca="false">Kawasan!$B$11*Kawasan!$B$9*C110/1000</f>
        <v>3827.2</v>
      </c>
      <c r="G110" s="18" t="n">
        <f aca="false">Kawasan!$B$26*D110</f>
        <v>2304</v>
      </c>
      <c r="H110" s="18" t="n">
        <f aca="false">E110*Desain_Kolam!$B$16/1000</f>
        <v>128.7</v>
      </c>
      <c r="I110" s="18" t="n">
        <f aca="false">F110-G110-H110</f>
        <v>1394.5</v>
      </c>
      <c r="J110" s="18" t="n">
        <f aca="false">J109+I110</f>
        <v>-56881.82</v>
      </c>
      <c r="K110" s="18" t="n">
        <f aca="false">MAX(K109,J110)</f>
        <v>867.080000000001</v>
      </c>
      <c r="L110" s="18" t="n">
        <f aca="false">K110-J110</f>
        <v>57748.9</v>
      </c>
      <c r="M110" s="18" t="n">
        <f aca="false">MIN(Desain_Kolam!$B$21,MAX(0,M109+F110-H110-G110))</f>
        <v>7495.6</v>
      </c>
      <c r="N110" s="6" t="n">
        <f aca="false">IF(M109+F110-H110&gt;=G110,1,0)</f>
        <v>1</v>
      </c>
    </row>
    <row r="111" customFormat="false" ht="15" hidden="false" customHeight="false" outlineLevel="0" collapsed="false">
      <c r="A111" s="6" t="n">
        <v>2020</v>
      </c>
      <c r="B111" s="6" t="n">
        <v>10</v>
      </c>
      <c r="C111" s="4" t="n">
        <v>256</v>
      </c>
      <c r="D111" s="6" t="n">
        <v>31</v>
      </c>
      <c r="E111" s="4" t="n">
        <f aca="false">INDEX(Evaporasi!$B$3:$B$14,MATCH(B111,Evaporasi!$A$3:$A$14,0))</f>
        <v>120</v>
      </c>
      <c r="F111" s="18" t="n">
        <f aca="false">Kawasan!$B$11*Kawasan!$B$9*C111/1000</f>
        <v>2129.92</v>
      </c>
      <c r="G111" s="18" t="n">
        <f aca="false">Kawasan!$B$26*D111</f>
        <v>2380.8</v>
      </c>
      <c r="H111" s="18" t="n">
        <f aca="false">E111*Desain_Kolam!$B$16/1000</f>
        <v>128.7</v>
      </c>
      <c r="I111" s="18" t="n">
        <f aca="false">F111-G111-H111</f>
        <v>-379.58</v>
      </c>
      <c r="J111" s="18" t="n">
        <f aca="false">J110+I111</f>
        <v>-57261.4</v>
      </c>
      <c r="K111" s="18" t="n">
        <f aca="false">MAX(K110,J111)</f>
        <v>867.080000000001</v>
      </c>
      <c r="L111" s="18" t="n">
        <f aca="false">K111-J111</f>
        <v>58128.48</v>
      </c>
      <c r="M111" s="18" t="n">
        <f aca="false">MIN(Desain_Kolam!$B$21,MAX(0,M110+F111-H111-G111))</f>
        <v>7116.02</v>
      </c>
      <c r="N111" s="6" t="n">
        <f aca="false">IF(M110+F111-H111&gt;=G111,1,0)</f>
        <v>1</v>
      </c>
    </row>
    <row r="112" customFormat="false" ht="15" hidden="false" customHeight="false" outlineLevel="0" collapsed="false">
      <c r="A112" s="6" t="n">
        <v>2020</v>
      </c>
      <c r="B112" s="6" t="n">
        <v>11</v>
      </c>
      <c r="C112" s="4" t="n">
        <v>568</v>
      </c>
      <c r="D112" s="6" t="n">
        <v>30</v>
      </c>
      <c r="E112" s="4" t="n">
        <f aca="false">INDEX(Evaporasi!$B$3:$B$14,MATCH(B112,Evaporasi!$A$3:$A$14,0))</f>
        <v>120</v>
      </c>
      <c r="F112" s="18" t="n">
        <f aca="false">Kawasan!$B$11*Kawasan!$B$9*C112/1000</f>
        <v>4725.76</v>
      </c>
      <c r="G112" s="18" t="n">
        <f aca="false">Kawasan!$B$26*D112</f>
        <v>2304</v>
      </c>
      <c r="H112" s="18" t="n">
        <f aca="false">E112*Desain_Kolam!$B$16/1000</f>
        <v>128.7</v>
      </c>
      <c r="I112" s="18" t="n">
        <f aca="false">F112-G112-H112</f>
        <v>2293.06</v>
      </c>
      <c r="J112" s="18" t="n">
        <f aca="false">J111+I112</f>
        <v>-54968.34</v>
      </c>
      <c r="K112" s="18" t="n">
        <f aca="false">MAX(K111,J112)</f>
        <v>867.080000000001</v>
      </c>
      <c r="L112" s="18" t="n">
        <f aca="false">K112-J112</f>
        <v>55835.42</v>
      </c>
      <c r="M112" s="18" t="n">
        <f aca="false">MIN(Desain_Kolam!$B$21,MAX(0,M111+F112-H112-G112))</f>
        <v>9409.08</v>
      </c>
      <c r="N112" s="6" t="n">
        <f aca="false">IF(M111+F112-H112&gt;=G112,1,0)</f>
        <v>1</v>
      </c>
    </row>
    <row r="113" customFormat="false" ht="15" hidden="false" customHeight="false" outlineLevel="0" collapsed="false">
      <c r="A113" s="6" t="n">
        <v>2020</v>
      </c>
      <c r="B113" s="6" t="n">
        <v>12</v>
      </c>
      <c r="C113" s="4" t="n">
        <v>274</v>
      </c>
      <c r="D113" s="6" t="n">
        <v>31</v>
      </c>
      <c r="E113" s="4" t="n">
        <f aca="false">INDEX(Evaporasi!$B$3:$B$14,MATCH(B113,Evaporasi!$A$3:$A$14,0))</f>
        <v>120</v>
      </c>
      <c r="F113" s="18" t="n">
        <f aca="false">Kawasan!$B$11*Kawasan!$B$9*C113/1000</f>
        <v>2279.68</v>
      </c>
      <c r="G113" s="18" t="n">
        <f aca="false">Kawasan!$B$26*D113</f>
        <v>2380.8</v>
      </c>
      <c r="H113" s="18" t="n">
        <f aca="false">E113*Desain_Kolam!$B$16/1000</f>
        <v>128.7</v>
      </c>
      <c r="I113" s="18" t="n">
        <f aca="false">F113-G113-H113</f>
        <v>-229.82</v>
      </c>
      <c r="J113" s="18" t="n">
        <f aca="false">J112+I113</f>
        <v>-55198.16</v>
      </c>
      <c r="K113" s="18" t="n">
        <f aca="false">MAX(K112,J113)</f>
        <v>867.080000000001</v>
      </c>
      <c r="L113" s="18" t="n">
        <f aca="false">K113-J113</f>
        <v>56065.24</v>
      </c>
      <c r="M113" s="18" t="n">
        <f aca="false">MIN(Desain_Kolam!$B$21,MAX(0,M112+F113-H113-G113))</f>
        <v>9179.26</v>
      </c>
      <c r="N113" s="6" t="n">
        <f aca="false">IF(M112+F113-H113&gt;=G113,1,0)</f>
        <v>1</v>
      </c>
    </row>
    <row r="114" customFormat="false" ht="15" hidden="false" customHeight="false" outlineLevel="0" collapsed="false">
      <c r="A114" s="6" t="n">
        <v>2021</v>
      </c>
      <c r="B114" s="6" t="n">
        <v>1</v>
      </c>
      <c r="C114" s="4" t="n">
        <v>310</v>
      </c>
      <c r="D114" s="6" t="n">
        <v>31</v>
      </c>
      <c r="E114" s="4" t="n">
        <f aca="false">INDEX(Evaporasi!$B$3:$B$14,MATCH(B114,Evaporasi!$A$3:$A$14,0))</f>
        <v>120</v>
      </c>
      <c r="F114" s="18" t="n">
        <f aca="false">Kawasan!$B$11*Kawasan!$B$9*C114/1000</f>
        <v>2579.2</v>
      </c>
      <c r="G114" s="18" t="n">
        <f aca="false">Kawasan!$B$26*D114</f>
        <v>2380.8</v>
      </c>
      <c r="H114" s="18" t="n">
        <f aca="false">E114*Desain_Kolam!$B$16/1000</f>
        <v>128.7</v>
      </c>
      <c r="I114" s="18" t="n">
        <f aca="false">F114-G114-H114</f>
        <v>69.7000000000001</v>
      </c>
      <c r="J114" s="18" t="n">
        <f aca="false">J113+I114</f>
        <v>-55128.46</v>
      </c>
      <c r="K114" s="18" t="n">
        <f aca="false">MAX(K113,J114)</f>
        <v>867.080000000001</v>
      </c>
      <c r="L114" s="18" t="n">
        <f aca="false">K114-J114</f>
        <v>55995.54</v>
      </c>
      <c r="M114" s="18" t="n">
        <f aca="false">MIN(Desain_Kolam!$B$21,MAX(0,M113+F114-H114-G114))</f>
        <v>9248.96</v>
      </c>
      <c r="N114" s="6" t="n">
        <f aca="false">IF(M113+F114-H114&gt;=G114,1,0)</f>
        <v>1</v>
      </c>
    </row>
    <row r="115" customFormat="false" ht="15" hidden="false" customHeight="false" outlineLevel="0" collapsed="false">
      <c r="A115" s="6" t="n">
        <v>2021</v>
      </c>
      <c r="B115" s="6" t="n">
        <v>2</v>
      </c>
      <c r="C115" s="4" t="n">
        <v>50</v>
      </c>
      <c r="D115" s="6" t="n">
        <v>28</v>
      </c>
      <c r="E115" s="4" t="n">
        <f aca="false">INDEX(Evaporasi!$B$3:$B$14,MATCH(B115,Evaporasi!$A$3:$A$14,0))</f>
        <v>120</v>
      </c>
      <c r="F115" s="18" t="n">
        <f aca="false">Kawasan!$B$11*Kawasan!$B$9*C115/1000</f>
        <v>416</v>
      </c>
      <c r="G115" s="18" t="n">
        <f aca="false">Kawasan!$B$26*D115</f>
        <v>2150.4</v>
      </c>
      <c r="H115" s="18" t="n">
        <f aca="false">E115*Desain_Kolam!$B$16/1000</f>
        <v>128.7</v>
      </c>
      <c r="I115" s="18" t="n">
        <f aca="false">F115-G115-H115</f>
        <v>-1863.1</v>
      </c>
      <c r="J115" s="18" t="n">
        <f aca="false">J114+I115</f>
        <v>-56991.56</v>
      </c>
      <c r="K115" s="18" t="n">
        <f aca="false">MAX(K114,J115)</f>
        <v>867.080000000001</v>
      </c>
      <c r="L115" s="18" t="n">
        <f aca="false">K115-J115</f>
        <v>57858.64</v>
      </c>
      <c r="M115" s="18" t="n">
        <f aca="false">MIN(Desain_Kolam!$B$21,MAX(0,M114+F115-H115-G115))</f>
        <v>7385.86</v>
      </c>
      <c r="N115" s="6" t="n">
        <f aca="false">IF(M114+F115-H115&gt;=G115,1,0)</f>
        <v>1</v>
      </c>
    </row>
    <row r="116" customFormat="false" ht="15" hidden="false" customHeight="false" outlineLevel="0" collapsed="false">
      <c r="A116" s="6" t="n">
        <v>2021</v>
      </c>
      <c r="B116" s="6" t="n">
        <v>3</v>
      </c>
      <c r="C116" s="4" t="n">
        <v>263</v>
      </c>
      <c r="D116" s="6" t="n">
        <v>31</v>
      </c>
      <c r="E116" s="4" t="n">
        <f aca="false">INDEX(Evaporasi!$B$3:$B$14,MATCH(B116,Evaporasi!$A$3:$A$14,0))</f>
        <v>120</v>
      </c>
      <c r="F116" s="18" t="n">
        <f aca="false">Kawasan!$B$11*Kawasan!$B$9*C116/1000</f>
        <v>2188.16</v>
      </c>
      <c r="G116" s="18" t="n">
        <f aca="false">Kawasan!$B$26*D116</f>
        <v>2380.8</v>
      </c>
      <c r="H116" s="18" t="n">
        <f aca="false">E116*Desain_Kolam!$B$16/1000</f>
        <v>128.7</v>
      </c>
      <c r="I116" s="18" t="n">
        <f aca="false">F116-G116-H116</f>
        <v>-321.34</v>
      </c>
      <c r="J116" s="18" t="n">
        <f aca="false">J115+I116</f>
        <v>-57312.9</v>
      </c>
      <c r="K116" s="18" t="n">
        <f aca="false">MAX(K115,J116)</f>
        <v>867.080000000001</v>
      </c>
      <c r="L116" s="18" t="n">
        <f aca="false">K116-J116</f>
        <v>58179.98</v>
      </c>
      <c r="M116" s="18" t="n">
        <f aca="false">MIN(Desain_Kolam!$B$21,MAX(0,M115+F116-H116-G116))</f>
        <v>7064.52</v>
      </c>
      <c r="N116" s="6" t="n">
        <f aca="false">IF(M115+F116-H116&gt;=G116,1,0)</f>
        <v>1</v>
      </c>
    </row>
    <row r="117" customFormat="false" ht="15" hidden="false" customHeight="false" outlineLevel="0" collapsed="false">
      <c r="A117" s="6" t="n">
        <v>2021</v>
      </c>
      <c r="B117" s="6" t="n">
        <v>4</v>
      </c>
      <c r="C117" s="4" t="n">
        <v>240</v>
      </c>
      <c r="D117" s="6" t="n">
        <v>30</v>
      </c>
      <c r="E117" s="4" t="n">
        <f aca="false">INDEX(Evaporasi!$B$3:$B$14,MATCH(B117,Evaporasi!$A$3:$A$14,0))</f>
        <v>120</v>
      </c>
      <c r="F117" s="18" t="n">
        <f aca="false">Kawasan!$B$11*Kawasan!$B$9*C117/1000</f>
        <v>1996.8</v>
      </c>
      <c r="G117" s="18" t="n">
        <f aca="false">Kawasan!$B$26*D117</f>
        <v>2304</v>
      </c>
      <c r="H117" s="18" t="n">
        <f aca="false">E117*Desain_Kolam!$B$16/1000</f>
        <v>128.7</v>
      </c>
      <c r="I117" s="18" t="n">
        <f aca="false">F117-G117-H117</f>
        <v>-435.9</v>
      </c>
      <c r="J117" s="18" t="n">
        <f aca="false">J116+I117</f>
        <v>-57748.8</v>
      </c>
      <c r="K117" s="18" t="n">
        <f aca="false">MAX(K116,J117)</f>
        <v>867.080000000001</v>
      </c>
      <c r="L117" s="18" t="n">
        <f aca="false">K117-J117</f>
        <v>58615.88</v>
      </c>
      <c r="M117" s="18" t="n">
        <f aca="false">MIN(Desain_Kolam!$B$21,MAX(0,M116+F117-H117-G117))</f>
        <v>6628.62</v>
      </c>
      <c r="N117" s="6" t="n">
        <f aca="false">IF(M116+F117-H117&gt;=G117,1,0)</f>
        <v>1</v>
      </c>
    </row>
    <row r="118" customFormat="false" ht="15" hidden="false" customHeight="false" outlineLevel="0" collapsed="false">
      <c r="A118" s="6" t="n">
        <v>2021</v>
      </c>
      <c r="B118" s="6" t="n">
        <v>5</v>
      </c>
      <c r="C118" s="4" t="n">
        <v>465</v>
      </c>
      <c r="D118" s="6" t="n">
        <v>31</v>
      </c>
      <c r="E118" s="4" t="n">
        <f aca="false">INDEX(Evaporasi!$B$3:$B$14,MATCH(B118,Evaporasi!$A$3:$A$14,0))</f>
        <v>120</v>
      </c>
      <c r="F118" s="18" t="n">
        <f aca="false">Kawasan!$B$11*Kawasan!$B$9*C118/1000</f>
        <v>3868.8</v>
      </c>
      <c r="G118" s="18" t="n">
        <f aca="false">Kawasan!$B$26*D118</f>
        <v>2380.8</v>
      </c>
      <c r="H118" s="18" t="n">
        <f aca="false">E118*Desain_Kolam!$B$16/1000</f>
        <v>128.7</v>
      </c>
      <c r="I118" s="18" t="n">
        <f aca="false">F118-G118-H118</f>
        <v>1359.3</v>
      </c>
      <c r="J118" s="18" t="n">
        <f aca="false">J117+I118</f>
        <v>-56389.5</v>
      </c>
      <c r="K118" s="18" t="n">
        <f aca="false">MAX(K117,J118)</f>
        <v>867.080000000001</v>
      </c>
      <c r="L118" s="18" t="n">
        <f aca="false">K118-J118</f>
        <v>57256.58</v>
      </c>
      <c r="M118" s="18" t="n">
        <f aca="false">MIN(Desain_Kolam!$B$21,MAX(0,M117+F118-H118-G118))</f>
        <v>7987.92</v>
      </c>
      <c r="N118" s="6" t="n">
        <f aca="false">IF(M117+F118-H118&gt;=G118,1,0)</f>
        <v>1</v>
      </c>
    </row>
    <row r="119" customFormat="false" ht="15" hidden="false" customHeight="false" outlineLevel="0" collapsed="false">
      <c r="A119" s="6" t="n">
        <v>2021</v>
      </c>
      <c r="B119" s="6" t="n">
        <v>6</v>
      </c>
      <c r="C119" s="4" t="n">
        <v>390</v>
      </c>
      <c r="D119" s="6" t="n">
        <v>30</v>
      </c>
      <c r="E119" s="4" t="n">
        <f aca="false">INDEX(Evaporasi!$B$3:$B$14,MATCH(B119,Evaporasi!$A$3:$A$14,0))</f>
        <v>120</v>
      </c>
      <c r="F119" s="18" t="n">
        <f aca="false">Kawasan!$B$11*Kawasan!$B$9*C119/1000</f>
        <v>3244.8</v>
      </c>
      <c r="G119" s="18" t="n">
        <f aca="false">Kawasan!$B$26*D119</f>
        <v>2304</v>
      </c>
      <c r="H119" s="18" t="n">
        <f aca="false">E119*Desain_Kolam!$B$16/1000</f>
        <v>128.7</v>
      </c>
      <c r="I119" s="18" t="n">
        <f aca="false">F119-G119-H119</f>
        <v>812.1</v>
      </c>
      <c r="J119" s="18" t="n">
        <f aca="false">J118+I119</f>
        <v>-55577.4</v>
      </c>
      <c r="K119" s="18" t="n">
        <f aca="false">MAX(K118,J119)</f>
        <v>867.080000000001</v>
      </c>
      <c r="L119" s="18" t="n">
        <f aca="false">K119-J119</f>
        <v>56444.48</v>
      </c>
      <c r="M119" s="18" t="n">
        <f aca="false">MIN(Desain_Kolam!$B$21,MAX(0,M118+F119-H119-G119))</f>
        <v>8800.02</v>
      </c>
      <c r="N119" s="6" t="n">
        <f aca="false">IF(M118+F119-H119&gt;=G119,1,0)</f>
        <v>1</v>
      </c>
    </row>
    <row r="120" customFormat="false" ht="15" hidden="false" customHeight="false" outlineLevel="0" collapsed="false">
      <c r="A120" s="6" t="n">
        <v>2021</v>
      </c>
      <c r="B120" s="6" t="n">
        <v>7</v>
      </c>
      <c r="C120" s="4" t="n">
        <v>211</v>
      </c>
      <c r="D120" s="6" t="n">
        <v>31</v>
      </c>
      <c r="E120" s="4" t="n">
        <f aca="false">INDEX(Evaporasi!$B$3:$B$14,MATCH(B120,Evaporasi!$A$3:$A$14,0))</f>
        <v>120</v>
      </c>
      <c r="F120" s="18" t="n">
        <f aca="false">Kawasan!$B$11*Kawasan!$B$9*C120/1000</f>
        <v>1755.52</v>
      </c>
      <c r="G120" s="18" t="n">
        <f aca="false">Kawasan!$B$26*D120</f>
        <v>2380.8</v>
      </c>
      <c r="H120" s="18" t="n">
        <f aca="false">E120*Desain_Kolam!$B$16/1000</f>
        <v>128.7</v>
      </c>
      <c r="I120" s="18" t="n">
        <f aca="false">F120-G120-H120</f>
        <v>-753.98</v>
      </c>
      <c r="J120" s="18" t="n">
        <f aca="false">J119+I120</f>
        <v>-56331.38</v>
      </c>
      <c r="K120" s="18" t="n">
        <f aca="false">MAX(K119,J120)</f>
        <v>867.080000000001</v>
      </c>
      <c r="L120" s="18" t="n">
        <f aca="false">K120-J120</f>
        <v>57198.46</v>
      </c>
      <c r="M120" s="18" t="n">
        <f aca="false">MIN(Desain_Kolam!$B$21,MAX(0,M119+F120-H120-G120))</f>
        <v>8046.04</v>
      </c>
      <c r="N120" s="6" t="n">
        <f aca="false">IF(M119+F120-H120&gt;=G120,1,0)</f>
        <v>1</v>
      </c>
    </row>
    <row r="121" customFormat="false" ht="15" hidden="false" customHeight="false" outlineLevel="0" collapsed="false">
      <c r="A121" s="6" t="n">
        <v>2021</v>
      </c>
      <c r="B121" s="6" t="n">
        <v>8</v>
      </c>
      <c r="C121" s="4" t="n">
        <v>587</v>
      </c>
      <c r="D121" s="6" t="n">
        <v>31</v>
      </c>
      <c r="E121" s="4" t="n">
        <f aca="false">INDEX(Evaporasi!$B$3:$B$14,MATCH(B121,Evaporasi!$A$3:$A$14,0))</f>
        <v>120</v>
      </c>
      <c r="F121" s="18" t="n">
        <f aca="false">Kawasan!$B$11*Kawasan!$B$9*C121/1000</f>
        <v>4883.84</v>
      </c>
      <c r="G121" s="18" t="n">
        <f aca="false">Kawasan!$B$26*D121</f>
        <v>2380.8</v>
      </c>
      <c r="H121" s="18" t="n">
        <f aca="false">E121*Desain_Kolam!$B$16/1000</f>
        <v>128.7</v>
      </c>
      <c r="I121" s="18" t="n">
        <f aca="false">F121-G121-H121</f>
        <v>2374.34</v>
      </c>
      <c r="J121" s="18" t="n">
        <f aca="false">J120+I121</f>
        <v>-53957.04</v>
      </c>
      <c r="K121" s="18" t="n">
        <f aca="false">MAX(K120,J121)</f>
        <v>867.080000000001</v>
      </c>
      <c r="L121" s="18" t="n">
        <f aca="false">K121-J121</f>
        <v>54824.12</v>
      </c>
      <c r="M121" s="18" t="n">
        <f aca="false">MIN(Desain_Kolam!$B$21,MAX(0,M120+F121-H121-G121))</f>
        <v>10420.38</v>
      </c>
      <c r="N121" s="6" t="n">
        <f aca="false">IF(M120+F121-H121&gt;=G121,1,0)</f>
        <v>1</v>
      </c>
    </row>
    <row r="122" customFormat="false" ht="15" hidden="false" customHeight="false" outlineLevel="0" collapsed="false">
      <c r="A122" s="6" t="n">
        <v>2021</v>
      </c>
      <c r="B122" s="6" t="n">
        <v>9</v>
      </c>
      <c r="C122" s="4" t="n">
        <v>524</v>
      </c>
      <c r="D122" s="6" t="n">
        <v>30</v>
      </c>
      <c r="E122" s="4" t="n">
        <f aca="false">INDEX(Evaporasi!$B$3:$B$14,MATCH(B122,Evaporasi!$A$3:$A$14,0))</f>
        <v>120</v>
      </c>
      <c r="F122" s="18" t="n">
        <f aca="false">Kawasan!$B$11*Kawasan!$B$9*C122/1000</f>
        <v>4359.68</v>
      </c>
      <c r="G122" s="18" t="n">
        <f aca="false">Kawasan!$B$26*D122</f>
        <v>2304</v>
      </c>
      <c r="H122" s="18" t="n">
        <f aca="false">E122*Desain_Kolam!$B$16/1000</f>
        <v>128.7</v>
      </c>
      <c r="I122" s="18" t="n">
        <f aca="false">F122-G122-H122</f>
        <v>1926.98</v>
      </c>
      <c r="J122" s="18" t="n">
        <f aca="false">J121+I122</f>
        <v>-52030.06</v>
      </c>
      <c r="K122" s="18" t="n">
        <f aca="false">MAX(K121,J122)</f>
        <v>867.080000000001</v>
      </c>
      <c r="L122" s="18" t="n">
        <f aca="false">K122-J122</f>
        <v>52897.14</v>
      </c>
      <c r="M122" s="18" t="n">
        <f aca="false">MIN(Desain_Kolam!$B$21,MAX(0,M121+F122-H122-G122))</f>
        <v>12347.36</v>
      </c>
      <c r="N122" s="6" t="n">
        <f aca="false">IF(M121+F122-H122&gt;=G122,1,0)</f>
        <v>1</v>
      </c>
    </row>
    <row r="123" customFormat="false" ht="15" hidden="false" customHeight="false" outlineLevel="0" collapsed="false">
      <c r="A123" s="6" t="n">
        <v>2021</v>
      </c>
      <c r="B123" s="6" t="n">
        <v>10</v>
      </c>
      <c r="C123" s="4" t="n">
        <v>252</v>
      </c>
      <c r="D123" s="6" t="n">
        <v>31</v>
      </c>
      <c r="E123" s="4" t="n">
        <f aca="false">INDEX(Evaporasi!$B$3:$B$14,MATCH(B123,Evaporasi!$A$3:$A$14,0))</f>
        <v>120</v>
      </c>
      <c r="F123" s="18" t="n">
        <f aca="false">Kawasan!$B$11*Kawasan!$B$9*C123/1000</f>
        <v>2096.64</v>
      </c>
      <c r="G123" s="18" t="n">
        <f aca="false">Kawasan!$B$26*D123</f>
        <v>2380.8</v>
      </c>
      <c r="H123" s="18" t="n">
        <f aca="false">E123*Desain_Kolam!$B$16/1000</f>
        <v>128.7</v>
      </c>
      <c r="I123" s="18" t="n">
        <f aca="false">F123-G123-H123</f>
        <v>-412.86</v>
      </c>
      <c r="J123" s="18" t="n">
        <f aca="false">J122+I123</f>
        <v>-52442.92</v>
      </c>
      <c r="K123" s="18" t="n">
        <f aca="false">MAX(K122,J123)</f>
        <v>867.080000000001</v>
      </c>
      <c r="L123" s="18" t="n">
        <f aca="false">K123-J123</f>
        <v>53310</v>
      </c>
      <c r="M123" s="18" t="n">
        <f aca="false">MIN(Desain_Kolam!$B$21,MAX(0,M122+F123-H123-G123))</f>
        <v>11934.5</v>
      </c>
      <c r="N123" s="6" t="n">
        <f aca="false">IF(M122+F123-H123&gt;=G123,1,0)</f>
        <v>1</v>
      </c>
    </row>
    <row r="124" customFormat="false" ht="15" hidden="false" customHeight="false" outlineLevel="0" collapsed="false">
      <c r="A124" s="6" t="n">
        <v>2021</v>
      </c>
      <c r="B124" s="6" t="n">
        <v>11</v>
      </c>
      <c r="C124" s="4" t="n">
        <v>252</v>
      </c>
      <c r="D124" s="6" t="n">
        <v>30</v>
      </c>
      <c r="E124" s="4" t="n">
        <f aca="false">INDEX(Evaporasi!$B$3:$B$14,MATCH(B124,Evaporasi!$A$3:$A$14,0))</f>
        <v>120</v>
      </c>
      <c r="F124" s="18" t="n">
        <f aca="false">Kawasan!$B$11*Kawasan!$B$9*C124/1000</f>
        <v>2096.64</v>
      </c>
      <c r="G124" s="18" t="n">
        <f aca="false">Kawasan!$B$26*D124</f>
        <v>2304</v>
      </c>
      <c r="H124" s="18" t="n">
        <f aca="false">E124*Desain_Kolam!$B$16/1000</f>
        <v>128.7</v>
      </c>
      <c r="I124" s="18" t="n">
        <f aca="false">F124-G124-H124</f>
        <v>-336.06</v>
      </c>
      <c r="J124" s="18" t="n">
        <f aca="false">J123+I124</f>
        <v>-52778.98</v>
      </c>
      <c r="K124" s="18" t="n">
        <f aca="false">MAX(K123,J124)</f>
        <v>867.080000000001</v>
      </c>
      <c r="L124" s="18" t="n">
        <f aca="false">K124-J124</f>
        <v>53646.06</v>
      </c>
      <c r="M124" s="18" t="n">
        <f aca="false">MIN(Desain_Kolam!$B$21,MAX(0,M123+F124-H124-G124))</f>
        <v>11598.44</v>
      </c>
      <c r="N124" s="6" t="n">
        <f aca="false">IF(M123+F124-H124&gt;=G124,1,0)</f>
        <v>1</v>
      </c>
    </row>
    <row r="125" customFormat="false" ht="15" hidden="false" customHeight="false" outlineLevel="0" collapsed="false">
      <c r="A125" s="6" t="n">
        <v>2021</v>
      </c>
      <c r="B125" s="6" t="n">
        <v>12</v>
      </c>
      <c r="C125" s="4" t="n">
        <v>152</v>
      </c>
      <c r="D125" s="6" t="n">
        <v>31</v>
      </c>
      <c r="E125" s="4" t="n">
        <f aca="false">INDEX(Evaporasi!$B$3:$B$14,MATCH(B125,Evaporasi!$A$3:$A$14,0))</f>
        <v>120</v>
      </c>
      <c r="F125" s="18" t="n">
        <f aca="false">Kawasan!$B$11*Kawasan!$B$9*C125/1000</f>
        <v>1264.64</v>
      </c>
      <c r="G125" s="18" t="n">
        <f aca="false">Kawasan!$B$26*D125</f>
        <v>2380.8</v>
      </c>
      <c r="H125" s="18" t="n">
        <f aca="false">E125*Desain_Kolam!$B$16/1000</f>
        <v>128.7</v>
      </c>
      <c r="I125" s="18" t="n">
        <f aca="false">F125-G125-H125</f>
        <v>-1244.86</v>
      </c>
      <c r="J125" s="18" t="n">
        <f aca="false">J124+I125</f>
        <v>-54023.84</v>
      </c>
      <c r="K125" s="18" t="n">
        <f aca="false">MAX(K124,J125)</f>
        <v>867.080000000001</v>
      </c>
      <c r="L125" s="18" t="n">
        <f aca="false">K125-J125</f>
        <v>54890.92</v>
      </c>
      <c r="M125" s="18" t="n">
        <f aca="false">MIN(Desain_Kolam!$B$21,MAX(0,M124+F125-H125-G125))</f>
        <v>10353.58</v>
      </c>
      <c r="N125" s="6" t="n">
        <f aca="false">IF(M124+F125-H125&gt;=G125,1,0)</f>
        <v>1</v>
      </c>
    </row>
    <row r="126" customFormat="false" ht="15" hidden="false" customHeight="false" outlineLevel="0" collapsed="false">
      <c r="A126" s="6" t="n">
        <v>2022</v>
      </c>
      <c r="B126" s="6" t="n">
        <v>1</v>
      </c>
      <c r="C126" s="4" t="n">
        <v>145</v>
      </c>
      <c r="D126" s="6" t="n">
        <v>31</v>
      </c>
      <c r="E126" s="4" t="n">
        <f aca="false">INDEX(Evaporasi!$B$3:$B$14,MATCH(B126,Evaporasi!$A$3:$A$14,0))</f>
        <v>120</v>
      </c>
      <c r="F126" s="18" t="n">
        <f aca="false">Kawasan!$B$11*Kawasan!$B$9*C126/1000</f>
        <v>1206.4</v>
      </c>
      <c r="G126" s="18" t="n">
        <f aca="false">Kawasan!$B$26*D126</f>
        <v>2380.8</v>
      </c>
      <c r="H126" s="18" t="n">
        <f aca="false">E126*Desain_Kolam!$B$16/1000</f>
        <v>128.7</v>
      </c>
      <c r="I126" s="18" t="n">
        <f aca="false">F126-G126-H126</f>
        <v>-1303.1</v>
      </c>
      <c r="J126" s="18" t="n">
        <f aca="false">J125+I126</f>
        <v>-55326.94</v>
      </c>
      <c r="K126" s="18" t="n">
        <f aca="false">MAX(K125,J126)</f>
        <v>867.080000000001</v>
      </c>
      <c r="L126" s="18" t="n">
        <f aca="false">K126-J126</f>
        <v>56194.02</v>
      </c>
      <c r="M126" s="18" t="n">
        <f aca="false">MIN(Desain_Kolam!$B$21,MAX(0,M125+F126-H126-G126))</f>
        <v>9050.48</v>
      </c>
      <c r="N126" s="6" t="n">
        <f aca="false">IF(M125+F126-H126&gt;=G126,1,0)</f>
        <v>1</v>
      </c>
    </row>
    <row r="127" customFormat="false" ht="15" hidden="false" customHeight="false" outlineLevel="0" collapsed="false">
      <c r="A127" s="6" t="n">
        <v>2022</v>
      </c>
      <c r="B127" s="6" t="n">
        <v>2</v>
      </c>
      <c r="C127" s="4" t="n">
        <v>106</v>
      </c>
      <c r="D127" s="6" t="n">
        <v>28</v>
      </c>
      <c r="E127" s="4" t="n">
        <f aca="false">INDEX(Evaporasi!$B$3:$B$14,MATCH(B127,Evaporasi!$A$3:$A$14,0))</f>
        <v>120</v>
      </c>
      <c r="F127" s="18" t="n">
        <f aca="false">Kawasan!$B$11*Kawasan!$B$9*C127/1000</f>
        <v>881.92</v>
      </c>
      <c r="G127" s="18" t="n">
        <f aca="false">Kawasan!$B$26*D127</f>
        <v>2150.4</v>
      </c>
      <c r="H127" s="18" t="n">
        <f aca="false">E127*Desain_Kolam!$B$16/1000</f>
        <v>128.7</v>
      </c>
      <c r="I127" s="18" t="n">
        <f aca="false">F127-G127-H127</f>
        <v>-1397.18</v>
      </c>
      <c r="J127" s="18" t="n">
        <f aca="false">J126+I127</f>
        <v>-56724.12</v>
      </c>
      <c r="K127" s="18" t="n">
        <f aca="false">MAX(K126,J127)</f>
        <v>867.080000000001</v>
      </c>
      <c r="L127" s="18" t="n">
        <f aca="false">K127-J127</f>
        <v>57591.2</v>
      </c>
      <c r="M127" s="18" t="n">
        <f aca="false">MIN(Desain_Kolam!$B$21,MAX(0,M126+F127-H127-G127))</f>
        <v>7653.3</v>
      </c>
      <c r="N127" s="6" t="n">
        <f aca="false">IF(M126+F127-H127&gt;=G127,1,0)</f>
        <v>1</v>
      </c>
    </row>
    <row r="128" customFormat="false" ht="15" hidden="false" customHeight="false" outlineLevel="0" collapsed="false">
      <c r="A128" s="6" t="n">
        <v>2022</v>
      </c>
      <c r="B128" s="6" t="n">
        <v>3</v>
      </c>
      <c r="C128" s="4" t="n">
        <v>104</v>
      </c>
      <c r="D128" s="6" t="n">
        <v>31</v>
      </c>
      <c r="E128" s="4" t="n">
        <f aca="false">INDEX(Evaporasi!$B$3:$B$14,MATCH(B128,Evaporasi!$A$3:$A$14,0))</f>
        <v>120</v>
      </c>
      <c r="F128" s="18" t="n">
        <f aca="false">Kawasan!$B$11*Kawasan!$B$9*C128/1000</f>
        <v>865.28</v>
      </c>
      <c r="G128" s="18" t="n">
        <f aca="false">Kawasan!$B$26*D128</f>
        <v>2380.8</v>
      </c>
      <c r="H128" s="18" t="n">
        <f aca="false">E128*Desain_Kolam!$B$16/1000</f>
        <v>128.7</v>
      </c>
      <c r="I128" s="18" t="n">
        <f aca="false">F128-G128-H128</f>
        <v>-1644.22</v>
      </c>
      <c r="J128" s="18" t="n">
        <f aca="false">J127+I128</f>
        <v>-58368.34</v>
      </c>
      <c r="K128" s="18" t="n">
        <f aca="false">MAX(K127,J128)</f>
        <v>867.080000000001</v>
      </c>
      <c r="L128" s="18" t="n">
        <f aca="false">K128-J128</f>
        <v>59235.42</v>
      </c>
      <c r="M128" s="18" t="n">
        <f aca="false">MIN(Desain_Kolam!$B$21,MAX(0,M127+F128-H128-G128))</f>
        <v>6009.08</v>
      </c>
      <c r="N128" s="6" t="n">
        <f aca="false">IF(M127+F128-H128&gt;=G128,1,0)</f>
        <v>1</v>
      </c>
    </row>
    <row r="129" customFormat="false" ht="15" hidden="false" customHeight="false" outlineLevel="0" collapsed="false">
      <c r="A129" s="6" t="n">
        <v>2022</v>
      </c>
      <c r="B129" s="6" t="n">
        <v>4</v>
      </c>
      <c r="C129" s="4" t="n">
        <v>301</v>
      </c>
      <c r="D129" s="6" t="n">
        <v>30</v>
      </c>
      <c r="E129" s="4" t="n">
        <f aca="false">INDEX(Evaporasi!$B$3:$B$14,MATCH(B129,Evaporasi!$A$3:$A$14,0))</f>
        <v>120</v>
      </c>
      <c r="F129" s="18" t="n">
        <f aca="false">Kawasan!$B$11*Kawasan!$B$9*C129/1000</f>
        <v>2504.32</v>
      </c>
      <c r="G129" s="18" t="n">
        <f aca="false">Kawasan!$B$26*D129</f>
        <v>2304</v>
      </c>
      <c r="H129" s="18" t="n">
        <f aca="false">E129*Desain_Kolam!$B$16/1000</f>
        <v>128.7</v>
      </c>
      <c r="I129" s="18" t="n">
        <f aca="false">F129-G129-H129</f>
        <v>71.6200000000002</v>
      </c>
      <c r="J129" s="18" t="n">
        <f aca="false">J128+I129</f>
        <v>-58296.72</v>
      </c>
      <c r="K129" s="18" t="n">
        <f aca="false">MAX(K128,J129)</f>
        <v>867.080000000001</v>
      </c>
      <c r="L129" s="18" t="n">
        <f aca="false">K129-J129</f>
        <v>59163.8</v>
      </c>
      <c r="M129" s="18" t="n">
        <f aca="false">MIN(Desain_Kolam!$B$21,MAX(0,M128+F129-H129-G129))</f>
        <v>6080.7</v>
      </c>
      <c r="N129" s="6" t="n">
        <f aca="false">IF(M128+F129-H129&gt;=G129,1,0)</f>
        <v>1</v>
      </c>
    </row>
    <row r="130" customFormat="false" ht="15" hidden="false" customHeight="false" outlineLevel="0" collapsed="false">
      <c r="A130" s="6" t="n">
        <v>2022</v>
      </c>
      <c r="B130" s="6" t="n">
        <v>5</v>
      </c>
      <c r="C130" s="4" t="n">
        <v>201</v>
      </c>
      <c r="D130" s="6" t="n">
        <v>31</v>
      </c>
      <c r="E130" s="4" t="n">
        <f aca="false">INDEX(Evaporasi!$B$3:$B$14,MATCH(B130,Evaporasi!$A$3:$A$14,0))</f>
        <v>120</v>
      </c>
      <c r="F130" s="18" t="n">
        <f aca="false">Kawasan!$B$11*Kawasan!$B$9*C130/1000</f>
        <v>1672.32</v>
      </c>
      <c r="G130" s="18" t="n">
        <f aca="false">Kawasan!$B$26*D130</f>
        <v>2380.8</v>
      </c>
      <c r="H130" s="18" t="n">
        <f aca="false">E130*Desain_Kolam!$B$16/1000</f>
        <v>128.7</v>
      </c>
      <c r="I130" s="18" t="n">
        <f aca="false">F130-G130-H130</f>
        <v>-837.18</v>
      </c>
      <c r="J130" s="18" t="n">
        <f aca="false">J129+I130</f>
        <v>-59133.9</v>
      </c>
      <c r="K130" s="18" t="n">
        <f aca="false">MAX(K129,J130)</f>
        <v>867.080000000001</v>
      </c>
      <c r="L130" s="18" t="n">
        <f aca="false">K130-J130</f>
        <v>60000.98</v>
      </c>
      <c r="M130" s="18" t="n">
        <f aca="false">MIN(Desain_Kolam!$B$21,MAX(0,M129+F130-H130-G130))</f>
        <v>5243.52</v>
      </c>
      <c r="N130" s="6" t="n">
        <f aca="false">IF(M129+F130-H130&gt;=G130,1,0)</f>
        <v>1</v>
      </c>
    </row>
    <row r="131" customFormat="false" ht="15" hidden="false" customHeight="false" outlineLevel="0" collapsed="false">
      <c r="A131" s="6" t="n">
        <v>2022</v>
      </c>
      <c r="B131" s="6" t="n">
        <v>6</v>
      </c>
      <c r="C131" s="4" t="n">
        <v>293</v>
      </c>
      <c r="D131" s="6" t="n">
        <v>30</v>
      </c>
      <c r="E131" s="4" t="n">
        <f aca="false">INDEX(Evaporasi!$B$3:$B$14,MATCH(B131,Evaporasi!$A$3:$A$14,0))</f>
        <v>120</v>
      </c>
      <c r="F131" s="18" t="n">
        <f aca="false">Kawasan!$B$11*Kawasan!$B$9*C131/1000</f>
        <v>2437.76</v>
      </c>
      <c r="G131" s="18" t="n">
        <f aca="false">Kawasan!$B$26*D131</f>
        <v>2304</v>
      </c>
      <c r="H131" s="18" t="n">
        <f aca="false">E131*Desain_Kolam!$B$16/1000</f>
        <v>128.7</v>
      </c>
      <c r="I131" s="18" t="n">
        <f aca="false">F131-G131-H131</f>
        <v>5.06000000000023</v>
      </c>
      <c r="J131" s="18" t="n">
        <f aca="false">J130+I131</f>
        <v>-59128.84</v>
      </c>
      <c r="K131" s="18" t="n">
        <f aca="false">MAX(K130,J131)</f>
        <v>867.080000000001</v>
      </c>
      <c r="L131" s="18" t="n">
        <f aca="false">K131-J131</f>
        <v>59995.92</v>
      </c>
      <c r="M131" s="18" t="n">
        <f aca="false">MIN(Desain_Kolam!$B$21,MAX(0,M130+F131-H131-G131))</f>
        <v>5248.58</v>
      </c>
      <c r="N131" s="6" t="n">
        <f aca="false">IF(M130+F131-H131&gt;=G131,1,0)</f>
        <v>1</v>
      </c>
    </row>
    <row r="132" customFormat="false" ht="15" hidden="false" customHeight="false" outlineLevel="0" collapsed="false">
      <c r="A132" s="6" t="n">
        <v>2022</v>
      </c>
      <c r="B132" s="6" t="n">
        <v>7</v>
      </c>
      <c r="C132" s="4" t="n">
        <v>272</v>
      </c>
      <c r="D132" s="6" t="n">
        <v>31</v>
      </c>
      <c r="E132" s="4" t="n">
        <f aca="false">INDEX(Evaporasi!$B$3:$B$14,MATCH(B132,Evaporasi!$A$3:$A$14,0))</f>
        <v>120</v>
      </c>
      <c r="F132" s="18" t="n">
        <f aca="false">Kawasan!$B$11*Kawasan!$B$9*C132/1000</f>
        <v>2263.04</v>
      </c>
      <c r="G132" s="18" t="n">
        <f aca="false">Kawasan!$B$26*D132</f>
        <v>2380.8</v>
      </c>
      <c r="H132" s="18" t="n">
        <f aca="false">E132*Desain_Kolam!$B$16/1000</f>
        <v>128.7</v>
      </c>
      <c r="I132" s="18" t="n">
        <f aca="false">F132-G132-H132</f>
        <v>-246.46</v>
      </c>
      <c r="J132" s="18" t="n">
        <f aca="false">J131+I132</f>
        <v>-59375.3</v>
      </c>
      <c r="K132" s="18" t="n">
        <f aca="false">MAX(K131,J132)</f>
        <v>867.080000000001</v>
      </c>
      <c r="L132" s="18" t="n">
        <f aca="false">K132-J132</f>
        <v>60242.38</v>
      </c>
      <c r="M132" s="18" t="n">
        <f aca="false">MIN(Desain_Kolam!$B$21,MAX(0,M131+F132-H132-G132))</f>
        <v>5002.12</v>
      </c>
      <c r="N132" s="6" t="n">
        <f aca="false">IF(M131+F132-H132&gt;=G132,1,0)</f>
        <v>1</v>
      </c>
    </row>
    <row r="133" customFormat="false" ht="15" hidden="false" customHeight="false" outlineLevel="0" collapsed="false">
      <c r="A133" s="6" t="n">
        <v>2022</v>
      </c>
      <c r="B133" s="6" t="n">
        <v>8</v>
      </c>
      <c r="C133" s="4" t="n">
        <v>354</v>
      </c>
      <c r="D133" s="6" t="n">
        <v>31</v>
      </c>
      <c r="E133" s="4" t="n">
        <f aca="false">INDEX(Evaporasi!$B$3:$B$14,MATCH(B133,Evaporasi!$A$3:$A$14,0))</f>
        <v>120</v>
      </c>
      <c r="F133" s="18" t="n">
        <f aca="false">Kawasan!$B$11*Kawasan!$B$9*C133/1000</f>
        <v>2945.28</v>
      </c>
      <c r="G133" s="18" t="n">
        <f aca="false">Kawasan!$B$26*D133</f>
        <v>2380.8</v>
      </c>
      <c r="H133" s="18" t="n">
        <f aca="false">E133*Desain_Kolam!$B$16/1000</f>
        <v>128.7</v>
      </c>
      <c r="I133" s="18" t="n">
        <f aca="false">F133-G133-H133</f>
        <v>435.780000000001</v>
      </c>
      <c r="J133" s="18" t="n">
        <f aca="false">J132+I133</f>
        <v>-58939.52</v>
      </c>
      <c r="K133" s="18" t="n">
        <f aca="false">MAX(K132,J133)</f>
        <v>867.080000000001</v>
      </c>
      <c r="L133" s="18" t="n">
        <f aca="false">K133-J133</f>
        <v>59806.6</v>
      </c>
      <c r="M133" s="18" t="n">
        <f aca="false">MIN(Desain_Kolam!$B$21,MAX(0,M132+F133-H133-G133))</f>
        <v>5437.9</v>
      </c>
      <c r="N133" s="6" t="n">
        <f aca="false">IF(M132+F133-H133&gt;=G133,1,0)</f>
        <v>1</v>
      </c>
    </row>
    <row r="134" customFormat="false" ht="15" hidden="false" customHeight="false" outlineLevel="0" collapsed="false">
      <c r="A134" s="6" t="n">
        <v>2022</v>
      </c>
      <c r="B134" s="6" t="n">
        <v>9</v>
      </c>
      <c r="C134" s="4" t="n">
        <v>275</v>
      </c>
      <c r="D134" s="6" t="n">
        <v>30</v>
      </c>
      <c r="E134" s="4" t="n">
        <f aca="false">INDEX(Evaporasi!$B$3:$B$14,MATCH(B134,Evaporasi!$A$3:$A$14,0))</f>
        <v>120</v>
      </c>
      <c r="F134" s="18" t="n">
        <f aca="false">Kawasan!$B$11*Kawasan!$B$9*C134/1000</f>
        <v>2288</v>
      </c>
      <c r="G134" s="18" t="n">
        <f aca="false">Kawasan!$B$26*D134</f>
        <v>2304</v>
      </c>
      <c r="H134" s="18" t="n">
        <f aca="false">E134*Desain_Kolam!$B$16/1000</f>
        <v>128.7</v>
      </c>
      <c r="I134" s="18" t="n">
        <f aca="false">F134-G134-H134</f>
        <v>-144.7</v>
      </c>
      <c r="J134" s="18" t="n">
        <f aca="false">J133+I134</f>
        <v>-59084.22</v>
      </c>
      <c r="K134" s="18" t="n">
        <f aca="false">MAX(K133,J134)</f>
        <v>867.080000000001</v>
      </c>
      <c r="L134" s="18" t="n">
        <f aca="false">K134-J134</f>
        <v>59951.3</v>
      </c>
      <c r="M134" s="18" t="n">
        <f aca="false">MIN(Desain_Kolam!$B$21,MAX(0,M133+F134-H134-G134))</f>
        <v>5293.2</v>
      </c>
      <c r="N134" s="6" t="n">
        <f aca="false">IF(M133+F134-H134&gt;=G134,1,0)</f>
        <v>1</v>
      </c>
    </row>
    <row r="135" customFormat="false" ht="15" hidden="false" customHeight="false" outlineLevel="0" collapsed="false">
      <c r="A135" s="6" t="n">
        <v>2022</v>
      </c>
      <c r="B135" s="6" t="n">
        <v>10</v>
      </c>
      <c r="C135" s="4" t="n">
        <v>423</v>
      </c>
      <c r="D135" s="6" t="n">
        <v>31</v>
      </c>
      <c r="E135" s="4" t="n">
        <f aca="false">INDEX(Evaporasi!$B$3:$B$14,MATCH(B135,Evaporasi!$A$3:$A$14,0))</f>
        <v>120</v>
      </c>
      <c r="F135" s="18" t="n">
        <f aca="false">Kawasan!$B$11*Kawasan!$B$9*C135/1000</f>
        <v>3519.36</v>
      </c>
      <c r="G135" s="18" t="n">
        <f aca="false">Kawasan!$B$26*D135</f>
        <v>2380.8</v>
      </c>
      <c r="H135" s="18" t="n">
        <f aca="false">E135*Desain_Kolam!$B$16/1000</f>
        <v>128.7</v>
      </c>
      <c r="I135" s="18" t="n">
        <f aca="false">F135-G135-H135</f>
        <v>1009.86</v>
      </c>
      <c r="J135" s="18" t="n">
        <f aca="false">J134+I135</f>
        <v>-58074.36</v>
      </c>
      <c r="K135" s="18" t="n">
        <f aca="false">MAX(K134,J135)</f>
        <v>867.080000000001</v>
      </c>
      <c r="L135" s="18" t="n">
        <f aca="false">K135-J135</f>
        <v>58941.44</v>
      </c>
      <c r="M135" s="18" t="n">
        <f aca="false">MIN(Desain_Kolam!$B$21,MAX(0,M134+F135-H135-G135))</f>
        <v>6303.06</v>
      </c>
      <c r="N135" s="6" t="n">
        <f aca="false">IF(M134+F135-H135&gt;=G135,1,0)</f>
        <v>1</v>
      </c>
    </row>
    <row r="136" customFormat="false" ht="15" hidden="false" customHeight="false" outlineLevel="0" collapsed="false">
      <c r="A136" s="6" t="n">
        <v>2022</v>
      </c>
      <c r="B136" s="6" t="n">
        <v>11</v>
      </c>
      <c r="C136" s="4" t="n">
        <v>237</v>
      </c>
      <c r="D136" s="6" t="n">
        <v>30</v>
      </c>
      <c r="E136" s="4" t="n">
        <f aca="false">INDEX(Evaporasi!$B$3:$B$14,MATCH(B136,Evaporasi!$A$3:$A$14,0))</f>
        <v>120</v>
      </c>
      <c r="F136" s="18" t="n">
        <f aca="false">Kawasan!$B$11*Kawasan!$B$9*C136/1000</f>
        <v>1971.84</v>
      </c>
      <c r="G136" s="18" t="n">
        <f aca="false">Kawasan!$B$26*D136</f>
        <v>2304</v>
      </c>
      <c r="H136" s="18" t="n">
        <f aca="false">E136*Desain_Kolam!$B$16/1000</f>
        <v>128.7</v>
      </c>
      <c r="I136" s="18" t="n">
        <f aca="false">F136-G136-H136</f>
        <v>-460.86</v>
      </c>
      <c r="J136" s="18" t="n">
        <f aca="false">J135+I136</f>
        <v>-58535.22</v>
      </c>
      <c r="K136" s="18" t="n">
        <f aca="false">MAX(K135,J136)</f>
        <v>867.080000000001</v>
      </c>
      <c r="L136" s="18" t="n">
        <f aca="false">K136-J136</f>
        <v>59402.3</v>
      </c>
      <c r="M136" s="18" t="n">
        <f aca="false">MIN(Desain_Kolam!$B$21,MAX(0,M135+F136-H136-G136))</f>
        <v>5842.2</v>
      </c>
      <c r="N136" s="6" t="n">
        <f aca="false">IF(M135+F136-H136&gt;=G136,1,0)</f>
        <v>1</v>
      </c>
    </row>
    <row r="137" customFormat="false" ht="15" hidden="false" customHeight="false" outlineLevel="0" collapsed="false">
      <c r="A137" s="6" t="n">
        <v>2022</v>
      </c>
      <c r="B137" s="6" t="n">
        <v>12</v>
      </c>
      <c r="C137" s="4" t="n">
        <v>215</v>
      </c>
      <c r="D137" s="6" t="n">
        <v>31</v>
      </c>
      <c r="E137" s="4" t="n">
        <f aca="false">INDEX(Evaporasi!$B$3:$B$14,MATCH(B137,Evaporasi!$A$3:$A$14,0))</f>
        <v>120</v>
      </c>
      <c r="F137" s="18" t="n">
        <f aca="false">Kawasan!$B$11*Kawasan!$B$9*C137/1000</f>
        <v>1788.8</v>
      </c>
      <c r="G137" s="18" t="n">
        <f aca="false">Kawasan!$B$26*D137</f>
        <v>2380.8</v>
      </c>
      <c r="H137" s="18" t="n">
        <f aca="false">E137*Desain_Kolam!$B$16/1000</f>
        <v>128.7</v>
      </c>
      <c r="I137" s="18" t="n">
        <f aca="false">F137-G137-H137</f>
        <v>-720.7</v>
      </c>
      <c r="J137" s="18" t="n">
        <f aca="false">J136+I137</f>
        <v>-59255.92</v>
      </c>
      <c r="K137" s="18" t="n">
        <f aca="false">MAX(K136,J137)</f>
        <v>867.080000000001</v>
      </c>
      <c r="L137" s="18" t="n">
        <f aca="false">K137-J137</f>
        <v>60123</v>
      </c>
      <c r="M137" s="18" t="n">
        <f aca="false">MIN(Desain_Kolam!$B$21,MAX(0,M136+F137-H137-G137))</f>
        <v>5121.5</v>
      </c>
      <c r="N137" s="6" t="n">
        <f aca="false">IF(M136+F137-H137&gt;=G137,1,0)</f>
        <v>1</v>
      </c>
    </row>
    <row r="138" customFormat="false" ht="15" hidden="false" customHeight="false" outlineLevel="0" collapsed="false">
      <c r="A138" s="6" t="n">
        <v>2023</v>
      </c>
      <c r="B138" s="6" t="n">
        <v>1</v>
      </c>
      <c r="C138" s="4" t="n">
        <v>258</v>
      </c>
      <c r="D138" s="6" t="n">
        <v>31</v>
      </c>
      <c r="E138" s="4" t="n">
        <f aca="false">INDEX(Evaporasi!$B$3:$B$14,MATCH(B138,Evaporasi!$A$3:$A$14,0))</f>
        <v>120</v>
      </c>
      <c r="F138" s="18" t="n">
        <f aca="false">Kawasan!$B$11*Kawasan!$B$9*C138/1000</f>
        <v>2146.56</v>
      </c>
      <c r="G138" s="18" t="n">
        <f aca="false">Kawasan!$B$26*D138</f>
        <v>2380.8</v>
      </c>
      <c r="H138" s="18" t="n">
        <f aca="false">E138*Desain_Kolam!$B$16/1000</f>
        <v>128.7</v>
      </c>
      <c r="I138" s="18" t="n">
        <f aca="false">F138-G138-H138</f>
        <v>-362.94</v>
      </c>
      <c r="J138" s="18" t="n">
        <f aca="false">J137+I138</f>
        <v>-59618.86</v>
      </c>
      <c r="K138" s="18" t="n">
        <f aca="false">MAX(K137,J138)</f>
        <v>867.080000000001</v>
      </c>
      <c r="L138" s="18" t="n">
        <f aca="false">K138-J138</f>
        <v>60485.94</v>
      </c>
      <c r="M138" s="18" t="n">
        <f aca="false">MIN(Desain_Kolam!$B$21,MAX(0,M137+F138-H138-G138))</f>
        <v>4758.56</v>
      </c>
      <c r="N138" s="6" t="n">
        <f aca="false">IF(M137+F138-H138&gt;=G138,1,0)</f>
        <v>1</v>
      </c>
    </row>
    <row r="139" customFormat="false" ht="15" hidden="false" customHeight="false" outlineLevel="0" collapsed="false">
      <c r="A139" s="6" t="n">
        <v>2023</v>
      </c>
      <c r="B139" s="6" t="n">
        <v>2</v>
      </c>
      <c r="C139" s="4" t="n">
        <v>185</v>
      </c>
      <c r="D139" s="6" t="n">
        <v>28</v>
      </c>
      <c r="E139" s="4" t="n">
        <f aca="false">INDEX(Evaporasi!$B$3:$B$14,MATCH(B139,Evaporasi!$A$3:$A$14,0))</f>
        <v>120</v>
      </c>
      <c r="F139" s="18" t="n">
        <f aca="false">Kawasan!$B$11*Kawasan!$B$9*C139/1000</f>
        <v>1539.2</v>
      </c>
      <c r="G139" s="18" t="n">
        <f aca="false">Kawasan!$B$26*D139</f>
        <v>2150.4</v>
      </c>
      <c r="H139" s="18" t="n">
        <f aca="false">E139*Desain_Kolam!$B$16/1000</f>
        <v>128.7</v>
      </c>
      <c r="I139" s="18" t="n">
        <f aca="false">F139-G139-H139</f>
        <v>-739.9</v>
      </c>
      <c r="J139" s="18" t="n">
        <f aca="false">J138+I139</f>
        <v>-60358.76</v>
      </c>
      <c r="K139" s="18" t="n">
        <f aca="false">MAX(K138,J139)</f>
        <v>867.080000000001</v>
      </c>
      <c r="L139" s="18" t="n">
        <f aca="false">K139-J139</f>
        <v>61225.84</v>
      </c>
      <c r="M139" s="18" t="n">
        <f aca="false">MIN(Desain_Kolam!$B$21,MAX(0,M138+F139-H139-G139))</f>
        <v>4018.66</v>
      </c>
      <c r="N139" s="6" t="n">
        <f aca="false">IF(M138+F139-H139&gt;=G139,1,0)</f>
        <v>1</v>
      </c>
    </row>
    <row r="140" customFormat="false" ht="15" hidden="false" customHeight="false" outlineLevel="0" collapsed="false">
      <c r="A140" s="6" t="n">
        <v>2023</v>
      </c>
      <c r="B140" s="6" t="n">
        <v>3</v>
      </c>
      <c r="C140" s="4" t="n">
        <v>309</v>
      </c>
      <c r="D140" s="6" t="n">
        <v>31</v>
      </c>
      <c r="E140" s="4" t="n">
        <f aca="false">INDEX(Evaporasi!$B$3:$B$14,MATCH(B140,Evaporasi!$A$3:$A$14,0))</f>
        <v>120</v>
      </c>
      <c r="F140" s="18" t="n">
        <f aca="false">Kawasan!$B$11*Kawasan!$B$9*C140/1000</f>
        <v>2570.88</v>
      </c>
      <c r="G140" s="18" t="n">
        <f aca="false">Kawasan!$B$26*D140</f>
        <v>2380.8</v>
      </c>
      <c r="H140" s="18" t="n">
        <f aca="false">E140*Desain_Kolam!$B$16/1000</f>
        <v>128.7</v>
      </c>
      <c r="I140" s="18" t="n">
        <f aca="false">F140-G140-H140</f>
        <v>61.3800000000004</v>
      </c>
      <c r="J140" s="18" t="n">
        <f aca="false">J139+I140</f>
        <v>-60297.38</v>
      </c>
      <c r="K140" s="18" t="n">
        <f aca="false">MAX(K139,J140)</f>
        <v>867.080000000001</v>
      </c>
      <c r="L140" s="18" t="n">
        <f aca="false">K140-J140</f>
        <v>61164.46</v>
      </c>
      <c r="M140" s="18" t="n">
        <f aca="false">MIN(Desain_Kolam!$B$21,MAX(0,M139+F140-H140-G140))</f>
        <v>4080.04</v>
      </c>
      <c r="N140" s="6" t="n">
        <f aca="false">IF(M139+F140-H140&gt;=G140,1,0)</f>
        <v>1</v>
      </c>
    </row>
    <row r="141" customFormat="false" ht="15" hidden="false" customHeight="false" outlineLevel="0" collapsed="false">
      <c r="A141" s="6" t="n">
        <v>2023</v>
      </c>
      <c r="B141" s="6" t="n">
        <v>4</v>
      </c>
      <c r="C141" s="4" t="n">
        <v>189</v>
      </c>
      <c r="D141" s="6" t="n">
        <v>30</v>
      </c>
      <c r="E141" s="4" t="n">
        <f aca="false">INDEX(Evaporasi!$B$3:$B$14,MATCH(B141,Evaporasi!$A$3:$A$14,0))</f>
        <v>120</v>
      </c>
      <c r="F141" s="18" t="n">
        <f aca="false">Kawasan!$B$11*Kawasan!$B$9*C141/1000</f>
        <v>1572.48</v>
      </c>
      <c r="G141" s="18" t="n">
        <f aca="false">Kawasan!$B$26*D141</f>
        <v>2304</v>
      </c>
      <c r="H141" s="18" t="n">
        <f aca="false">E141*Desain_Kolam!$B$16/1000</f>
        <v>128.7</v>
      </c>
      <c r="I141" s="18" t="n">
        <f aca="false">F141-G141-H141</f>
        <v>-860.22</v>
      </c>
      <c r="J141" s="18" t="n">
        <f aca="false">J140+I141</f>
        <v>-61157.6</v>
      </c>
      <c r="K141" s="18" t="n">
        <f aca="false">MAX(K140,J141)</f>
        <v>867.080000000001</v>
      </c>
      <c r="L141" s="18" t="n">
        <f aca="false">K141-J141</f>
        <v>62024.68</v>
      </c>
      <c r="M141" s="18" t="n">
        <f aca="false">MIN(Desain_Kolam!$B$21,MAX(0,M140+F141-H141-G141))</f>
        <v>3219.82</v>
      </c>
      <c r="N141" s="6" t="n">
        <f aca="false">IF(M140+F141-H141&gt;=G141,1,0)</f>
        <v>1</v>
      </c>
    </row>
    <row r="142" customFormat="false" ht="15" hidden="false" customHeight="false" outlineLevel="0" collapsed="false">
      <c r="A142" s="6" t="n">
        <v>2023</v>
      </c>
      <c r="B142" s="6" t="n">
        <v>5</v>
      </c>
      <c r="C142" s="4" t="n">
        <v>333</v>
      </c>
      <c r="D142" s="6" t="n">
        <v>31</v>
      </c>
      <c r="E142" s="4" t="n">
        <f aca="false">INDEX(Evaporasi!$B$3:$B$14,MATCH(B142,Evaporasi!$A$3:$A$14,0))</f>
        <v>120</v>
      </c>
      <c r="F142" s="18" t="n">
        <f aca="false">Kawasan!$B$11*Kawasan!$B$9*C142/1000</f>
        <v>2770.56</v>
      </c>
      <c r="G142" s="18" t="n">
        <f aca="false">Kawasan!$B$26*D142</f>
        <v>2380.8</v>
      </c>
      <c r="H142" s="18" t="n">
        <f aca="false">E142*Desain_Kolam!$B$16/1000</f>
        <v>128.7</v>
      </c>
      <c r="I142" s="18" t="n">
        <f aca="false">F142-G142-H142</f>
        <v>261.06</v>
      </c>
      <c r="J142" s="18" t="n">
        <f aca="false">J141+I142</f>
        <v>-60896.54</v>
      </c>
      <c r="K142" s="18" t="n">
        <f aca="false">MAX(K141,J142)</f>
        <v>867.080000000001</v>
      </c>
      <c r="L142" s="18" t="n">
        <f aca="false">K142-J142</f>
        <v>61763.62</v>
      </c>
      <c r="M142" s="18" t="n">
        <f aca="false">MIN(Desain_Kolam!$B$21,MAX(0,M141+F142-H142-G142))</f>
        <v>3480.88</v>
      </c>
      <c r="N142" s="6" t="n">
        <f aca="false">IF(M141+F142-H142&gt;=G142,1,0)</f>
        <v>1</v>
      </c>
    </row>
    <row r="143" customFormat="false" ht="15" hidden="false" customHeight="false" outlineLevel="0" collapsed="false">
      <c r="A143" s="6" t="n">
        <v>2023</v>
      </c>
      <c r="B143" s="6" t="n">
        <v>6</v>
      </c>
      <c r="C143" s="4" t="n">
        <v>263</v>
      </c>
      <c r="D143" s="6" t="n">
        <v>30</v>
      </c>
      <c r="E143" s="4" t="n">
        <f aca="false">INDEX(Evaporasi!$B$3:$B$14,MATCH(B143,Evaporasi!$A$3:$A$14,0))</f>
        <v>120</v>
      </c>
      <c r="F143" s="18" t="n">
        <f aca="false">Kawasan!$B$11*Kawasan!$B$9*C143/1000</f>
        <v>2188.16</v>
      </c>
      <c r="G143" s="18" t="n">
        <f aca="false">Kawasan!$B$26*D143</f>
        <v>2304</v>
      </c>
      <c r="H143" s="18" t="n">
        <f aca="false">E143*Desain_Kolam!$B$16/1000</f>
        <v>128.7</v>
      </c>
      <c r="I143" s="18" t="n">
        <f aca="false">F143-G143-H143</f>
        <v>-244.54</v>
      </c>
      <c r="J143" s="18" t="n">
        <f aca="false">J142+I143</f>
        <v>-61141.08</v>
      </c>
      <c r="K143" s="18" t="n">
        <f aca="false">MAX(K142,J143)</f>
        <v>867.080000000001</v>
      </c>
      <c r="L143" s="18" t="n">
        <f aca="false">K143-J143</f>
        <v>62008.16</v>
      </c>
      <c r="M143" s="18" t="n">
        <f aca="false">MIN(Desain_Kolam!$B$21,MAX(0,M142+F143-H143-G143))</f>
        <v>3236.34</v>
      </c>
      <c r="N143" s="6" t="n">
        <f aca="false">IF(M142+F143-H143&gt;=G143,1,0)</f>
        <v>1</v>
      </c>
    </row>
    <row r="144" customFormat="false" ht="15" hidden="false" customHeight="false" outlineLevel="0" collapsed="false">
      <c r="A144" s="6" t="n">
        <v>2023</v>
      </c>
      <c r="B144" s="6" t="n">
        <v>7</v>
      </c>
      <c r="C144" s="4" t="n">
        <v>405</v>
      </c>
      <c r="D144" s="6" t="n">
        <v>31</v>
      </c>
      <c r="E144" s="4" t="n">
        <f aca="false">INDEX(Evaporasi!$B$3:$B$14,MATCH(B144,Evaporasi!$A$3:$A$14,0))</f>
        <v>120</v>
      </c>
      <c r="F144" s="18" t="n">
        <f aca="false">Kawasan!$B$11*Kawasan!$B$9*C144/1000</f>
        <v>3369.6</v>
      </c>
      <c r="G144" s="18" t="n">
        <f aca="false">Kawasan!$B$26*D144</f>
        <v>2380.8</v>
      </c>
      <c r="H144" s="18" t="n">
        <f aca="false">E144*Desain_Kolam!$B$16/1000</f>
        <v>128.7</v>
      </c>
      <c r="I144" s="18" t="n">
        <f aca="false">F144-G144-H144</f>
        <v>860.1</v>
      </c>
      <c r="J144" s="18" t="n">
        <f aca="false">J143+I144</f>
        <v>-60280.98</v>
      </c>
      <c r="K144" s="18" t="n">
        <f aca="false">MAX(K143,J144)</f>
        <v>867.080000000001</v>
      </c>
      <c r="L144" s="18" t="n">
        <f aca="false">K144-J144</f>
        <v>61148.06</v>
      </c>
      <c r="M144" s="18" t="n">
        <f aca="false">MIN(Desain_Kolam!$B$21,MAX(0,M143+F144-H144-G144))</f>
        <v>4096.44</v>
      </c>
      <c r="N144" s="6" t="n">
        <f aca="false">IF(M143+F144-H144&gt;=G144,1,0)</f>
        <v>1</v>
      </c>
    </row>
    <row r="145" customFormat="false" ht="15" hidden="false" customHeight="false" outlineLevel="0" collapsed="false">
      <c r="A145" s="6" t="n">
        <v>2023</v>
      </c>
      <c r="B145" s="6" t="n">
        <v>8</v>
      </c>
      <c r="C145" s="4" t="n">
        <v>164</v>
      </c>
      <c r="D145" s="6" t="n">
        <v>31</v>
      </c>
      <c r="E145" s="4" t="n">
        <f aca="false">INDEX(Evaporasi!$B$3:$B$14,MATCH(B145,Evaporasi!$A$3:$A$14,0))</f>
        <v>120</v>
      </c>
      <c r="F145" s="18" t="n">
        <f aca="false">Kawasan!$B$11*Kawasan!$B$9*C145/1000</f>
        <v>1364.48</v>
      </c>
      <c r="G145" s="18" t="n">
        <f aca="false">Kawasan!$B$26*D145</f>
        <v>2380.8</v>
      </c>
      <c r="H145" s="18" t="n">
        <f aca="false">E145*Desain_Kolam!$B$16/1000</f>
        <v>128.7</v>
      </c>
      <c r="I145" s="18" t="n">
        <f aca="false">F145-G145-H145</f>
        <v>-1145.02</v>
      </c>
      <c r="J145" s="18" t="n">
        <f aca="false">J144+I145</f>
        <v>-61426</v>
      </c>
      <c r="K145" s="18" t="n">
        <f aca="false">MAX(K144,J145)</f>
        <v>867.080000000001</v>
      </c>
      <c r="L145" s="18" t="n">
        <f aca="false">K145-J145</f>
        <v>62293.08</v>
      </c>
      <c r="M145" s="18" t="n">
        <f aca="false">MIN(Desain_Kolam!$B$21,MAX(0,M144+F145-H145-G145))</f>
        <v>2951.42</v>
      </c>
      <c r="N145" s="6" t="n">
        <f aca="false">IF(M144+F145-H145&gt;=G145,1,0)</f>
        <v>1</v>
      </c>
    </row>
    <row r="146" customFormat="false" ht="15" hidden="false" customHeight="false" outlineLevel="0" collapsed="false">
      <c r="A146" s="6" t="n">
        <v>2023</v>
      </c>
      <c r="B146" s="6" t="n">
        <v>9</v>
      </c>
      <c r="C146" s="4" t="n">
        <v>218</v>
      </c>
      <c r="D146" s="6" t="n">
        <v>30</v>
      </c>
      <c r="E146" s="4" t="n">
        <f aca="false">INDEX(Evaporasi!$B$3:$B$14,MATCH(B146,Evaporasi!$A$3:$A$14,0))</f>
        <v>120</v>
      </c>
      <c r="F146" s="18" t="n">
        <f aca="false">Kawasan!$B$11*Kawasan!$B$9*C146/1000</f>
        <v>1813.76</v>
      </c>
      <c r="G146" s="18" t="n">
        <f aca="false">Kawasan!$B$26*D146</f>
        <v>2304</v>
      </c>
      <c r="H146" s="18" t="n">
        <f aca="false">E146*Desain_Kolam!$B$16/1000</f>
        <v>128.7</v>
      </c>
      <c r="I146" s="18" t="n">
        <f aca="false">F146-G146-H146</f>
        <v>-618.94</v>
      </c>
      <c r="J146" s="18" t="n">
        <f aca="false">J145+I146</f>
        <v>-62044.94</v>
      </c>
      <c r="K146" s="18" t="n">
        <f aca="false">MAX(K145,J146)</f>
        <v>867.080000000001</v>
      </c>
      <c r="L146" s="18" t="n">
        <f aca="false">K146-J146</f>
        <v>62912.02</v>
      </c>
      <c r="M146" s="18" t="n">
        <f aca="false">MIN(Desain_Kolam!$B$21,MAX(0,M145+F146-H146-G146))</f>
        <v>2332.48</v>
      </c>
      <c r="N146" s="6" t="n">
        <f aca="false">IF(M145+F146-H146&gt;=G146,1,0)</f>
        <v>1</v>
      </c>
    </row>
    <row r="147" customFormat="false" ht="15" hidden="false" customHeight="false" outlineLevel="0" collapsed="false">
      <c r="A147" s="6" t="n">
        <v>2023</v>
      </c>
      <c r="B147" s="6" t="n">
        <v>10</v>
      </c>
      <c r="C147" s="4" t="n">
        <v>250</v>
      </c>
      <c r="D147" s="6" t="n">
        <v>31</v>
      </c>
      <c r="E147" s="4" t="n">
        <f aca="false">INDEX(Evaporasi!$B$3:$B$14,MATCH(B147,Evaporasi!$A$3:$A$14,0))</f>
        <v>120</v>
      </c>
      <c r="F147" s="18" t="n">
        <f aca="false">Kawasan!$B$11*Kawasan!$B$9*C147/1000</f>
        <v>2080</v>
      </c>
      <c r="G147" s="18" t="n">
        <f aca="false">Kawasan!$B$26*D147</f>
        <v>2380.8</v>
      </c>
      <c r="H147" s="18" t="n">
        <f aca="false">E147*Desain_Kolam!$B$16/1000</f>
        <v>128.7</v>
      </c>
      <c r="I147" s="18" t="n">
        <f aca="false">F147-G147-H147</f>
        <v>-429.5</v>
      </c>
      <c r="J147" s="18" t="n">
        <f aca="false">J146+I147</f>
        <v>-62474.44</v>
      </c>
      <c r="K147" s="18" t="n">
        <f aca="false">MAX(K146,J147)</f>
        <v>867.080000000001</v>
      </c>
      <c r="L147" s="18" t="n">
        <f aca="false">K147-J147</f>
        <v>63341.52</v>
      </c>
      <c r="M147" s="18" t="n">
        <f aca="false">MIN(Desain_Kolam!$B$21,MAX(0,M146+F147-H147-G147))</f>
        <v>1902.98</v>
      </c>
      <c r="N147" s="6" t="n">
        <f aca="false">IF(M146+F147-H147&gt;=G147,1,0)</f>
        <v>1</v>
      </c>
    </row>
    <row r="148" customFormat="false" ht="15" hidden="false" customHeight="false" outlineLevel="0" collapsed="false">
      <c r="A148" s="6" t="n">
        <v>2023</v>
      </c>
      <c r="B148" s="6" t="n">
        <v>11</v>
      </c>
      <c r="C148" s="4" t="n">
        <v>265</v>
      </c>
      <c r="D148" s="6" t="n">
        <v>30</v>
      </c>
      <c r="E148" s="4" t="n">
        <f aca="false">INDEX(Evaporasi!$B$3:$B$14,MATCH(B148,Evaporasi!$A$3:$A$14,0))</f>
        <v>120</v>
      </c>
      <c r="F148" s="18" t="n">
        <f aca="false">Kawasan!$B$11*Kawasan!$B$9*C148/1000</f>
        <v>2204.8</v>
      </c>
      <c r="G148" s="18" t="n">
        <f aca="false">Kawasan!$B$26*D148</f>
        <v>2304</v>
      </c>
      <c r="H148" s="18" t="n">
        <f aca="false">E148*Desain_Kolam!$B$16/1000</f>
        <v>128.7</v>
      </c>
      <c r="I148" s="18" t="n">
        <f aca="false">F148-G148-H148</f>
        <v>-227.9</v>
      </c>
      <c r="J148" s="18" t="n">
        <f aca="false">J147+I148</f>
        <v>-62702.34</v>
      </c>
      <c r="K148" s="18" t="n">
        <f aca="false">MAX(K147,J148)</f>
        <v>867.080000000001</v>
      </c>
      <c r="L148" s="18" t="n">
        <f aca="false">K148-J148</f>
        <v>63569.42</v>
      </c>
      <c r="M148" s="18" t="n">
        <f aca="false">MIN(Desain_Kolam!$B$21,MAX(0,M147+F148-H148-G148))</f>
        <v>1675.08</v>
      </c>
      <c r="N148" s="6" t="n">
        <f aca="false">IF(M147+F148-H148&gt;=G148,1,0)</f>
        <v>1</v>
      </c>
    </row>
    <row r="149" customFormat="false" ht="15" hidden="false" customHeight="false" outlineLevel="0" collapsed="false">
      <c r="A149" s="6" t="n">
        <v>2023</v>
      </c>
      <c r="B149" s="6" t="n">
        <v>12</v>
      </c>
      <c r="C149" s="4" t="n">
        <v>421</v>
      </c>
      <c r="D149" s="6" t="n">
        <v>31</v>
      </c>
      <c r="E149" s="4" t="n">
        <f aca="false">INDEX(Evaporasi!$B$3:$B$14,MATCH(B149,Evaporasi!$A$3:$A$14,0))</f>
        <v>120</v>
      </c>
      <c r="F149" s="18" t="n">
        <f aca="false">Kawasan!$B$11*Kawasan!$B$9*C149/1000</f>
        <v>3502.72</v>
      </c>
      <c r="G149" s="18" t="n">
        <f aca="false">Kawasan!$B$26*D149</f>
        <v>2380.8</v>
      </c>
      <c r="H149" s="18" t="n">
        <f aca="false">E149*Desain_Kolam!$B$16/1000</f>
        <v>128.7</v>
      </c>
      <c r="I149" s="18" t="n">
        <f aca="false">F149-G149-H149</f>
        <v>993.22</v>
      </c>
      <c r="J149" s="18" t="n">
        <f aca="false">J148+I149</f>
        <v>-61709.12</v>
      </c>
      <c r="K149" s="18" t="n">
        <f aca="false">MAX(K148,J149)</f>
        <v>867.080000000001</v>
      </c>
      <c r="L149" s="18" t="n">
        <f aca="false">K149-J149</f>
        <v>62576.2</v>
      </c>
      <c r="M149" s="18" t="n">
        <f aca="false">MIN(Desain_Kolam!$B$21,MAX(0,M148+F149-H149-G149))</f>
        <v>2668.3</v>
      </c>
      <c r="N149" s="6" t="n">
        <f aca="false">IF(M148+F149-H149&gt;=G149,1,0)</f>
        <v>1</v>
      </c>
    </row>
    <row r="150" customFormat="false" ht="15" hidden="false" customHeight="false" outlineLevel="0" collapsed="false">
      <c r="A150" s="6" t="n">
        <v>2024</v>
      </c>
      <c r="B150" s="6" t="n">
        <v>1</v>
      </c>
      <c r="C150" s="4" t="n">
        <v>379</v>
      </c>
      <c r="D150" s="6" t="n">
        <v>31</v>
      </c>
      <c r="E150" s="4" t="n">
        <f aca="false">INDEX(Evaporasi!$B$3:$B$14,MATCH(B150,Evaporasi!$A$3:$A$14,0))</f>
        <v>120</v>
      </c>
      <c r="F150" s="18" t="n">
        <f aca="false">Kawasan!$B$11*Kawasan!$B$9*C150/1000</f>
        <v>3153.28</v>
      </c>
      <c r="G150" s="18" t="n">
        <f aca="false">Kawasan!$B$26*D150</f>
        <v>2380.8</v>
      </c>
      <c r="H150" s="18" t="n">
        <f aca="false">E150*Desain_Kolam!$B$16/1000</f>
        <v>128.7</v>
      </c>
      <c r="I150" s="18" t="n">
        <f aca="false">F150-G150-H150</f>
        <v>643.78</v>
      </c>
      <c r="J150" s="18" t="n">
        <f aca="false">J149+I150</f>
        <v>-61065.34</v>
      </c>
      <c r="K150" s="18" t="n">
        <f aca="false">MAX(K149,J150)</f>
        <v>867.080000000001</v>
      </c>
      <c r="L150" s="18" t="n">
        <f aca="false">K150-J150</f>
        <v>61932.42</v>
      </c>
      <c r="M150" s="18" t="n">
        <f aca="false">MIN(Desain_Kolam!$B$21,MAX(0,M149+F150-H150-G150))</f>
        <v>3312.08</v>
      </c>
      <c r="N150" s="6" t="n">
        <f aca="false">IF(M149+F150-H150&gt;=G150,1,0)</f>
        <v>1</v>
      </c>
    </row>
    <row r="151" customFormat="false" ht="15" hidden="false" customHeight="false" outlineLevel="0" collapsed="false">
      <c r="A151" s="6" t="n">
        <v>2024</v>
      </c>
      <c r="B151" s="6" t="n">
        <v>2</v>
      </c>
      <c r="C151" s="4" t="n">
        <v>300</v>
      </c>
      <c r="D151" s="6" t="n">
        <v>29</v>
      </c>
      <c r="E151" s="4" t="n">
        <f aca="false">INDEX(Evaporasi!$B$3:$B$14,MATCH(B151,Evaporasi!$A$3:$A$14,0))</f>
        <v>120</v>
      </c>
      <c r="F151" s="18" t="n">
        <f aca="false">Kawasan!$B$11*Kawasan!$B$9*C151/1000</f>
        <v>2496</v>
      </c>
      <c r="G151" s="18" t="n">
        <f aca="false">Kawasan!$B$26*D151</f>
        <v>2227.2</v>
      </c>
      <c r="H151" s="18" t="n">
        <f aca="false">E151*Desain_Kolam!$B$16/1000</f>
        <v>128.7</v>
      </c>
      <c r="I151" s="18" t="n">
        <f aca="false">F151-G151-H151</f>
        <v>140.1</v>
      </c>
      <c r="J151" s="18" t="n">
        <f aca="false">J150+I151</f>
        <v>-60925.24</v>
      </c>
      <c r="K151" s="18" t="n">
        <f aca="false">MAX(K150,J151)</f>
        <v>867.080000000001</v>
      </c>
      <c r="L151" s="18" t="n">
        <f aca="false">K151-J151</f>
        <v>61792.32</v>
      </c>
      <c r="M151" s="18" t="n">
        <f aca="false">MIN(Desain_Kolam!$B$21,MAX(0,M150+F151-H151-G151))</f>
        <v>3452.18</v>
      </c>
      <c r="N151" s="6" t="n">
        <f aca="false">IF(M150+F151-H151&gt;=G151,1,0)</f>
        <v>1</v>
      </c>
    </row>
    <row r="152" customFormat="false" ht="15" hidden="false" customHeight="false" outlineLevel="0" collapsed="false">
      <c r="A152" s="6" t="n">
        <v>2024</v>
      </c>
      <c r="B152" s="6" t="n">
        <v>3</v>
      </c>
      <c r="C152" s="4" t="n">
        <v>512</v>
      </c>
      <c r="D152" s="6" t="n">
        <v>31</v>
      </c>
      <c r="E152" s="4" t="n">
        <f aca="false">INDEX(Evaporasi!$B$3:$B$14,MATCH(B152,Evaporasi!$A$3:$A$14,0))</f>
        <v>120</v>
      </c>
      <c r="F152" s="18" t="n">
        <f aca="false">Kawasan!$B$11*Kawasan!$B$9*C152/1000</f>
        <v>4259.84</v>
      </c>
      <c r="G152" s="18" t="n">
        <f aca="false">Kawasan!$B$26*D152</f>
        <v>2380.8</v>
      </c>
      <c r="H152" s="18" t="n">
        <f aca="false">E152*Desain_Kolam!$B$16/1000</f>
        <v>128.7</v>
      </c>
      <c r="I152" s="18" t="n">
        <f aca="false">F152-G152-H152</f>
        <v>1750.34</v>
      </c>
      <c r="J152" s="18" t="n">
        <f aca="false">J151+I152</f>
        <v>-59174.9</v>
      </c>
      <c r="K152" s="18" t="n">
        <f aca="false">MAX(K151,J152)</f>
        <v>867.080000000001</v>
      </c>
      <c r="L152" s="18" t="n">
        <f aca="false">K152-J152</f>
        <v>60041.98</v>
      </c>
      <c r="M152" s="18" t="n">
        <f aca="false">MIN(Desain_Kolam!$B$21,MAX(0,M151+F152-H152-G152))</f>
        <v>5202.52</v>
      </c>
      <c r="N152" s="6" t="n">
        <f aca="false">IF(M151+F152-H152&gt;=G152,1,0)</f>
        <v>1</v>
      </c>
    </row>
    <row r="153" customFormat="false" ht="15" hidden="false" customHeight="false" outlineLevel="0" collapsed="false">
      <c r="A153" s="6" t="n">
        <v>2024</v>
      </c>
      <c r="B153" s="6" t="n">
        <v>4</v>
      </c>
      <c r="C153" s="4" t="n">
        <v>327</v>
      </c>
      <c r="D153" s="6" t="n">
        <v>30</v>
      </c>
      <c r="E153" s="4" t="n">
        <f aca="false">INDEX(Evaporasi!$B$3:$B$14,MATCH(B153,Evaporasi!$A$3:$A$14,0))</f>
        <v>120</v>
      </c>
      <c r="F153" s="18" t="n">
        <f aca="false">Kawasan!$B$11*Kawasan!$B$9*C153/1000</f>
        <v>2720.64</v>
      </c>
      <c r="G153" s="18" t="n">
        <f aca="false">Kawasan!$B$26*D153</f>
        <v>2304</v>
      </c>
      <c r="H153" s="18" t="n">
        <f aca="false">E153*Desain_Kolam!$B$16/1000</f>
        <v>128.7</v>
      </c>
      <c r="I153" s="18" t="n">
        <f aca="false">F153-G153-H153</f>
        <v>287.94</v>
      </c>
      <c r="J153" s="18" t="n">
        <f aca="false">J152+I153</f>
        <v>-58886.96</v>
      </c>
      <c r="K153" s="18" t="n">
        <f aca="false">MAX(K152,J153)</f>
        <v>867.080000000001</v>
      </c>
      <c r="L153" s="18" t="n">
        <f aca="false">K153-J153</f>
        <v>59754.04</v>
      </c>
      <c r="M153" s="18" t="n">
        <f aca="false">MIN(Desain_Kolam!$B$21,MAX(0,M152+F153-H153-G153))</f>
        <v>5490.46</v>
      </c>
      <c r="N153" s="6" t="n">
        <f aca="false">IF(M152+F153-H153&gt;=G153,1,0)</f>
        <v>1</v>
      </c>
    </row>
    <row r="154" customFormat="false" ht="15" hidden="false" customHeight="false" outlineLevel="0" collapsed="false">
      <c r="A154" s="6" t="n">
        <v>2024</v>
      </c>
      <c r="B154" s="6" t="n">
        <v>5</v>
      </c>
      <c r="C154" s="4" t="n">
        <v>406</v>
      </c>
      <c r="D154" s="6" t="n">
        <v>31</v>
      </c>
      <c r="E154" s="4" t="n">
        <f aca="false">INDEX(Evaporasi!$B$3:$B$14,MATCH(B154,Evaporasi!$A$3:$A$14,0))</f>
        <v>120</v>
      </c>
      <c r="F154" s="18" t="n">
        <f aca="false">Kawasan!$B$11*Kawasan!$B$9*C154/1000</f>
        <v>3377.92</v>
      </c>
      <c r="G154" s="18" t="n">
        <f aca="false">Kawasan!$B$26*D154</f>
        <v>2380.8</v>
      </c>
      <c r="H154" s="18" t="n">
        <f aca="false">E154*Desain_Kolam!$B$16/1000</f>
        <v>128.7</v>
      </c>
      <c r="I154" s="18" t="n">
        <f aca="false">F154-G154-H154</f>
        <v>868.42</v>
      </c>
      <c r="J154" s="18" t="n">
        <f aca="false">J153+I154</f>
        <v>-58018.54</v>
      </c>
      <c r="K154" s="18" t="n">
        <f aca="false">MAX(K153,J154)</f>
        <v>867.080000000001</v>
      </c>
      <c r="L154" s="18" t="n">
        <f aca="false">K154-J154</f>
        <v>58885.62</v>
      </c>
      <c r="M154" s="18" t="n">
        <f aca="false">MIN(Desain_Kolam!$B$21,MAX(0,M153+F154-H154-G154))</f>
        <v>6358.88</v>
      </c>
      <c r="N154" s="6" t="n">
        <f aca="false">IF(M153+F154-H154&gt;=G154,1,0)</f>
        <v>1</v>
      </c>
    </row>
    <row r="155" customFormat="false" ht="15" hidden="false" customHeight="false" outlineLevel="0" collapsed="false">
      <c r="A155" s="6" t="n">
        <v>2024</v>
      </c>
      <c r="B155" s="6" t="n">
        <v>6</v>
      </c>
      <c r="C155" s="4" t="n">
        <v>166</v>
      </c>
      <c r="D155" s="6" t="n">
        <v>30</v>
      </c>
      <c r="E155" s="4" t="n">
        <f aca="false">INDEX(Evaporasi!$B$3:$B$14,MATCH(B155,Evaporasi!$A$3:$A$14,0))</f>
        <v>120</v>
      </c>
      <c r="F155" s="18" t="n">
        <f aca="false">Kawasan!$B$11*Kawasan!$B$9*C155/1000</f>
        <v>1381.12</v>
      </c>
      <c r="G155" s="18" t="n">
        <f aca="false">Kawasan!$B$26*D155</f>
        <v>2304</v>
      </c>
      <c r="H155" s="18" t="n">
        <f aca="false">E155*Desain_Kolam!$B$16/1000</f>
        <v>128.7</v>
      </c>
      <c r="I155" s="18" t="n">
        <f aca="false">F155-G155-H155</f>
        <v>-1051.58</v>
      </c>
      <c r="J155" s="18" t="n">
        <f aca="false">J154+I155</f>
        <v>-59070.12</v>
      </c>
      <c r="K155" s="18" t="n">
        <f aca="false">MAX(K154,J155)</f>
        <v>867.080000000001</v>
      </c>
      <c r="L155" s="18" t="n">
        <f aca="false">K155-J155</f>
        <v>59937.2</v>
      </c>
      <c r="M155" s="18" t="n">
        <f aca="false">MIN(Desain_Kolam!$B$21,MAX(0,M154+F155-H155-G155))</f>
        <v>5307.3</v>
      </c>
      <c r="N155" s="6" t="n">
        <f aca="false">IF(M154+F155-H155&gt;=G155,1,0)</f>
        <v>1</v>
      </c>
    </row>
    <row r="156" customFormat="false" ht="15" hidden="false" customHeight="false" outlineLevel="0" collapsed="false">
      <c r="A156" s="6" t="n">
        <v>2024</v>
      </c>
      <c r="B156" s="6" t="n">
        <v>7</v>
      </c>
      <c r="C156" s="4" t="n">
        <v>114</v>
      </c>
      <c r="D156" s="6" t="n">
        <v>31</v>
      </c>
      <c r="E156" s="4" t="n">
        <f aca="false">INDEX(Evaporasi!$B$3:$B$14,MATCH(B156,Evaporasi!$A$3:$A$14,0))</f>
        <v>120</v>
      </c>
      <c r="F156" s="18" t="n">
        <f aca="false">Kawasan!$B$11*Kawasan!$B$9*C156/1000</f>
        <v>948.48</v>
      </c>
      <c r="G156" s="18" t="n">
        <f aca="false">Kawasan!$B$26*D156</f>
        <v>2380.8</v>
      </c>
      <c r="H156" s="18" t="n">
        <f aca="false">E156*Desain_Kolam!$B$16/1000</f>
        <v>128.7</v>
      </c>
      <c r="I156" s="18" t="n">
        <f aca="false">F156-G156-H156</f>
        <v>-1561.02</v>
      </c>
      <c r="J156" s="18" t="n">
        <f aca="false">J155+I156</f>
        <v>-60631.14</v>
      </c>
      <c r="K156" s="18" t="n">
        <f aca="false">MAX(K155,J156)</f>
        <v>867.080000000001</v>
      </c>
      <c r="L156" s="18" t="n">
        <f aca="false">K156-J156</f>
        <v>61498.22</v>
      </c>
      <c r="M156" s="18" t="n">
        <f aca="false">MIN(Desain_Kolam!$B$21,MAX(0,M155+F156-H156-G156))</f>
        <v>3746.28</v>
      </c>
      <c r="N156" s="6" t="n">
        <f aca="false">IF(M155+F156-H156&gt;=G156,1,0)</f>
        <v>1</v>
      </c>
    </row>
    <row r="157" customFormat="false" ht="15" hidden="false" customHeight="false" outlineLevel="0" collapsed="false">
      <c r="A157" s="6" t="n">
        <v>2024</v>
      </c>
      <c r="B157" s="6" t="n">
        <v>8</v>
      </c>
      <c r="C157" s="4" t="n">
        <v>350</v>
      </c>
      <c r="D157" s="6" t="n">
        <v>31</v>
      </c>
      <c r="E157" s="4" t="n">
        <f aca="false">INDEX(Evaporasi!$B$3:$B$14,MATCH(B157,Evaporasi!$A$3:$A$14,0))</f>
        <v>120</v>
      </c>
      <c r="F157" s="18" t="n">
        <f aca="false">Kawasan!$B$11*Kawasan!$B$9*C157/1000</f>
        <v>2912</v>
      </c>
      <c r="G157" s="18" t="n">
        <f aca="false">Kawasan!$B$26*D157</f>
        <v>2380.8</v>
      </c>
      <c r="H157" s="18" t="n">
        <f aca="false">E157*Desain_Kolam!$B$16/1000</f>
        <v>128.7</v>
      </c>
      <c r="I157" s="18" t="n">
        <f aca="false">F157-G157-H157</f>
        <v>402.5</v>
      </c>
      <c r="J157" s="18" t="n">
        <f aca="false">J156+I157</f>
        <v>-60228.64</v>
      </c>
      <c r="K157" s="18" t="n">
        <f aca="false">MAX(K156,J157)</f>
        <v>867.080000000001</v>
      </c>
      <c r="L157" s="18" t="n">
        <f aca="false">K157-J157</f>
        <v>61095.72</v>
      </c>
      <c r="M157" s="18" t="n">
        <f aca="false">MIN(Desain_Kolam!$B$21,MAX(0,M156+F157-H157-G157))</f>
        <v>4148.78</v>
      </c>
      <c r="N157" s="6" t="n">
        <f aca="false">IF(M156+F157-H157&gt;=G157,1,0)</f>
        <v>1</v>
      </c>
    </row>
    <row r="158" customFormat="false" ht="15" hidden="false" customHeight="false" outlineLevel="0" collapsed="false">
      <c r="A158" s="6" t="n">
        <v>2024</v>
      </c>
      <c r="B158" s="6" t="n">
        <v>9</v>
      </c>
      <c r="C158" s="4" t="n">
        <v>197</v>
      </c>
      <c r="D158" s="6" t="n">
        <v>30</v>
      </c>
      <c r="E158" s="4" t="n">
        <f aca="false">INDEX(Evaporasi!$B$3:$B$14,MATCH(B158,Evaporasi!$A$3:$A$14,0))</f>
        <v>120</v>
      </c>
      <c r="F158" s="18" t="n">
        <f aca="false">Kawasan!$B$11*Kawasan!$B$9*C158/1000</f>
        <v>1639.04</v>
      </c>
      <c r="G158" s="18" t="n">
        <f aca="false">Kawasan!$B$26*D158</f>
        <v>2304</v>
      </c>
      <c r="H158" s="18" t="n">
        <f aca="false">E158*Desain_Kolam!$B$16/1000</f>
        <v>128.7</v>
      </c>
      <c r="I158" s="18" t="n">
        <f aca="false">F158-G158-H158</f>
        <v>-793.66</v>
      </c>
      <c r="J158" s="18" t="n">
        <f aca="false">J157+I158</f>
        <v>-61022.3</v>
      </c>
      <c r="K158" s="18" t="n">
        <f aca="false">MAX(K157,J158)</f>
        <v>867.080000000001</v>
      </c>
      <c r="L158" s="18" t="n">
        <f aca="false">K158-J158</f>
        <v>61889.38</v>
      </c>
      <c r="M158" s="18" t="n">
        <f aca="false">MIN(Desain_Kolam!$B$21,MAX(0,M157+F158-H158-G158))</f>
        <v>3355.12</v>
      </c>
      <c r="N158" s="6" t="n">
        <f aca="false">IF(M157+F158-H158&gt;=G158,1,0)</f>
        <v>1</v>
      </c>
    </row>
    <row r="159" customFormat="false" ht="15" hidden="false" customHeight="false" outlineLevel="0" collapsed="false">
      <c r="A159" s="6" t="n">
        <v>2024</v>
      </c>
      <c r="B159" s="6" t="n">
        <v>10</v>
      </c>
      <c r="C159" s="4" t="n">
        <v>327</v>
      </c>
      <c r="D159" s="6" t="n">
        <v>31</v>
      </c>
      <c r="E159" s="4" t="n">
        <f aca="false">INDEX(Evaporasi!$B$3:$B$14,MATCH(B159,Evaporasi!$A$3:$A$14,0))</f>
        <v>120</v>
      </c>
      <c r="F159" s="18" t="n">
        <f aca="false">Kawasan!$B$11*Kawasan!$B$9*C159/1000</f>
        <v>2720.64</v>
      </c>
      <c r="G159" s="18" t="n">
        <f aca="false">Kawasan!$B$26*D159</f>
        <v>2380.8</v>
      </c>
      <c r="H159" s="18" t="n">
        <f aca="false">E159*Desain_Kolam!$B$16/1000</f>
        <v>128.7</v>
      </c>
      <c r="I159" s="18" t="n">
        <f aca="false">F159-G159-H159</f>
        <v>211.14</v>
      </c>
      <c r="J159" s="18" t="n">
        <f aca="false">J158+I159</f>
        <v>-60811.16</v>
      </c>
      <c r="K159" s="18" t="n">
        <f aca="false">MAX(K158,J159)</f>
        <v>867.080000000001</v>
      </c>
      <c r="L159" s="18" t="n">
        <f aca="false">K159-J159</f>
        <v>61678.24</v>
      </c>
      <c r="M159" s="18" t="n">
        <f aca="false">MIN(Desain_Kolam!$B$21,MAX(0,M158+F159-H159-G159))</f>
        <v>3566.26</v>
      </c>
      <c r="N159" s="6" t="n">
        <f aca="false">IF(M158+F159-H159&gt;=G159,1,0)</f>
        <v>1</v>
      </c>
    </row>
    <row r="160" customFormat="false" ht="15" hidden="false" customHeight="false" outlineLevel="0" collapsed="false">
      <c r="A160" s="6" t="n">
        <v>2024</v>
      </c>
      <c r="B160" s="6" t="n">
        <v>11</v>
      </c>
      <c r="C160" s="4" t="n">
        <v>419</v>
      </c>
      <c r="D160" s="6" t="n">
        <v>30</v>
      </c>
      <c r="E160" s="4" t="n">
        <f aca="false">INDEX(Evaporasi!$B$3:$B$14,MATCH(B160,Evaporasi!$A$3:$A$14,0))</f>
        <v>120</v>
      </c>
      <c r="F160" s="18" t="n">
        <f aca="false">Kawasan!$B$11*Kawasan!$B$9*C160/1000</f>
        <v>3486.08</v>
      </c>
      <c r="G160" s="18" t="n">
        <f aca="false">Kawasan!$B$26*D160</f>
        <v>2304</v>
      </c>
      <c r="H160" s="18" t="n">
        <f aca="false">E160*Desain_Kolam!$B$16/1000</f>
        <v>128.7</v>
      </c>
      <c r="I160" s="18" t="n">
        <f aca="false">F160-G160-H160</f>
        <v>1053.38</v>
      </c>
      <c r="J160" s="18" t="n">
        <f aca="false">J159+I160</f>
        <v>-59757.78</v>
      </c>
      <c r="K160" s="18" t="n">
        <f aca="false">MAX(K159,J160)</f>
        <v>867.080000000001</v>
      </c>
      <c r="L160" s="18" t="n">
        <f aca="false">K160-J160</f>
        <v>60624.86</v>
      </c>
      <c r="M160" s="18" t="n">
        <f aca="false">MIN(Desain_Kolam!$B$21,MAX(0,M159+F160-H160-G160))</f>
        <v>4619.64</v>
      </c>
      <c r="N160" s="6" t="n">
        <f aca="false">IF(M159+F160-H160&gt;=G160,1,0)</f>
        <v>1</v>
      </c>
    </row>
    <row r="161" customFormat="false" ht="15" hidden="false" customHeight="false" outlineLevel="0" collapsed="false">
      <c r="A161" s="6" t="n">
        <v>2024</v>
      </c>
      <c r="B161" s="6" t="n">
        <v>12</v>
      </c>
      <c r="C161" s="4" t="n">
        <v>214</v>
      </c>
      <c r="D161" s="6" t="n">
        <v>31</v>
      </c>
      <c r="E161" s="4" t="n">
        <f aca="false">INDEX(Evaporasi!$B$3:$B$14,MATCH(B161,Evaporasi!$A$3:$A$14,0))</f>
        <v>120</v>
      </c>
      <c r="F161" s="18" t="n">
        <f aca="false">Kawasan!$B$11*Kawasan!$B$9*C161/1000</f>
        <v>1780.48</v>
      </c>
      <c r="G161" s="18" t="n">
        <f aca="false">Kawasan!$B$26*D161</f>
        <v>2380.8</v>
      </c>
      <c r="H161" s="18" t="n">
        <f aca="false">E161*Desain_Kolam!$B$16/1000</f>
        <v>128.7</v>
      </c>
      <c r="I161" s="18" t="n">
        <f aca="false">F161-G161-H161</f>
        <v>-729.02</v>
      </c>
      <c r="J161" s="18" t="n">
        <f aca="false">J160+I161</f>
        <v>-60486.8</v>
      </c>
      <c r="K161" s="18" t="n">
        <f aca="false">MAX(K160,J161)</f>
        <v>867.080000000001</v>
      </c>
      <c r="L161" s="18" t="n">
        <f aca="false">K161-J161</f>
        <v>61353.88</v>
      </c>
      <c r="M161" s="18" t="n">
        <f aca="false">MIN(Desain_Kolam!$B$21,MAX(0,M160+F161-H161-G161))</f>
        <v>3890.62</v>
      </c>
      <c r="N161" s="6" t="n">
        <f aca="false">IF(M160+F161-H161&gt;=G161,1,0)</f>
        <v>1</v>
      </c>
    </row>
    <row r="162" customFormat="false" ht="15" hidden="false" customHeight="false" outlineLevel="0" collapsed="false">
      <c r="A162" s="6" t="n">
        <v>2025</v>
      </c>
      <c r="B162" s="6" t="n">
        <v>1</v>
      </c>
      <c r="C162" s="4" t="n">
        <v>400</v>
      </c>
      <c r="D162" s="6" t="n">
        <v>31</v>
      </c>
      <c r="E162" s="4" t="n">
        <f aca="false">INDEX(Evaporasi!$B$3:$B$14,MATCH(B162,Evaporasi!$A$3:$A$14,0))</f>
        <v>120</v>
      </c>
      <c r="F162" s="18" t="n">
        <f aca="false">Kawasan!$B$11*Kawasan!$B$9*C162/1000</f>
        <v>3328</v>
      </c>
      <c r="G162" s="18" t="n">
        <f aca="false">Kawasan!$B$26*D162</f>
        <v>2380.8</v>
      </c>
      <c r="H162" s="18" t="n">
        <f aca="false">E162*Desain_Kolam!$B$16/1000</f>
        <v>128.7</v>
      </c>
      <c r="I162" s="18" t="n">
        <f aca="false">F162-G162-H162</f>
        <v>818.5</v>
      </c>
      <c r="J162" s="18" t="n">
        <f aca="false">J161+I162</f>
        <v>-59668.3</v>
      </c>
      <c r="K162" s="18" t="n">
        <f aca="false">MAX(K161,J162)</f>
        <v>867.080000000001</v>
      </c>
      <c r="L162" s="18" t="n">
        <f aca="false">K162-J162</f>
        <v>60535.38</v>
      </c>
      <c r="M162" s="18" t="n">
        <f aca="false">MIN(Desain_Kolam!$B$21,MAX(0,M161+F162-H162-G162))</f>
        <v>4709.12</v>
      </c>
      <c r="N162" s="6" t="n">
        <f aca="false">IF(M161+F162-H162&gt;=G162,1,0)</f>
        <v>1</v>
      </c>
    </row>
    <row r="163" customFormat="false" ht="15" hidden="false" customHeight="false" outlineLevel="0" collapsed="false">
      <c r="A163" s="6" t="n">
        <v>2025</v>
      </c>
      <c r="B163" s="6" t="n">
        <v>2</v>
      </c>
      <c r="C163" s="4" t="n">
        <v>210</v>
      </c>
      <c r="D163" s="6" t="n">
        <v>28</v>
      </c>
      <c r="E163" s="4" t="n">
        <f aca="false">INDEX(Evaporasi!$B$3:$B$14,MATCH(B163,Evaporasi!$A$3:$A$14,0))</f>
        <v>120</v>
      </c>
      <c r="F163" s="18" t="n">
        <f aca="false">Kawasan!$B$11*Kawasan!$B$9*C163/1000</f>
        <v>1747.2</v>
      </c>
      <c r="G163" s="18" t="n">
        <f aca="false">Kawasan!$B$26*D163</f>
        <v>2150.4</v>
      </c>
      <c r="H163" s="18" t="n">
        <f aca="false">E163*Desain_Kolam!$B$16/1000</f>
        <v>128.7</v>
      </c>
      <c r="I163" s="18" t="n">
        <f aca="false">F163-G163-H163</f>
        <v>-531.9</v>
      </c>
      <c r="J163" s="18" t="n">
        <f aca="false">J162+I163</f>
        <v>-60200.2</v>
      </c>
      <c r="K163" s="18" t="n">
        <f aca="false">MAX(K162,J163)</f>
        <v>867.080000000001</v>
      </c>
      <c r="L163" s="18" t="n">
        <f aca="false">K163-J163</f>
        <v>61067.28</v>
      </c>
      <c r="M163" s="18" t="n">
        <f aca="false">MIN(Desain_Kolam!$B$21,MAX(0,M162+F163-H163-G163))</f>
        <v>4177.22</v>
      </c>
      <c r="N163" s="6" t="n">
        <f aca="false">IF(M162+F163-H163&gt;=G163,1,0)</f>
        <v>1</v>
      </c>
    </row>
    <row r="164" customFormat="false" ht="15" hidden="false" customHeight="false" outlineLevel="0" collapsed="false">
      <c r="A164" s="6" t="n">
        <v>2025</v>
      </c>
      <c r="B164" s="6" t="n">
        <v>3</v>
      </c>
      <c r="C164" s="4" t="n">
        <v>302</v>
      </c>
      <c r="D164" s="6" t="n">
        <v>31</v>
      </c>
      <c r="E164" s="4" t="n">
        <f aca="false">INDEX(Evaporasi!$B$3:$B$14,MATCH(B164,Evaporasi!$A$3:$A$14,0))</f>
        <v>120</v>
      </c>
      <c r="F164" s="18" t="n">
        <f aca="false">Kawasan!$B$11*Kawasan!$B$9*C164/1000</f>
        <v>2512.64</v>
      </c>
      <c r="G164" s="18" t="n">
        <f aca="false">Kawasan!$B$26*D164</f>
        <v>2380.8</v>
      </c>
      <c r="H164" s="18" t="n">
        <f aca="false">E164*Desain_Kolam!$B$16/1000</f>
        <v>128.7</v>
      </c>
      <c r="I164" s="18" t="n">
        <f aca="false">F164-G164-H164</f>
        <v>3.14000000000016</v>
      </c>
      <c r="J164" s="18" t="n">
        <f aca="false">J163+I164</f>
        <v>-60197.06</v>
      </c>
      <c r="K164" s="18" t="n">
        <f aca="false">MAX(K163,J164)</f>
        <v>867.080000000001</v>
      </c>
      <c r="L164" s="18" t="n">
        <f aca="false">K164-J164</f>
        <v>61064.14</v>
      </c>
      <c r="M164" s="18" t="n">
        <f aca="false">MIN(Desain_Kolam!$B$21,MAX(0,M163+F164-H164-G164))</f>
        <v>4180.36</v>
      </c>
      <c r="N164" s="6" t="n">
        <f aca="false">IF(M163+F164-H164&gt;=G164,1,0)</f>
        <v>1</v>
      </c>
    </row>
    <row r="165" customFormat="false" ht="15" hidden="false" customHeight="false" outlineLevel="0" collapsed="false">
      <c r="A165" s="6" t="n">
        <v>2025</v>
      </c>
      <c r="B165" s="6" t="n">
        <v>4</v>
      </c>
      <c r="C165" s="4" t="n">
        <v>231</v>
      </c>
      <c r="D165" s="6" t="n">
        <v>30</v>
      </c>
      <c r="E165" s="4" t="n">
        <f aca="false">INDEX(Evaporasi!$B$3:$B$14,MATCH(B165,Evaporasi!$A$3:$A$14,0))</f>
        <v>120</v>
      </c>
      <c r="F165" s="18" t="n">
        <f aca="false">Kawasan!$B$11*Kawasan!$B$9*C165/1000</f>
        <v>1921.92</v>
      </c>
      <c r="G165" s="18" t="n">
        <f aca="false">Kawasan!$B$26*D165</f>
        <v>2304</v>
      </c>
      <c r="H165" s="18" t="n">
        <f aca="false">E165*Desain_Kolam!$B$16/1000</f>
        <v>128.7</v>
      </c>
      <c r="I165" s="18" t="n">
        <f aca="false">F165-G165-H165</f>
        <v>-510.78</v>
      </c>
      <c r="J165" s="18" t="n">
        <f aca="false">J164+I165</f>
        <v>-60707.84</v>
      </c>
      <c r="K165" s="18" t="n">
        <f aca="false">MAX(K164,J165)</f>
        <v>867.080000000001</v>
      </c>
      <c r="L165" s="18" t="n">
        <f aca="false">K165-J165</f>
        <v>61574.92</v>
      </c>
      <c r="M165" s="18" t="n">
        <f aca="false">MIN(Desain_Kolam!$B$21,MAX(0,M164+F165-H165-G165))</f>
        <v>3669.58</v>
      </c>
      <c r="N165" s="6" t="n">
        <f aca="false">IF(M164+F165-H165&gt;=G165,1,0)</f>
        <v>1</v>
      </c>
    </row>
    <row r="166" customFormat="false" ht="15" hidden="false" customHeight="false" outlineLevel="0" collapsed="false">
      <c r="A166" s="6" t="n">
        <v>2025</v>
      </c>
      <c r="B166" s="6" t="n">
        <v>5</v>
      </c>
      <c r="C166" s="4" t="n">
        <v>231</v>
      </c>
      <c r="D166" s="6" t="n">
        <v>31</v>
      </c>
      <c r="E166" s="4" t="n">
        <f aca="false">INDEX(Evaporasi!$B$3:$B$14,MATCH(B166,Evaporasi!$A$3:$A$14,0))</f>
        <v>120</v>
      </c>
      <c r="F166" s="18" t="n">
        <f aca="false">Kawasan!$B$11*Kawasan!$B$9*C166/1000</f>
        <v>1921.92</v>
      </c>
      <c r="G166" s="18" t="n">
        <f aca="false">Kawasan!$B$26*D166</f>
        <v>2380.8</v>
      </c>
      <c r="H166" s="18" t="n">
        <f aca="false">E166*Desain_Kolam!$B$16/1000</f>
        <v>128.7</v>
      </c>
      <c r="I166" s="18" t="n">
        <f aca="false">F166-G166-H166</f>
        <v>-587.58</v>
      </c>
      <c r="J166" s="18" t="n">
        <f aca="false">J165+I166</f>
        <v>-61295.42</v>
      </c>
      <c r="K166" s="18" t="n">
        <f aca="false">MAX(K165,J166)</f>
        <v>867.080000000001</v>
      </c>
      <c r="L166" s="18" t="n">
        <f aca="false">K166-J166</f>
        <v>62162.5</v>
      </c>
      <c r="M166" s="18" t="n">
        <f aca="false">MIN(Desain_Kolam!$B$21,MAX(0,M165+F166-H166-G166))</f>
        <v>3082</v>
      </c>
      <c r="N166" s="6" t="n">
        <f aca="false">IF(M165+F166-H166&gt;=G166,1,0)</f>
        <v>1</v>
      </c>
    </row>
    <row r="167" customFormat="false" ht="15" hidden="false" customHeight="false" outlineLevel="0" collapsed="false">
      <c r="A167" s="6" t="n">
        <v>2025</v>
      </c>
      <c r="B167" s="6" t="n">
        <v>6</v>
      </c>
      <c r="C167" s="4" t="n">
        <v>167</v>
      </c>
      <c r="D167" s="6" t="n">
        <v>30</v>
      </c>
      <c r="E167" s="4" t="n">
        <f aca="false">INDEX(Evaporasi!$B$3:$B$14,MATCH(B167,Evaporasi!$A$3:$A$14,0))</f>
        <v>120</v>
      </c>
      <c r="F167" s="18" t="n">
        <f aca="false">Kawasan!$B$11*Kawasan!$B$9*C167/1000</f>
        <v>1389.44</v>
      </c>
      <c r="G167" s="18" t="n">
        <f aca="false">Kawasan!$B$26*D167</f>
        <v>2304</v>
      </c>
      <c r="H167" s="18" t="n">
        <f aca="false">E167*Desain_Kolam!$B$16/1000</f>
        <v>128.7</v>
      </c>
      <c r="I167" s="18" t="n">
        <f aca="false">F167-G167-H167</f>
        <v>-1043.26</v>
      </c>
      <c r="J167" s="18" t="n">
        <f aca="false">J166+I167</f>
        <v>-62338.68</v>
      </c>
      <c r="K167" s="18" t="n">
        <f aca="false">MAX(K166,J167)</f>
        <v>867.080000000001</v>
      </c>
      <c r="L167" s="18" t="n">
        <f aca="false">K167-J167</f>
        <v>63205.76</v>
      </c>
      <c r="M167" s="18" t="n">
        <f aca="false">MIN(Desain_Kolam!$B$21,MAX(0,M166+F167-H167-G167))</f>
        <v>2038.74</v>
      </c>
      <c r="N167" s="6" t="n">
        <f aca="false">IF(M166+F167-H167&gt;=G167,1,0)</f>
        <v>1</v>
      </c>
    </row>
    <row r="168" customFormat="false" ht="15" hidden="false" customHeight="false" outlineLevel="0" collapsed="false">
      <c r="A168" s="6" t="n">
        <v>2025</v>
      </c>
      <c r="B168" s="6" t="n">
        <v>7</v>
      </c>
      <c r="C168" s="4" t="n">
        <v>159</v>
      </c>
      <c r="D168" s="6" t="n">
        <v>31</v>
      </c>
      <c r="E168" s="4" t="n">
        <f aca="false">INDEX(Evaporasi!$B$3:$B$14,MATCH(B168,Evaporasi!$A$3:$A$14,0))</f>
        <v>120</v>
      </c>
      <c r="F168" s="18" t="n">
        <f aca="false">Kawasan!$B$11*Kawasan!$B$9*C168/1000</f>
        <v>1322.88</v>
      </c>
      <c r="G168" s="18" t="n">
        <f aca="false">Kawasan!$B$26*D168</f>
        <v>2380.8</v>
      </c>
      <c r="H168" s="18" t="n">
        <f aca="false">E168*Desain_Kolam!$B$16/1000</f>
        <v>128.7</v>
      </c>
      <c r="I168" s="18" t="n">
        <f aca="false">F168-G168-H168</f>
        <v>-1186.62</v>
      </c>
      <c r="J168" s="18" t="n">
        <f aca="false">J167+I168</f>
        <v>-63525.3</v>
      </c>
      <c r="K168" s="18" t="n">
        <f aca="false">MAX(K167,J168)</f>
        <v>867.080000000001</v>
      </c>
      <c r="L168" s="18" t="n">
        <f aca="false">K168-J168</f>
        <v>64392.38</v>
      </c>
      <c r="M168" s="18" t="n">
        <f aca="false">MIN(Desain_Kolam!$B$21,MAX(0,M167+F168-H168-G168))</f>
        <v>852.119999999999</v>
      </c>
      <c r="N168" s="6" t="n">
        <f aca="false">IF(M167+F168-H168&gt;=G168,1,0)</f>
        <v>1</v>
      </c>
    </row>
    <row r="169" customFormat="false" ht="15" hidden="false" customHeight="false" outlineLevel="0" collapsed="false">
      <c r="A169" s="6" t="n">
        <v>2025</v>
      </c>
      <c r="B169" s="6" t="n">
        <v>8</v>
      </c>
      <c r="C169" s="4" t="n">
        <v>392</v>
      </c>
      <c r="D169" s="6" t="n">
        <v>31</v>
      </c>
      <c r="E169" s="4" t="n">
        <f aca="false">INDEX(Evaporasi!$B$3:$B$14,MATCH(B169,Evaporasi!$A$3:$A$14,0))</f>
        <v>120</v>
      </c>
      <c r="F169" s="18" t="n">
        <f aca="false">Kawasan!$B$11*Kawasan!$B$9*C169/1000</f>
        <v>3261.44</v>
      </c>
      <c r="G169" s="18" t="n">
        <f aca="false">Kawasan!$B$26*D169</f>
        <v>2380.8</v>
      </c>
      <c r="H169" s="18" t="n">
        <f aca="false">E169*Desain_Kolam!$B$16/1000</f>
        <v>128.7</v>
      </c>
      <c r="I169" s="18" t="n">
        <f aca="false">F169-G169-H169</f>
        <v>751.94</v>
      </c>
      <c r="J169" s="18" t="n">
        <f aca="false">J168+I169</f>
        <v>-62773.36</v>
      </c>
      <c r="K169" s="18" t="n">
        <f aca="false">MAX(K168,J169)</f>
        <v>867.080000000001</v>
      </c>
      <c r="L169" s="18" t="n">
        <f aca="false">K169-J169</f>
        <v>63640.44</v>
      </c>
      <c r="M169" s="18" t="n">
        <f aca="false">MIN(Desain_Kolam!$B$21,MAX(0,M168+F169-H169-G169))</f>
        <v>1604.06</v>
      </c>
      <c r="N169" s="6" t="n">
        <f aca="false">IF(M168+F169-H169&gt;=G169,1,0)</f>
        <v>1</v>
      </c>
    </row>
    <row r="170" customFormat="false" ht="15" hidden="false" customHeight="false" outlineLevel="0" collapsed="false">
      <c r="A170" s="6" t="n">
        <v>2025</v>
      </c>
      <c r="B170" s="6" t="n">
        <v>9</v>
      </c>
      <c r="C170" s="4" t="n">
        <v>360</v>
      </c>
      <c r="D170" s="6" t="n">
        <v>30</v>
      </c>
      <c r="E170" s="4" t="n">
        <f aca="false">INDEX(Evaporasi!$B$3:$B$14,MATCH(B170,Evaporasi!$A$3:$A$14,0))</f>
        <v>120</v>
      </c>
      <c r="F170" s="18" t="n">
        <f aca="false">Kawasan!$B$11*Kawasan!$B$9*C170/1000</f>
        <v>2995.2</v>
      </c>
      <c r="G170" s="18" t="n">
        <f aca="false">Kawasan!$B$26*D170</f>
        <v>2304</v>
      </c>
      <c r="H170" s="18" t="n">
        <f aca="false">E170*Desain_Kolam!$B$16/1000</f>
        <v>128.7</v>
      </c>
      <c r="I170" s="18" t="n">
        <f aca="false">F170-G170-H170</f>
        <v>562.5</v>
      </c>
      <c r="J170" s="18" t="n">
        <f aca="false">J169+I170</f>
        <v>-62210.86</v>
      </c>
      <c r="K170" s="18" t="n">
        <f aca="false">MAX(K169,J170)</f>
        <v>867.080000000001</v>
      </c>
      <c r="L170" s="18" t="n">
        <f aca="false">K170-J170</f>
        <v>63077.94</v>
      </c>
      <c r="M170" s="18" t="n">
        <f aca="false">MIN(Desain_Kolam!$B$21,MAX(0,M169+F170-H170-G170))</f>
        <v>2166.56</v>
      </c>
      <c r="N170" s="6" t="n">
        <f aca="false">IF(M169+F170-H170&gt;=G170,1,0)</f>
        <v>1</v>
      </c>
    </row>
    <row r="171" customFormat="false" ht="15" hidden="false" customHeight="false" outlineLevel="0" collapsed="false">
      <c r="A171" s="6" t="n">
        <v>2025</v>
      </c>
      <c r="B171" s="6" t="n">
        <v>10</v>
      </c>
      <c r="C171" s="4" t="n">
        <v>391</v>
      </c>
      <c r="D171" s="6" t="n">
        <v>31</v>
      </c>
      <c r="E171" s="4" t="n">
        <f aca="false">INDEX(Evaporasi!$B$3:$B$14,MATCH(B171,Evaporasi!$A$3:$A$14,0))</f>
        <v>120</v>
      </c>
      <c r="F171" s="18" t="n">
        <f aca="false">Kawasan!$B$11*Kawasan!$B$9*C171/1000</f>
        <v>3253.12</v>
      </c>
      <c r="G171" s="18" t="n">
        <f aca="false">Kawasan!$B$26*D171</f>
        <v>2380.8</v>
      </c>
      <c r="H171" s="18" t="n">
        <f aca="false">E171*Desain_Kolam!$B$16/1000</f>
        <v>128.7</v>
      </c>
      <c r="I171" s="18" t="n">
        <f aca="false">F171-G171-H171</f>
        <v>743.62</v>
      </c>
      <c r="J171" s="18" t="n">
        <f aca="false">J170+I171</f>
        <v>-61467.24</v>
      </c>
      <c r="K171" s="18" t="n">
        <f aca="false">MAX(K170,J171)</f>
        <v>867.080000000001</v>
      </c>
      <c r="L171" s="18" t="n">
        <f aca="false">K171-J171</f>
        <v>62334.32</v>
      </c>
      <c r="M171" s="18" t="n">
        <f aca="false">MIN(Desain_Kolam!$B$21,MAX(0,M170+F171-H171-G171))</f>
        <v>2910.18</v>
      </c>
      <c r="N171" s="6" t="n">
        <f aca="false">IF(M170+F171-H171&gt;=G171,1,0)</f>
        <v>1</v>
      </c>
    </row>
    <row r="172" customFormat="false" ht="15" hidden="false" customHeight="false" outlineLevel="0" collapsed="false">
      <c r="A172" s="6" t="n">
        <v>2025</v>
      </c>
      <c r="B172" s="6" t="n">
        <v>11</v>
      </c>
      <c r="C172" s="4" t="n">
        <v>327</v>
      </c>
      <c r="D172" s="6" t="n">
        <v>30</v>
      </c>
      <c r="E172" s="4" t="n">
        <f aca="false">INDEX(Evaporasi!$B$3:$B$14,MATCH(B172,Evaporasi!$A$3:$A$14,0))</f>
        <v>120</v>
      </c>
      <c r="F172" s="18" t="n">
        <f aca="false">Kawasan!$B$11*Kawasan!$B$9*C172/1000</f>
        <v>2720.64</v>
      </c>
      <c r="G172" s="18" t="n">
        <f aca="false">Kawasan!$B$26*D172</f>
        <v>2304</v>
      </c>
      <c r="H172" s="18" t="n">
        <f aca="false">E172*Desain_Kolam!$B$16/1000</f>
        <v>128.7</v>
      </c>
      <c r="I172" s="18" t="n">
        <f aca="false">F172-G172-H172</f>
        <v>287.94</v>
      </c>
      <c r="J172" s="18" t="n">
        <f aca="false">J171+I172</f>
        <v>-61179.3</v>
      </c>
      <c r="K172" s="18" t="n">
        <f aca="false">MAX(K171,J172)</f>
        <v>867.080000000001</v>
      </c>
      <c r="L172" s="18" t="n">
        <f aca="false">K172-J172</f>
        <v>62046.38</v>
      </c>
      <c r="M172" s="18" t="n">
        <f aca="false">MIN(Desain_Kolam!$B$21,MAX(0,M171+F172-H172-G172))</f>
        <v>3198.12</v>
      </c>
      <c r="N172" s="6" t="n">
        <f aca="false">IF(M171+F172-H172&gt;=G172,1,0)</f>
        <v>1</v>
      </c>
    </row>
    <row r="173" customFormat="false" ht="15" hidden="false" customHeight="false" outlineLevel="0" collapsed="false">
      <c r="A173" s="6" t="n">
        <v>2025</v>
      </c>
      <c r="B173" s="6" t="n">
        <v>12</v>
      </c>
      <c r="C173" s="4" t="n">
        <v>140</v>
      </c>
      <c r="D173" s="6" t="n">
        <v>31</v>
      </c>
      <c r="E173" s="4" t="n">
        <f aca="false">INDEX(Evaporasi!$B$3:$B$14,MATCH(B173,Evaporasi!$A$3:$A$14,0))</f>
        <v>120</v>
      </c>
      <c r="F173" s="18" t="n">
        <f aca="false">Kawasan!$B$11*Kawasan!$B$9*C173/1000</f>
        <v>1164.8</v>
      </c>
      <c r="G173" s="18" t="n">
        <f aca="false">Kawasan!$B$26*D173</f>
        <v>2380.8</v>
      </c>
      <c r="H173" s="18" t="n">
        <f aca="false">E173*Desain_Kolam!$B$16/1000</f>
        <v>128.7</v>
      </c>
      <c r="I173" s="18" t="n">
        <f aca="false">F173-G173-H173</f>
        <v>-1344.7</v>
      </c>
      <c r="J173" s="18" t="n">
        <f aca="false">J172+I173</f>
        <v>-62524</v>
      </c>
      <c r="K173" s="18" t="n">
        <f aca="false">MAX(K172,J173)</f>
        <v>867.080000000001</v>
      </c>
      <c r="L173" s="18" t="n">
        <f aca="false">K173-J173</f>
        <v>63391.08</v>
      </c>
      <c r="M173" s="18" t="n">
        <f aca="false">MIN(Desain_Kolam!$B$21,MAX(0,M172+F173-H173-G173))</f>
        <v>1853.42</v>
      </c>
      <c r="N173" s="6" t="n">
        <f aca="false">IF(M172+F173-H173&gt;=G173,1,0)</f>
        <v>1</v>
      </c>
    </row>
    <row r="174" customFormat="false" ht="15" hidden="false" customHeight="false" outlineLevel="0" collapsed="false">
      <c r="A174" s="27" t="s">
        <v>5431</v>
      </c>
      <c r="B174" s="27"/>
      <c r="C174" s="27"/>
      <c r="D174" s="27"/>
      <c r="E174" s="28" t="n">
        <f aca="false">MAX(L6:L173)</f>
        <v>65244.5</v>
      </c>
    </row>
    <row r="175" customFormat="false" ht="15" hidden="false" customHeight="false" outlineLevel="0" collapsed="false">
      <c r="A175" s="27" t="s">
        <v>5432</v>
      </c>
      <c r="B175" s="27"/>
      <c r="C175" s="27"/>
      <c r="D175" s="27"/>
      <c r="E175" s="29" t="n">
        <f aca="false">100*SUM(N6:N173)/COUNT(N6:N173)</f>
        <v>66.0714285714286</v>
      </c>
    </row>
    <row r="176" customFormat="false" ht="15" hidden="false" customHeight="false" outlineLevel="0" collapsed="false">
      <c r="A176" s="27" t="s">
        <v>5433</v>
      </c>
      <c r="B176" s="27"/>
      <c r="C176" s="27"/>
      <c r="D176" s="27"/>
      <c r="E176" s="30" t="n">
        <f aca="false">SUM(N6:N173)</f>
        <v>111</v>
      </c>
    </row>
    <row r="177" customFormat="false" ht="15" hidden="false" customHeight="false" outlineLevel="0" collapsed="false">
      <c r="A177" s="27" t="s">
        <v>5434</v>
      </c>
      <c r="B177" s="27"/>
      <c r="C177" s="27"/>
      <c r="D177" s="27"/>
      <c r="E177" s="28" t="n">
        <f aca="false">J173</f>
        <v>-62524</v>
      </c>
    </row>
    <row r="179" customFormat="false" ht="15" hidden="false" customHeight="false" outlineLevel="0" collapsed="false">
      <c r="A179" s="7" t="s">
        <v>5435</v>
      </c>
    </row>
    <row r="180" customFormat="false" ht="23.85" hidden="false" customHeight="false" outlineLevel="0" collapsed="false">
      <c r="A180" s="1" t="s">
        <v>0</v>
      </c>
      <c r="B180" s="1" t="s">
        <v>1</v>
      </c>
      <c r="C180" s="1" t="s">
        <v>5419</v>
      </c>
      <c r="D180" s="1" t="s">
        <v>5420</v>
      </c>
      <c r="E180" s="1" t="s">
        <v>5421</v>
      </c>
      <c r="F180" s="1" t="s">
        <v>5422</v>
      </c>
      <c r="G180" s="1" t="s">
        <v>5423</v>
      </c>
      <c r="H180" s="1" t="s">
        <v>5424</v>
      </c>
      <c r="I180" s="1" t="s">
        <v>5425</v>
      </c>
      <c r="J180" s="1" t="s">
        <v>5426</v>
      </c>
      <c r="K180" s="1" t="s">
        <v>5427</v>
      </c>
      <c r="L180" s="1" t="s">
        <v>5428</v>
      </c>
      <c r="M180" s="1" t="s">
        <v>5429</v>
      </c>
      <c r="N180" s="1" t="s">
        <v>5430</v>
      </c>
    </row>
    <row r="181" customFormat="false" ht="15" hidden="false" customHeight="false" outlineLevel="0" collapsed="false">
      <c r="A181" s="6" t="n">
        <v>2012</v>
      </c>
      <c r="B181" s="6" t="n">
        <v>1</v>
      </c>
      <c r="C181" s="4" t="n">
        <v>349</v>
      </c>
      <c r="D181" s="6" t="n">
        <v>31</v>
      </c>
      <c r="E181" s="4" t="n">
        <f aca="false">INDEX(Evaporasi!$B$3:$B$14,MATCH(B181,Evaporasi!$A$3:$A$14,0))</f>
        <v>120</v>
      </c>
      <c r="F181" s="18" t="n">
        <f aca="false">Kawasan!$B$11*Kawasan!$B$9*C181/1000</f>
        <v>2903.68</v>
      </c>
      <c r="G181" s="18" t="n">
        <f aca="false">Kawasan!$B$27*D181</f>
        <v>1666.56</v>
      </c>
      <c r="H181" s="18" t="n">
        <f aca="false">E181*Desain_Kolam!$B$16/1000</f>
        <v>128.7</v>
      </c>
      <c r="I181" s="18" t="n">
        <f aca="false">F181-G181-H181</f>
        <v>1108.42</v>
      </c>
      <c r="J181" s="18" t="n">
        <f aca="false">I181</f>
        <v>1108.42</v>
      </c>
      <c r="K181" s="18" t="n">
        <f aca="false">MAX(0,J181)</f>
        <v>1108.42</v>
      </c>
      <c r="L181" s="18" t="n">
        <f aca="false">K181-J181</f>
        <v>0</v>
      </c>
      <c r="M181" s="18" t="n">
        <f aca="false">MIN(Desain_Kolam!$B$21,MAX(0,F181-H181-G181))</f>
        <v>1108.42</v>
      </c>
      <c r="N181" s="6" t="n">
        <f aca="false">IF(F181-H181&gt;=G181,1,0)</f>
        <v>1</v>
      </c>
    </row>
    <row r="182" customFormat="false" ht="15" hidden="false" customHeight="false" outlineLevel="0" collapsed="false">
      <c r="A182" s="6" t="n">
        <v>2012</v>
      </c>
      <c r="B182" s="6" t="n">
        <v>2</v>
      </c>
      <c r="C182" s="4" t="n">
        <v>340</v>
      </c>
      <c r="D182" s="6" t="n">
        <v>29</v>
      </c>
      <c r="E182" s="4" t="n">
        <f aca="false">INDEX(Evaporasi!$B$3:$B$14,MATCH(B182,Evaporasi!$A$3:$A$14,0))</f>
        <v>120</v>
      </c>
      <c r="F182" s="18" t="n">
        <f aca="false">Kawasan!$B$11*Kawasan!$B$9*C182/1000</f>
        <v>2828.8</v>
      </c>
      <c r="G182" s="18" t="n">
        <f aca="false">Kawasan!$B$27*D182</f>
        <v>1559.04</v>
      </c>
      <c r="H182" s="18" t="n">
        <f aca="false">E182*Desain_Kolam!$B$16/1000</f>
        <v>128.7</v>
      </c>
      <c r="I182" s="18" t="n">
        <f aca="false">F182-G182-H182</f>
        <v>1141.06</v>
      </c>
      <c r="J182" s="18" t="n">
        <f aca="false">J181+I182</f>
        <v>2249.48</v>
      </c>
      <c r="K182" s="18" t="n">
        <f aca="false">MAX(K181,J182)</f>
        <v>2249.48</v>
      </c>
      <c r="L182" s="18" t="n">
        <f aca="false">K182-J182</f>
        <v>0</v>
      </c>
      <c r="M182" s="18" t="n">
        <f aca="false">MIN(Desain_Kolam!$B$21,MAX(0,M181+F182-H182-G182))</f>
        <v>2249.48</v>
      </c>
      <c r="N182" s="6" t="n">
        <f aca="false">IF(M181+F182-H182&gt;=G182,1,0)</f>
        <v>1</v>
      </c>
    </row>
    <row r="183" customFormat="false" ht="15" hidden="false" customHeight="false" outlineLevel="0" collapsed="false">
      <c r="A183" s="6" t="n">
        <v>2012</v>
      </c>
      <c r="B183" s="6" t="n">
        <v>3</v>
      </c>
      <c r="C183" s="4" t="n">
        <v>244</v>
      </c>
      <c r="D183" s="6" t="n">
        <v>31</v>
      </c>
      <c r="E183" s="4" t="n">
        <f aca="false">INDEX(Evaporasi!$B$3:$B$14,MATCH(B183,Evaporasi!$A$3:$A$14,0))</f>
        <v>120</v>
      </c>
      <c r="F183" s="18" t="n">
        <f aca="false">Kawasan!$B$11*Kawasan!$B$9*C183/1000</f>
        <v>2030.08</v>
      </c>
      <c r="G183" s="18" t="n">
        <f aca="false">Kawasan!$B$27*D183</f>
        <v>1666.56</v>
      </c>
      <c r="H183" s="18" t="n">
        <f aca="false">E183*Desain_Kolam!$B$16/1000</f>
        <v>128.7</v>
      </c>
      <c r="I183" s="18" t="n">
        <f aca="false">F183-G183-H183</f>
        <v>234.82</v>
      </c>
      <c r="J183" s="18" t="n">
        <f aca="false">J182+I183</f>
        <v>2484.3</v>
      </c>
      <c r="K183" s="18" t="n">
        <f aca="false">MAX(K182,J183)</f>
        <v>2484.3</v>
      </c>
      <c r="L183" s="18" t="n">
        <f aca="false">K183-J183</f>
        <v>0</v>
      </c>
      <c r="M183" s="18" t="n">
        <f aca="false">MIN(Desain_Kolam!$B$21,MAX(0,M182+F183-H183-G183))</f>
        <v>2484.3</v>
      </c>
      <c r="N183" s="6" t="n">
        <f aca="false">IF(M182+F183-H183&gt;=G183,1,0)</f>
        <v>1</v>
      </c>
    </row>
    <row r="184" customFormat="false" ht="15" hidden="false" customHeight="false" outlineLevel="0" collapsed="false">
      <c r="A184" s="6" t="n">
        <v>2012</v>
      </c>
      <c r="B184" s="6" t="n">
        <v>4</v>
      </c>
      <c r="C184" s="4" t="n">
        <v>282</v>
      </c>
      <c r="D184" s="6" t="n">
        <v>30</v>
      </c>
      <c r="E184" s="4" t="n">
        <f aca="false">INDEX(Evaporasi!$B$3:$B$14,MATCH(B184,Evaporasi!$A$3:$A$14,0))</f>
        <v>120</v>
      </c>
      <c r="F184" s="18" t="n">
        <f aca="false">Kawasan!$B$11*Kawasan!$B$9*C184/1000</f>
        <v>2346.24</v>
      </c>
      <c r="G184" s="18" t="n">
        <f aca="false">Kawasan!$B$27*D184</f>
        <v>1612.8</v>
      </c>
      <c r="H184" s="18" t="n">
        <f aca="false">E184*Desain_Kolam!$B$16/1000</f>
        <v>128.7</v>
      </c>
      <c r="I184" s="18" t="n">
        <f aca="false">F184-G184-H184</f>
        <v>604.74</v>
      </c>
      <c r="J184" s="18" t="n">
        <f aca="false">J183+I184</f>
        <v>3089.04</v>
      </c>
      <c r="K184" s="18" t="n">
        <f aca="false">MAX(K183,J184)</f>
        <v>3089.04</v>
      </c>
      <c r="L184" s="18" t="n">
        <f aca="false">K184-J184</f>
        <v>0</v>
      </c>
      <c r="M184" s="18" t="n">
        <f aca="false">MIN(Desain_Kolam!$B$21,MAX(0,M183+F184-H184-G184))</f>
        <v>3089.04</v>
      </c>
      <c r="N184" s="6" t="n">
        <f aca="false">IF(M183+F184-H184&gt;=G184,1,0)</f>
        <v>1</v>
      </c>
    </row>
    <row r="185" customFormat="false" ht="15" hidden="false" customHeight="false" outlineLevel="0" collapsed="false">
      <c r="A185" s="6" t="n">
        <v>2012</v>
      </c>
      <c r="B185" s="6" t="n">
        <v>5</v>
      </c>
      <c r="C185" s="4" t="n">
        <v>319</v>
      </c>
      <c r="D185" s="6" t="n">
        <v>31</v>
      </c>
      <c r="E185" s="4" t="n">
        <f aca="false">INDEX(Evaporasi!$B$3:$B$14,MATCH(B185,Evaporasi!$A$3:$A$14,0))</f>
        <v>120</v>
      </c>
      <c r="F185" s="18" t="n">
        <f aca="false">Kawasan!$B$11*Kawasan!$B$9*C185/1000</f>
        <v>2654.08</v>
      </c>
      <c r="G185" s="18" t="n">
        <f aca="false">Kawasan!$B$27*D185</f>
        <v>1666.56</v>
      </c>
      <c r="H185" s="18" t="n">
        <f aca="false">E185*Desain_Kolam!$B$16/1000</f>
        <v>128.7</v>
      </c>
      <c r="I185" s="18" t="n">
        <f aca="false">F185-G185-H185</f>
        <v>858.82</v>
      </c>
      <c r="J185" s="18" t="n">
        <f aca="false">J184+I185</f>
        <v>3947.86</v>
      </c>
      <c r="K185" s="18" t="n">
        <f aca="false">MAX(K184,J185)</f>
        <v>3947.86</v>
      </c>
      <c r="L185" s="18" t="n">
        <f aca="false">K185-J185</f>
        <v>0</v>
      </c>
      <c r="M185" s="18" t="n">
        <f aca="false">MIN(Desain_Kolam!$B$21,MAX(0,M184+F185-H185-G185))</f>
        <v>3947.86</v>
      </c>
      <c r="N185" s="6" t="n">
        <f aca="false">IF(M184+F185-H185&gt;=G185,1,0)</f>
        <v>1</v>
      </c>
    </row>
    <row r="186" customFormat="false" ht="15" hidden="false" customHeight="false" outlineLevel="0" collapsed="false">
      <c r="A186" s="6" t="n">
        <v>2012</v>
      </c>
      <c r="B186" s="6" t="n">
        <v>6</v>
      </c>
      <c r="C186" s="4" t="n">
        <v>107</v>
      </c>
      <c r="D186" s="6" t="n">
        <v>30</v>
      </c>
      <c r="E186" s="4" t="n">
        <f aca="false">INDEX(Evaporasi!$B$3:$B$14,MATCH(B186,Evaporasi!$A$3:$A$14,0))</f>
        <v>120</v>
      </c>
      <c r="F186" s="18" t="n">
        <f aca="false">Kawasan!$B$11*Kawasan!$B$9*C186/1000</f>
        <v>890.24</v>
      </c>
      <c r="G186" s="18" t="n">
        <f aca="false">Kawasan!$B$27*D186</f>
        <v>1612.8</v>
      </c>
      <c r="H186" s="18" t="n">
        <f aca="false">E186*Desain_Kolam!$B$16/1000</f>
        <v>128.7</v>
      </c>
      <c r="I186" s="18" t="n">
        <f aca="false">F186-G186-H186</f>
        <v>-851.26</v>
      </c>
      <c r="J186" s="18" t="n">
        <f aca="false">J185+I186</f>
        <v>3096.6</v>
      </c>
      <c r="K186" s="18" t="n">
        <f aca="false">MAX(K185,J186)</f>
        <v>3947.86</v>
      </c>
      <c r="L186" s="18" t="n">
        <f aca="false">K186-J186</f>
        <v>851.26</v>
      </c>
      <c r="M186" s="18" t="n">
        <f aca="false">MIN(Desain_Kolam!$B$21,MAX(0,M185+F186-H186-G186))</f>
        <v>3096.6</v>
      </c>
      <c r="N186" s="6" t="n">
        <f aca="false">IF(M185+F186-H186&gt;=G186,1,0)</f>
        <v>1</v>
      </c>
    </row>
    <row r="187" customFormat="false" ht="15" hidden="false" customHeight="false" outlineLevel="0" collapsed="false">
      <c r="A187" s="6" t="n">
        <v>2012</v>
      </c>
      <c r="B187" s="6" t="n">
        <v>7</v>
      </c>
      <c r="C187" s="4" t="n">
        <v>133</v>
      </c>
      <c r="D187" s="6" t="n">
        <v>31</v>
      </c>
      <c r="E187" s="4" t="n">
        <f aca="false">INDEX(Evaporasi!$B$3:$B$14,MATCH(B187,Evaporasi!$A$3:$A$14,0))</f>
        <v>120</v>
      </c>
      <c r="F187" s="18" t="n">
        <f aca="false">Kawasan!$B$11*Kawasan!$B$9*C187/1000</f>
        <v>1106.56</v>
      </c>
      <c r="G187" s="18" t="n">
        <f aca="false">Kawasan!$B$27*D187</f>
        <v>1666.56</v>
      </c>
      <c r="H187" s="18" t="n">
        <f aca="false">E187*Desain_Kolam!$B$16/1000</f>
        <v>128.7</v>
      </c>
      <c r="I187" s="18" t="n">
        <f aca="false">F187-G187-H187</f>
        <v>-688.7</v>
      </c>
      <c r="J187" s="18" t="n">
        <f aca="false">J186+I187</f>
        <v>2407.9</v>
      </c>
      <c r="K187" s="18" t="n">
        <f aca="false">MAX(K186,J187)</f>
        <v>3947.86</v>
      </c>
      <c r="L187" s="18" t="n">
        <f aca="false">K187-J187</f>
        <v>1539.96</v>
      </c>
      <c r="M187" s="18" t="n">
        <f aca="false">MIN(Desain_Kolam!$B$21,MAX(0,M186+F187-H187-G187))</f>
        <v>2407.9</v>
      </c>
      <c r="N187" s="6" t="n">
        <f aca="false">IF(M186+F187-H187&gt;=G187,1,0)</f>
        <v>1</v>
      </c>
    </row>
    <row r="188" customFormat="false" ht="15" hidden="false" customHeight="false" outlineLevel="0" collapsed="false">
      <c r="A188" s="6" t="n">
        <v>2012</v>
      </c>
      <c r="B188" s="6" t="n">
        <v>8</v>
      </c>
      <c r="C188" s="4" t="n">
        <v>105</v>
      </c>
      <c r="D188" s="6" t="n">
        <v>31</v>
      </c>
      <c r="E188" s="4" t="n">
        <f aca="false">INDEX(Evaporasi!$B$3:$B$14,MATCH(B188,Evaporasi!$A$3:$A$14,0))</f>
        <v>120</v>
      </c>
      <c r="F188" s="18" t="n">
        <f aca="false">Kawasan!$B$11*Kawasan!$B$9*C188/1000</f>
        <v>873.6</v>
      </c>
      <c r="G188" s="18" t="n">
        <f aca="false">Kawasan!$B$27*D188</f>
        <v>1666.56</v>
      </c>
      <c r="H188" s="18" t="n">
        <f aca="false">E188*Desain_Kolam!$B$16/1000</f>
        <v>128.7</v>
      </c>
      <c r="I188" s="18" t="n">
        <f aca="false">F188-G188-H188</f>
        <v>-921.66</v>
      </c>
      <c r="J188" s="18" t="n">
        <f aca="false">J187+I188</f>
        <v>1486.24</v>
      </c>
      <c r="K188" s="18" t="n">
        <f aca="false">MAX(K187,J188)</f>
        <v>3947.86</v>
      </c>
      <c r="L188" s="18" t="n">
        <f aca="false">K188-J188</f>
        <v>2461.62</v>
      </c>
      <c r="M188" s="18" t="n">
        <f aca="false">MIN(Desain_Kolam!$B$21,MAX(0,M187+F188-H188-G188))</f>
        <v>1486.24</v>
      </c>
      <c r="N188" s="6" t="n">
        <f aca="false">IF(M187+F188-H188&gt;=G188,1,0)</f>
        <v>1</v>
      </c>
    </row>
    <row r="189" customFormat="false" ht="15" hidden="false" customHeight="false" outlineLevel="0" collapsed="false">
      <c r="A189" s="6" t="n">
        <v>2012</v>
      </c>
      <c r="B189" s="6" t="n">
        <v>9</v>
      </c>
      <c r="C189" s="4" t="n">
        <v>174</v>
      </c>
      <c r="D189" s="6" t="n">
        <v>30</v>
      </c>
      <c r="E189" s="4" t="n">
        <f aca="false">INDEX(Evaporasi!$B$3:$B$14,MATCH(B189,Evaporasi!$A$3:$A$14,0))</f>
        <v>120</v>
      </c>
      <c r="F189" s="18" t="n">
        <f aca="false">Kawasan!$B$11*Kawasan!$B$9*C189/1000</f>
        <v>1447.68</v>
      </c>
      <c r="G189" s="18" t="n">
        <f aca="false">Kawasan!$B$27*D189</f>
        <v>1612.8</v>
      </c>
      <c r="H189" s="18" t="n">
        <f aca="false">E189*Desain_Kolam!$B$16/1000</f>
        <v>128.7</v>
      </c>
      <c r="I189" s="18" t="n">
        <f aca="false">F189-G189-H189</f>
        <v>-293.82</v>
      </c>
      <c r="J189" s="18" t="n">
        <f aca="false">J188+I189</f>
        <v>1192.42</v>
      </c>
      <c r="K189" s="18" t="n">
        <f aca="false">MAX(K188,J189)</f>
        <v>3947.86</v>
      </c>
      <c r="L189" s="18" t="n">
        <f aca="false">K189-J189</f>
        <v>2755.44</v>
      </c>
      <c r="M189" s="18" t="n">
        <f aca="false">MIN(Desain_Kolam!$B$21,MAX(0,M188+F189-H189-G189))</f>
        <v>1192.42</v>
      </c>
      <c r="N189" s="6" t="n">
        <f aca="false">IF(M188+F189-H189&gt;=G189,1,0)</f>
        <v>1</v>
      </c>
    </row>
    <row r="190" customFormat="false" ht="15" hidden="false" customHeight="false" outlineLevel="0" collapsed="false">
      <c r="A190" s="6" t="n">
        <v>2012</v>
      </c>
      <c r="B190" s="6" t="n">
        <v>10</v>
      </c>
      <c r="C190" s="4" t="n">
        <v>436</v>
      </c>
      <c r="D190" s="6" t="n">
        <v>31</v>
      </c>
      <c r="E190" s="4" t="n">
        <f aca="false">INDEX(Evaporasi!$B$3:$B$14,MATCH(B190,Evaporasi!$A$3:$A$14,0))</f>
        <v>120</v>
      </c>
      <c r="F190" s="18" t="n">
        <f aca="false">Kawasan!$B$11*Kawasan!$B$9*C190/1000</f>
        <v>3627.52</v>
      </c>
      <c r="G190" s="18" t="n">
        <f aca="false">Kawasan!$B$27*D190</f>
        <v>1666.56</v>
      </c>
      <c r="H190" s="18" t="n">
        <f aca="false">E190*Desain_Kolam!$B$16/1000</f>
        <v>128.7</v>
      </c>
      <c r="I190" s="18" t="n">
        <f aca="false">F190-G190-H190</f>
        <v>1832.26</v>
      </c>
      <c r="J190" s="18" t="n">
        <f aca="false">J189+I190</f>
        <v>3024.68</v>
      </c>
      <c r="K190" s="18" t="n">
        <f aca="false">MAX(K189,J190)</f>
        <v>3947.86</v>
      </c>
      <c r="L190" s="18" t="n">
        <f aca="false">K190-J190</f>
        <v>923.18</v>
      </c>
      <c r="M190" s="18" t="n">
        <f aca="false">MIN(Desain_Kolam!$B$21,MAX(0,M189+F190-H190-G190))</f>
        <v>3024.68</v>
      </c>
      <c r="N190" s="6" t="n">
        <f aca="false">IF(M189+F190-H190&gt;=G190,1,0)</f>
        <v>1</v>
      </c>
    </row>
    <row r="191" customFormat="false" ht="15" hidden="false" customHeight="false" outlineLevel="0" collapsed="false">
      <c r="A191" s="6" t="n">
        <v>2012</v>
      </c>
      <c r="B191" s="6" t="n">
        <v>11</v>
      </c>
      <c r="C191" s="4" t="n">
        <v>323</v>
      </c>
      <c r="D191" s="6" t="n">
        <v>30</v>
      </c>
      <c r="E191" s="4" t="n">
        <f aca="false">INDEX(Evaporasi!$B$3:$B$14,MATCH(B191,Evaporasi!$A$3:$A$14,0))</f>
        <v>120</v>
      </c>
      <c r="F191" s="18" t="n">
        <f aca="false">Kawasan!$B$11*Kawasan!$B$9*C191/1000</f>
        <v>2687.36</v>
      </c>
      <c r="G191" s="18" t="n">
        <f aca="false">Kawasan!$B$27*D191</f>
        <v>1612.8</v>
      </c>
      <c r="H191" s="18" t="n">
        <f aca="false">E191*Desain_Kolam!$B$16/1000</f>
        <v>128.7</v>
      </c>
      <c r="I191" s="18" t="n">
        <f aca="false">F191-G191-H191</f>
        <v>945.86</v>
      </c>
      <c r="J191" s="18" t="n">
        <f aca="false">J190+I191</f>
        <v>3970.54</v>
      </c>
      <c r="K191" s="18" t="n">
        <f aca="false">MAX(K190,J191)</f>
        <v>3970.54</v>
      </c>
      <c r="L191" s="18" t="n">
        <f aca="false">K191-J191</f>
        <v>0</v>
      </c>
      <c r="M191" s="18" t="n">
        <f aca="false">MIN(Desain_Kolam!$B$21,MAX(0,M190+F191-H191-G191))</f>
        <v>3970.54</v>
      </c>
      <c r="N191" s="6" t="n">
        <f aca="false">IF(M190+F191-H191&gt;=G191,1,0)</f>
        <v>1</v>
      </c>
    </row>
    <row r="192" customFormat="false" ht="15" hidden="false" customHeight="false" outlineLevel="0" collapsed="false">
      <c r="A192" s="6" t="n">
        <v>2012</v>
      </c>
      <c r="B192" s="6" t="n">
        <v>12</v>
      </c>
      <c r="C192" s="4" t="n">
        <v>297</v>
      </c>
      <c r="D192" s="6" t="n">
        <v>31</v>
      </c>
      <c r="E192" s="4" t="n">
        <f aca="false">INDEX(Evaporasi!$B$3:$B$14,MATCH(B192,Evaporasi!$A$3:$A$14,0))</f>
        <v>120</v>
      </c>
      <c r="F192" s="18" t="n">
        <f aca="false">Kawasan!$B$11*Kawasan!$B$9*C192/1000</f>
        <v>2471.04</v>
      </c>
      <c r="G192" s="18" t="n">
        <f aca="false">Kawasan!$B$27*D192</f>
        <v>1666.56</v>
      </c>
      <c r="H192" s="18" t="n">
        <f aca="false">E192*Desain_Kolam!$B$16/1000</f>
        <v>128.7</v>
      </c>
      <c r="I192" s="18" t="n">
        <f aca="false">F192-G192-H192</f>
        <v>675.78</v>
      </c>
      <c r="J192" s="18" t="n">
        <f aca="false">J191+I192</f>
        <v>4646.32</v>
      </c>
      <c r="K192" s="18" t="n">
        <f aca="false">MAX(K191,J192)</f>
        <v>4646.32</v>
      </c>
      <c r="L192" s="18" t="n">
        <f aca="false">K192-J192</f>
        <v>0</v>
      </c>
      <c r="M192" s="18" t="n">
        <f aca="false">MIN(Desain_Kolam!$B$21,MAX(0,M191+F192-H192-G192))</f>
        <v>4646.32</v>
      </c>
      <c r="N192" s="6" t="n">
        <f aca="false">IF(M191+F192-H192&gt;=G192,1,0)</f>
        <v>1</v>
      </c>
    </row>
    <row r="193" customFormat="false" ht="15" hidden="false" customHeight="false" outlineLevel="0" collapsed="false">
      <c r="A193" s="6" t="n">
        <v>2013</v>
      </c>
      <c r="B193" s="6" t="n">
        <v>1</v>
      </c>
      <c r="C193" s="4" t="n">
        <v>141</v>
      </c>
      <c r="D193" s="6" t="n">
        <v>31</v>
      </c>
      <c r="E193" s="4" t="n">
        <f aca="false">INDEX(Evaporasi!$B$3:$B$14,MATCH(B193,Evaporasi!$A$3:$A$14,0))</f>
        <v>120</v>
      </c>
      <c r="F193" s="18" t="n">
        <f aca="false">Kawasan!$B$11*Kawasan!$B$9*C193/1000</f>
        <v>1173.12</v>
      </c>
      <c r="G193" s="18" t="n">
        <f aca="false">Kawasan!$B$27*D193</f>
        <v>1666.56</v>
      </c>
      <c r="H193" s="18" t="n">
        <f aca="false">E193*Desain_Kolam!$B$16/1000</f>
        <v>128.7</v>
      </c>
      <c r="I193" s="18" t="n">
        <f aca="false">F193-G193-H193</f>
        <v>-622.14</v>
      </c>
      <c r="J193" s="18" t="n">
        <f aca="false">J192+I193</f>
        <v>4024.18</v>
      </c>
      <c r="K193" s="18" t="n">
        <f aca="false">MAX(K192,J193)</f>
        <v>4646.32</v>
      </c>
      <c r="L193" s="18" t="n">
        <f aca="false">K193-J193</f>
        <v>622.14</v>
      </c>
      <c r="M193" s="18" t="n">
        <f aca="false">MIN(Desain_Kolam!$B$21,MAX(0,M192+F193-H193-G193))</f>
        <v>4024.18</v>
      </c>
      <c r="N193" s="6" t="n">
        <f aca="false">IF(M192+F193-H193&gt;=G193,1,0)</f>
        <v>1</v>
      </c>
    </row>
    <row r="194" customFormat="false" ht="15" hidden="false" customHeight="false" outlineLevel="0" collapsed="false">
      <c r="A194" s="6" t="n">
        <v>2013</v>
      </c>
      <c r="B194" s="6" t="n">
        <v>2</v>
      </c>
      <c r="C194" s="4" t="n">
        <v>291</v>
      </c>
      <c r="D194" s="6" t="n">
        <v>28</v>
      </c>
      <c r="E194" s="4" t="n">
        <f aca="false">INDEX(Evaporasi!$B$3:$B$14,MATCH(B194,Evaporasi!$A$3:$A$14,0))</f>
        <v>120</v>
      </c>
      <c r="F194" s="18" t="n">
        <f aca="false">Kawasan!$B$11*Kawasan!$B$9*C194/1000</f>
        <v>2421.12</v>
      </c>
      <c r="G194" s="18" t="n">
        <f aca="false">Kawasan!$B$27*D194</f>
        <v>1505.28</v>
      </c>
      <c r="H194" s="18" t="n">
        <f aca="false">E194*Desain_Kolam!$B$16/1000</f>
        <v>128.7</v>
      </c>
      <c r="I194" s="18" t="n">
        <f aca="false">F194-G194-H194</f>
        <v>787.14</v>
      </c>
      <c r="J194" s="18" t="n">
        <f aca="false">J193+I194</f>
        <v>4811.32</v>
      </c>
      <c r="K194" s="18" t="n">
        <f aca="false">MAX(K193,J194)</f>
        <v>4811.32</v>
      </c>
      <c r="L194" s="18" t="n">
        <f aca="false">K194-J194</f>
        <v>0</v>
      </c>
      <c r="M194" s="18" t="n">
        <f aca="false">MIN(Desain_Kolam!$B$21,MAX(0,M193+F194-H194-G194))</f>
        <v>4811.32</v>
      </c>
      <c r="N194" s="6" t="n">
        <f aca="false">IF(M193+F194-H194&gt;=G194,1,0)</f>
        <v>1</v>
      </c>
    </row>
    <row r="195" customFormat="false" ht="15" hidden="false" customHeight="false" outlineLevel="0" collapsed="false">
      <c r="A195" s="6" t="n">
        <v>2013</v>
      </c>
      <c r="B195" s="6" t="n">
        <v>3</v>
      </c>
      <c r="C195" s="4" t="n">
        <v>152</v>
      </c>
      <c r="D195" s="6" t="n">
        <v>31</v>
      </c>
      <c r="E195" s="4" t="n">
        <f aca="false">INDEX(Evaporasi!$B$3:$B$14,MATCH(B195,Evaporasi!$A$3:$A$14,0))</f>
        <v>120</v>
      </c>
      <c r="F195" s="18" t="n">
        <f aca="false">Kawasan!$B$11*Kawasan!$B$9*C195/1000</f>
        <v>1264.64</v>
      </c>
      <c r="G195" s="18" t="n">
        <f aca="false">Kawasan!$B$27*D195</f>
        <v>1666.56</v>
      </c>
      <c r="H195" s="18" t="n">
        <f aca="false">E195*Desain_Kolam!$B$16/1000</f>
        <v>128.7</v>
      </c>
      <c r="I195" s="18" t="n">
        <f aca="false">F195-G195-H195</f>
        <v>-530.62</v>
      </c>
      <c r="J195" s="18" t="n">
        <f aca="false">J194+I195</f>
        <v>4280.7</v>
      </c>
      <c r="K195" s="18" t="n">
        <f aca="false">MAX(K194,J195)</f>
        <v>4811.32</v>
      </c>
      <c r="L195" s="18" t="n">
        <f aca="false">K195-J195</f>
        <v>530.62</v>
      </c>
      <c r="M195" s="18" t="n">
        <f aca="false">MIN(Desain_Kolam!$B$21,MAX(0,M194+F195-H195-G195))</f>
        <v>4280.7</v>
      </c>
      <c r="N195" s="6" t="n">
        <f aca="false">IF(M194+F195-H195&gt;=G195,1,0)</f>
        <v>1</v>
      </c>
    </row>
    <row r="196" customFormat="false" ht="15" hidden="false" customHeight="false" outlineLevel="0" collapsed="false">
      <c r="A196" s="6" t="n">
        <v>2013</v>
      </c>
      <c r="B196" s="6" t="n">
        <v>4</v>
      </c>
      <c r="C196" s="4" t="n">
        <v>435</v>
      </c>
      <c r="D196" s="6" t="n">
        <v>30</v>
      </c>
      <c r="E196" s="4" t="n">
        <f aca="false">INDEX(Evaporasi!$B$3:$B$14,MATCH(B196,Evaporasi!$A$3:$A$14,0))</f>
        <v>120</v>
      </c>
      <c r="F196" s="18" t="n">
        <f aca="false">Kawasan!$B$11*Kawasan!$B$9*C196/1000</f>
        <v>3619.2</v>
      </c>
      <c r="G196" s="18" t="n">
        <f aca="false">Kawasan!$B$27*D196</f>
        <v>1612.8</v>
      </c>
      <c r="H196" s="18" t="n">
        <f aca="false">E196*Desain_Kolam!$B$16/1000</f>
        <v>128.7</v>
      </c>
      <c r="I196" s="18" t="n">
        <f aca="false">F196-G196-H196</f>
        <v>1877.7</v>
      </c>
      <c r="J196" s="18" t="n">
        <f aca="false">J195+I196</f>
        <v>6158.4</v>
      </c>
      <c r="K196" s="18" t="n">
        <f aca="false">MAX(K195,J196)</f>
        <v>6158.4</v>
      </c>
      <c r="L196" s="18" t="n">
        <f aca="false">K196-J196</f>
        <v>0</v>
      </c>
      <c r="M196" s="18" t="n">
        <f aca="false">MIN(Desain_Kolam!$B$21,MAX(0,M195+F196-H196-G196))</f>
        <v>6158.4</v>
      </c>
      <c r="N196" s="6" t="n">
        <f aca="false">IF(M195+F196-H196&gt;=G196,1,0)</f>
        <v>1</v>
      </c>
    </row>
    <row r="197" customFormat="false" ht="15" hidden="false" customHeight="false" outlineLevel="0" collapsed="false">
      <c r="A197" s="6" t="n">
        <v>2013</v>
      </c>
      <c r="B197" s="6" t="n">
        <v>5</v>
      </c>
      <c r="C197" s="4" t="n">
        <v>358</v>
      </c>
      <c r="D197" s="6" t="n">
        <v>31</v>
      </c>
      <c r="E197" s="4" t="n">
        <f aca="false">INDEX(Evaporasi!$B$3:$B$14,MATCH(B197,Evaporasi!$A$3:$A$14,0))</f>
        <v>120</v>
      </c>
      <c r="F197" s="18" t="n">
        <f aca="false">Kawasan!$B$11*Kawasan!$B$9*C197/1000</f>
        <v>2978.56</v>
      </c>
      <c r="G197" s="18" t="n">
        <f aca="false">Kawasan!$B$27*D197</f>
        <v>1666.56</v>
      </c>
      <c r="H197" s="18" t="n">
        <f aca="false">E197*Desain_Kolam!$B$16/1000</f>
        <v>128.7</v>
      </c>
      <c r="I197" s="18" t="n">
        <f aca="false">F197-G197-H197</f>
        <v>1183.3</v>
      </c>
      <c r="J197" s="18" t="n">
        <f aca="false">J196+I197</f>
        <v>7341.7</v>
      </c>
      <c r="K197" s="18" t="n">
        <f aca="false">MAX(K196,J197)</f>
        <v>7341.7</v>
      </c>
      <c r="L197" s="18" t="n">
        <f aca="false">K197-J197</f>
        <v>0</v>
      </c>
      <c r="M197" s="18" t="n">
        <f aca="false">MIN(Desain_Kolam!$B$21,MAX(0,M196+F197-H197-G197))</f>
        <v>7341.7</v>
      </c>
      <c r="N197" s="6" t="n">
        <f aca="false">IF(M196+F197-H197&gt;=G197,1,0)</f>
        <v>1</v>
      </c>
    </row>
    <row r="198" customFormat="false" ht="15" hidden="false" customHeight="false" outlineLevel="0" collapsed="false">
      <c r="A198" s="6" t="n">
        <v>2013</v>
      </c>
      <c r="B198" s="6" t="n">
        <v>6</v>
      </c>
      <c r="C198" s="4" t="n">
        <v>212</v>
      </c>
      <c r="D198" s="6" t="n">
        <v>30</v>
      </c>
      <c r="E198" s="4" t="n">
        <f aca="false">INDEX(Evaporasi!$B$3:$B$14,MATCH(B198,Evaporasi!$A$3:$A$14,0))</f>
        <v>120</v>
      </c>
      <c r="F198" s="18" t="n">
        <f aca="false">Kawasan!$B$11*Kawasan!$B$9*C198/1000</f>
        <v>1763.84</v>
      </c>
      <c r="G198" s="18" t="n">
        <f aca="false">Kawasan!$B$27*D198</f>
        <v>1612.8</v>
      </c>
      <c r="H198" s="18" t="n">
        <f aca="false">E198*Desain_Kolam!$B$16/1000</f>
        <v>128.7</v>
      </c>
      <c r="I198" s="18" t="n">
        <f aca="false">F198-G198-H198</f>
        <v>22.34</v>
      </c>
      <c r="J198" s="18" t="n">
        <f aca="false">J197+I198</f>
        <v>7364.04</v>
      </c>
      <c r="K198" s="18" t="n">
        <f aca="false">MAX(K197,J198)</f>
        <v>7364.04</v>
      </c>
      <c r="L198" s="18" t="n">
        <f aca="false">K198-J198</f>
        <v>0</v>
      </c>
      <c r="M198" s="18" t="n">
        <f aca="false">MIN(Desain_Kolam!$B$21,MAX(0,M197+F198-H198-G198))</f>
        <v>7364.04</v>
      </c>
      <c r="N198" s="6" t="n">
        <f aca="false">IF(M197+F198-H198&gt;=G198,1,0)</f>
        <v>1</v>
      </c>
    </row>
    <row r="199" customFormat="false" ht="15" hidden="false" customHeight="false" outlineLevel="0" collapsed="false">
      <c r="A199" s="6" t="n">
        <v>2013</v>
      </c>
      <c r="B199" s="6" t="n">
        <v>7</v>
      </c>
      <c r="C199" s="4" t="n">
        <v>320</v>
      </c>
      <c r="D199" s="6" t="n">
        <v>31</v>
      </c>
      <c r="E199" s="4" t="n">
        <f aca="false">INDEX(Evaporasi!$B$3:$B$14,MATCH(B199,Evaporasi!$A$3:$A$14,0))</f>
        <v>120</v>
      </c>
      <c r="F199" s="18" t="n">
        <f aca="false">Kawasan!$B$11*Kawasan!$B$9*C199/1000</f>
        <v>2662.4</v>
      </c>
      <c r="G199" s="18" t="n">
        <f aca="false">Kawasan!$B$27*D199</f>
        <v>1666.56</v>
      </c>
      <c r="H199" s="18" t="n">
        <f aca="false">E199*Desain_Kolam!$B$16/1000</f>
        <v>128.7</v>
      </c>
      <c r="I199" s="18" t="n">
        <f aca="false">F199-G199-H199</f>
        <v>867.14</v>
      </c>
      <c r="J199" s="18" t="n">
        <f aca="false">J198+I199</f>
        <v>8231.18</v>
      </c>
      <c r="K199" s="18" t="n">
        <f aca="false">MAX(K198,J199)</f>
        <v>8231.18</v>
      </c>
      <c r="L199" s="18" t="n">
        <f aca="false">K199-J199</f>
        <v>0</v>
      </c>
      <c r="M199" s="18" t="n">
        <f aca="false">MIN(Desain_Kolam!$B$21,MAX(0,M198+F199-H199-G199))</f>
        <v>8231.18</v>
      </c>
      <c r="N199" s="6" t="n">
        <f aca="false">IF(M198+F199-H199&gt;=G199,1,0)</f>
        <v>1</v>
      </c>
    </row>
    <row r="200" customFormat="false" ht="15" hidden="false" customHeight="false" outlineLevel="0" collapsed="false">
      <c r="A200" s="6" t="n">
        <v>2013</v>
      </c>
      <c r="B200" s="6" t="n">
        <v>8</v>
      </c>
      <c r="C200" s="4" t="n">
        <v>167</v>
      </c>
      <c r="D200" s="6" t="n">
        <v>31</v>
      </c>
      <c r="E200" s="4" t="n">
        <f aca="false">INDEX(Evaporasi!$B$3:$B$14,MATCH(B200,Evaporasi!$A$3:$A$14,0))</f>
        <v>120</v>
      </c>
      <c r="F200" s="18" t="n">
        <f aca="false">Kawasan!$B$11*Kawasan!$B$9*C200/1000</f>
        <v>1389.44</v>
      </c>
      <c r="G200" s="18" t="n">
        <f aca="false">Kawasan!$B$27*D200</f>
        <v>1666.56</v>
      </c>
      <c r="H200" s="18" t="n">
        <f aca="false">E200*Desain_Kolam!$B$16/1000</f>
        <v>128.7</v>
      </c>
      <c r="I200" s="18" t="n">
        <f aca="false">F200-G200-H200</f>
        <v>-405.82</v>
      </c>
      <c r="J200" s="18" t="n">
        <f aca="false">J199+I200</f>
        <v>7825.36</v>
      </c>
      <c r="K200" s="18" t="n">
        <f aca="false">MAX(K199,J200)</f>
        <v>8231.18</v>
      </c>
      <c r="L200" s="18" t="n">
        <f aca="false">K200-J200</f>
        <v>405.82</v>
      </c>
      <c r="M200" s="18" t="n">
        <f aca="false">MIN(Desain_Kolam!$B$21,MAX(0,M199+F200-H200-G200))</f>
        <v>7825.36</v>
      </c>
      <c r="N200" s="6" t="n">
        <f aca="false">IF(M199+F200-H200&gt;=G200,1,0)</f>
        <v>1</v>
      </c>
    </row>
    <row r="201" customFormat="false" ht="15" hidden="false" customHeight="false" outlineLevel="0" collapsed="false">
      <c r="A201" s="6" t="n">
        <v>2013</v>
      </c>
      <c r="B201" s="6" t="n">
        <v>9</v>
      </c>
      <c r="C201" s="4" t="n">
        <v>129</v>
      </c>
      <c r="D201" s="6" t="n">
        <v>30</v>
      </c>
      <c r="E201" s="4" t="n">
        <f aca="false">INDEX(Evaporasi!$B$3:$B$14,MATCH(B201,Evaporasi!$A$3:$A$14,0))</f>
        <v>120</v>
      </c>
      <c r="F201" s="18" t="n">
        <f aca="false">Kawasan!$B$11*Kawasan!$B$9*C201/1000</f>
        <v>1073.28</v>
      </c>
      <c r="G201" s="18" t="n">
        <f aca="false">Kawasan!$B$27*D201</f>
        <v>1612.8</v>
      </c>
      <c r="H201" s="18" t="n">
        <f aca="false">E201*Desain_Kolam!$B$16/1000</f>
        <v>128.7</v>
      </c>
      <c r="I201" s="18" t="n">
        <f aca="false">F201-G201-H201</f>
        <v>-668.22</v>
      </c>
      <c r="J201" s="18" t="n">
        <f aca="false">J200+I201</f>
        <v>7157.14</v>
      </c>
      <c r="K201" s="18" t="n">
        <f aca="false">MAX(K200,J201)</f>
        <v>8231.18</v>
      </c>
      <c r="L201" s="18" t="n">
        <f aca="false">K201-J201</f>
        <v>1074.04</v>
      </c>
      <c r="M201" s="18" t="n">
        <f aca="false">MIN(Desain_Kolam!$B$21,MAX(0,M200+F201-H201-G201))</f>
        <v>7157.14</v>
      </c>
      <c r="N201" s="6" t="n">
        <f aca="false">IF(M200+F201-H201&gt;=G201,1,0)</f>
        <v>1</v>
      </c>
    </row>
    <row r="202" customFormat="false" ht="15" hidden="false" customHeight="false" outlineLevel="0" collapsed="false">
      <c r="A202" s="6" t="n">
        <v>2013</v>
      </c>
      <c r="B202" s="6" t="n">
        <v>10</v>
      </c>
      <c r="C202" s="4" t="n">
        <v>151</v>
      </c>
      <c r="D202" s="6" t="n">
        <v>31</v>
      </c>
      <c r="E202" s="4" t="n">
        <f aca="false">INDEX(Evaporasi!$B$3:$B$14,MATCH(B202,Evaporasi!$A$3:$A$14,0))</f>
        <v>120</v>
      </c>
      <c r="F202" s="18" t="n">
        <f aca="false">Kawasan!$B$11*Kawasan!$B$9*C202/1000</f>
        <v>1256.32</v>
      </c>
      <c r="G202" s="18" t="n">
        <f aca="false">Kawasan!$B$27*D202</f>
        <v>1666.56</v>
      </c>
      <c r="H202" s="18" t="n">
        <f aca="false">E202*Desain_Kolam!$B$16/1000</f>
        <v>128.7</v>
      </c>
      <c r="I202" s="18" t="n">
        <f aca="false">F202-G202-H202</f>
        <v>-538.94</v>
      </c>
      <c r="J202" s="18" t="n">
        <f aca="false">J201+I202</f>
        <v>6618.2</v>
      </c>
      <c r="K202" s="18" t="n">
        <f aca="false">MAX(K201,J202)</f>
        <v>8231.18</v>
      </c>
      <c r="L202" s="18" t="n">
        <f aca="false">K202-J202</f>
        <v>1612.98</v>
      </c>
      <c r="M202" s="18" t="n">
        <f aca="false">MIN(Desain_Kolam!$B$21,MAX(0,M201+F202-H202-G202))</f>
        <v>6618.2</v>
      </c>
      <c r="N202" s="6" t="n">
        <f aca="false">IF(M201+F202-H202&gt;=G202,1,0)</f>
        <v>1</v>
      </c>
    </row>
    <row r="203" customFormat="false" ht="15" hidden="false" customHeight="false" outlineLevel="0" collapsed="false">
      <c r="A203" s="6" t="n">
        <v>2013</v>
      </c>
      <c r="B203" s="6" t="n">
        <v>11</v>
      </c>
      <c r="C203" s="4" t="n">
        <v>280</v>
      </c>
      <c r="D203" s="6" t="n">
        <v>30</v>
      </c>
      <c r="E203" s="4" t="n">
        <f aca="false">INDEX(Evaporasi!$B$3:$B$14,MATCH(B203,Evaporasi!$A$3:$A$14,0))</f>
        <v>120</v>
      </c>
      <c r="F203" s="18" t="n">
        <f aca="false">Kawasan!$B$11*Kawasan!$B$9*C203/1000</f>
        <v>2329.6</v>
      </c>
      <c r="G203" s="18" t="n">
        <f aca="false">Kawasan!$B$27*D203</f>
        <v>1612.8</v>
      </c>
      <c r="H203" s="18" t="n">
        <f aca="false">E203*Desain_Kolam!$B$16/1000</f>
        <v>128.7</v>
      </c>
      <c r="I203" s="18" t="n">
        <f aca="false">F203-G203-H203</f>
        <v>588.1</v>
      </c>
      <c r="J203" s="18" t="n">
        <f aca="false">J202+I203</f>
        <v>7206.3</v>
      </c>
      <c r="K203" s="18" t="n">
        <f aca="false">MAX(K202,J203)</f>
        <v>8231.18</v>
      </c>
      <c r="L203" s="18" t="n">
        <f aca="false">K203-J203</f>
        <v>1024.88</v>
      </c>
      <c r="M203" s="18" t="n">
        <f aca="false">MIN(Desain_Kolam!$B$21,MAX(0,M202+F203-H203-G203))</f>
        <v>7206.3</v>
      </c>
      <c r="N203" s="6" t="n">
        <f aca="false">IF(M202+F203-H203&gt;=G203,1,0)</f>
        <v>1</v>
      </c>
    </row>
    <row r="204" customFormat="false" ht="15" hidden="false" customHeight="false" outlineLevel="0" collapsed="false">
      <c r="A204" s="6" t="n">
        <v>2013</v>
      </c>
      <c r="B204" s="6" t="n">
        <v>12</v>
      </c>
      <c r="C204" s="4" t="n">
        <v>280</v>
      </c>
      <c r="D204" s="6" t="n">
        <v>31</v>
      </c>
      <c r="E204" s="4" t="n">
        <f aca="false">INDEX(Evaporasi!$B$3:$B$14,MATCH(B204,Evaporasi!$A$3:$A$14,0))</f>
        <v>120</v>
      </c>
      <c r="F204" s="18" t="n">
        <f aca="false">Kawasan!$B$11*Kawasan!$B$9*C204/1000</f>
        <v>2329.6</v>
      </c>
      <c r="G204" s="18" t="n">
        <f aca="false">Kawasan!$B$27*D204</f>
        <v>1666.56</v>
      </c>
      <c r="H204" s="18" t="n">
        <f aca="false">E204*Desain_Kolam!$B$16/1000</f>
        <v>128.7</v>
      </c>
      <c r="I204" s="18" t="n">
        <f aca="false">F204-G204-H204</f>
        <v>534.34</v>
      </c>
      <c r="J204" s="18" t="n">
        <f aca="false">J203+I204</f>
        <v>7740.64</v>
      </c>
      <c r="K204" s="18" t="n">
        <f aca="false">MAX(K203,J204)</f>
        <v>8231.18</v>
      </c>
      <c r="L204" s="18" t="n">
        <f aca="false">K204-J204</f>
        <v>490.539999999999</v>
      </c>
      <c r="M204" s="18" t="n">
        <f aca="false">MIN(Desain_Kolam!$B$21,MAX(0,M203+F204-H204-G204))</f>
        <v>7740.64</v>
      </c>
      <c r="N204" s="6" t="n">
        <f aca="false">IF(M203+F204-H204&gt;=G204,1,0)</f>
        <v>1</v>
      </c>
    </row>
    <row r="205" customFormat="false" ht="15" hidden="false" customHeight="false" outlineLevel="0" collapsed="false">
      <c r="A205" s="6" t="n">
        <v>2014</v>
      </c>
      <c r="B205" s="6" t="n">
        <v>1</v>
      </c>
      <c r="C205" s="4" t="n">
        <v>66</v>
      </c>
      <c r="D205" s="6" t="n">
        <v>31</v>
      </c>
      <c r="E205" s="4" t="n">
        <f aca="false">INDEX(Evaporasi!$B$3:$B$14,MATCH(B205,Evaporasi!$A$3:$A$14,0))</f>
        <v>120</v>
      </c>
      <c r="F205" s="18" t="n">
        <f aca="false">Kawasan!$B$11*Kawasan!$B$9*C205/1000</f>
        <v>549.12</v>
      </c>
      <c r="G205" s="18" t="n">
        <f aca="false">Kawasan!$B$27*D205</f>
        <v>1666.56</v>
      </c>
      <c r="H205" s="18" t="n">
        <f aca="false">E205*Desain_Kolam!$B$16/1000</f>
        <v>128.7</v>
      </c>
      <c r="I205" s="18" t="n">
        <f aca="false">F205-G205-H205</f>
        <v>-1246.14</v>
      </c>
      <c r="J205" s="18" t="n">
        <f aca="false">J204+I205</f>
        <v>6494.5</v>
      </c>
      <c r="K205" s="18" t="n">
        <f aca="false">MAX(K204,J205)</f>
        <v>8231.18</v>
      </c>
      <c r="L205" s="18" t="n">
        <f aca="false">K205-J205</f>
        <v>1736.68</v>
      </c>
      <c r="M205" s="18" t="n">
        <f aca="false">MIN(Desain_Kolam!$B$21,MAX(0,M204+F205-H205-G205))</f>
        <v>6494.5</v>
      </c>
      <c r="N205" s="6" t="n">
        <f aca="false">IF(M204+F205-H205&gt;=G205,1,0)</f>
        <v>1</v>
      </c>
    </row>
    <row r="206" customFormat="false" ht="15" hidden="false" customHeight="false" outlineLevel="0" collapsed="false">
      <c r="A206" s="6" t="n">
        <v>2014</v>
      </c>
      <c r="B206" s="6" t="n">
        <v>2</v>
      </c>
      <c r="C206" s="4" t="n">
        <v>24</v>
      </c>
      <c r="D206" s="6" t="n">
        <v>28</v>
      </c>
      <c r="E206" s="4" t="n">
        <f aca="false">INDEX(Evaporasi!$B$3:$B$14,MATCH(B206,Evaporasi!$A$3:$A$14,0))</f>
        <v>120</v>
      </c>
      <c r="F206" s="18" t="n">
        <f aca="false">Kawasan!$B$11*Kawasan!$B$9*C206/1000</f>
        <v>199.68</v>
      </c>
      <c r="G206" s="18" t="n">
        <f aca="false">Kawasan!$B$27*D206</f>
        <v>1505.28</v>
      </c>
      <c r="H206" s="18" t="n">
        <f aca="false">E206*Desain_Kolam!$B$16/1000</f>
        <v>128.7</v>
      </c>
      <c r="I206" s="18" t="n">
        <f aca="false">F206-G206-H206</f>
        <v>-1434.3</v>
      </c>
      <c r="J206" s="18" t="n">
        <f aca="false">J205+I206</f>
        <v>5060.2</v>
      </c>
      <c r="K206" s="18" t="n">
        <f aca="false">MAX(K205,J206)</f>
        <v>8231.18</v>
      </c>
      <c r="L206" s="18" t="n">
        <f aca="false">K206-J206</f>
        <v>3170.98</v>
      </c>
      <c r="M206" s="18" t="n">
        <f aca="false">MIN(Desain_Kolam!$B$21,MAX(0,M205+F206-H206-G206))</f>
        <v>5060.2</v>
      </c>
      <c r="N206" s="6" t="n">
        <f aca="false">IF(M205+F206-H206&gt;=G206,1,0)</f>
        <v>1</v>
      </c>
    </row>
    <row r="207" customFormat="false" ht="15" hidden="false" customHeight="false" outlineLevel="0" collapsed="false">
      <c r="A207" s="6" t="n">
        <v>2014</v>
      </c>
      <c r="B207" s="6" t="n">
        <v>3</v>
      </c>
      <c r="C207" s="4" t="n">
        <v>141</v>
      </c>
      <c r="D207" s="6" t="n">
        <v>31</v>
      </c>
      <c r="E207" s="4" t="n">
        <f aca="false">INDEX(Evaporasi!$B$3:$B$14,MATCH(B207,Evaporasi!$A$3:$A$14,0))</f>
        <v>120</v>
      </c>
      <c r="F207" s="18" t="n">
        <f aca="false">Kawasan!$B$11*Kawasan!$B$9*C207/1000</f>
        <v>1173.12</v>
      </c>
      <c r="G207" s="18" t="n">
        <f aca="false">Kawasan!$B$27*D207</f>
        <v>1666.56</v>
      </c>
      <c r="H207" s="18" t="n">
        <f aca="false">E207*Desain_Kolam!$B$16/1000</f>
        <v>128.7</v>
      </c>
      <c r="I207" s="18" t="n">
        <f aca="false">F207-G207-H207</f>
        <v>-622.14</v>
      </c>
      <c r="J207" s="18" t="n">
        <f aca="false">J206+I207</f>
        <v>4438.06</v>
      </c>
      <c r="K207" s="18" t="n">
        <f aca="false">MAX(K206,J207)</f>
        <v>8231.18</v>
      </c>
      <c r="L207" s="18" t="n">
        <f aca="false">K207-J207</f>
        <v>3793.12</v>
      </c>
      <c r="M207" s="18" t="n">
        <f aca="false">MIN(Desain_Kolam!$B$21,MAX(0,M206+F207-H207-G207))</f>
        <v>4438.06000000001</v>
      </c>
      <c r="N207" s="6" t="n">
        <f aca="false">IF(M206+F207-H207&gt;=G207,1,0)</f>
        <v>1</v>
      </c>
    </row>
    <row r="208" customFormat="false" ht="15" hidden="false" customHeight="false" outlineLevel="0" collapsed="false">
      <c r="A208" s="6" t="n">
        <v>2014</v>
      </c>
      <c r="B208" s="6" t="n">
        <v>4</v>
      </c>
      <c r="C208" s="4" t="n">
        <v>129</v>
      </c>
      <c r="D208" s="6" t="n">
        <v>30</v>
      </c>
      <c r="E208" s="4" t="n">
        <f aca="false">INDEX(Evaporasi!$B$3:$B$14,MATCH(B208,Evaporasi!$A$3:$A$14,0))</f>
        <v>120</v>
      </c>
      <c r="F208" s="18" t="n">
        <f aca="false">Kawasan!$B$11*Kawasan!$B$9*C208/1000</f>
        <v>1073.28</v>
      </c>
      <c r="G208" s="18" t="n">
        <f aca="false">Kawasan!$B$27*D208</f>
        <v>1612.8</v>
      </c>
      <c r="H208" s="18" t="n">
        <f aca="false">E208*Desain_Kolam!$B$16/1000</f>
        <v>128.7</v>
      </c>
      <c r="I208" s="18" t="n">
        <f aca="false">F208-G208-H208</f>
        <v>-668.22</v>
      </c>
      <c r="J208" s="18" t="n">
        <f aca="false">J207+I208</f>
        <v>3769.84</v>
      </c>
      <c r="K208" s="18" t="n">
        <f aca="false">MAX(K207,J208)</f>
        <v>8231.18</v>
      </c>
      <c r="L208" s="18" t="n">
        <f aca="false">K208-J208</f>
        <v>4461.34</v>
      </c>
      <c r="M208" s="18" t="n">
        <f aca="false">MIN(Desain_Kolam!$B$21,MAX(0,M207+F208-H208-G208))</f>
        <v>3769.84</v>
      </c>
      <c r="N208" s="6" t="n">
        <f aca="false">IF(M207+F208-H208&gt;=G208,1,0)</f>
        <v>1</v>
      </c>
    </row>
    <row r="209" customFormat="false" ht="15" hidden="false" customHeight="false" outlineLevel="0" collapsed="false">
      <c r="A209" s="6" t="n">
        <v>2014</v>
      </c>
      <c r="B209" s="6" t="n">
        <v>5</v>
      </c>
      <c r="C209" s="4" t="n">
        <v>279</v>
      </c>
      <c r="D209" s="6" t="n">
        <v>31</v>
      </c>
      <c r="E209" s="4" t="n">
        <f aca="false">INDEX(Evaporasi!$B$3:$B$14,MATCH(B209,Evaporasi!$A$3:$A$14,0))</f>
        <v>120</v>
      </c>
      <c r="F209" s="18" t="n">
        <f aca="false">Kawasan!$B$11*Kawasan!$B$9*C209/1000</f>
        <v>2321.28</v>
      </c>
      <c r="G209" s="18" t="n">
        <f aca="false">Kawasan!$B$27*D209</f>
        <v>1666.56</v>
      </c>
      <c r="H209" s="18" t="n">
        <f aca="false">E209*Desain_Kolam!$B$16/1000</f>
        <v>128.7</v>
      </c>
      <c r="I209" s="18" t="n">
        <f aca="false">F209-G209-H209</f>
        <v>526.02</v>
      </c>
      <c r="J209" s="18" t="n">
        <f aca="false">J208+I209</f>
        <v>4295.86</v>
      </c>
      <c r="K209" s="18" t="n">
        <f aca="false">MAX(K208,J209)</f>
        <v>8231.18</v>
      </c>
      <c r="L209" s="18" t="n">
        <f aca="false">K209-J209</f>
        <v>3935.32</v>
      </c>
      <c r="M209" s="18" t="n">
        <f aca="false">MIN(Desain_Kolam!$B$21,MAX(0,M208+F209-H209-G209))</f>
        <v>4295.86</v>
      </c>
      <c r="N209" s="6" t="n">
        <f aca="false">IF(M208+F209-H209&gt;=G209,1,0)</f>
        <v>1</v>
      </c>
    </row>
    <row r="210" customFormat="false" ht="15" hidden="false" customHeight="false" outlineLevel="0" collapsed="false">
      <c r="A210" s="6" t="n">
        <v>2014</v>
      </c>
      <c r="B210" s="6" t="n">
        <v>6</v>
      </c>
      <c r="C210" s="4" t="n">
        <v>231</v>
      </c>
      <c r="D210" s="6" t="n">
        <v>30</v>
      </c>
      <c r="E210" s="4" t="n">
        <f aca="false">INDEX(Evaporasi!$B$3:$B$14,MATCH(B210,Evaporasi!$A$3:$A$14,0))</f>
        <v>120</v>
      </c>
      <c r="F210" s="18" t="n">
        <f aca="false">Kawasan!$B$11*Kawasan!$B$9*C210/1000</f>
        <v>1921.92</v>
      </c>
      <c r="G210" s="18" t="n">
        <f aca="false">Kawasan!$B$27*D210</f>
        <v>1612.8</v>
      </c>
      <c r="H210" s="18" t="n">
        <f aca="false">E210*Desain_Kolam!$B$16/1000</f>
        <v>128.7</v>
      </c>
      <c r="I210" s="18" t="n">
        <f aca="false">F210-G210-H210</f>
        <v>180.42</v>
      </c>
      <c r="J210" s="18" t="n">
        <f aca="false">J209+I210</f>
        <v>4476.28</v>
      </c>
      <c r="K210" s="18" t="n">
        <f aca="false">MAX(K209,J210)</f>
        <v>8231.18</v>
      </c>
      <c r="L210" s="18" t="n">
        <f aca="false">K210-J210</f>
        <v>3754.9</v>
      </c>
      <c r="M210" s="18" t="n">
        <f aca="false">MIN(Desain_Kolam!$B$21,MAX(0,M209+F210-H210-G210))</f>
        <v>4476.28</v>
      </c>
      <c r="N210" s="6" t="n">
        <f aca="false">IF(M209+F210-H210&gt;=G210,1,0)</f>
        <v>1</v>
      </c>
    </row>
    <row r="211" customFormat="false" ht="15" hidden="false" customHeight="false" outlineLevel="0" collapsed="false">
      <c r="A211" s="6" t="n">
        <v>2014</v>
      </c>
      <c r="B211" s="6" t="n">
        <v>7</v>
      </c>
      <c r="C211" s="4" t="n">
        <v>93</v>
      </c>
      <c r="D211" s="6" t="n">
        <v>31</v>
      </c>
      <c r="E211" s="4" t="n">
        <f aca="false">INDEX(Evaporasi!$B$3:$B$14,MATCH(B211,Evaporasi!$A$3:$A$14,0))</f>
        <v>120</v>
      </c>
      <c r="F211" s="18" t="n">
        <f aca="false">Kawasan!$B$11*Kawasan!$B$9*C211/1000</f>
        <v>773.76</v>
      </c>
      <c r="G211" s="18" t="n">
        <f aca="false">Kawasan!$B$27*D211</f>
        <v>1666.56</v>
      </c>
      <c r="H211" s="18" t="n">
        <f aca="false">E211*Desain_Kolam!$B$16/1000</f>
        <v>128.7</v>
      </c>
      <c r="I211" s="18" t="n">
        <f aca="false">F211-G211-H211</f>
        <v>-1021.5</v>
      </c>
      <c r="J211" s="18" t="n">
        <f aca="false">J210+I211</f>
        <v>3454.78</v>
      </c>
      <c r="K211" s="18" t="n">
        <f aca="false">MAX(K210,J211)</f>
        <v>8231.18</v>
      </c>
      <c r="L211" s="18" t="n">
        <f aca="false">K211-J211</f>
        <v>4776.4</v>
      </c>
      <c r="M211" s="18" t="n">
        <f aca="false">MIN(Desain_Kolam!$B$21,MAX(0,M210+F211-H211-G211))</f>
        <v>3454.78</v>
      </c>
      <c r="N211" s="6" t="n">
        <f aca="false">IF(M210+F211-H211&gt;=G211,1,0)</f>
        <v>1</v>
      </c>
    </row>
    <row r="212" customFormat="false" ht="15" hidden="false" customHeight="false" outlineLevel="0" collapsed="false">
      <c r="A212" s="6" t="n">
        <v>2014</v>
      </c>
      <c r="B212" s="6" t="n">
        <v>8</v>
      </c>
      <c r="C212" s="4" t="n">
        <v>303</v>
      </c>
      <c r="D212" s="6" t="n">
        <v>31</v>
      </c>
      <c r="E212" s="4" t="n">
        <f aca="false">INDEX(Evaporasi!$B$3:$B$14,MATCH(B212,Evaporasi!$A$3:$A$14,0))</f>
        <v>120</v>
      </c>
      <c r="F212" s="18" t="n">
        <f aca="false">Kawasan!$B$11*Kawasan!$B$9*C212/1000</f>
        <v>2520.96</v>
      </c>
      <c r="G212" s="18" t="n">
        <f aca="false">Kawasan!$B$27*D212</f>
        <v>1666.56</v>
      </c>
      <c r="H212" s="18" t="n">
        <f aca="false">E212*Desain_Kolam!$B$16/1000</f>
        <v>128.7</v>
      </c>
      <c r="I212" s="18" t="n">
        <f aca="false">F212-G212-H212</f>
        <v>725.7</v>
      </c>
      <c r="J212" s="18" t="n">
        <f aca="false">J211+I212</f>
        <v>4180.48</v>
      </c>
      <c r="K212" s="18" t="n">
        <f aca="false">MAX(K211,J212)</f>
        <v>8231.18</v>
      </c>
      <c r="L212" s="18" t="n">
        <f aca="false">K212-J212</f>
        <v>4050.7</v>
      </c>
      <c r="M212" s="18" t="n">
        <f aca="false">MIN(Desain_Kolam!$B$21,MAX(0,M211+F212-H212-G212))</f>
        <v>4180.48000000001</v>
      </c>
      <c r="N212" s="6" t="n">
        <f aca="false">IF(M211+F212-H212&gt;=G212,1,0)</f>
        <v>1</v>
      </c>
    </row>
    <row r="213" customFormat="false" ht="15" hidden="false" customHeight="false" outlineLevel="0" collapsed="false">
      <c r="A213" s="6" t="n">
        <v>2014</v>
      </c>
      <c r="B213" s="6" t="n">
        <v>9</v>
      </c>
      <c r="C213" s="4" t="n">
        <v>156</v>
      </c>
      <c r="D213" s="6" t="n">
        <v>30</v>
      </c>
      <c r="E213" s="4" t="n">
        <f aca="false">INDEX(Evaporasi!$B$3:$B$14,MATCH(B213,Evaporasi!$A$3:$A$14,0))</f>
        <v>120</v>
      </c>
      <c r="F213" s="18" t="n">
        <f aca="false">Kawasan!$B$11*Kawasan!$B$9*C213/1000</f>
        <v>1297.92</v>
      </c>
      <c r="G213" s="18" t="n">
        <f aca="false">Kawasan!$B$27*D213</f>
        <v>1612.8</v>
      </c>
      <c r="H213" s="18" t="n">
        <f aca="false">E213*Desain_Kolam!$B$16/1000</f>
        <v>128.7</v>
      </c>
      <c r="I213" s="18" t="n">
        <f aca="false">F213-G213-H213</f>
        <v>-443.58</v>
      </c>
      <c r="J213" s="18" t="n">
        <f aca="false">J212+I213</f>
        <v>3736.9</v>
      </c>
      <c r="K213" s="18" t="n">
        <f aca="false">MAX(K212,J213)</f>
        <v>8231.18</v>
      </c>
      <c r="L213" s="18" t="n">
        <f aca="false">K213-J213</f>
        <v>4494.28</v>
      </c>
      <c r="M213" s="18" t="n">
        <f aca="false">MIN(Desain_Kolam!$B$21,MAX(0,M212+F213-H213-G213))</f>
        <v>3736.90000000001</v>
      </c>
      <c r="N213" s="6" t="n">
        <f aca="false">IF(M212+F213-H213&gt;=G213,1,0)</f>
        <v>1</v>
      </c>
    </row>
    <row r="214" customFormat="false" ht="15" hidden="false" customHeight="false" outlineLevel="0" collapsed="false">
      <c r="A214" s="6" t="n">
        <v>2014</v>
      </c>
      <c r="B214" s="6" t="n">
        <v>10</v>
      </c>
      <c r="C214" s="4" t="n">
        <v>226</v>
      </c>
      <c r="D214" s="6" t="n">
        <v>31</v>
      </c>
      <c r="E214" s="4" t="n">
        <f aca="false">INDEX(Evaporasi!$B$3:$B$14,MATCH(B214,Evaporasi!$A$3:$A$14,0))</f>
        <v>120</v>
      </c>
      <c r="F214" s="18" t="n">
        <f aca="false">Kawasan!$B$11*Kawasan!$B$9*C214/1000</f>
        <v>1880.32</v>
      </c>
      <c r="G214" s="18" t="n">
        <f aca="false">Kawasan!$B$27*D214</f>
        <v>1666.56</v>
      </c>
      <c r="H214" s="18" t="n">
        <f aca="false">E214*Desain_Kolam!$B$16/1000</f>
        <v>128.7</v>
      </c>
      <c r="I214" s="18" t="n">
        <f aca="false">F214-G214-H214</f>
        <v>85.06</v>
      </c>
      <c r="J214" s="18" t="n">
        <f aca="false">J213+I214</f>
        <v>3821.96</v>
      </c>
      <c r="K214" s="18" t="n">
        <f aca="false">MAX(K213,J214)</f>
        <v>8231.18</v>
      </c>
      <c r="L214" s="18" t="n">
        <f aca="false">K214-J214</f>
        <v>4409.22</v>
      </c>
      <c r="M214" s="18" t="n">
        <f aca="false">MIN(Desain_Kolam!$B$21,MAX(0,M213+F214-H214-G214))</f>
        <v>3821.96000000001</v>
      </c>
      <c r="N214" s="6" t="n">
        <f aca="false">IF(M213+F214-H214&gt;=G214,1,0)</f>
        <v>1</v>
      </c>
    </row>
    <row r="215" customFormat="false" ht="15" hidden="false" customHeight="false" outlineLevel="0" collapsed="false">
      <c r="A215" s="6" t="n">
        <v>2014</v>
      </c>
      <c r="B215" s="6" t="n">
        <v>11</v>
      </c>
      <c r="C215" s="4" t="n">
        <v>290</v>
      </c>
      <c r="D215" s="6" t="n">
        <v>30</v>
      </c>
      <c r="E215" s="4" t="n">
        <f aca="false">INDEX(Evaporasi!$B$3:$B$14,MATCH(B215,Evaporasi!$A$3:$A$14,0))</f>
        <v>120</v>
      </c>
      <c r="F215" s="18" t="n">
        <f aca="false">Kawasan!$B$11*Kawasan!$B$9*C215/1000</f>
        <v>2412.8</v>
      </c>
      <c r="G215" s="18" t="n">
        <f aca="false">Kawasan!$B$27*D215</f>
        <v>1612.8</v>
      </c>
      <c r="H215" s="18" t="n">
        <f aca="false">E215*Desain_Kolam!$B$16/1000</f>
        <v>128.7</v>
      </c>
      <c r="I215" s="18" t="n">
        <f aca="false">F215-G215-H215</f>
        <v>671.3</v>
      </c>
      <c r="J215" s="18" t="n">
        <f aca="false">J214+I215</f>
        <v>4493.26</v>
      </c>
      <c r="K215" s="18" t="n">
        <f aca="false">MAX(K214,J215)</f>
        <v>8231.18</v>
      </c>
      <c r="L215" s="18" t="n">
        <f aca="false">K215-J215</f>
        <v>3737.92</v>
      </c>
      <c r="M215" s="18" t="n">
        <f aca="false">MIN(Desain_Kolam!$B$21,MAX(0,M214+F215-H215-G215))</f>
        <v>4493.26000000001</v>
      </c>
      <c r="N215" s="6" t="n">
        <f aca="false">IF(M214+F215-H215&gt;=G215,1,0)</f>
        <v>1</v>
      </c>
    </row>
    <row r="216" customFormat="false" ht="15" hidden="false" customHeight="false" outlineLevel="0" collapsed="false">
      <c r="A216" s="6" t="n">
        <v>2014</v>
      </c>
      <c r="B216" s="6" t="n">
        <v>12</v>
      </c>
      <c r="C216" s="4" t="n">
        <v>448</v>
      </c>
      <c r="D216" s="6" t="n">
        <v>31</v>
      </c>
      <c r="E216" s="4" t="n">
        <f aca="false">INDEX(Evaporasi!$B$3:$B$14,MATCH(B216,Evaporasi!$A$3:$A$14,0))</f>
        <v>120</v>
      </c>
      <c r="F216" s="18" t="n">
        <f aca="false">Kawasan!$B$11*Kawasan!$B$9*C216/1000</f>
        <v>3727.36</v>
      </c>
      <c r="G216" s="18" t="n">
        <f aca="false">Kawasan!$B$27*D216</f>
        <v>1666.56</v>
      </c>
      <c r="H216" s="18" t="n">
        <f aca="false">E216*Desain_Kolam!$B$16/1000</f>
        <v>128.7</v>
      </c>
      <c r="I216" s="18" t="n">
        <f aca="false">F216-G216-H216</f>
        <v>1932.1</v>
      </c>
      <c r="J216" s="18" t="n">
        <f aca="false">J215+I216</f>
        <v>6425.36</v>
      </c>
      <c r="K216" s="18" t="n">
        <f aca="false">MAX(K215,J216)</f>
        <v>8231.18</v>
      </c>
      <c r="L216" s="18" t="n">
        <f aca="false">K216-J216</f>
        <v>1805.82</v>
      </c>
      <c r="M216" s="18" t="n">
        <f aca="false">MIN(Desain_Kolam!$B$21,MAX(0,M215+F216-H216-G216))</f>
        <v>6425.36000000001</v>
      </c>
      <c r="N216" s="6" t="n">
        <f aca="false">IF(M215+F216-H216&gt;=G216,1,0)</f>
        <v>1</v>
      </c>
    </row>
    <row r="217" customFormat="false" ht="15" hidden="false" customHeight="false" outlineLevel="0" collapsed="false">
      <c r="A217" s="6" t="n">
        <v>2015</v>
      </c>
      <c r="B217" s="6" t="n">
        <v>1</v>
      </c>
      <c r="C217" s="4" t="n">
        <v>266</v>
      </c>
      <c r="D217" s="6" t="n">
        <v>31</v>
      </c>
      <c r="E217" s="4" t="n">
        <f aca="false">INDEX(Evaporasi!$B$3:$B$14,MATCH(B217,Evaporasi!$A$3:$A$14,0))</f>
        <v>120</v>
      </c>
      <c r="F217" s="18" t="n">
        <f aca="false">Kawasan!$B$11*Kawasan!$B$9*C217/1000</f>
        <v>2213.12</v>
      </c>
      <c r="G217" s="18" t="n">
        <f aca="false">Kawasan!$B$27*D217</f>
        <v>1666.56</v>
      </c>
      <c r="H217" s="18" t="n">
        <f aca="false">E217*Desain_Kolam!$B$16/1000</f>
        <v>128.7</v>
      </c>
      <c r="I217" s="18" t="n">
        <f aca="false">F217-G217-H217</f>
        <v>417.86</v>
      </c>
      <c r="J217" s="18" t="n">
        <f aca="false">J216+I217</f>
        <v>6843.22</v>
      </c>
      <c r="K217" s="18" t="n">
        <f aca="false">MAX(K216,J217)</f>
        <v>8231.18</v>
      </c>
      <c r="L217" s="18" t="n">
        <f aca="false">K217-J217</f>
        <v>1387.96</v>
      </c>
      <c r="M217" s="18" t="n">
        <f aca="false">MIN(Desain_Kolam!$B$21,MAX(0,M216+F217-H217-G217))</f>
        <v>6843.22000000001</v>
      </c>
      <c r="N217" s="6" t="n">
        <f aca="false">IF(M216+F217-H217&gt;=G217,1,0)</f>
        <v>1</v>
      </c>
    </row>
    <row r="218" customFormat="false" ht="15" hidden="false" customHeight="false" outlineLevel="0" collapsed="false">
      <c r="A218" s="6" t="n">
        <v>2015</v>
      </c>
      <c r="B218" s="6" t="n">
        <v>2</v>
      </c>
      <c r="C218" s="4" t="n">
        <v>351</v>
      </c>
      <c r="D218" s="6" t="n">
        <v>28</v>
      </c>
      <c r="E218" s="4" t="n">
        <f aca="false">INDEX(Evaporasi!$B$3:$B$14,MATCH(B218,Evaporasi!$A$3:$A$14,0))</f>
        <v>120</v>
      </c>
      <c r="F218" s="18" t="n">
        <f aca="false">Kawasan!$B$11*Kawasan!$B$9*C218/1000</f>
        <v>2920.32</v>
      </c>
      <c r="G218" s="18" t="n">
        <f aca="false">Kawasan!$B$27*D218</f>
        <v>1505.28</v>
      </c>
      <c r="H218" s="18" t="n">
        <f aca="false">E218*Desain_Kolam!$B$16/1000</f>
        <v>128.7</v>
      </c>
      <c r="I218" s="18" t="n">
        <f aca="false">F218-G218-H218</f>
        <v>1286.34</v>
      </c>
      <c r="J218" s="18" t="n">
        <f aca="false">J217+I218</f>
        <v>8129.56</v>
      </c>
      <c r="K218" s="18" t="n">
        <f aca="false">MAX(K217,J218)</f>
        <v>8231.18</v>
      </c>
      <c r="L218" s="18" t="n">
        <f aca="false">K218-J218</f>
        <v>101.62</v>
      </c>
      <c r="M218" s="18" t="n">
        <f aca="false">MIN(Desain_Kolam!$B$21,MAX(0,M217+F218-H218-G218))</f>
        <v>8129.56000000001</v>
      </c>
      <c r="N218" s="6" t="n">
        <f aca="false">IF(M217+F218-H218&gt;=G218,1,0)</f>
        <v>1</v>
      </c>
    </row>
    <row r="219" customFormat="false" ht="15" hidden="false" customHeight="false" outlineLevel="0" collapsed="false">
      <c r="A219" s="6" t="n">
        <v>2015</v>
      </c>
      <c r="B219" s="6" t="n">
        <v>3</v>
      </c>
      <c r="C219" s="4" t="n">
        <v>222</v>
      </c>
      <c r="D219" s="6" t="n">
        <v>31</v>
      </c>
      <c r="E219" s="4" t="n">
        <f aca="false">INDEX(Evaporasi!$B$3:$B$14,MATCH(B219,Evaporasi!$A$3:$A$14,0))</f>
        <v>120</v>
      </c>
      <c r="F219" s="18" t="n">
        <f aca="false">Kawasan!$B$11*Kawasan!$B$9*C219/1000</f>
        <v>1847.04</v>
      </c>
      <c r="G219" s="18" t="n">
        <f aca="false">Kawasan!$B$27*D219</f>
        <v>1666.56</v>
      </c>
      <c r="H219" s="18" t="n">
        <f aca="false">E219*Desain_Kolam!$B$16/1000</f>
        <v>128.7</v>
      </c>
      <c r="I219" s="18" t="n">
        <f aca="false">F219-G219-H219</f>
        <v>51.78</v>
      </c>
      <c r="J219" s="18" t="n">
        <f aca="false">J218+I219</f>
        <v>8181.34</v>
      </c>
      <c r="K219" s="18" t="n">
        <f aca="false">MAX(K218,J219)</f>
        <v>8231.18</v>
      </c>
      <c r="L219" s="18" t="n">
        <f aca="false">K219-J219</f>
        <v>49.8400000000001</v>
      </c>
      <c r="M219" s="18" t="n">
        <f aca="false">MIN(Desain_Kolam!$B$21,MAX(0,M218+F219-H219-G219))</f>
        <v>8181.34000000001</v>
      </c>
      <c r="N219" s="6" t="n">
        <f aca="false">IF(M218+F219-H219&gt;=G219,1,0)</f>
        <v>1</v>
      </c>
    </row>
    <row r="220" customFormat="false" ht="15" hidden="false" customHeight="false" outlineLevel="0" collapsed="false">
      <c r="A220" s="6" t="n">
        <v>2015</v>
      </c>
      <c r="B220" s="6" t="n">
        <v>4</v>
      </c>
      <c r="C220" s="4" t="n">
        <v>202</v>
      </c>
      <c r="D220" s="6" t="n">
        <v>30</v>
      </c>
      <c r="E220" s="4" t="n">
        <f aca="false">INDEX(Evaporasi!$B$3:$B$14,MATCH(B220,Evaporasi!$A$3:$A$14,0))</f>
        <v>120</v>
      </c>
      <c r="F220" s="18" t="n">
        <f aca="false">Kawasan!$B$11*Kawasan!$B$9*C220/1000</f>
        <v>1680.64</v>
      </c>
      <c r="G220" s="18" t="n">
        <f aca="false">Kawasan!$B$27*D220</f>
        <v>1612.8</v>
      </c>
      <c r="H220" s="18" t="n">
        <f aca="false">E220*Desain_Kolam!$B$16/1000</f>
        <v>128.7</v>
      </c>
      <c r="I220" s="18" t="n">
        <f aca="false">F220-G220-H220</f>
        <v>-60.8599999999998</v>
      </c>
      <c r="J220" s="18" t="n">
        <f aca="false">J219+I220</f>
        <v>8120.48</v>
      </c>
      <c r="K220" s="18" t="n">
        <f aca="false">MAX(K219,J220)</f>
        <v>8231.18</v>
      </c>
      <c r="L220" s="18" t="n">
        <f aca="false">K220-J220</f>
        <v>110.7</v>
      </c>
      <c r="M220" s="18" t="n">
        <f aca="false">MIN(Desain_Kolam!$B$21,MAX(0,M219+F220-H220-G220))</f>
        <v>8120.48</v>
      </c>
      <c r="N220" s="6" t="n">
        <f aca="false">IF(M219+F220-H220&gt;=G220,1,0)</f>
        <v>1</v>
      </c>
    </row>
    <row r="221" customFormat="false" ht="15" hidden="false" customHeight="false" outlineLevel="0" collapsed="false">
      <c r="A221" s="6" t="n">
        <v>2015</v>
      </c>
      <c r="B221" s="6" t="n">
        <v>5</v>
      </c>
      <c r="C221" s="4" t="n">
        <v>341</v>
      </c>
      <c r="D221" s="6" t="n">
        <v>31</v>
      </c>
      <c r="E221" s="4" t="n">
        <f aca="false">INDEX(Evaporasi!$B$3:$B$14,MATCH(B221,Evaporasi!$A$3:$A$14,0))</f>
        <v>120</v>
      </c>
      <c r="F221" s="18" t="n">
        <f aca="false">Kawasan!$B$11*Kawasan!$B$9*C221/1000</f>
        <v>2837.12</v>
      </c>
      <c r="G221" s="18" t="n">
        <f aca="false">Kawasan!$B$27*D221</f>
        <v>1666.56</v>
      </c>
      <c r="H221" s="18" t="n">
        <f aca="false">E221*Desain_Kolam!$B$16/1000</f>
        <v>128.7</v>
      </c>
      <c r="I221" s="18" t="n">
        <f aca="false">F221-G221-H221</f>
        <v>1041.86</v>
      </c>
      <c r="J221" s="18" t="n">
        <f aca="false">J220+I221</f>
        <v>9162.34</v>
      </c>
      <c r="K221" s="18" t="n">
        <f aca="false">MAX(K220,J221)</f>
        <v>9162.34</v>
      </c>
      <c r="L221" s="18" t="n">
        <f aca="false">K221-J221</f>
        <v>0</v>
      </c>
      <c r="M221" s="18" t="n">
        <f aca="false">MIN(Desain_Kolam!$B$21,MAX(0,M220+F221-H221-G221))</f>
        <v>9162.34</v>
      </c>
      <c r="N221" s="6" t="n">
        <f aca="false">IF(M220+F221-H221&gt;=G221,1,0)</f>
        <v>1</v>
      </c>
    </row>
    <row r="222" customFormat="false" ht="15" hidden="false" customHeight="false" outlineLevel="0" collapsed="false">
      <c r="A222" s="6" t="n">
        <v>2015</v>
      </c>
      <c r="B222" s="6" t="n">
        <v>6</v>
      </c>
      <c r="C222" s="4" t="n">
        <v>284</v>
      </c>
      <c r="D222" s="6" t="n">
        <v>30</v>
      </c>
      <c r="E222" s="4" t="n">
        <f aca="false">INDEX(Evaporasi!$B$3:$B$14,MATCH(B222,Evaporasi!$A$3:$A$14,0))</f>
        <v>120</v>
      </c>
      <c r="F222" s="18" t="n">
        <f aca="false">Kawasan!$B$11*Kawasan!$B$9*C222/1000</f>
        <v>2362.88</v>
      </c>
      <c r="G222" s="18" t="n">
        <f aca="false">Kawasan!$B$27*D222</f>
        <v>1612.8</v>
      </c>
      <c r="H222" s="18" t="n">
        <f aca="false">E222*Desain_Kolam!$B$16/1000</f>
        <v>128.7</v>
      </c>
      <c r="I222" s="18" t="n">
        <f aca="false">F222-G222-H222</f>
        <v>621.38</v>
      </c>
      <c r="J222" s="18" t="n">
        <f aca="false">J221+I222</f>
        <v>9783.72</v>
      </c>
      <c r="K222" s="18" t="n">
        <f aca="false">MAX(K221,J222)</f>
        <v>9783.72</v>
      </c>
      <c r="L222" s="18" t="n">
        <f aca="false">K222-J222</f>
        <v>0</v>
      </c>
      <c r="M222" s="18" t="n">
        <f aca="false">MIN(Desain_Kolam!$B$21,MAX(0,M221+F222-H222-G222))</f>
        <v>9783.72000000001</v>
      </c>
      <c r="N222" s="6" t="n">
        <f aca="false">IF(M221+F222-H222&gt;=G222,1,0)</f>
        <v>1</v>
      </c>
    </row>
    <row r="223" customFormat="false" ht="15" hidden="false" customHeight="false" outlineLevel="0" collapsed="false">
      <c r="A223" s="6" t="n">
        <v>2015</v>
      </c>
      <c r="B223" s="6" t="n">
        <v>7</v>
      </c>
      <c r="C223" s="4" t="n">
        <v>290</v>
      </c>
      <c r="D223" s="6" t="n">
        <v>31</v>
      </c>
      <c r="E223" s="4" t="n">
        <f aca="false">INDEX(Evaporasi!$B$3:$B$14,MATCH(B223,Evaporasi!$A$3:$A$14,0))</f>
        <v>120</v>
      </c>
      <c r="F223" s="18" t="n">
        <f aca="false">Kawasan!$B$11*Kawasan!$B$9*C223/1000</f>
        <v>2412.8</v>
      </c>
      <c r="G223" s="18" t="n">
        <f aca="false">Kawasan!$B$27*D223</f>
        <v>1666.56</v>
      </c>
      <c r="H223" s="18" t="n">
        <f aca="false">E223*Desain_Kolam!$B$16/1000</f>
        <v>128.7</v>
      </c>
      <c r="I223" s="18" t="n">
        <f aca="false">F223-G223-H223</f>
        <v>617.54</v>
      </c>
      <c r="J223" s="18" t="n">
        <f aca="false">J222+I223</f>
        <v>10401.26</v>
      </c>
      <c r="K223" s="18" t="n">
        <f aca="false">MAX(K222,J223)</f>
        <v>10401.26</v>
      </c>
      <c r="L223" s="18" t="n">
        <f aca="false">K223-J223</f>
        <v>0</v>
      </c>
      <c r="M223" s="18" t="n">
        <f aca="false">MIN(Desain_Kolam!$B$21,MAX(0,M222+F223-H223-G223))</f>
        <v>10401.26</v>
      </c>
      <c r="N223" s="6" t="n">
        <f aca="false">IF(M222+F223-H223&gt;=G223,1,0)</f>
        <v>1</v>
      </c>
    </row>
    <row r="224" customFormat="false" ht="15" hidden="false" customHeight="false" outlineLevel="0" collapsed="false">
      <c r="A224" s="6" t="n">
        <v>2015</v>
      </c>
      <c r="B224" s="6" t="n">
        <v>8</v>
      </c>
      <c r="C224" s="4" t="n">
        <v>86</v>
      </c>
      <c r="D224" s="6" t="n">
        <v>31</v>
      </c>
      <c r="E224" s="4" t="n">
        <f aca="false">INDEX(Evaporasi!$B$3:$B$14,MATCH(B224,Evaporasi!$A$3:$A$14,0))</f>
        <v>120</v>
      </c>
      <c r="F224" s="18" t="n">
        <f aca="false">Kawasan!$B$11*Kawasan!$B$9*C224/1000</f>
        <v>715.52</v>
      </c>
      <c r="G224" s="18" t="n">
        <f aca="false">Kawasan!$B$27*D224</f>
        <v>1666.56</v>
      </c>
      <c r="H224" s="18" t="n">
        <f aca="false">E224*Desain_Kolam!$B$16/1000</f>
        <v>128.7</v>
      </c>
      <c r="I224" s="18" t="n">
        <f aca="false">F224-G224-H224</f>
        <v>-1079.74</v>
      </c>
      <c r="J224" s="18" t="n">
        <f aca="false">J223+I224</f>
        <v>9321.52</v>
      </c>
      <c r="K224" s="18" t="n">
        <f aca="false">MAX(K223,J224)</f>
        <v>10401.26</v>
      </c>
      <c r="L224" s="18" t="n">
        <f aca="false">K224-J224</f>
        <v>1079.74</v>
      </c>
      <c r="M224" s="18" t="n">
        <f aca="false">MIN(Desain_Kolam!$B$21,MAX(0,M223+F224-H224-G224))</f>
        <v>9321.52</v>
      </c>
      <c r="N224" s="6" t="n">
        <f aca="false">IF(M223+F224-H224&gt;=G224,1,0)</f>
        <v>1</v>
      </c>
    </row>
    <row r="225" customFormat="false" ht="15" hidden="false" customHeight="false" outlineLevel="0" collapsed="false">
      <c r="A225" s="6" t="n">
        <v>2015</v>
      </c>
      <c r="B225" s="6" t="n">
        <v>9</v>
      </c>
      <c r="C225" s="4" t="n">
        <v>37</v>
      </c>
      <c r="D225" s="6" t="n">
        <v>30</v>
      </c>
      <c r="E225" s="4" t="n">
        <f aca="false">INDEX(Evaporasi!$B$3:$B$14,MATCH(B225,Evaporasi!$A$3:$A$14,0))</f>
        <v>120</v>
      </c>
      <c r="F225" s="18" t="n">
        <f aca="false">Kawasan!$B$11*Kawasan!$B$9*C225/1000</f>
        <v>307.84</v>
      </c>
      <c r="G225" s="18" t="n">
        <f aca="false">Kawasan!$B$27*D225</f>
        <v>1612.8</v>
      </c>
      <c r="H225" s="18" t="n">
        <f aca="false">E225*Desain_Kolam!$B$16/1000</f>
        <v>128.7</v>
      </c>
      <c r="I225" s="18" t="n">
        <f aca="false">F225-G225-H225</f>
        <v>-1433.66</v>
      </c>
      <c r="J225" s="18" t="n">
        <f aca="false">J224+I225</f>
        <v>7887.86</v>
      </c>
      <c r="K225" s="18" t="n">
        <f aca="false">MAX(K224,J225)</f>
        <v>10401.26</v>
      </c>
      <c r="L225" s="18" t="n">
        <f aca="false">K225-J225</f>
        <v>2513.4</v>
      </c>
      <c r="M225" s="18" t="n">
        <f aca="false">MIN(Desain_Kolam!$B$21,MAX(0,M224+F225-H225-G225))</f>
        <v>7887.86</v>
      </c>
      <c r="N225" s="6" t="n">
        <f aca="false">IF(M224+F225-H225&gt;=G225,1,0)</f>
        <v>1</v>
      </c>
    </row>
    <row r="226" customFormat="false" ht="15" hidden="false" customHeight="false" outlineLevel="0" collapsed="false">
      <c r="A226" s="6" t="n">
        <v>2015</v>
      </c>
      <c r="B226" s="6" t="n">
        <v>10</v>
      </c>
      <c r="C226" s="4" t="n">
        <v>159</v>
      </c>
      <c r="D226" s="6" t="n">
        <v>31</v>
      </c>
      <c r="E226" s="4" t="n">
        <f aca="false">INDEX(Evaporasi!$B$3:$B$14,MATCH(B226,Evaporasi!$A$3:$A$14,0))</f>
        <v>120</v>
      </c>
      <c r="F226" s="18" t="n">
        <f aca="false">Kawasan!$B$11*Kawasan!$B$9*C226/1000</f>
        <v>1322.88</v>
      </c>
      <c r="G226" s="18" t="n">
        <f aca="false">Kawasan!$B$27*D226</f>
        <v>1666.56</v>
      </c>
      <c r="H226" s="18" t="n">
        <f aca="false">E226*Desain_Kolam!$B$16/1000</f>
        <v>128.7</v>
      </c>
      <c r="I226" s="18" t="n">
        <f aca="false">F226-G226-H226</f>
        <v>-472.38</v>
      </c>
      <c r="J226" s="18" t="n">
        <f aca="false">J225+I226</f>
        <v>7415.48</v>
      </c>
      <c r="K226" s="18" t="n">
        <f aca="false">MAX(K225,J226)</f>
        <v>10401.26</v>
      </c>
      <c r="L226" s="18" t="n">
        <f aca="false">K226-J226</f>
        <v>2985.78</v>
      </c>
      <c r="M226" s="18" t="n">
        <f aca="false">MIN(Desain_Kolam!$B$21,MAX(0,M225+F226-H226-G226))</f>
        <v>7415.48</v>
      </c>
      <c r="N226" s="6" t="n">
        <f aca="false">IF(M225+F226-H226&gt;=G226,1,0)</f>
        <v>1</v>
      </c>
    </row>
    <row r="227" customFormat="false" ht="15" hidden="false" customHeight="false" outlineLevel="0" collapsed="false">
      <c r="A227" s="6" t="n">
        <v>2015</v>
      </c>
      <c r="B227" s="6" t="n">
        <v>11</v>
      </c>
      <c r="C227" s="4" t="n">
        <v>471</v>
      </c>
      <c r="D227" s="6" t="n">
        <v>30</v>
      </c>
      <c r="E227" s="4" t="n">
        <f aca="false">INDEX(Evaporasi!$B$3:$B$14,MATCH(B227,Evaporasi!$A$3:$A$14,0))</f>
        <v>120</v>
      </c>
      <c r="F227" s="18" t="n">
        <f aca="false">Kawasan!$B$11*Kawasan!$B$9*C227/1000</f>
        <v>3918.72</v>
      </c>
      <c r="G227" s="18" t="n">
        <f aca="false">Kawasan!$B$27*D227</f>
        <v>1612.8</v>
      </c>
      <c r="H227" s="18" t="n">
        <f aca="false">E227*Desain_Kolam!$B$16/1000</f>
        <v>128.7</v>
      </c>
      <c r="I227" s="18" t="n">
        <f aca="false">F227-G227-H227</f>
        <v>2177.22</v>
      </c>
      <c r="J227" s="18" t="n">
        <f aca="false">J226+I227</f>
        <v>9592.7</v>
      </c>
      <c r="K227" s="18" t="n">
        <f aca="false">MAX(K226,J227)</f>
        <v>10401.26</v>
      </c>
      <c r="L227" s="18" t="n">
        <f aca="false">K227-J227</f>
        <v>808.56</v>
      </c>
      <c r="M227" s="18" t="n">
        <f aca="false">MIN(Desain_Kolam!$B$21,MAX(0,M226+F227-H227-G227))</f>
        <v>9592.7</v>
      </c>
      <c r="N227" s="6" t="n">
        <f aca="false">IF(M226+F227-H227&gt;=G227,1,0)</f>
        <v>1</v>
      </c>
    </row>
    <row r="228" customFormat="false" ht="15" hidden="false" customHeight="false" outlineLevel="0" collapsed="false">
      <c r="A228" s="6" t="n">
        <v>2015</v>
      </c>
      <c r="B228" s="6" t="n">
        <v>12</v>
      </c>
      <c r="C228" s="4" t="n">
        <v>252</v>
      </c>
      <c r="D228" s="6" t="n">
        <v>31</v>
      </c>
      <c r="E228" s="4" t="n">
        <f aca="false">INDEX(Evaporasi!$B$3:$B$14,MATCH(B228,Evaporasi!$A$3:$A$14,0))</f>
        <v>120</v>
      </c>
      <c r="F228" s="18" t="n">
        <f aca="false">Kawasan!$B$11*Kawasan!$B$9*C228/1000</f>
        <v>2096.64</v>
      </c>
      <c r="G228" s="18" t="n">
        <f aca="false">Kawasan!$B$27*D228</f>
        <v>1666.56</v>
      </c>
      <c r="H228" s="18" t="n">
        <f aca="false">E228*Desain_Kolam!$B$16/1000</f>
        <v>128.7</v>
      </c>
      <c r="I228" s="18" t="n">
        <f aca="false">F228-G228-H228</f>
        <v>301.38</v>
      </c>
      <c r="J228" s="18" t="n">
        <f aca="false">J227+I228</f>
        <v>9894.08</v>
      </c>
      <c r="K228" s="18" t="n">
        <f aca="false">MAX(K227,J228)</f>
        <v>10401.26</v>
      </c>
      <c r="L228" s="18" t="n">
        <f aca="false">K228-J228</f>
        <v>507.18</v>
      </c>
      <c r="M228" s="18" t="n">
        <f aca="false">MIN(Desain_Kolam!$B$21,MAX(0,M227+F228-H228-G228))</f>
        <v>9894.08</v>
      </c>
      <c r="N228" s="6" t="n">
        <f aca="false">IF(M227+F228-H228&gt;=G228,1,0)</f>
        <v>1</v>
      </c>
    </row>
    <row r="229" customFormat="false" ht="15" hidden="false" customHeight="false" outlineLevel="0" collapsed="false">
      <c r="A229" s="6" t="n">
        <v>2016</v>
      </c>
      <c r="B229" s="6" t="n">
        <v>1</v>
      </c>
      <c r="C229" s="4" t="n">
        <v>245</v>
      </c>
      <c r="D229" s="6" t="n">
        <v>31</v>
      </c>
      <c r="E229" s="4" t="n">
        <f aca="false">INDEX(Evaporasi!$B$3:$B$14,MATCH(B229,Evaporasi!$A$3:$A$14,0))</f>
        <v>120</v>
      </c>
      <c r="F229" s="18" t="n">
        <f aca="false">Kawasan!$B$11*Kawasan!$B$9*C229/1000</f>
        <v>2038.4</v>
      </c>
      <c r="G229" s="18" t="n">
        <f aca="false">Kawasan!$B$27*D229</f>
        <v>1666.56</v>
      </c>
      <c r="H229" s="18" t="n">
        <f aca="false">E229*Desain_Kolam!$B$16/1000</f>
        <v>128.7</v>
      </c>
      <c r="I229" s="18" t="n">
        <f aca="false">F229-G229-H229</f>
        <v>243.14</v>
      </c>
      <c r="J229" s="18" t="n">
        <f aca="false">J228+I229</f>
        <v>10137.22</v>
      </c>
      <c r="K229" s="18" t="n">
        <f aca="false">MAX(K228,J229)</f>
        <v>10401.26</v>
      </c>
      <c r="L229" s="18" t="n">
        <f aca="false">K229-J229</f>
        <v>264.040000000001</v>
      </c>
      <c r="M229" s="18" t="n">
        <f aca="false">MIN(Desain_Kolam!$B$21,MAX(0,M228+F229-H229-G229))</f>
        <v>10137.22</v>
      </c>
      <c r="N229" s="6" t="n">
        <f aca="false">IF(M228+F229-H229&gt;=G229,1,0)</f>
        <v>1</v>
      </c>
    </row>
    <row r="230" customFormat="false" ht="15" hidden="false" customHeight="false" outlineLevel="0" collapsed="false">
      <c r="A230" s="6" t="n">
        <v>2016</v>
      </c>
      <c r="B230" s="6" t="n">
        <v>2</v>
      </c>
      <c r="C230" s="4" t="n">
        <v>204</v>
      </c>
      <c r="D230" s="6" t="n">
        <v>29</v>
      </c>
      <c r="E230" s="4" t="n">
        <f aca="false">INDEX(Evaporasi!$B$3:$B$14,MATCH(B230,Evaporasi!$A$3:$A$14,0))</f>
        <v>120</v>
      </c>
      <c r="F230" s="18" t="n">
        <f aca="false">Kawasan!$B$11*Kawasan!$B$9*C230/1000</f>
        <v>1697.28</v>
      </c>
      <c r="G230" s="18" t="n">
        <f aca="false">Kawasan!$B$27*D230</f>
        <v>1559.04</v>
      </c>
      <c r="H230" s="18" t="n">
        <f aca="false">E230*Desain_Kolam!$B$16/1000</f>
        <v>128.7</v>
      </c>
      <c r="I230" s="18" t="n">
        <f aca="false">F230-G230-H230</f>
        <v>9.54000000000002</v>
      </c>
      <c r="J230" s="18" t="n">
        <f aca="false">J229+I230</f>
        <v>10146.76</v>
      </c>
      <c r="K230" s="18" t="n">
        <f aca="false">MAX(K229,J230)</f>
        <v>10401.26</v>
      </c>
      <c r="L230" s="18" t="n">
        <f aca="false">K230-J230</f>
        <v>254.5</v>
      </c>
      <c r="M230" s="18" t="n">
        <f aca="false">MIN(Desain_Kolam!$B$21,MAX(0,M229+F230-H230-G230))</f>
        <v>10146.76</v>
      </c>
      <c r="N230" s="6" t="n">
        <f aca="false">IF(M229+F230-H230&gt;=G230,1,0)</f>
        <v>1</v>
      </c>
    </row>
    <row r="231" customFormat="false" ht="15" hidden="false" customHeight="false" outlineLevel="0" collapsed="false">
      <c r="A231" s="6" t="n">
        <v>2016</v>
      </c>
      <c r="B231" s="6" t="n">
        <v>3</v>
      </c>
      <c r="C231" s="4" t="n">
        <v>381</v>
      </c>
      <c r="D231" s="6" t="n">
        <v>31</v>
      </c>
      <c r="E231" s="4" t="n">
        <f aca="false">INDEX(Evaporasi!$B$3:$B$14,MATCH(B231,Evaporasi!$A$3:$A$14,0))</f>
        <v>120</v>
      </c>
      <c r="F231" s="18" t="n">
        <f aca="false">Kawasan!$B$11*Kawasan!$B$9*C231/1000</f>
        <v>3169.92</v>
      </c>
      <c r="G231" s="18" t="n">
        <f aca="false">Kawasan!$B$27*D231</f>
        <v>1666.56</v>
      </c>
      <c r="H231" s="18" t="n">
        <f aca="false">E231*Desain_Kolam!$B$16/1000</f>
        <v>128.7</v>
      </c>
      <c r="I231" s="18" t="n">
        <f aca="false">F231-G231-H231</f>
        <v>1374.66</v>
      </c>
      <c r="J231" s="18" t="n">
        <f aca="false">J230+I231</f>
        <v>11521.42</v>
      </c>
      <c r="K231" s="18" t="n">
        <f aca="false">MAX(K230,J231)</f>
        <v>11521.42</v>
      </c>
      <c r="L231" s="18" t="n">
        <f aca="false">K231-J231</f>
        <v>0</v>
      </c>
      <c r="M231" s="18" t="n">
        <f aca="false">MIN(Desain_Kolam!$B$21,MAX(0,M230+F231-H231-G231))</f>
        <v>11521.42</v>
      </c>
      <c r="N231" s="6" t="n">
        <f aca="false">IF(M230+F231-H231&gt;=G231,1,0)</f>
        <v>1</v>
      </c>
    </row>
    <row r="232" customFormat="false" ht="15" hidden="false" customHeight="false" outlineLevel="0" collapsed="false">
      <c r="A232" s="6" t="n">
        <v>2016</v>
      </c>
      <c r="B232" s="6" t="n">
        <v>4</v>
      </c>
      <c r="C232" s="4" t="n">
        <v>274</v>
      </c>
      <c r="D232" s="6" t="n">
        <v>30</v>
      </c>
      <c r="E232" s="4" t="n">
        <f aca="false">INDEX(Evaporasi!$B$3:$B$14,MATCH(B232,Evaporasi!$A$3:$A$14,0))</f>
        <v>120</v>
      </c>
      <c r="F232" s="18" t="n">
        <f aca="false">Kawasan!$B$11*Kawasan!$B$9*C232/1000</f>
        <v>2279.68</v>
      </c>
      <c r="G232" s="18" t="n">
        <f aca="false">Kawasan!$B$27*D232</f>
        <v>1612.8</v>
      </c>
      <c r="H232" s="18" t="n">
        <f aca="false">E232*Desain_Kolam!$B$16/1000</f>
        <v>128.7</v>
      </c>
      <c r="I232" s="18" t="n">
        <f aca="false">F232-G232-H232</f>
        <v>538.18</v>
      </c>
      <c r="J232" s="18" t="n">
        <f aca="false">J231+I232</f>
        <v>12059.6</v>
      </c>
      <c r="K232" s="18" t="n">
        <f aca="false">MAX(K231,J232)</f>
        <v>12059.6</v>
      </c>
      <c r="L232" s="18" t="n">
        <f aca="false">K232-J232</f>
        <v>0</v>
      </c>
      <c r="M232" s="18" t="n">
        <f aca="false">MIN(Desain_Kolam!$B$21,MAX(0,M231+F232-H232-G232))</f>
        <v>12059.6</v>
      </c>
      <c r="N232" s="6" t="n">
        <f aca="false">IF(M231+F232-H232&gt;=G232,1,0)</f>
        <v>1</v>
      </c>
    </row>
    <row r="233" customFormat="false" ht="15" hidden="false" customHeight="false" outlineLevel="0" collapsed="false">
      <c r="A233" s="6" t="n">
        <v>2016</v>
      </c>
      <c r="B233" s="6" t="n">
        <v>5</v>
      </c>
      <c r="C233" s="4" t="n">
        <v>514</v>
      </c>
      <c r="D233" s="6" t="n">
        <v>31</v>
      </c>
      <c r="E233" s="4" t="n">
        <f aca="false">INDEX(Evaporasi!$B$3:$B$14,MATCH(B233,Evaporasi!$A$3:$A$14,0))</f>
        <v>120</v>
      </c>
      <c r="F233" s="18" t="n">
        <f aca="false">Kawasan!$B$11*Kawasan!$B$9*C233/1000</f>
        <v>4276.48</v>
      </c>
      <c r="G233" s="18" t="n">
        <f aca="false">Kawasan!$B$27*D233</f>
        <v>1666.56</v>
      </c>
      <c r="H233" s="18" t="n">
        <f aca="false">E233*Desain_Kolam!$B$16/1000</f>
        <v>128.7</v>
      </c>
      <c r="I233" s="18" t="n">
        <f aca="false">F233-G233-H233</f>
        <v>2481.22</v>
      </c>
      <c r="J233" s="18" t="n">
        <f aca="false">J232+I233</f>
        <v>14540.82</v>
      </c>
      <c r="K233" s="18" t="n">
        <f aca="false">MAX(K232,J233)</f>
        <v>14540.82</v>
      </c>
      <c r="L233" s="18" t="n">
        <f aca="false">K233-J233</f>
        <v>0</v>
      </c>
      <c r="M233" s="18" t="n">
        <f aca="false">MIN(Desain_Kolam!$B$21,MAX(0,M232+F233-H233-G233))</f>
        <v>14540.82</v>
      </c>
      <c r="N233" s="6" t="n">
        <f aca="false">IF(M232+F233-H233&gt;=G233,1,0)</f>
        <v>1</v>
      </c>
    </row>
    <row r="234" customFormat="false" ht="15" hidden="false" customHeight="false" outlineLevel="0" collapsed="false">
      <c r="A234" s="6" t="n">
        <v>2016</v>
      </c>
      <c r="B234" s="6" t="n">
        <v>6</v>
      </c>
      <c r="C234" s="4" t="n">
        <v>279</v>
      </c>
      <c r="D234" s="6" t="n">
        <v>30</v>
      </c>
      <c r="E234" s="4" t="n">
        <f aca="false">INDEX(Evaporasi!$B$3:$B$14,MATCH(B234,Evaporasi!$A$3:$A$14,0))</f>
        <v>120</v>
      </c>
      <c r="F234" s="18" t="n">
        <f aca="false">Kawasan!$B$11*Kawasan!$B$9*C234/1000</f>
        <v>2321.28</v>
      </c>
      <c r="G234" s="18" t="n">
        <f aca="false">Kawasan!$B$27*D234</f>
        <v>1612.8</v>
      </c>
      <c r="H234" s="18" t="n">
        <f aca="false">E234*Desain_Kolam!$B$16/1000</f>
        <v>128.7</v>
      </c>
      <c r="I234" s="18" t="n">
        <f aca="false">F234-G234-H234</f>
        <v>579.78</v>
      </c>
      <c r="J234" s="18" t="n">
        <f aca="false">J233+I234</f>
        <v>15120.6</v>
      </c>
      <c r="K234" s="18" t="n">
        <f aca="false">MAX(K233,J234)</f>
        <v>15120.6</v>
      </c>
      <c r="L234" s="18" t="n">
        <f aca="false">K234-J234</f>
        <v>0</v>
      </c>
      <c r="M234" s="18" t="n">
        <f aca="false">MIN(Desain_Kolam!$B$21,MAX(0,M233+F234-H234-G234))</f>
        <v>15120.6</v>
      </c>
      <c r="N234" s="6" t="n">
        <f aca="false">IF(M233+F234-H234&gt;=G234,1,0)</f>
        <v>1</v>
      </c>
    </row>
    <row r="235" customFormat="false" ht="15" hidden="false" customHeight="false" outlineLevel="0" collapsed="false">
      <c r="A235" s="6" t="n">
        <v>2016</v>
      </c>
      <c r="B235" s="6" t="n">
        <v>7</v>
      </c>
      <c r="C235" s="4" t="n">
        <v>254</v>
      </c>
      <c r="D235" s="6" t="n">
        <v>31</v>
      </c>
      <c r="E235" s="4" t="n">
        <f aca="false">INDEX(Evaporasi!$B$3:$B$14,MATCH(B235,Evaporasi!$A$3:$A$14,0))</f>
        <v>120</v>
      </c>
      <c r="F235" s="18" t="n">
        <f aca="false">Kawasan!$B$11*Kawasan!$B$9*C235/1000</f>
        <v>2113.28</v>
      </c>
      <c r="G235" s="18" t="n">
        <f aca="false">Kawasan!$B$27*D235</f>
        <v>1666.56</v>
      </c>
      <c r="H235" s="18" t="n">
        <f aca="false">E235*Desain_Kolam!$B$16/1000</f>
        <v>128.7</v>
      </c>
      <c r="I235" s="18" t="n">
        <f aca="false">F235-G235-H235</f>
        <v>318.02</v>
      </c>
      <c r="J235" s="18" t="n">
        <f aca="false">J234+I235</f>
        <v>15438.62</v>
      </c>
      <c r="K235" s="18" t="n">
        <f aca="false">MAX(K234,J235)</f>
        <v>15438.62</v>
      </c>
      <c r="L235" s="18" t="n">
        <f aca="false">K235-J235</f>
        <v>0</v>
      </c>
      <c r="M235" s="18" t="n">
        <f aca="false">MIN(Desain_Kolam!$B$21,MAX(0,M234+F235-H235-G235))</f>
        <v>15148.38</v>
      </c>
      <c r="N235" s="6" t="n">
        <f aca="false">IF(M234+F235-H235&gt;=G235,1,0)</f>
        <v>1</v>
      </c>
    </row>
    <row r="236" customFormat="false" ht="15" hidden="false" customHeight="false" outlineLevel="0" collapsed="false">
      <c r="A236" s="6" t="n">
        <v>2016</v>
      </c>
      <c r="B236" s="6" t="n">
        <v>8</v>
      </c>
      <c r="C236" s="4" t="n">
        <v>14</v>
      </c>
      <c r="D236" s="6" t="n">
        <v>31</v>
      </c>
      <c r="E236" s="4" t="n">
        <f aca="false">INDEX(Evaporasi!$B$3:$B$14,MATCH(B236,Evaporasi!$A$3:$A$14,0))</f>
        <v>120</v>
      </c>
      <c r="F236" s="18" t="n">
        <f aca="false">Kawasan!$B$11*Kawasan!$B$9*C236/1000</f>
        <v>116.48</v>
      </c>
      <c r="G236" s="18" t="n">
        <f aca="false">Kawasan!$B$27*D236</f>
        <v>1666.56</v>
      </c>
      <c r="H236" s="18" t="n">
        <f aca="false">E236*Desain_Kolam!$B$16/1000</f>
        <v>128.7</v>
      </c>
      <c r="I236" s="18" t="n">
        <f aca="false">F236-G236-H236</f>
        <v>-1678.78</v>
      </c>
      <c r="J236" s="18" t="n">
        <f aca="false">J235+I236</f>
        <v>13759.84</v>
      </c>
      <c r="K236" s="18" t="n">
        <f aca="false">MAX(K235,J236)</f>
        <v>15438.62</v>
      </c>
      <c r="L236" s="18" t="n">
        <f aca="false">K236-J236</f>
        <v>1678.78</v>
      </c>
      <c r="M236" s="18" t="n">
        <f aca="false">MIN(Desain_Kolam!$B$21,MAX(0,M235+F236-H236-G236))</f>
        <v>13469.6</v>
      </c>
      <c r="N236" s="6" t="n">
        <f aca="false">IF(M235+F236-H236&gt;=G236,1,0)</f>
        <v>1</v>
      </c>
    </row>
    <row r="237" customFormat="false" ht="15" hidden="false" customHeight="false" outlineLevel="0" collapsed="false">
      <c r="A237" s="6" t="n">
        <v>2016</v>
      </c>
      <c r="B237" s="6" t="n">
        <v>9</v>
      </c>
      <c r="C237" s="4" t="n">
        <v>200</v>
      </c>
      <c r="D237" s="6" t="n">
        <v>30</v>
      </c>
      <c r="E237" s="4" t="n">
        <f aca="false">INDEX(Evaporasi!$B$3:$B$14,MATCH(B237,Evaporasi!$A$3:$A$14,0))</f>
        <v>120</v>
      </c>
      <c r="F237" s="18" t="n">
        <f aca="false">Kawasan!$B$11*Kawasan!$B$9*C237/1000</f>
        <v>1664</v>
      </c>
      <c r="G237" s="18" t="n">
        <f aca="false">Kawasan!$B$27*D237</f>
        <v>1612.8</v>
      </c>
      <c r="H237" s="18" t="n">
        <f aca="false">E237*Desain_Kolam!$B$16/1000</f>
        <v>128.7</v>
      </c>
      <c r="I237" s="18" t="n">
        <f aca="false">F237-G237-H237</f>
        <v>-77.4999999999999</v>
      </c>
      <c r="J237" s="18" t="n">
        <f aca="false">J236+I237</f>
        <v>13682.34</v>
      </c>
      <c r="K237" s="18" t="n">
        <f aca="false">MAX(K236,J237)</f>
        <v>15438.62</v>
      </c>
      <c r="L237" s="18" t="n">
        <f aca="false">K237-J237</f>
        <v>1756.28</v>
      </c>
      <c r="M237" s="18" t="n">
        <f aca="false">MIN(Desain_Kolam!$B$21,MAX(0,M236+F237-H237-G237))</f>
        <v>13392.1</v>
      </c>
      <c r="N237" s="6" t="n">
        <f aca="false">IF(M236+F237-H237&gt;=G237,1,0)</f>
        <v>1</v>
      </c>
    </row>
    <row r="238" customFormat="false" ht="15" hidden="false" customHeight="false" outlineLevel="0" collapsed="false">
      <c r="A238" s="6" t="n">
        <v>2016</v>
      </c>
      <c r="B238" s="6" t="n">
        <v>10</v>
      </c>
      <c r="C238" s="4" t="n">
        <v>302</v>
      </c>
      <c r="D238" s="6" t="n">
        <v>31</v>
      </c>
      <c r="E238" s="4" t="n">
        <f aca="false">INDEX(Evaporasi!$B$3:$B$14,MATCH(B238,Evaporasi!$A$3:$A$14,0))</f>
        <v>120</v>
      </c>
      <c r="F238" s="18" t="n">
        <f aca="false">Kawasan!$B$11*Kawasan!$B$9*C238/1000</f>
        <v>2512.64</v>
      </c>
      <c r="G238" s="18" t="n">
        <f aca="false">Kawasan!$B$27*D238</f>
        <v>1666.56</v>
      </c>
      <c r="H238" s="18" t="n">
        <f aca="false">E238*Desain_Kolam!$B$16/1000</f>
        <v>128.7</v>
      </c>
      <c r="I238" s="18" t="n">
        <f aca="false">F238-G238-H238</f>
        <v>717.38</v>
      </c>
      <c r="J238" s="18" t="n">
        <f aca="false">J237+I238</f>
        <v>14399.72</v>
      </c>
      <c r="K238" s="18" t="n">
        <f aca="false">MAX(K237,J238)</f>
        <v>15438.62</v>
      </c>
      <c r="L238" s="18" t="n">
        <f aca="false">K238-J238</f>
        <v>1038.9</v>
      </c>
      <c r="M238" s="18" t="n">
        <f aca="false">MIN(Desain_Kolam!$B$21,MAX(0,M237+F238-H238-G238))</f>
        <v>14109.48</v>
      </c>
      <c r="N238" s="6" t="n">
        <f aca="false">IF(M237+F238-H238&gt;=G238,1,0)</f>
        <v>1</v>
      </c>
    </row>
    <row r="239" customFormat="false" ht="15" hidden="false" customHeight="false" outlineLevel="0" collapsed="false">
      <c r="A239" s="6" t="n">
        <v>2016</v>
      </c>
      <c r="B239" s="6" t="n">
        <v>11</v>
      </c>
      <c r="C239" s="4" t="n">
        <v>256</v>
      </c>
      <c r="D239" s="6" t="n">
        <v>30</v>
      </c>
      <c r="E239" s="4" t="n">
        <f aca="false">INDEX(Evaporasi!$B$3:$B$14,MATCH(B239,Evaporasi!$A$3:$A$14,0))</f>
        <v>120</v>
      </c>
      <c r="F239" s="18" t="n">
        <f aca="false">Kawasan!$B$11*Kawasan!$B$9*C239/1000</f>
        <v>2129.92</v>
      </c>
      <c r="G239" s="18" t="n">
        <f aca="false">Kawasan!$B$27*D239</f>
        <v>1612.8</v>
      </c>
      <c r="H239" s="18" t="n">
        <f aca="false">E239*Desain_Kolam!$B$16/1000</f>
        <v>128.7</v>
      </c>
      <c r="I239" s="18" t="n">
        <f aca="false">F239-G239-H239</f>
        <v>388.42</v>
      </c>
      <c r="J239" s="18" t="n">
        <f aca="false">J238+I239</f>
        <v>14788.14</v>
      </c>
      <c r="K239" s="18" t="n">
        <f aca="false">MAX(K238,J239)</f>
        <v>15438.62</v>
      </c>
      <c r="L239" s="18" t="n">
        <f aca="false">K239-J239</f>
        <v>650.480000000001</v>
      </c>
      <c r="M239" s="18" t="n">
        <f aca="false">MIN(Desain_Kolam!$B$21,MAX(0,M238+F239-H239-G239))</f>
        <v>14497.9</v>
      </c>
      <c r="N239" s="6" t="n">
        <f aca="false">IF(M238+F239-H239&gt;=G239,1,0)</f>
        <v>1</v>
      </c>
    </row>
    <row r="240" customFormat="false" ht="15" hidden="false" customHeight="false" outlineLevel="0" collapsed="false">
      <c r="A240" s="6" t="n">
        <v>2016</v>
      </c>
      <c r="B240" s="6" t="n">
        <v>12</v>
      </c>
      <c r="C240" s="4" t="n">
        <v>305</v>
      </c>
      <c r="D240" s="6" t="n">
        <v>31</v>
      </c>
      <c r="E240" s="4" t="n">
        <f aca="false">INDEX(Evaporasi!$B$3:$B$14,MATCH(B240,Evaporasi!$A$3:$A$14,0))</f>
        <v>120</v>
      </c>
      <c r="F240" s="18" t="n">
        <f aca="false">Kawasan!$B$11*Kawasan!$B$9*C240/1000</f>
        <v>2537.6</v>
      </c>
      <c r="G240" s="18" t="n">
        <f aca="false">Kawasan!$B$27*D240</f>
        <v>1666.56</v>
      </c>
      <c r="H240" s="18" t="n">
        <f aca="false">E240*Desain_Kolam!$B$16/1000</f>
        <v>128.7</v>
      </c>
      <c r="I240" s="18" t="n">
        <f aca="false">F240-G240-H240</f>
        <v>742.34</v>
      </c>
      <c r="J240" s="18" t="n">
        <f aca="false">J239+I240</f>
        <v>15530.48</v>
      </c>
      <c r="K240" s="18" t="n">
        <f aca="false">MAX(K239,J240)</f>
        <v>15530.48</v>
      </c>
      <c r="L240" s="18" t="n">
        <f aca="false">K240-J240</f>
        <v>0</v>
      </c>
      <c r="M240" s="18" t="n">
        <f aca="false">MIN(Desain_Kolam!$B$21,MAX(0,M239+F240-H240-G240))</f>
        <v>15148.38</v>
      </c>
      <c r="N240" s="6" t="n">
        <f aca="false">IF(M239+F240-H240&gt;=G240,1,0)</f>
        <v>1</v>
      </c>
    </row>
    <row r="241" customFormat="false" ht="15" hidden="false" customHeight="false" outlineLevel="0" collapsed="false">
      <c r="A241" s="6" t="n">
        <v>2017</v>
      </c>
      <c r="B241" s="6" t="n">
        <v>1</v>
      </c>
      <c r="C241" s="4" t="n">
        <v>212</v>
      </c>
      <c r="D241" s="6" t="n">
        <v>31</v>
      </c>
      <c r="E241" s="4" t="n">
        <f aca="false">INDEX(Evaporasi!$B$3:$B$14,MATCH(B241,Evaporasi!$A$3:$A$14,0))</f>
        <v>120</v>
      </c>
      <c r="F241" s="18" t="n">
        <f aca="false">Kawasan!$B$11*Kawasan!$B$9*C241/1000</f>
        <v>1763.84</v>
      </c>
      <c r="G241" s="18" t="n">
        <f aca="false">Kawasan!$B$27*D241</f>
        <v>1666.56</v>
      </c>
      <c r="H241" s="18" t="n">
        <f aca="false">E241*Desain_Kolam!$B$16/1000</f>
        <v>128.7</v>
      </c>
      <c r="I241" s="18" t="n">
        <f aca="false">F241-G241-H241</f>
        <v>-31.42</v>
      </c>
      <c r="J241" s="18" t="n">
        <f aca="false">J240+I241</f>
        <v>15499.06</v>
      </c>
      <c r="K241" s="18" t="n">
        <f aca="false">MAX(K240,J241)</f>
        <v>15530.48</v>
      </c>
      <c r="L241" s="18" t="n">
        <f aca="false">K241-J241</f>
        <v>31.4200000000001</v>
      </c>
      <c r="M241" s="18" t="n">
        <f aca="false">MIN(Desain_Kolam!$B$21,MAX(0,M240+F241-H241-G241))</f>
        <v>15116.96</v>
      </c>
      <c r="N241" s="6" t="n">
        <f aca="false">IF(M240+F241-H241&gt;=G241,1,0)</f>
        <v>1</v>
      </c>
    </row>
    <row r="242" customFormat="false" ht="15" hidden="false" customHeight="false" outlineLevel="0" collapsed="false">
      <c r="A242" s="6" t="n">
        <v>2017</v>
      </c>
      <c r="B242" s="6" t="n">
        <v>2</v>
      </c>
      <c r="C242" s="4" t="n">
        <v>198</v>
      </c>
      <c r="D242" s="6" t="n">
        <v>28</v>
      </c>
      <c r="E242" s="4" t="n">
        <f aca="false">INDEX(Evaporasi!$B$3:$B$14,MATCH(B242,Evaporasi!$A$3:$A$14,0))</f>
        <v>120</v>
      </c>
      <c r="F242" s="18" t="n">
        <f aca="false">Kawasan!$B$11*Kawasan!$B$9*C242/1000</f>
        <v>1647.36</v>
      </c>
      <c r="G242" s="18" t="n">
        <f aca="false">Kawasan!$B$27*D242</f>
        <v>1505.28</v>
      </c>
      <c r="H242" s="18" t="n">
        <f aca="false">E242*Desain_Kolam!$B$16/1000</f>
        <v>128.7</v>
      </c>
      <c r="I242" s="18" t="n">
        <f aca="false">F242-G242-H242</f>
        <v>13.3799999999999</v>
      </c>
      <c r="J242" s="18" t="n">
        <f aca="false">J241+I242</f>
        <v>15512.44</v>
      </c>
      <c r="K242" s="18" t="n">
        <f aca="false">MAX(K241,J242)</f>
        <v>15530.48</v>
      </c>
      <c r="L242" s="18" t="n">
        <f aca="false">K242-J242</f>
        <v>18.0400000000009</v>
      </c>
      <c r="M242" s="18" t="n">
        <f aca="false">MIN(Desain_Kolam!$B$21,MAX(0,M241+F242-H242-G242))</f>
        <v>15130.34</v>
      </c>
      <c r="N242" s="6" t="n">
        <f aca="false">IF(M241+F242-H242&gt;=G242,1,0)</f>
        <v>1</v>
      </c>
    </row>
    <row r="243" customFormat="false" ht="15" hidden="false" customHeight="false" outlineLevel="0" collapsed="false">
      <c r="A243" s="6" t="n">
        <v>2017</v>
      </c>
      <c r="B243" s="6" t="n">
        <v>3</v>
      </c>
      <c r="C243" s="4" t="n">
        <v>310</v>
      </c>
      <c r="D243" s="6" t="n">
        <v>31</v>
      </c>
      <c r="E243" s="4" t="n">
        <f aca="false">INDEX(Evaporasi!$B$3:$B$14,MATCH(B243,Evaporasi!$A$3:$A$14,0))</f>
        <v>120</v>
      </c>
      <c r="F243" s="18" t="n">
        <f aca="false">Kawasan!$B$11*Kawasan!$B$9*C243/1000</f>
        <v>2579.2</v>
      </c>
      <c r="G243" s="18" t="n">
        <f aca="false">Kawasan!$B$27*D243</f>
        <v>1666.56</v>
      </c>
      <c r="H243" s="18" t="n">
        <f aca="false">E243*Desain_Kolam!$B$16/1000</f>
        <v>128.7</v>
      </c>
      <c r="I243" s="18" t="n">
        <f aca="false">F243-G243-H243</f>
        <v>783.94</v>
      </c>
      <c r="J243" s="18" t="n">
        <f aca="false">J242+I243</f>
        <v>16296.38</v>
      </c>
      <c r="K243" s="18" t="n">
        <f aca="false">MAX(K242,J243)</f>
        <v>16296.38</v>
      </c>
      <c r="L243" s="18" t="n">
        <f aca="false">K243-J243</f>
        <v>0</v>
      </c>
      <c r="M243" s="18" t="n">
        <f aca="false">MIN(Desain_Kolam!$B$21,MAX(0,M242+F243-H243-G243))</f>
        <v>15148.38</v>
      </c>
      <c r="N243" s="6" t="n">
        <f aca="false">IF(M242+F243-H243&gt;=G243,1,0)</f>
        <v>1</v>
      </c>
    </row>
    <row r="244" customFormat="false" ht="15" hidden="false" customHeight="false" outlineLevel="0" collapsed="false">
      <c r="A244" s="6" t="n">
        <v>2017</v>
      </c>
      <c r="B244" s="6" t="n">
        <v>4</v>
      </c>
      <c r="C244" s="4" t="n">
        <v>216</v>
      </c>
      <c r="D244" s="6" t="n">
        <v>30</v>
      </c>
      <c r="E244" s="4" t="n">
        <f aca="false">INDEX(Evaporasi!$B$3:$B$14,MATCH(B244,Evaporasi!$A$3:$A$14,0))</f>
        <v>120</v>
      </c>
      <c r="F244" s="18" t="n">
        <f aca="false">Kawasan!$B$11*Kawasan!$B$9*C244/1000</f>
        <v>1797.12</v>
      </c>
      <c r="G244" s="18" t="n">
        <f aca="false">Kawasan!$B$27*D244</f>
        <v>1612.8</v>
      </c>
      <c r="H244" s="18" t="n">
        <f aca="false">E244*Desain_Kolam!$B$16/1000</f>
        <v>128.7</v>
      </c>
      <c r="I244" s="18" t="n">
        <f aca="false">F244-G244-H244</f>
        <v>55.62</v>
      </c>
      <c r="J244" s="18" t="n">
        <f aca="false">J243+I244</f>
        <v>16352</v>
      </c>
      <c r="K244" s="18" t="n">
        <f aca="false">MAX(K243,J244)</f>
        <v>16352</v>
      </c>
      <c r="L244" s="18" t="n">
        <f aca="false">K244-J244</f>
        <v>0</v>
      </c>
      <c r="M244" s="18" t="n">
        <f aca="false">MIN(Desain_Kolam!$B$21,MAX(0,M243+F244-H244-G244))</f>
        <v>15148.38</v>
      </c>
      <c r="N244" s="6" t="n">
        <f aca="false">IF(M243+F244-H244&gt;=G244,1,0)</f>
        <v>1</v>
      </c>
    </row>
    <row r="245" customFormat="false" ht="15" hidden="false" customHeight="false" outlineLevel="0" collapsed="false">
      <c r="A245" s="6" t="n">
        <v>2017</v>
      </c>
      <c r="B245" s="6" t="n">
        <v>5</v>
      </c>
      <c r="C245" s="4" t="n">
        <v>314</v>
      </c>
      <c r="D245" s="6" t="n">
        <v>31</v>
      </c>
      <c r="E245" s="4" t="n">
        <f aca="false">INDEX(Evaporasi!$B$3:$B$14,MATCH(B245,Evaporasi!$A$3:$A$14,0))</f>
        <v>120</v>
      </c>
      <c r="F245" s="18" t="n">
        <f aca="false">Kawasan!$B$11*Kawasan!$B$9*C245/1000</f>
        <v>2612.48</v>
      </c>
      <c r="G245" s="18" t="n">
        <f aca="false">Kawasan!$B$27*D245</f>
        <v>1666.56</v>
      </c>
      <c r="H245" s="18" t="n">
        <f aca="false">E245*Desain_Kolam!$B$16/1000</f>
        <v>128.7</v>
      </c>
      <c r="I245" s="18" t="n">
        <f aca="false">F245-G245-H245</f>
        <v>817.22</v>
      </c>
      <c r="J245" s="18" t="n">
        <f aca="false">J244+I245</f>
        <v>17169.22</v>
      </c>
      <c r="K245" s="18" t="n">
        <f aca="false">MAX(K244,J245)</f>
        <v>17169.22</v>
      </c>
      <c r="L245" s="18" t="n">
        <f aca="false">K245-J245</f>
        <v>0</v>
      </c>
      <c r="M245" s="18" t="n">
        <f aca="false">MIN(Desain_Kolam!$B$21,MAX(0,M244+F245-H245-G245))</f>
        <v>15148.38</v>
      </c>
      <c r="N245" s="6" t="n">
        <f aca="false">IF(M244+F245-H245&gt;=G245,1,0)</f>
        <v>1</v>
      </c>
    </row>
    <row r="246" customFormat="false" ht="15" hidden="false" customHeight="false" outlineLevel="0" collapsed="false">
      <c r="A246" s="6" t="n">
        <v>2017</v>
      </c>
      <c r="B246" s="6" t="n">
        <v>6</v>
      </c>
      <c r="C246" s="4" t="n">
        <v>248</v>
      </c>
      <c r="D246" s="6" t="n">
        <v>30</v>
      </c>
      <c r="E246" s="4" t="n">
        <f aca="false">INDEX(Evaporasi!$B$3:$B$14,MATCH(B246,Evaporasi!$A$3:$A$14,0))</f>
        <v>120</v>
      </c>
      <c r="F246" s="18" t="n">
        <f aca="false">Kawasan!$B$11*Kawasan!$B$9*C246/1000</f>
        <v>2063.36</v>
      </c>
      <c r="G246" s="18" t="n">
        <f aca="false">Kawasan!$B$27*D246</f>
        <v>1612.8</v>
      </c>
      <c r="H246" s="18" t="n">
        <f aca="false">E246*Desain_Kolam!$B$16/1000</f>
        <v>128.7</v>
      </c>
      <c r="I246" s="18" t="n">
        <f aca="false">F246-G246-H246</f>
        <v>321.86</v>
      </c>
      <c r="J246" s="18" t="n">
        <f aca="false">J245+I246</f>
        <v>17491.08</v>
      </c>
      <c r="K246" s="18" t="n">
        <f aca="false">MAX(K245,J246)</f>
        <v>17491.08</v>
      </c>
      <c r="L246" s="18" t="n">
        <f aca="false">K246-J246</f>
        <v>0</v>
      </c>
      <c r="M246" s="18" t="n">
        <f aca="false">MIN(Desain_Kolam!$B$21,MAX(0,M245+F246-H246-G246))</f>
        <v>15148.38</v>
      </c>
      <c r="N246" s="6" t="n">
        <f aca="false">IF(M245+F246-H246&gt;=G246,1,0)</f>
        <v>1</v>
      </c>
    </row>
    <row r="247" customFormat="false" ht="15" hidden="false" customHeight="false" outlineLevel="0" collapsed="false">
      <c r="A247" s="6" t="n">
        <v>2017</v>
      </c>
      <c r="B247" s="6" t="n">
        <v>7</v>
      </c>
      <c r="C247" s="4" t="n">
        <v>279</v>
      </c>
      <c r="D247" s="6" t="n">
        <v>31</v>
      </c>
      <c r="E247" s="4" t="n">
        <f aca="false">INDEX(Evaporasi!$B$3:$B$14,MATCH(B247,Evaporasi!$A$3:$A$14,0))</f>
        <v>120</v>
      </c>
      <c r="F247" s="18" t="n">
        <f aca="false">Kawasan!$B$11*Kawasan!$B$9*C247/1000</f>
        <v>2321.28</v>
      </c>
      <c r="G247" s="18" t="n">
        <f aca="false">Kawasan!$B$27*D247</f>
        <v>1666.56</v>
      </c>
      <c r="H247" s="18" t="n">
        <f aca="false">E247*Desain_Kolam!$B$16/1000</f>
        <v>128.7</v>
      </c>
      <c r="I247" s="18" t="n">
        <f aca="false">F247-G247-H247</f>
        <v>526.02</v>
      </c>
      <c r="J247" s="18" t="n">
        <f aca="false">J246+I247</f>
        <v>18017.1</v>
      </c>
      <c r="K247" s="18" t="n">
        <f aca="false">MAX(K246,J247)</f>
        <v>18017.1</v>
      </c>
      <c r="L247" s="18" t="n">
        <f aca="false">K247-J247</f>
        <v>0</v>
      </c>
      <c r="M247" s="18" t="n">
        <f aca="false">MIN(Desain_Kolam!$B$21,MAX(0,M246+F247-H247-G247))</f>
        <v>15148.38</v>
      </c>
      <c r="N247" s="6" t="n">
        <f aca="false">IF(M246+F247-H247&gt;=G247,1,0)</f>
        <v>1</v>
      </c>
    </row>
    <row r="248" customFormat="false" ht="15" hidden="false" customHeight="false" outlineLevel="0" collapsed="false">
      <c r="A248" s="6" t="n">
        <v>2017</v>
      </c>
      <c r="B248" s="6" t="n">
        <v>8</v>
      </c>
      <c r="C248" s="4" t="n">
        <v>321</v>
      </c>
      <c r="D248" s="6" t="n">
        <v>31</v>
      </c>
      <c r="E248" s="4" t="n">
        <f aca="false">INDEX(Evaporasi!$B$3:$B$14,MATCH(B248,Evaporasi!$A$3:$A$14,0))</f>
        <v>120</v>
      </c>
      <c r="F248" s="18" t="n">
        <f aca="false">Kawasan!$B$11*Kawasan!$B$9*C248/1000</f>
        <v>2670.72</v>
      </c>
      <c r="G248" s="18" t="n">
        <f aca="false">Kawasan!$B$27*D248</f>
        <v>1666.56</v>
      </c>
      <c r="H248" s="18" t="n">
        <f aca="false">E248*Desain_Kolam!$B$16/1000</f>
        <v>128.7</v>
      </c>
      <c r="I248" s="18" t="n">
        <f aca="false">F248-G248-H248</f>
        <v>875.46</v>
      </c>
      <c r="J248" s="18" t="n">
        <f aca="false">J247+I248</f>
        <v>18892.56</v>
      </c>
      <c r="K248" s="18" t="n">
        <f aca="false">MAX(K247,J248)</f>
        <v>18892.56</v>
      </c>
      <c r="L248" s="18" t="n">
        <f aca="false">K248-J248</f>
        <v>0</v>
      </c>
      <c r="M248" s="18" t="n">
        <f aca="false">MIN(Desain_Kolam!$B$21,MAX(0,M247+F248-H248-G248))</f>
        <v>15148.38</v>
      </c>
      <c r="N248" s="6" t="n">
        <f aca="false">IF(M247+F248-H248&gt;=G248,1,0)</f>
        <v>1</v>
      </c>
    </row>
    <row r="249" customFormat="false" ht="15" hidden="false" customHeight="false" outlineLevel="0" collapsed="false">
      <c r="A249" s="6" t="n">
        <v>2017</v>
      </c>
      <c r="B249" s="6" t="n">
        <v>9</v>
      </c>
      <c r="C249" s="4" t="n">
        <v>122</v>
      </c>
      <c r="D249" s="6" t="n">
        <v>30</v>
      </c>
      <c r="E249" s="4" t="n">
        <f aca="false">INDEX(Evaporasi!$B$3:$B$14,MATCH(B249,Evaporasi!$A$3:$A$14,0))</f>
        <v>120</v>
      </c>
      <c r="F249" s="18" t="n">
        <f aca="false">Kawasan!$B$11*Kawasan!$B$9*C249/1000</f>
        <v>1015.04</v>
      </c>
      <c r="G249" s="18" t="n">
        <f aca="false">Kawasan!$B$27*D249</f>
        <v>1612.8</v>
      </c>
      <c r="H249" s="18" t="n">
        <f aca="false">E249*Desain_Kolam!$B$16/1000</f>
        <v>128.7</v>
      </c>
      <c r="I249" s="18" t="n">
        <f aca="false">F249-G249-H249</f>
        <v>-726.46</v>
      </c>
      <c r="J249" s="18" t="n">
        <f aca="false">J248+I249</f>
        <v>18166.1</v>
      </c>
      <c r="K249" s="18" t="n">
        <f aca="false">MAX(K248,J249)</f>
        <v>18892.56</v>
      </c>
      <c r="L249" s="18" t="n">
        <f aca="false">K249-J249</f>
        <v>726.459999999999</v>
      </c>
      <c r="M249" s="18" t="n">
        <f aca="false">MIN(Desain_Kolam!$B$21,MAX(0,M248+F249-H249-G249))</f>
        <v>14421.92</v>
      </c>
      <c r="N249" s="6" t="n">
        <f aca="false">IF(M248+F249-H249&gt;=G249,1,0)</f>
        <v>1</v>
      </c>
    </row>
    <row r="250" customFormat="false" ht="15" hidden="false" customHeight="false" outlineLevel="0" collapsed="false">
      <c r="A250" s="6" t="n">
        <v>2017</v>
      </c>
      <c r="B250" s="6" t="n">
        <v>10</v>
      </c>
      <c r="C250" s="4" t="n">
        <v>107</v>
      </c>
      <c r="D250" s="6" t="n">
        <v>31</v>
      </c>
      <c r="E250" s="4" t="n">
        <f aca="false">INDEX(Evaporasi!$B$3:$B$14,MATCH(B250,Evaporasi!$A$3:$A$14,0))</f>
        <v>120</v>
      </c>
      <c r="F250" s="18" t="n">
        <f aca="false">Kawasan!$B$11*Kawasan!$B$9*C250/1000</f>
        <v>890.24</v>
      </c>
      <c r="G250" s="18" t="n">
        <f aca="false">Kawasan!$B$27*D250</f>
        <v>1666.56</v>
      </c>
      <c r="H250" s="18" t="n">
        <f aca="false">E250*Desain_Kolam!$B$16/1000</f>
        <v>128.7</v>
      </c>
      <c r="I250" s="18" t="n">
        <f aca="false">F250-G250-H250</f>
        <v>-905.02</v>
      </c>
      <c r="J250" s="18" t="n">
        <f aca="false">J249+I250</f>
        <v>17261.08</v>
      </c>
      <c r="K250" s="18" t="n">
        <f aca="false">MAX(K249,J250)</f>
        <v>18892.56</v>
      </c>
      <c r="L250" s="18" t="n">
        <f aca="false">K250-J250</f>
        <v>1631.48</v>
      </c>
      <c r="M250" s="18" t="n">
        <f aca="false">MIN(Desain_Kolam!$B$21,MAX(0,M249+F250-H250-G250))</f>
        <v>13516.9</v>
      </c>
      <c r="N250" s="6" t="n">
        <f aca="false">IF(M249+F250-H250&gt;=G250,1,0)</f>
        <v>1</v>
      </c>
    </row>
    <row r="251" customFormat="false" ht="15" hidden="false" customHeight="false" outlineLevel="0" collapsed="false">
      <c r="A251" s="6" t="n">
        <v>2017</v>
      </c>
      <c r="B251" s="6" t="n">
        <v>11</v>
      </c>
      <c r="C251" s="4" t="n">
        <v>184</v>
      </c>
      <c r="D251" s="6" t="n">
        <v>30</v>
      </c>
      <c r="E251" s="4" t="n">
        <f aca="false">INDEX(Evaporasi!$B$3:$B$14,MATCH(B251,Evaporasi!$A$3:$A$14,0))</f>
        <v>120</v>
      </c>
      <c r="F251" s="18" t="n">
        <f aca="false">Kawasan!$B$11*Kawasan!$B$9*C251/1000</f>
        <v>1530.88</v>
      </c>
      <c r="G251" s="18" t="n">
        <f aca="false">Kawasan!$B$27*D251</f>
        <v>1612.8</v>
      </c>
      <c r="H251" s="18" t="n">
        <f aca="false">E251*Desain_Kolam!$B$16/1000</f>
        <v>128.7</v>
      </c>
      <c r="I251" s="18" t="n">
        <f aca="false">F251-G251-H251</f>
        <v>-210.62</v>
      </c>
      <c r="J251" s="18" t="n">
        <f aca="false">J250+I251</f>
        <v>17050.46</v>
      </c>
      <c r="K251" s="18" t="n">
        <f aca="false">MAX(K250,J251)</f>
        <v>18892.56</v>
      </c>
      <c r="L251" s="18" t="n">
        <f aca="false">K251-J251</f>
        <v>1842.1</v>
      </c>
      <c r="M251" s="18" t="n">
        <f aca="false">MIN(Desain_Kolam!$B$21,MAX(0,M250+F251-H251-G251))</f>
        <v>13306.28</v>
      </c>
      <c r="N251" s="6" t="n">
        <f aca="false">IF(M250+F251-H251&gt;=G251,1,0)</f>
        <v>1</v>
      </c>
    </row>
    <row r="252" customFormat="false" ht="15" hidden="false" customHeight="false" outlineLevel="0" collapsed="false">
      <c r="A252" s="6" t="n">
        <v>2017</v>
      </c>
      <c r="B252" s="6" t="n">
        <v>12</v>
      </c>
      <c r="C252" s="4" t="n">
        <v>120</v>
      </c>
      <c r="D252" s="6" t="n">
        <v>31</v>
      </c>
      <c r="E252" s="4" t="n">
        <f aca="false">INDEX(Evaporasi!$B$3:$B$14,MATCH(B252,Evaporasi!$A$3:$A$14,0))</f>
        <v>120</v>
      </c>
      <c r="F252" s="18" t="n">
        <f aca="false">Kawasan!$B$11*Kawasan!$B$9*C252/1000</f>
        <v>998.4</v>
      </c>
      <c r="G252" s="18" t="n">
        <f aca="false">Kawasan!$B$27*D252</f>
        <v>1666.56</v>
      </c>
      <c r="H252" s="18" t="n">
        <f aca="false">E252*Desain_Kolam!$B$16/1000</f>
        <v>128.7</v>
      </c>
      <c r="I252" s="18" t="n">
        <f aca="false">F252-G252-H252</f>
        <v>-796.86</v>
      </c>
      <c r="J252" s="18" t="n">
        <f aca="false">J251+I252</f>
        <v>16253.6</v>
      </c>
      <c r="K252" s="18" t="n">
        <f aca="false">MAX(K251,J252)</f>
        <v>18892.56</v>
      </c>
      <c r="L252" s="18" t="n">
        <f aca="false">K252-J252</f>
        <v>2638.96</v>
      </c>
      <c r="M252" s="18" t="n">
        <f aca="false">MIN(Desain_Kolam!$B$21,MAX(0,M251+F252-H252-G252))</f>
        <v>12509.42</v>
      </c>
      <c r="N252" s="6" t="n">
        <f aca="false">IF(M251+F252-H252&gt;=G252,1,0)</f>
        <v>1</v>
      </c>
    </row>
    <row r="253" customFormat="false" ht="15" hidden="false" customHeight="false" outlineLevel="0" collapsed="false">
      <c r="A253" s="6" t="n">
        <v>2018</v>
      </c>
      <c r="B253" s="6" t="n">
        <v>1</v>
      </c>
      <c r="C253" s="4" t="n">
        <v>220</v>
      </c>
      <c r="D253" s="6" t="n">
        <v>31</v>
      </c>
      <c r="E253" s="4" t="n">
        <f aca="false">INDEX(Evaporasi!$B$3:$B$14,MATCH(B253,Evaporasi!$A$3:$A$14,0))</f>
        <v>120</v>
      </c>
      <c r="F253" s="18" t="n">
        <f aca="false">Kawasan!$B$11*Kawasan!$B$9*C253/1000</f>
        <v>1830.4</v>
      </c>
      <c r="G253" s="18" t="n">
        <f aca="false">Kawasan!$B$27*D253</f>
        <v>1666.56</v>
      </c>
      <c r="H253" s="18" t="n">
        <f aca="false">E253*Desain_Kolam!$B$16/1000</f>
        <v>128.7</v>
      </c>
      <c r="I253" s="18" t="n">
        <f aca="false">F253-G253-H253</f>
        <v>35.1400000000002</v>
      </c>
      <c r="J253" s="18" t="n">
        <f aca="false">J252+I253</f>
        <v>16288.74</v>
      </c>
      <c r="K253" s="18" t="n">
        <f aca="false">MAX(K252,J253)</f>
        <v>18892.56</v>
      </c>
      <c r="L253" s="18" t="n">
        <f aca="false">K253-J253</f>
        <v>2603.82</v>
      </c>
      <c r="M253" s="18" t="n">
        <f aca="false">MIN(Desain_Kolam!$B$21,MAX(0,M252+F253-H253-G253))</f>
        <v>12544.56</v>
      </c>
      <c r="N253" s="6" t="n">
        <f aca="false">IF(M252+F253-H253&gt;=G253,1,0)</f>
        <v>1</v>
      </c>
    </row>
    <row r="254" customFormat="false" ht="15" hidden="false" customHeight="false" outlineLevel="0" collapsed="false">
      <c r="A254" s="6" t="n">
        <v>2018</v>
      </c>
      <c r="B254" s="6" t="n">
        <v>2</v>
      </c>
      <c r="C254" s="4" t="n">
        <v>93</v>
      </c>
      <c r="D254" s="6" t="n">
        <v>28</v>
      </c>
      <c r="E254" s="4" t="n">
        <f aca="false">INDEX(Evaporasi!$B$3:$B$14,MATCH(B254,Evaporasi!$A$3:$A$14,0))</f>
        <v>120</v>
      </c>
      <c r="F254" s="18" t="n">
        <f aca="false">Kawasan!$B$11*Kawasan!$B$9*C254/1000</f>
        <v>773.76</v>
      </c>
      <c r="G254" s="18" t="n">
        <f aca="false">Kawasan!$B$27*D254</f>
        <v>1505.28</v>
      </c>
      <c r="H254" s="18" t="n">
        <f aca="false">E254*Desain_Kolam!$B$16/1000</f>
        <v>128.7</v>
      </c>
      <c r="I254" s="18" t="n">
        <f aca="false">F254-G254-H254</f>
        <v>-860.22</v>
      </c>
      <c r="J254" s="18" t="n">
        <f aca="false">J253+I254</f>
        <v>15428.52</v>
      </c>
      <c r="K254" s="18" t="n">
        <f aca="false">MAX(K253,J254)</f>
        <v>18892.56</v>
      </c>
      <c r="L254" s="18" t="n">
        <f aca="false">K254-J254</f>
        <v>3464.04</v>
      </c>
      <c r="M254" s="18" t="n">
        <f aca="false">MIN(Desain_Kolam!$B$21,MAX(0,M253+F254-H254-G254))</f>
        <v>11684.34</v>
      </c>
      <c r="N254" s="6" t="n">
        <f aca="false">IF(M253+F254-H254&gt;=G254,1,0)</f>
        <v>1</v>
      </c>
    </row>
    <row r="255" customFormat="false" ht="15" hidden="false" customHeight="false" outlineLevel="0" collapsed="false">
      <c r="A255" s="6" t="n">
        <v>2018</v>
      </c>
      <c r="B255" s="6" t="n">
        <v>3</v>
      </c>
      <c r="C255" s="4" t="n">
        <v>162</v>
      </c>
      <c r="D255" s="6" t="n">
        <v>31</v>
      </c>
      <c r="E255" s="4" t="n">
        <f aca="false">INDEX(Evaporasi!$B$3:$B$14,MATCH(B255,Evaporasi!$A$3:$A$14,0))</f>
        <v>120</v>
      </c>
      <c r="F255" s="18" t="n">
        <f aca="false">Kawasan!$B$11*Kawasan!$B$9*C255/1000</f>
        <v>1347.84</v>
      </c>
      <c r="G255" s="18" t="n">
        <f aca="false">Kawasan!$B$27*D255</f>
        <v>1666.56</v>
      </c>
      <c r="H255" s="18" t="n">
        <f aca="false">E255*Desain_Kolam!$B$16/1000</f>
        <v>128.7</v>
      </c>
      <c r="I255" s="18" t="n">
        <f aca="false">F255-G255-H255</f>
        <v>-447.42</v>
      </c>
      <c r="J255" s="18" t="n">
        <f aca="false">J254+I255</f>
        <v>14981.1</v>
      </c>
      <c r="K255" s="18" t="n">
        <f aca="false">MAX(K254,J255)</f>
        <v>18892.56</v>
      </c>
      <c r="L255" s="18" t="n">
        <f aca="false">K255-J255</f>
        <v>3911.46</v>
      </c>
      <c r="M255" s="18" t="n">
        <f aca="false">MIN(Desain_Kolam!$B$21,MAX(0,M254+F255-H255-G255))</f>
        <v>11236.92</v>
      </c>
      <c r="N255" s="6" t="n">
        <f aca="false">IF(M254+F255-H255&gt;=G255,1,0)</f>
        <v>1</v>
      </c>
    </row>
    <row r="256" customFormat="false" ht="15" hidden="false" customHeight="false" outlineLevel="0" collapsed="false">
      <c r="A256" s="6" t="n">
        <v>2018</v>
      </c>
      <c r="B256" s="6" t="n">
        <v>4</v>
      </c>
      <c r="C256" s="4" t="n">
        <v>135</v>
      </c>
      <c r="D256" s="6" t="n">
        <v>30</v>
      </c>
      <c r="E256" s="4" t="n">
        <f aca="false">INDEX(Evaporasi!$B$3:$B$14,MATCH(B256,Evaporasi!$A$3:$A$14,0))</f>
        <v>120</v>
      </c>
      <c r="F256" s="18" t="n">
        <f aca="false">Kawasan!$B$11*Kawasan!$B$9*C256/1000</f>
        <v>1123.2</v>
      </c>
      <c r="G256" s="18" t="n">
        <f aca="false">Kawasan!$B$27*D256</f>
        <v>1612.8</v>
      </c>
      <c r="H256" s="18" t="n">
        <f aca="false">E256*Desain_Kolam!$B$16/1000</f>
        <v>128.7</v>
      </c>
      <c r="I256" s="18" t="n">
        <f aca="false">F256-G256-H256</f>
        <v>-618.3</v>
      </c>
      <c r="J256" s="18" t="n">
        <f aca="false">J255+I256</f>
        <v>14362.8</v>
      </c>
      <c r="K256" s="18" t="n">
        <f aca="false">MAX(K255,J256)</f>
        <v>18892.56</v>
      </c>
      <c r="L256" s="18" t="n">
        <f aca="false">K256-J256</f>
        <v>4529.76</v>
      </c>
      <c r="M256" s="18" t="n">
        <f aca="false">MIN(Desain_Kolam!$B$21,MAX(0,M255+F256-H256-G256))</f>
        <v>10618.62</v>
      </c>
      <c r="N256" s="6" t="n">
        <f aca="false">IF(M255+F256-H256&gt;=G256,1,0)</f>
        <v>1</v>
      </c>
    </row>
    <row r="257" customFormat="false" ht="15" hidden="false" customHeight="false" outlineLevel="0" collapsed="false">
      <c r="A257" s="6" t="n">
        <v>2018</v>
      </c>
      <c r="B257" s="6" t="n">
        <v>5</v>
      </c>
      <c r="C257" s="4" t="n">
        <v>214</v>
      </c>
      <c r="D257" s="6" t="n">
        <v>31</v>
      </c>
      <c r="E257" s="4" t="n">
        <f aca="false">INDEX(Evaporasi!$B$3:$B$14,MATCH(B257,Evaporasi!$A$3:$A$14,0))</f>
        <v>120</v>
      </c>
      <c r="F257" s="18" t="n">
        <f aca="false">Kawasan!$B$11*Kawasan!$B$9*C257/1000</f>
        <v>1780.48</v>
      </c>
      <c r="G257" s="18" t="n">
        <f aca="false">Kawasan!$B$27*D257</f>
        <v>1666.56</v>
      </c>
      <c r="H257" s="18" t="n">
        <f aca="false">E257*Desain_Kolam!$B$16/1000</f>
        <v>128.7</v>
      </c>
      <c r="I257" s="18" t="n">
        <f aca="false">F257-G257-H257</f>
        <v>-14.7799999999999</v>
      </c>
      <c r="J257" s="18" t="n">
        <f aca="false">J256+I257</f>
        <v>14348.02</v>
      </c>
      <c r="K257" s="18" t="n">
        <f aca="false">MAX(K256,J257)</f>
        <v>18892.56</v>
      </c>
      <c r="L257" s="18" t="n">
        <f aca="false">K257-J257</f>
        <v>4544.54</v>
      </c>
      <c r="M257" s="18" t="n">
        <f aca="false">MIN(Desain_Kolam!$B$21,MAX(0,M256+F257-H257-G257))</f>
        <v>10603.84</v>
      </c>
      <c r="N257" s="6" t="n">
        <f aca="false">IF(M256+F257-H257&gt;=G257,1,0)</f>
        <v>1</v>
      </c>
    </row>
    <row r="258" customFormat="false" ht="15" hidden="false" customHeight="false" outlineLevel="0" collapsed="false">
      <c r="A258" s="6" t="n">
        <v>2018</v>
      </c>
      <c r="B258" s="6" t="n">
        <v>6</v>
      </c>
      <c r="C258" s="4" t="n">
        <v>125</v>
      </c>
      <c r="D258" s="6" t="n">
        <v>30</v>
      </c>
      <c r="E258" s="4" t="n">
        <f aca="false">INDEX(Evaporasi!$B$3:$B$14,MATCH(B258,Evaporasi!$A$3:$A$14,0))</f>
        <v>120</v>
      </c>
      <c r="F258" s="18" t="n">
        <f aca="false">Kawasan!$B$11*Kawasan!$B$9*C258/1000</f>
        <v>1040</v>
      </c>
      <c r="G258" s="18" t="n">
        <f aca="false">Kawasan!$B$27*D258</f>
        <v>1612.8</v>
      </c>
      <c r="H258" s="18" t="n">
        <f aca="false">E258*Desain_Kolam!$B$16/1000</f>
        <v>128.7</v>
      </c>
      <c r="I258" s="18" t="n">
        <f aca="false">F258-G258-H258</f>
        <v>-701.5</v>
      </c>
      <c r="J258" s="18" t="n">
        <f aca="false">J257+I258</f>
        <v>13646.52</v>
      </c>
      <c r="K258" s="18" t="n">
        <f aca="false">MAX(K257,J258)</f>
        <v>18892.56</v>
      </c>
      <c r="L258" s="18" t="n">
        <f aca="false">K258-J258</f>
        <v>5246.04</v>
      </c>
      <c r="M258" s="18" t="n">
        <f aca="false">MIN(Desain_Kolam!$B$21,MAX(0,M257+F258-H258-G258))</f>
        <v>9902.34</v>
      </c>
      <c r="N258" s="6" t="n">
        <f aca="false">IF(M257+F258-H258&gt;=G258,1,0)</f>
        <v>1</v>
      </c>
    </row>
    <row r="259" customFormat="false" ht="15" hidden="false" customHeight="false" outlineLevel="0" collapsed="false">
      <c r="A259" s="6" t="n">
        <v>2018</v>
      </c>
      <c r="B259" s="6" t="n">
        <v>7</v>
      </c>
      <c r="C259" s="4" t="n">
        <v>24</v>
      </c>
      <c r="D259" s="6" t="n">
        <v>31</v>
      </c>
      <c r="E259" s="4" t="n">
        <f aca="false">INDEX(Evaporasi!$B$3:$B$14,MATCH(B259,Evaporasi!$A$3:$A$14,0))</f>
        <v>120</v>
      </c>
      <c r="F259" s="18" t="n">
        <f aca="false">Kawasan!$B$11*Kawasan!$B$9*C259/1000</f>
        <v>199.68</v>
      </c>
      <c r="G259" s="18" t="n">
        <f aca="false">Kawasan!$B$27*D259</f>
        <v>1666.56</v>
      </c>
      <c r="H259" s="18" t="n">
        <f aca="false">E259*Desain_Kolam!$B$16/1000</f>
        <v>128.7</v>
      </c>
      <c r="I259" s="18" t="n">
        <f aca="false">F259-G259-H259</f>
        <v>-1595.58</v>
      </c>
      <c r="J259" s="18" t="n">
        <f aca="false">J258+I259</f>
        <v>12050.94</v>
      </c>
      <c r="K259" s="18" t="n">
        <f aca="false">MAX(K258,J259)</f>
        <v>18892.56</v>
      </c>
      <c r="L259" s="18" t="n">
        <f aca="false">K259-J259</f>
        <v>6841.62</v>
      </c>
      <c r="M259" s="18" t="n">
        <f aca="false">MIN(Desain_Kolam!$B$21,MAX(0,M258+F259-H259-G259))</f>
        <v>8306.76</v>
      </c>
      <c r="N259" s="6" t="n">
        <f aca="false">IF(M258+F259-H259&gt;=G259,1,0)</f>
        <v>1</v>
      </c>
    </row>
    <row r="260" customFormat="false" ht="15" hidden="false" customHeight="false" outlineLevel="0" collapsed="false">
      <c r="A260" s="6" t="n">
        <v>2018</v>
      </c>
      <c r="B260" s="6" t="n">
        <v>8</v>
      </c>
      <c r="C260" s="4" t="n">
        <v>48</v>
      </c>
      <c r="D260" s="6" t="n">
        <v>31</v>
      </c>
      <c r="E260" s="4" t="n">
        <f aca="false">INDEX(Evaporasi!$B$3:$B$14,MATCH(B260,Evaporasi!$A$3:$A$14,0))</f>
        <v>120</v>
      </c>
      <c r="F260" s="18" t="n">
        <f aca="false">Kawasan!$B$11*Kawasan!$B$9*C260/1000</f>
        <v>399.36</v>
      </c>
      <c r="G260" s="18" t="n">
        <f aca="false">Kawasan!$B$27*D260</f>
        <v>1666.56</v>
      </c>
      <c r="H260" s="18" t="n">
        <f aca="false">E260*Desain_Kolam!$B$16/1000</f>
        <v>128.7</v>
      </c>
      <c r="I260" s="18" t="n">
        <f aca="false">F260-G260-H260</f>
        <v>-1395.9</v>
      </c>
      <c r="J260" s="18" t="n">
        <f aca="false">J259+I260</f>
        <v>10655.04</v>
      </c>
      <c r="K260" s="18" t="n">
        <f aca="false">MAX(K259,J260)</f>
        <v>18892.56</v>
      </c>
      <c r="L260" s="18" t="n">
        <f aca="false">K260-J260</f>
        <v>8237.52</v>
      </c>
      <c r="M260" s="18" t="n">
        <f aca="false">MIN(Desain_Kolam!$B$21,MAX(0,M259+F260-H260-G260))</f>
        <v>6910.86</v>
      </c>
      <c r="N260" s="6" t="n">
        <f aca="false">IF(M259+F260-H260&gt;=G260,1,0)</f>
        <v>1</v>
      </c>
    </row>
    <row r="261" customFormat="false" ht="15" hidden="false" customHeight="false" outlineLevel="0" collapsed="false">
      <c r="A261" s="6" t="n">
        <v>2018</v>
      </c>
      <c r="B261" s="6" t="n">
        <v>9</v>
      </c>
      <c r="C261" s="4" t="n">
        <v>103</v>
      </c>
      <c r="D261" s="6" t="n">
        <v>30</v>
      </c>
      <c r="E261" s="4" t="n">
        <f aca="false">INDEX(Evaporasi!$B$3:$B$14,MATCH(B261,Evaporasi!$A$3:$A$14,0))</f>
        <v>120</v>
      </c>
      <c r="F261" s="18" t="n">
        <f aca="false">Kawasan!$B$11*Kawasan!$B$9*C261/1000</f>
        <v>856.96</v>
      </c>
      <c r="G261" s="18" t="n">
        <f aca="false">Kawasan!$B$27*D261</f>
        <v>1612.8</v>
      </c>
      <c r="H261" s="18" t="n">
        <f aca="false">E261*Desain_Kolam!$B$16/1000</f>
        <v>128.7</v>
      </c>
      <c r="I261" s="18" t="n">
        <f aca="false">F261-G261-H261</f>
        <v>-884.54</v>
      </c>
      <c r="J261" s="18" t="n">
        <f aca="false">J260+I261</f>
        <v>9770.5</v>
      </c>
      <c r="K261" s="18" t="n">
        <f aca="false">MAX(K260,J261)</f>
        <v>18892.56</v>
      </c>
      <c r="L261" s="18" t="n">
        <f aca="false">K261-J261</f>
        <v>9122.06</v>
      </c>
      <c r="M261" s="18" t="n">
        <f aca="false">MIN(Desain_Kolam!$B$21,MAX(0,M260+F261-H261-G261))</f>
        <v>6026.32</v>
      </c>
      <c r="N261" s="6" t="n">
        <f aca="false">IF(M260+F261-H261&gt;=G261,1,0)</f>
        <v>1</v>
      </c>
    </row>
    <row r="262" customFormat="false" ht="15" hidden="false" customHeight="false" outlineLevel="0" collapsed="false">
      <c r="A262" s="6" t="n">
        <v>2018</v>
      </c>
      <c r="B262" s="6" t="n">
        <v>10</v>
      </c>
      <c r="C262" s="4" t="n">
        <v>176</v>
      </c>
      <c r="D262" s="6" t="n">
        <v>31</v>
      </c>
      <c r="E262" s="4" t="n">
        <f aca="false">INDEX(Evaporasi!$B$3:$B$14,MATCH(B262,Evaporasi!$A$3:$A$14,0))</f>
        <v>120</v>
      </c>
      <c r="F262" s="18" t="n">
        <f aca="false">Kawasan!$B$11*Kawasan!$B$9*C262/1000</f>
        <v>1464.32</v>
      </c>
      <c r="G262" s="18" t="n">
        <f aca="false">Kawasan!$B$27*D262</f>
        <v>1666.56</v>
      </c>
      <c r="H262" s="18" t="n">
        <f aca="false">E262*Desain_Kolam!$B$16/1000</f>
        <v>128.7</v>
      </c>
      <c r="I262" s="18" t="n">
        <f aca="false">F262-G262-H262</f>
        <v>-330.94</v>
      </c>
      <c r="J262" s="18" t="n">
        <f aca="false">J261+I262</f>
        <v>9439.56</v>
      </c>
      <c r="K262" s="18" t="n">
        <f aca="false">MAX(K261,J262)</f>
        <v>18892.56</v>
      </c>
      <c r="L262" s="18" t="n">
        <f aca="false">K262-J262</f>
        <v>9453</v>
      </c>
      <c r="M262" s="18" t="n">
        <f aca="false">MIN(Desain_Kolam!$B$21,MAX(0,M261+F262-H262-G262))</f>
        <v>5695.38</v>
      </c>
      <c r="N262" s="6" t="n">
        <f aca="false">IF(M261+F262-H262&gt;=G262,1,0)</f>
        <v>1</v>
      </c>
    </row>
    <row r="263" customFormat="false" ht="15" hidden="false" customHeight="false" outlineLevel="0" collapsed="false">
      <c r="A263" s="6" t="n">
        <v>2018</v>
      </c>
      <c r="B263" s="6" t="n">
        <v>11</v>
      </c>
      <c r="C263" s="4" t="n">
        <v>172</v>
      </c>
      <c r="D263" s="6" t="n">
        <v>30</v>
      </c>
      <c r="E263" s="4" t="n">
        <f aca="false">INDEX(Evaporasi!$B$3:$B$14,MATCH(B263,Evaporasi!$A$3:$A$14,0))</f>
        <v>120</v>
      </c>
      <c r="F263" s="18" t="n">
        <f aca="false">Kawasan!$B$11*Kawasan!$B$9*C263/1000</f>
        <v>1431.04</v>
      </c>
      <c r="G263" s="18" t="n">
        <f aca="false">Kawasan!$B$27*D263</f>
        <v>1612.8</v>
      </c>
      <c r="H263" s="18" t="n">
        <f aca="false">E263*Desain_Kolam!$B$16/1000</f>
        <v>128.7</v>
      </c>
      <c r="I263" s="18" t="n">
        <f aca="false">F263-G263-H263</f>
        <v>-310.46</v>
      </c>
      <c r="J263" s="18" t="n">
        <f aca="false">J262+I263</f>
        <v>9129.1</v>
      </c>
      <c r="K263" s="18" t="n">
        <f aca="false">MAX(K262,J263)</f>
        <v>18892.56</v>
      </c>
      <c r="L263" s="18" t="n">
        <f aca="false">K263-J263</f>
        <v>9763.46</v>
      </c>
      <c r="M263" s="18" t="n">
        <f aca="false">MIN(Desain_Kolam!$B$21,MAX(0,M262+F263-H263-G263))</f>
        <v>5384.92</v>
      </c>
      <c r="N263" s="6" t="n">
        <f aca="false">IF(M262+F263-H263&gt;=G263,1,0)</f>
        <v>1</v>
      </c>
    </row>
    <row r="264" customFormat="false" ht="15" hidden="false" customHeight="false" outlineLevel="0" collapsed="false">
      <c r="A264" s="6" t="n">
        <v>2018</v>
      </c>
      <c r="B264" s="6" t="n">
        <v>12</v>
      </c>
      <c r="C264" s="4" t="n">
        <v>182</v>
      </c>
      <c r="D264" s="6" t="n">
        <v>31</v>
      </c>
      <c r="E264" s="4" t="n">
        <f aca="false">INDEX(Evaporasi!$B$3:$B$14,MATCH(B264,Evaporasi!$A$3:$A$14,0))</f>
        <v>120</v>
      </c>
      <c r="F264" s="18" t="n">
        <f aca="false">Kawasan!$B$11*Kawasan!$B$9*C264/1000</f>
        <v>1514.24</v>
      </c>
      <c r="G264" s="18" t="n">
        <f aca="false">Kawasan!$B$27*D264</f>
        <v>1666.56</v>
      </c>
      <c r="H264" s="18" t="n">
        <f aca="false">E264*Desain_Kolam!$B$16/1000</f>
        <v>128.7</v>
      </c>
      <c r="I264" s="18" t="n">
        <f aca="false">F264-G264-H264</f>
        <v>-281.02</v>
      </c>
      <c r="J264" s="18" t="n">
        <f aca="false">J263+I264</f>
        <v>8848.08</v>
      </c>
      <c r="K264" s="18" t="n">
        <f aca="false">MAX(K263,J264)</f>
        <v>18892.56</v>
      </c>
      <c r="L264" s="18" t="n">
        <f aca="false">K264-J264</f>
        <v>10044.48</v>
      </c>
      <c r="M264" s="18" t="n">
        <f aca="false">MIN(Desain_Kolam!$B$21,MAX(0,M263+F264-H264-G264))</f>
        <v>5103.9</v>
      </c>
      <c r="N264" s="6" t="n">
        <f aca="false">IF(M263+F264-H264&gt;=G264,1,0)</f>
        <v>1</v>
      </c>
    </row>
    <row r="265" customFormat="false" ht="15" hidden="false" customHeight="false" outlineLevel="0" collapsed="false">
      <c r="A265" s="6" t="n">
        <v>2019</v>
      </c>
      <c r="B265" s="6" t="n">
        <v>1</v>
      </c>
      <c r="C265" s="4" t="n">
        <v>124</v>
      </c>
      <c r="D265" s="6" t="n">
        <v>31</v>
      </c>
      <c r="E265" s="4" t="n">
        <f aca="false">INDEX(Evaporasi!$B$3:$B$14,MATCH(B265,Evaporasi!$A$3:$A$14,0))</f>
        <v>120</v>
      </c>
      <c r="F265" s="18" t="n">
        <f aca="false">Kawasan!$B$11*Kawasan!$B$9*C265/1000</f>
        <v>1031.68</v>
      </c>
      <c r="G265" s="18" t="n">
        <f aca="false">Kawasan!$B$27*D265</f>
        <v>1666.56</v>
      </c>
      <c r="H265" s="18" t="n">
        <f aca="false">E265*Desain_Kolam!$B$16/1000</f>
        <v>128.7</v>
      </c>
      <c r="I265" s="18" t="n">
        <f aca="false">F265-G265-H265</f>
        <v>-763.58</v>
      </c>
      <c r="J265" s="18" t="n">
        <f aca="false">J264+I265</f>
        <v>8084.5</v>
      </c>
      <c r="K265" s="18" t="n">
        <f aca="false">MAX(K264,J265)</f>
        <v>18892.56</v>
      </c>
      <c r="L265" s="18" t="n">
        <f aca="false">K265-J265</f>
        <v>10808.06</v>
      </c>
      <c r="M265" s="18" t="n">
        <f aca="false">MIN(Desain_Kolam!$B$21,MAX(0,M264+F265-H265-G265))</f>
        <v>4340.32</v>
      </c>
      <c r="N265" s="6" t="n">
        <f aca="false">IF(M264+F265-H265&gt;=G265,1,0)</f>
        <v>1</v>
      </c>
    </row>
    <row r="266" customFormat="false" ht="15" hidden="false" customHeight="false" outlineLevel="0" collapsed="false">
      <c r="A266" s="6" t="n">
        <v>2019</v>
      </c>
      <c r="B266" s="6" t="n">
        <v>2</v>
      </c>
      <c r="C266" s="4" t="n">
        <v>207</v>
      </c>
      <c r="D266" s="6" t="n">
        <v>28</v>
      </c>
      <c r="E266" s="4" t="n">
        <f aca="false">INDEX(Evaporasi!$B$3:$B$14,MATCH(B266,Evaporasi!$A$3:$A$14,0))</f>
        <v>120</v>
      </c>
      <c r="F266" s="18" t="n">
        <f aca="false">Kawasan!$B$11*Kawasan!$B$9*C266/1000</f>
        <v>1722.24</v>
      </c>
      <c r="G266" s="18" t="n">
        <f aca="false">Kawasan!$B$27*D266</f>
        <v>1505.28</v>
      </c>
      <c r="H266" s="18" t="n">
        <f aca="false">E266*Desain_Kolam!$B$16/1000</f>
        <v>128.7</v>
      </c>
      <c r="I266" s="18" t="n">
        <f aca="false">F266-G266-H266</f>
        <v>88.2600000000001</v>
      </c>
      <c r="J266" s="18" t="n">
        <f aca="false">J265+I266</f>
        <v>8172.76</v>
      </c>
      <c r="K266" s="18" t="n">
        <f aca="false">MAX(K265,J266)</f>
        <v>18892.56</v>
      </c>
      <c r="L266" s="18" t="n">
        <f aca="false">K266-J266</f>
        <v>10719.8</v>
      </c>
      <c r="M266" s="18" t="n">
        <f aca="false">MIN(Desain_Kolam!$B$21,MAX(0,M265+F266-H266-G266))</f>
        <v>4428.58</v>
      </c>
      <c r="N266" s="6" t="n">
        <f aca="false">IF(M265+F266-H266&gt;=G266,1,0)</f>
        <v>1</v>
      </c>
    </row>
    <row r="267" customFormat="false" ht="15" hidden="false" customHeight="false" outlineLevel="0" collapsed="false">
      <c r="A267" s="6" t="n">
        <v>2019</v>
      </c>
      <c r="B267" s="6" t="n">
        <v>3</v>
      </c>
      <c r="C267" s="4" t="n">
        <v>44</v>
      </c>
      <c r="D267" s="6" t="n">
        <v>31</v>
      </c>
      <c r="E267" s="4" t="n">
        <f aca="false">INDEX(Evaporasi!$B$3:$B$14,MATCH(B267,Evaporasi!$A$3:$A$14,0))</f>
        <v>120</v>
      </c>
      <c r="F267" s="18" t="n">
        <f aca="false">Kawasan!$B$11*Kawasan!$B$9*C267/1000</f>
        <v>366.08</v>
      </c>
      <c r="G267" s="18" t="n">
        <f aca="false">Kawasan!$B$27*D267</f>
        <v>1666.56</v>
      </c>
      <c r="H267" s="18" t="n">
        <f aca="false">E267*Desain_Kolam!$B$16/1000</f>
        <v>128.7</v>
      </c>
      <c r="I267" s="18" t="n">
        <f aca="false">F267-G267-H267</f>
        <v>-1429.18</v>
      </c>
      <c r="J267" s="18" t="n">
        <f aca="false">J266+I267</f>
        <v>6743.58</v>
      </c>
      <c r="K267" s="18" t="n">
        <f aca="false">MAX(K266,J267)</f>
        <v>18892.56</v>
      </c>
      <c r="L267" s="18" t="n">
        <f aca="false">K267-J267</f>
        <v>12148.98</v>
      </c>
      <c r="M267" s="18" t="n">
        <f aca="false">MIN(Desain_Kolam!$B$21,MAX(0,M266+F267-H267-G267))</f>
        <v>2999.4</v>
      </c>
      <c r="N267" s="6" t="n">
        <f aca="false">IF(M266+F267-H267&gt;=G267,1,0)</f>
        <v>1</v>
      </c>
    </row>
    <row r="268" customFormat="false" ht="15" hidden="false" customHeight="false" outlineLevel="0" collapsed="false">
      <c r="A268" s="6" t="n">
        <v>2019</v>
      </c>
      <c r="B268" s="6" t="n">
        <v>4</v>
      </c>
      <c r="C268" s="4" t="n">
        <v>151</v>
      </c>
      <c r="D268" s="6" t="n">
        <v>30</v>
      </c>
      <c r="E268" s="4" t="n">
        <f aca="false">INDEX(Evaporasi!$B$3:$B$14,MATCH(B268,Evaporasi!$A$3:$A$14,0))</f>
        <v>120</v>
      </c>
      <c r="F268" s="18" t="n">
        <f aca="false">Kawasan!$B$11*Kawasan!$B$9*C268/1000</f>
        <v>1256.32</v>
      </c>
      <c r="G268" s="18" t="n">
        <f aca="false">Kawasan!$B$27*D268</f>
        <v>1612.8</v>
      </c>
      <c r="H268" s="18" t="n">
        <f aca="false">E268*Desain_Kolam!$B$16/1000</f>
        <v>128.7</v>
      </c>
      <c r="I268" s="18" t="n">
        <f aca="false">F268-G268-H268</f>
        <v>-485.18</v>
      </c>
      <c r="J268" s="18" t="n">
        <f aca="false">J267+I268</f>
        <v>6258.4</v>
      </c>
      <c r="K268" s="18" t="n">
        <f aca="false">MAX(K267,J268)</f>
        <v>18892.56</v>
      </c>
      <c r="L268" s="18" t="n">
        <f aca="false">K268-J268</f>
        <v>12634.16</v>
      </c>
      <c r="M268" s="18" t="n">
        <f aca="false">MIN(Desain_Kolam!$B$21,MAX(0,M267+F268-H268-G268))</f>
        <v>2514.22</v>
      </c>
      <c r="N268" s="6" t="n">
        <f aca="false">IF(M267+F268-H268&gt;=G268,1,0)</f>
        <v>1</v>
      </c>
    </row>
    <row r="269" customFormat="false" ht="15" hidden="false" customHeight="false" outlineLevel="0" collapsed="false">
      <c r="A269" s="6" t="n">
        <v>2019</v>
      </c>
      <c r="B269" s="6" t="n">
        <v>5</v>
      </c>
      <c r="C269" s="4" t="n">
        <v>118</v>
      </c>
      <c r="D269" s="6" t="n">
        <v>31</v>
      </c>
      <c r="E269" s="4" t="n">
        <f aca="false">INDEX(Evaporasi!$B$3:$B$14,MATCH(B269,Evaporasi!$A$3:$A$14,0))</f>
        <v>120</v>
      </c>
      <c r="F269" s="18" t="n">
        <f aca="false">Kawasan!$B$11*Kawasan!$B$9*C269/1000</f>
        <v>981.76</v>
      </c>
      <c r="G269" s="18" t="n">
        <f aca="false">Kawasan!$B$27*D269</f>
        <v>1666.56</v>
      </c>
      <c r="H269" s="18" t="n">
        <f aca="false">E269*Desain_Kolam!$B$16/1000</f>
        <v>128.7</v>
      </c>
      <c r="I269" s="18" t="n">
        <f aca="false">F269-G269-H269</f>
        <v>-813.5</v>
      </c>
      <c r="J269" s="18" t="n">
        <f aca="false">J268+I269</f>
        <v>5444.9</v>
      </c>
      <c r="K269" s="18" t="n">
        <f aca="false">MAX(K268,J269)</f>
        <v>18892.56</v>
      </c>
      <c r="L269" s="18" t="n">
        <f aca="false">K269-J269</f>
        <v>13447.66</v>
      </c>
      <c r="M269" s="18" t="n">
        <f aca="false">MIN(Desain_Kolam!$B$21,MAX(0,M268+F269-H269-G269))</f>
        <v>1700.72</v>
      </c>
      <c r="N269" s="6" t="n">
        <f aca="false">IF(M268+F269-H269&gt;=G269,1,0)</f>
        <v>1</v>
      </c>
    </row>
    <row r="270" customFormat="false" ht="15" hidden="false" customHeight="false" outlineLevel="0" collapsed="false">
      <c r="A270" s="6" t="n">
        <v>2019</v>
      </c>
      <c r="B270" s="6" t="n">
        <v>6</v>
      </c>
      <c r="C270" s="4" t="n">
        <v>125</v>
      </c>
      <c r="D270" s="6" t="n">
        <v>30</v>
      </c>
      <c r="E270" s="4" t="n">
        <f aca="false">INDEX(Evaporasi!$B$3:$B$14,MATCH(B270,Evaporasi!$A$3:$A$14,0))</f>
        <v>120</v>
      </c>
      <c r="F270" s="18" t="n">
        <f aca="false">Kawasan!$B$11*Kawasan!$B$9*C270/1000</f>
        <v>1040</v>
      </c>
      <c r="G270" s="18" t="n">
        <f aca="false">Kawasan!$B$27*D270</f>
        <v>1612.8</v>
      </c>
      <c r="H270" s="18" t="n">
        <f aca="false">E270*Desain_Kolam!$B$16/1000</f>
        <v>128.7</v>
      </c>
      <c r="I270" s="18" t="n">
        <f aca="false">F270-G270-H270</f>
        <v>-701.5</v>
      </c>
      <c r="J270" s="18" t="n">
        <f aca="false">J269+I270</f>
        <v>4743.4</v>
      </c>
      <c r="K270" s="18" t="n">
        <f aca="false">MAX(K269,J270)</f>
        <v>18892.56</v>
      </c>
      <c r="L270" s="18" t="n">
        <f aca="false">K270-J270</f>
        <v>14149.16</v>
      </c>
      <c r="M270" s="18" t="n">
        <f aca="false">MIN(Desain_Kolam!$B$21,MAX(0,M269+F270-H270-G270))</f>
        <v>999.220000000003</v>
      </c>
      <c r="N270" s="6" t="n">
        <f aca="false">IF(M269+F270-H270&gt;=G270,1,0)</f>
        <v>1</v>
      </c>
    </row>
    <row r="271" customFormat="false" ht="15" hidden="false" customHeight="false" outlineLevel="0" collapsed="false">
      <c r="A271" s="6" t="n">
        <v>2019</v>
      </c>
      <c r="B271" s="6" t="n">
        <v>7</v>
      </c>
      <c r="C271" s="4" t="n">
        <v>53</v>
      </c>
      <c r="D271" s="6" t="n">
        <v>31</v>
      </c>
      <c r="E271" s="4" t="n">
        <f aca="false">INDEX(Evaporasi!$B$3:$B$14,MATCH(B271,Evaporasi!$A$3:$A$14,0))</f>
        <v>120</v>
      </c>
      <c r="F271" s="18" t="n">
        <f aca="false">Kawasan!$B$11*Kawasan!$B$9*C271/1000</f>
        <v>440.96</v>
      </c>
      <c r="G271" s="18" t="n">
        <f aca="false">Kawasan!$B$27*D271</f>
        <v>1666.56</v>
      </c>
      <c r="H271" s="18" t="n">
        <f aca="false">E271*Desain_Kolam!$B$16/1000</f>
        <v>128.7</v>
      </c>
      <c r="I271" s="18" t="n">
        <f aca="false">F271-G271-H271</f>
        <v>-1354.3</v>
      </c>
      <c r="J271" s="18" t="n">
        <f aca="false">J270+I271</f>
        <v>3389.1</v>
      </c>
      <c r="K271" s="18" t="n">
        <f aca="false">MAX(K270,J271)</f>
        <v>18892.56</v>
      </c>
      <c r="L271" s="18" t="n">
        <f aca="false">K271-J271</f>
        <v>15503.46</v>
      </c>
      <c r="M271" s="18" t="n">
        <f aca="false">MIN(Desain_Kolam!$B$21,MAX(0,M270+F271-H271-G271))</f>
        <v>0</v>
      </c>
      <c r="N271" s="6" t="n">
        <f aca="false">IF(M270+F271-H271&gt;=G271,1,0)</f>
        <v>0</v>
      </c>
    </row>
    <row r="272" customFormat="false" ht="15" hidden="false" customHeight="false" outlineLevel="0" collapsed="false">
      <c r="A272" s="6" t="n">
        <v>2019</v>
      </c>
      <c r="B272" s="6" t="n">
        <v>8</v>
      </c>
      <c r="C272" s="4" t="n">
        <v>76</v>
      </c>
      <c r="D272" s="6" t="n">
        <v>31</v>
      </c>
      <c r="E272" s="4" t="n">
        <f aca="false">INDEX(Evaporasi!$B$3:$B$14,MATCH(B272,Evaporasi!$A$3:$A$14,0))</f>
        <v>120</v>
      </c>
      <c r="F272" s="18" t="n">
        <f aca="false">Kawasan!$B$11*Kawasan!$B$9*C272/1000</f>
        <v>632.32</v>
      </c>
      <c r="G272" s="18" t="n">
        <f aca="false">Kawasan!$B$27*D272</f>
        <v>1666.56</v>
      </c>
      <c r="H272" s="18" t="n">
        <f aca="false">E272*Desain_Kolam!$B$16/1000</f>
        <v>128.7</v>
      </c>
      <c r="I272" s="18" t="n">
        <f aca="false">F272-G272-H272</f>
        <v>-1162.94</v>
      </c>
      <c r="J272" s="18" t="n">
        <f aca="false">J271+I272</f>
        <v>2226.16</v>
      </c>
      <c r="K272" s="18" t="n">
        <f aca="false">MAX(K271,J272)</f>
        <v>18892.56</v>
      </c>
      <c r="L272" s="18" t="n">
        <f aca="false">K272-J272</f>
        <v>16666.4</v>
      </c>
      <c r="M272" s="18" t="n">
        <f aca="false">MIN(Desain_Kolam!$B$21,MAX(0,M271+F272-H272-G272))</f>
        <v>0</v>
      </c>
      <c r="N272" s="6" t="n">
        <f aca="false">IF(M271+F272-H272&gt;=G272,1,0)</f>
        <v>0</v>
      </c>
    </row>
    <row r="273" customFormat="false" ht="15" hidden="false" customHeight="false" outlineLevel="0" collapsed="false">
      <c r="A273" s="6" t="n">
        <v>2019</v>
      </c>
      <c r="B273" s="6" t="n">
        <v>9</v>
      </c>
      <c r="C273" s="4" t="n">
        <v>41</v>
      </c>
      <c r="D273" s="6" t="n">
        <v>30</v>
      </c>
      <c r="E273" s="4" t="n">
        <f aca="false">INDEX(Evaporasi!$B$3:$B$14,MATCH(B273,Evaporasi!$A$3:$A$14,0))</f>
        <v>120</v>
      </c>
      <c r="F273" s="18" t="n">
        <f aca="false">Kawasan!$B$11*Kawasan!$B$9*C273/1000</f>
        <v>341.12</v>
      </c>
      <c r="G273" s="18" t="n">
        <f aca="false">Kawasan!$B$27*D273</f>
        <v>1612.8</v>
      </c>
      <c r="H273" s="18" t="n">
        <f aca="false">E273*Desain_Kolam!$B$16/1000</f>
        <v>128.7</v>
      </c>
      <c r="I273" s="18" t="n">
        <f aca="false">F273-G273-H273</f>
        <v>-1400.38</v>
      </c>
      <c r="J273" s="18" t="n">
        <f aca="false">J272+I273</f>
        <v>825.780000000004</v>
      </c>
      <c r="K273" s="18" t="n">
        <f aca="false">MAX(K272,J273)</f>
        <v>18892.56</v>
      </c>
      <c r="L273" s="18" t="n">
        <f aca="false">K273-J273</f>
        <v>18066.78</v>
      </c>
      <c r="M273" s="18" t="n">
        <f aca="false">MIN(Desain_Kolam!$B$21,MAX(0,M272+F273-H273-G273))</f>
        <v>0</v>
      </c>
      <c r="N273" s="6" t="n">
        <f aca="false">IF(M272+F273-H273&gt;=G273,1,0)</f>
        <v>0</v>
      </c>
    </row>
    <row r="274" customFormat="false" ht="15" hidden="false" customHeight="false" outlineLevel="0" collapsed="false">
      <c r="A274" s="6" t="n">
        <v>2019</v>
      </c>
      <c r="B274" s="6" t="n">
        <v>10</v>
      </c>
      <c r="C274" s="4" t="n">
        <v>548</v>
      </c>
      <c r="D274" s="6" t="n">
        <v>31</v>
      </c>
      <c r="E274" s="4" t="n">
        <f aca="false">INDEX(Evaporasi!$B$3:$B$14,MATCH(B274,Evaporasi!$A$3:$A$14,0))</f>
        <v>120</v>
      </c>
      <c r="F274" s="18" t="n">
        <f aca="false">Kawasan!$B$11*Kawasan!$B$9*C274/1000</f>
        <v>4559.36</v>
      </c>
      <c r="G274" s="18" t="n">
        <f aca="false">Kawasan!$B$27*D274</f>
        <v>1666.56</v>
      </c>
      <c r="H274" s="18" t="n">
        <f aca="false">E274*Desain_Kolam!$B$16/1000</f>
        <v>128.7</v>
      </c>
      <c r="I274" s="18" t="n">
        <f aca="false">F274-G274-H274</f>
        <v>2764.1</v>
      </c>
      <c r="J274" s="18" t="n">
        <f aca="false">J273+I274</f>
        <v>3589.88</v>
      </c>
      <c r="K274" s="18" t="n">
        <f aca="false">MAX(K273,J274)</f>
        <v>18892.56</v>
      </c>
      <c r="L274" s="18" t="n">
        <f aca="false">K274-J274</f>
        <v>15302.68</v>
      </c>
      <c r="M274" s="18" t="n">
        <f aca="false">MIN(Desain_Kolam!$B$21,MAX(0,M273+F274-H274-G274))</f>
        <v>2764.1</v>
      </c>
      <c r="N274" s="6" t="n">
        <f aca="false">IF(M273+F274-H274&gt;=G274,1,0)</f>
        <v>1</v>
      </c>
    </row>
    <row r="275" customFormat="false" ht="15" hidden="false" customHeight="false" outlineLevel="0" collapsed="false">
      <c r="A275" s="6" t="n">
        <v>2019</v>
      </c>
      <c r="B275" s="6" t="n">
        <v>11</v>
      </c>
      <c r="C275" s="4" t="n">
        <v>469</v>
      </c>
      <c r="D275" s="6" t="n">
        <v>30</v>
      </c>
      <c r="E275" s="4" t="n">
        <f aca="false">INDEX(Evaporasi!$B$3:$B$14,MATCH(B275,Evaporasi!$A$3:$A$14,0))</f>
        <v>120</v>
      </c>
      <c r="F275" s="18" t="n">
        <f aca="false">Kawasan!$B$11*Kawasan!$B$9*C275/1000</f>
        <v>3902.08</v>
      </c>
      <c r="G275" s="18" t="n">
        <f aca="false">Kawasan!$B$27*D275</f>
        <v>1612.8</v>
      </c>
      <c r="H275" s="18" t="n">
        <f aca="false">E275*Desain_Kolam!$B$16/1000</f>
        <v>128.7</v>
      </c>
      <c r="I275" s="18" t="n">
        <f aca="false">F275-G275-H275</f>
        <v>2160.58</v>
      </c>
      <c r="J275" s="18" t="n">
        <f aca="false">J274+I275</f>
        <v>5750.46</v>
      </c>
      <c r="K275" s="18" t="n">
        <f aca="false">MAX(K274,J275)</f>
        <v>18892.56</v>
      </c>
      <c r="L275" s="18" t="n">
        <f aca="false">K275-J275</f>
        <v>13142.1</v>
      </c>
      <c r="M275" s="18" t="n">
        <f aca="false">MIN(Desain_Kolam!$B$21,MAX(0,M274+F275-H275-G275))</f>
        <v>4924.68</v>
      </c>
      <c r="N275" s="6" t="n">
        <f aca="false">IF(M274+F275-H275&gt;=G275,1,0)</f>
        <v>1</v>
      </c>
    </row>
    <row r="276" customFormat="false" ht="15" hidden="false" customHeight="false" outlineLevel="0" collapsed="false">
      <c r="A276" s="6" t="n">
        <v>2019</v>
      </c>
      <c r="B276" s="6" t="n">
        <v>12</v>
      </c>
      <c r="C276" s="4" t="n">
        <v>357</v>
      </c>
      <c r="D276" s="6" t="n">
        <v>31</v>
      </c>
      <c r="E276" s="4" t="n">
        <f aca="false">INDEX(Evaporasi!$B$3:$B$14,MATCH(B276,Evaporasi!$A$3:$A$14,0))</f>
        <v>120</v>
      </c>
      <c r="F276" s="18" t="n">
        <f aca="false">Kawasan!$B$11*Kawasan!$B$9*C276/1000</f>
        <v>2970.24</v>
      </c>
      <c r="G276" s="18" t="n">
        <f aca="false">Kawasan!$B$27*D276</f>
        <v>1666.56</v>
      </c>
      <c r="H276" s="18" t="n">
        <f aca="false">E276*Desain_Kolam!$B$16/1000</f>
        <v>128.7</v>
      </c>
      <c r="I276" s="18" t="n">
        <f aca="false">F276-G276-H276</f>
        <v>1174.98</v>
      </c>
      <c r="J276" s="18" t="n">
        <f aca="false">J275+I276</f>
        <v>6925.44</v>
      </c>
      <c r="K276" s="18" t="n">
        <f aca="false">MAX(K275,J276)</f>
        <v>18892.56</v>
      </c>
      <c r="L276" s="18" t="n">
        <f aca="false">K276-J276</f>
        <v>11967.12</v>
      </c>
      <c r="M276" s="18" t="n">
        <f aca="false">MIN(Desain_Kolam!$B$21,MAX(0,M275+F276-H276-G276))</f>
        <v>6099.66</v>
      </c>
      <c r="N276" s="6" t="n">
        <f aca="false">IF(M275+F276-H276&gt;=G276,1,0)</f>
        <v>1</v>
      </c>
    </row>
    <row r="277" customFormat="false" ht="15" hidden="false" customHeight="false" outlineLevel="0" collapsed="false">
      <c r="A277" s="6" t="n">
        <v>2020</v>
      </c>
      <c r="B277" s="6" t="n">
        <v>1</v>
      </c>
      <c r="C277" s="4" t="n">
        <v>337</v>
      </c>
      <c r="D277" s="6" t="n">
        <v>31</v>
      </c>
      <c r="E277" s="4" t="n">
        <f aca="false">INDEX(Evaporasi!$B$3:$B$14,MATCH(B277,Evaporasi!$A$3:$A$14,0))</f>
        <v>120</v>
      </c>
      <c r="F277" s="18" t="n">
        <f aca="false">Kawasan!$B$11*Kawasan!$B$9*C277/1000</f>
        <v>2803.84</v>
      </c>
      <c r="G277" s="18" t="n">
        <f aca="false">Kawasan!$B$27*D277</f>
        <v>1666.56</v>
      </c>
      <c r="H277" s="18" t="n">
        <f aca="false">E277*Desain_Kolam!$B$16/1000</f>
        <v>128.7</v>
      </c>
      <c r="I277" s="18" t="n">
        <f aca="false">F277-G277-H277</f>
        <v>1008.58</v>
      </c>
      <c r="J277" s="18" t="n">
        <f aca="false">J276+I277</f>
        <v>7934.02</v>
      </c>
      <c r="K277" s="18" t="n">
        <f aca="false">MAX(K276,J277)</f>
        <v>18892.56</v>
      </c>
      <c r="L277" s="18" t="n">
        <f aca="false">K277-J277</f>
        <v>10958.54</v>
      </c>
      <c r="M277" s="18" t="n">
        <f aca="false">MIN(Desain_Kolam!$B$21,MAX(0,M276+F277-H277-G277))</f>
        <v>7108.24</v>
      </c>
      <c r="N277" s="6" t="n">
        <f aca="false">IF(M276+F277-H277&gt;=G277,1,0)</f>
        <v>1</v>
      </c>
    </row>
    <row r="278" customFormat="false" ht="15" hidden="false" customHeight="false" outlineLevel="0" collapsed="false">
      <c r="A278" s="6" t="n">
        <v>2020</v>
      </c>
      <c r="B278" s="6" t="n">
        <v>2</v>
      </c>
      <c r="C278" s="4" t="n">
        <v>305</v>
      </c>
      <c r="D278" s="6" t="n">
        <v>29</v>
      </c>
      <c r="E278" s="4" t="n">
        <f aca="false">INDEX(Evaporasi!$B$3:$B$14,MATCH(B278,Evaporasi!$A$3:$A$14,0))</f>
        <v>120</v>
      </c>
      <c r="F278" s="18" t="n">
        <f aca="false">Kawasan!$B$11*Kawasan!$B$9*C278/1000</f>
        <v>2537.6</v>
      </c>
      <c r="G278" s="18" t="n">
        <f aca="false">Kawasan!$B$27*D278</f>
        <v>1559.04</v>
      </c>
      <c r="H278" s="18" t="n">
        <f aca="false">E278*Desain_Kolam!$B$16/1000</f>
        <v>128.7</v>
      </c>
      <c r="I278" s="18" t="n">
        <f aca="false">F278-G278-H278</f>
        <v>849.86</v>
      </c>
      <c r="J278" s="18" t="n">
        <f aca="false">J277+I278</f>
        <v>8783.88</v>
      </c>
      <c r="K278" s="18" t="n">
        <f aca="false">MAX(K277,J278)</f>
        <v>18892.56</v>
      </c>
      <c r="L278" s="18" t="n">
        <f aca="false">K278-J278</f>
        <v>10108.68</v>
      </c>
      <c r="M278" s="18" t="n">
        <f aca="false">MIN(Desain_Kolam!$B$21,MAX(0,M277+F278-H278-G278))</f>
        <v>7958.1</v>
      </c>
      <c r="N278" s="6" t="n">
        <f aca="false">IF(M277+F278-H278&gt;=G278,1,0)</f>
        <v>1</v>
      </c>
    </row>
    <row r="279" customFormat="false" ht="15" hidden="false" customHeight="false" outlineLevel="0" collapsed="false">
      <c r="A279" s="6" t="n">
        <v>2020</v>
      </c>
      <c r="B279" s="6" t="n">
        <v>3</v>
      </c>
      <c r="C279" s="4" t="n">
        <v>219</v>
      </c>
      <c r="D279" s="6" t="n">
        <v>31</v>
      </c>
      <c r="E279" s="4" t="n">
        <f aca="false">INDEX(Evaporasi!$B$3:$B$14,MATCH(B279,Evaporasi!$A$3:$A$14,0))</f>
        <v>120</v>
      </c>
      <c r="F279" s="18" t="n">
        <f aca="false">Kawasan!$B$11*Kawasan!$B$9*C279/1000</f>
        <v>1822.08</v>
      </c>
      <c r="G279" s="18" t="n">
        <f aca="false">Kawasan!$B$27*D279</f>
        <v>1666.56</v>
      </c>
      <c r="H279" s="18" t="n">
        <f aca="false">E279*Desain_Kolam!$B$16/1000</f>
        <v>128.7</v>
      </c>
      <c r="I279" s="18" t="n">
        <f aca="false">F279-G279-H279</f>
        <v>26.82</v>
      </c>
      <c r="J279" s="18" t="n">
        <f aca="false">J278+I279</f>
        <v>8810.7</v>
      </c>
      <c r="K279" s="18" t="n">
        <f aca="false">MAX(K278,J279)</f>
        <v>18892.56</v>
      </c>
      <c r="L279" s="18" t="n">
        <f aca="false">K279-J279</f>
        <v>10081.86</v>
      </c>
      <c r="M279" s="18" t="n">
        <f aca="false">MIN(Desain_Kolam!$B$21,MAX(0,M278+F279-H279-G279))</f>
        <v>7984.92</v>
      </c>
      <c r="N279" s="6" t="n">
        <f aca="false">IF(M278+F279-H279&gt;=G279,1,0)</f>
        <v>1</v>
      </c>
    </row>
    <row r="280" customFormat="false" ht="15" hidden="false" customHeight="false" outlineLevel="0" collapsed="false">
      <c r="A280" s="6" t="n">
        <v>2020</v>
      </c>
      <c r="B280" s="6" t="n">
        <v>4</v>
      </c>
      <c r="C280" s="4" t="n">
        <v>358</v>
      </c>
      <c r="D280" s="6" t="n">
        <v>30</v>
      </c>
      <c r="E280" s="4" t="n">
        <f aca="false">INDEX(Evaporasi!$B$3:$B$14,MATCH(B280,Evaporasi!$A$3:$A$14,0))</f>
        <v>120</v>
      </c>
      <c r="F280" s="18" t="n">
        <f aca="false">Kawasan!$B$11*Kawasan!$B$9*C280/1000</f>
        <v>2978.56</v>
      </c>
      <c r="G280" s="18" t="n">
        <f aca="false">Kawasan!$B$27*D280</f>
        <v>1612.8</v>
      </c>
      <c r="H280" s="18" t="n">
        <f aca="false">E280*Desain_Kolam!$B$16/1000</f>
        <v>128.7</v>
      </c>
      <c r="I280" s="18" t="n">
        <f aca="false">F280-G280-H280</f>
        <v>1237.06</v>
      </c>
      <c r="J280" s="18" t="n">
        <f aca="false">J279+I280</f>
        <v>10047.76</v>
      </c>
      <c r="K280" s="18" t="n">
        <f aca="false">MAX(K279,J280)</f>
        <v>18892.56</v>
      </c>
      <c r="L280" s="18" t="n">
        <f aca="false">K280-J280</f>
        <v>8844.8</v>
      </c>
      <c r="M280" s="18" t="n">
        <f aca="false">MIN(Desain_Kolam!$B$21,MAX(0,M279+F280-H280-G280))</f>
        <v>9221.98</v>
      </c>
      <c r="N280" s="6" t="n">
        <f aca="false">IF(M279+F280-H280&gt;=G280,1,0)</f>
        <v>1</v>
      </c>
    </row>
    <row r="281" customFormat="false" ht="15" hidden="false" customHeight="false" outlineLevel="0" collapsed="false">
      <c r="A281" s="6" t="n">
        <v>2020</v>
      </c>
      <c r="B281" s="6" t="n">
        <v>5</v>
      </c>
      <c r="C281" s="4" t="n">
        <v>305</v>
      </c>
      <c r="D281" s="6" t="n">
        <v>31</v>
      </c>
      <c r="E281" s="4" t="n">
        <f aca="false">INDEX(Evaporasi!$B$3:$B$14,MATCH(B281,Evaporasi!$A$3:$A$14,0))</f>
        <v>120</v>
      </c>
      <c r="F281" s="18" t="n">
        <f aca="false">Kawasan!$B$11*Kawasan!$B$9*C281/1000</f>
        <v>2537.6</v>
      </c>
      <c r="G281" s="18" t="n">
        <f aca="false">Kawasan!$B$27*D281</f>
        <v>1666.56</v>
      </c>
      <c r="H281" s="18" t="n">
        <f aca="false">E281*Desain_Kolam!$B$16/1000</f>
        <v>128.7</v>
      </c>
      <c r="I281" s="18" t="n">
        <f aca="false">F281-G281-H281</f>
        <v>742.34</v>
      </c>
      <c r="J281" s="18" t="n">
        <f aca="false">J280+I281</f>
        <v>10790.1</v>
      </c>
      <c r="K281" s="18" t="n">
        <f aca="false">MAX(K280,J281)</f>
        <v>18892.56</v>
      </c>
      <c r="L281" s="18" t="n">
        <f aca="false">K281-J281</f>
        <v>8102.46</v>
      </c>
      <c r="M281" s="18" t="n">
        <f aca="false">MIN(Desain_Kolam!$B$21,MAX(0,M280+F281-H281-G281))</f>
        <v>9964.32</v>
      </c>
      <c r="N281" s="6" t="n">
        <f aca="false">IF(M280+F281-H281&gt;=G281,1,0)</f>
        <v>1</v>
      </c>
    </row>
    <row r="282" customFormat="false" ht="15" hidden="false" customHeight="false" outlineLevel="0" collapsed="false">
      <c r="A282" s="6" t="n">
        <v>2020</v>
      </c>
      <c r="B282" s="6" t="n">
        <v>6</v>
      </c>
      <c r="C282" s="4" t="n">
        <v>388</v>
      </c>
      <c r="D282" s="6" t="n">
        <v>30</v>
      </c>
      <c r="E282" s="4" t="n">
        <f aca="false">INDEX(Evaporasi!$B$3:$B$14,MATCH(B282,Evaporasi!$A$3:$A$14,0))</f>
        <v>120</v>
      </c>
      <c r="F282" s="18" t="n">
        <f aca="false">Kawasan!$B$11*Kawasan!$B$9*C282/1000</f>
        <v>3228.16</v>
      </c>
      <c r="G282" s="18" t="n">
        <f aca="false">Kawasan!$B$27*D282</f>
        <v>1612.8</v>
      </c>
      <c r="H282" s="18" t="n">
        <f aca="false">E282*Desain_Kolam!$B$16/1000</f>
        <v>128.7</v>
      </c>
      <c r="I282" s="18" t="n">
        <f aca="false">F282-G282-H282</f>
        <v>1486.66</v>
      </c>
      <c r="J282" s="18" t="n">
        <f aca="false">J281+I282</f>
        <v>12276.76</v>
      </c>
      <c r="K282" s="18" t="n">
        <f aca="false">MAX(K281,J282)</f>
        <v>18892.56</v>
      </c>
      <c r="L282" s="18" t="n">
        <f aca="false">K282-J282</f>
        <v>6615.8</v>
      </c>
      <c r="M282" s="18" t="n">
        <f aca="false">MIN(Desain_Kolam!$B$21,MAX(0,M281+F282-H282-G282))</f>
        <v>11450.98</v>
      </c>
      <c r="N282" s="6" t="n">
        <f aca="false">IF(M281+F282-H282&gt;=G282,1,0)</f>
        <v>1</v>
      </c>
    </row>
    <row r="283" customFormat="false" ht="15" hidden="false" customHeight="false" outlineLevel="0" collapsed="false">
      <c r="A283" s="6" t="n">
        <v>2020</v>
      </c>
      <c r="B283" s="6" t="n">
        <v>7</v>
      </c>
      <c r="C283" s="4" t="n">
        <v>507</v>
      </c>
      <c r="D283" s="6" t="n">
        <v>31</v>
      </c>
      <c r="E283" s="4" t="n">
        <f aca="false">INDEX(Evaporasi!$B$3:$B$14,MATCH(B283,Evaporasi!$A$3:$A$14,0))</f>
        <v>120</v>
      </c>
      <c r="F283" s="18" t="n">
        <f aca="false">Kawasan!$B$11*Kawasan!$B$9*C283/1000</f>
        <v>4218.24</v>
      </c>
      <c r="G283" s="18" t="n">
        <f aca="false">Kawasan!$B$27*D283</f>
        <v>1666.56</v>
      </c>
      <c r="H283" s="18" t="n">
        <f aca="false">E283*Desain_Kolam!$B$16/1000</f>
        <v>128.7</v>
      </c>
      <c r="I283" s="18" t="n">
        <f aca="false">F283-G283-H283</f>
        <v>2422.98</v>
      </c>
      <c r="J283" s="18" t="n">
        <f aca="false">J282+I283</f>
        <v>14699.74</v>
      </c>
      <c r="K283" s="18" t="n">
        <f aca="false">MAX(K282,J283)</f>
        <v>18892.56</v>
      </c>
      <c r="L283" s="18" t="n">
        <f aca="false">K283-J283</f>
        <v>4192.82</v>
      </c>
      <c r="M283" s="18" t="n">
        <f aca="false">MIN(Desain_Kolam!$B$21,MAX(0,M282+F283-H283-G283))</f>
        <v>13873.96</v>
      </c>
      <c r="N283" s="6" t="n">
        <f aca="false">IF(M282+F283-H283&gt;=G283,1,0)</f>
        <v>1</v>
      </c>
    </row>
    <row r="284" customFormat="false" ht="15" hidden="false" customHeight="false" outlineLevel="0" collapsed="false">
      <c r="A284" s="6" t="n">
        <v>2020</v>
      </c>
      <c r="B284" s="6" t="n">
        <v>8</v>
      </c>
      <c r="C284" s="4" t="n">
        <v>212</v>
      </c>
      <c r="D284" s="6" t="n">
        <v>31</v>
      </c>
      <c r="E284" s="4" t="n">
        <f aca="false">INDEX(Evaporasi!$B$3:$B$14,MATCH(B284,Evaporasi!$A$3:$A$14,0))</f>
        <v>120</v>
      </c>
      <c r="F284" s="18" t="n">
        <f aca="false">Kawasan!$B$11*Kawasan!$B$9*C284/1000</f>
        <v>1763.84</v>
      </c>
      <c r="G284" s="18" t="n">
        <f aca="false">Kawasan!$B$27*D284</f>
        <v>1666.56</v>
      </c>
      <c r="H284" s="18" t="n">
        <f aca="false">E284*Desain_Kolam!$B$16/1000</f>
        <v>128.7</v>
      </c>
      <c r="I284" s="18" t="n">
        <f aca="false">F284-G284-H284</f>
        <v>-31.42</v>
      </c>
      <c r="J284" s="18" t="n">
        <f aca="false">J283+I284</f>
        <v>14668.32</v>
      </c>
      <c r="K284" s="18" t="n">
        <f aca="false">MAX(K283,J284)</f>
        <v>18892.56</v>
      </c>
      <c r="L284" s="18" t="n">
        <f aca="false">K284-J284</f>
        <v>4224.24</v>
      </c>
      <c r="M284" s="18" t="n">
        <f aca="false">MIN(Desain_Kolam!$B$21,MAX(0,M283+F284-H284-G284))</f>
        <v>13842.54</v>
      </c>
      <c r="N284" s="6" t="n">
        <f aca="false">IF(M283+F284-H284&gt;=G284,1,0)</f>
        <v>1</v>
      </c>
    </row>
    <row r="285" customFormat="false" ht="15" hidden="false" customHeight="false" outlineLevel="0" collapsed="false">
      <c r="A285" s="6" t="n">
        <v>2020</v>
      </c>
      <c r="B285" s="6" t="n">
        <v>9</v>
      </c>
      <c r="C285" s="4" t="n">
        <v>460</v>
      </c>
      <c r="D285" s="6" t="n">
        <v>30</v>
      </c>
      <c r="E285" s="4" t="n">
        <f aca="false">INDEX(Evaporasi!$B$3:$B$14,MATCH(B285,Evaporasi!$A$3:$A$14,0))</f>
        <v>120</v>
      </c>
      <c r="F285" s="18" t="n">
        <f aca="false">Kawasan!$B$11*Kawasan!$B$9*C285/1000</f>
        <v>3827.2</v>
      </c>
      <c r="G285" s="18" t="n">
        <f aca="false">Kawasan!$B$27*D285</f>
        <v>1612.8</v>
      </c>
      <c r="H285" s="18" t="n">
        <f aca="false">E285*Desain_Kolam!$B$16/1000</f>
        <v>128.7</v>
      </c>
      <c r="I285" s="18" t="n">
        <f aca="false">F285-G285-H285</f>
        <v>2085.7</v>
      </c>
      <c r="J285" s="18" t="n">
        <f aca="false">J284+I285</f>
        <v>16754.02</v>
      </c>
      <c r="K285" s="18" t="n">
        <f aca="false">MAX(K284,J285)</f>
        <v>18892.56</v>
      </c>
      <c r="L285" s="18" t="n">
        <f aca="false">K285-J285</f>
        <v>2138.54</v>
      </c>
      <c r="M285" s="18" t="n">
        <f aca="false">MIN(Desain_Kolam!$B$21,MAX(0,M284+F285-H285-G285))</f>
        <v>15148.38</v>
      </c>
      <c r="N285" s="6" t="n">
        <f aca="false">IF(M284+F285-H285&gt;=G285,1,0)</f>
        <v>1</v>
      </c>
    </row>
    <row r="286" customFormat="false" ht="15" hidden="false" customHeight="false" outlineLevel="0" collapsed="false">
      <c r="A286" s="6" t="n">
        <v>2020</v>
      </c>
      <c r="B286" s="6" t="n">
        <v>10</v>
      </c>
      <c r="C286" s="4" t="n">
        <v>256</v>
      </c>
      <c r="D286" s="6" t="n">
        <v>31</v>
      </c>
      <c r="E286" s="4" t="n">
        <f aca="false">INDEX(Evaporasi!$B$3:$B$14,MATCH(B286,Evaporasi!$A$3:$A$14,0))</f>
        <v>120</v>
      </c>
      <c r="F286" s="18" t="n">
        <f aca="false">Kawasan!$B$11*Kawasan!$B$9*C286/1000</f>
        <v>2129.92</v>
      </c>
      <c r="G286" s="18" t="n">
        <f aca="false">Kawasan!$B$27*D286</f>
        <v>1666.56</v>
      </c>
      <c r="H286" s="18" t="n">
        <f aca="false">E286*Desain_Kolam!$B$16/1000</f>
        <v>128.7</v>
      </c>
      <c r="I286" s="18" t="n">
        <f aca="false">F286-G286-H286</f>
        <v>334.66</v>
      </c>
      <c r="J286" s="18" t="n">
        <f aca="false">J285+I286</f>
        <v>17088.68</v>
      </c>
      <c r="K286" s="18" t="n">
        <f aca="false">MAX(K285,J286)</f>
        <v>18892.56</v>
      </c>
      <c r="L286" s="18" t="n">
        <f aca="false">K286-J286</f>
        <v>1803.88</v>
      </c>
      <c r="M286" s="18" t="n">
        <f aca="false">MIN(Desain_Kolam!$B$21,MAX(0,M285+F286-H286-G286))</f>
        <v>15148.38</v>
      </c>
      <c r="N286" s="6" t="n">
        <f aca="false">IF(M285+F286-H286&gt;=G286,1,0)</f>
        <v>1</v>
      </c>
    </row>
    <row r="287" customFormat="false" ht="15" hidden="false" customHeight="false" outlineLevel="0" collapsed="false">
      <c r="A287" s="6" t="n">
        <v>2020</v>
      </c>
      <c r="B287" s="6" t="n">
        <v>11</v>
      </c>
      <c r="C287" s="4" t="n">
        <v>568</v>
      </c>
      <c r="D287" s="6" t="n">
        <v>30</v>
      </c>
      <c r="E287" s="4" t="n">
        <f aca="false">INDEX(Evaporasi!$B$3:$B$14,MATCH(B287,Evaporasi!$A$3:$A$14,0))</f>
        <v>120</v>
      </c>
      <c r="F287" s="18" t="n">
        <f aca="false">Kawasan!$B$11*Kawasan!$B$9*C287/1000</f>
        <v>4725.76</v>
      </c>
      <c r="G287" s="18" t="n">
        <f aca="false">Kawasan!$B$27*D287</f>
        <v>1612.8</v>
      </c>
      <c r="H287" s="18" t="n">
        <f aca="false">E287*Desain_Kolam!$B$16/1000</f>
        <v>128.7</v>
      </c>
      <c r="I287" s="18" t="n">
        <f aca="false">F287-G287-H287</f>
        <v>2984.26</v>
      </c>
      <c r="J287" s="18" t="n">
        <f aca="false">J286+I287</f>
        <v>20072.94</v>
      </c>
      <c r="K287" s="18" t="n">
        <f aca="false">MAX(K286,J287)</f>
        <v>20072.94</v>
      </c>
      <c r="L287" s="18" t="n">
        <f aca="false">K287-J287</f>
        <v>0</v>
      </c>
      <c r="M287" s="18" t="n">
        <f aca="false">MIN(Desain_Kolam!$B$21,MAX(0,M286+F287-H287-G287))</f>
        <v>15148.38</v>
      </c>
      <c r="N287" s="6" t="n">
        <f aca="false">IF(M286+F287-H287&gt;=G287,1,0)</f>
        <v>1</v>
      </c>
    </row>
    <row r="288" customFormat="false" ht="15" hidden="false" customHeight="false" outlineLevel="0" collapsed="false">
      <c r="A288" s="6" t="n">
        <v>2020</v>
      </c>
      <c r="B288" s="6" t="n">
        <v>12</v>
      </c>
      <c r="C288" s="4" t="n">
        <v>274</v>
      </c>
      <c r="D288" s="6" t="n">
        <v>31</v>
      </c>
      <c r="E288" s="4" t="n">
        <f aca="false">INDEX(Evaporasi!$B$3:$B$14,MATCH(B288,Evaporasi!$A$3:$A$14,0))</f>
        <v>120</v>
      </c>
      <c r="F288" s="18" t="n">
        <f aca="false">Kawasan!$B$11*Kawasan!$B$9*C288/1000</f>
        <v>2279.68</v>
      </c>
      <c r="G288" s="18" t="n">
        <f aca="false">Kawasan!$B$27*D288</f>
        <v>1666.56</v>
      </c>
      <c r="H288" s="18" t="n">
        <f aca="false">E288*Desain_Kolam!$B$16/1000</f>
        <v>128.7</v>
      </c>
      <c r="I288" s="18" t="n">
        <f aca="false">F288-G288-H288</f>
        <v>484.42</v>
      </c>
      <c r="J288" s="18" t="n">
        <f aca="false">J287+I288</f>
        <v>20557.36</v>
      </c>
      <c r="K288" s="18" t="n">
        <f aca="false">MAX(K287,J288)</f>
        <v>20557.36</v>
      </c>
      <c r="L288" s="18" t="n">
        <f aca="false">K288-J288</f>
        <v>0</v>
      </c>
      <c r="M288" s="18" t="n">
        <f aca="false">MIN(Desain_Kolam!$B$21,MAX(0,M287+F288-H288-G288))</f>
        <v>15148.38</v>
      </c>
      <c r="N288" s="6" t="n">
        <f aca="false">IF(M287+F288-H288&gt;=G288,1,0)</f>
        <v>1</v>
      </c>
    </row>
    <row r="289" customFormat="false" ht="15" hidden="false" customHeight="false" outlineLevel="0" collapsed="false">
      <c r="A289" s="6" t="n">
        <v>2021</v>
      </c>
      <c r="B289" s="6" t="n">
        <v>1</v>
      </c>
      <c r="C289" s="4" t="n">
        <v>310</v>
      </c>
      <c r="D289" s="6" t="n">
        <v>31</v>
      </c>
      <c r="E289" s="4" t="n">
        <f aca="false">INDEX(Evaporasi!$B$3:$B$14,MATCH(B289,Evaporasi!$A$3:$A$14,0))</f>
        <v>120</v>
      </c>
      <c r="F289" s="18" t="n">
        <f aca="false">Kawasan!$B$11*Kawasan!$B$9*C289/1000</f>
        <v>2579.2</v>
      </c>
      <c r="G289" s="18" t="n">
        <f aca="false">Kawasan!$B$27*D289</f>
        <v>1666.56</v>
      </c>
      <c r="H289" s="18" t="n">
        <f aca="false">E289*Desain_Kolam!$B$16/1000</f>
        <v>128.7</v>
      </c>
      <c r="I289" s="18" t="n">
        <f aca="false">F289-G289-H289</f>
        <v>783.94</v>
      </c>
      <c r="J289" s="18" t="n">
        <f aca="false">J288+I289</f>
        <v>21341.3</v>
      </c>
      <c r="K289" s="18" t="n">
        <f aca="false">MAX(K288,J289)</f>
        <v>21341.3</v>
      </c>
      <c r="L289" s="18" t="n">
        <f aca="false">K289-J289</f>
        <v>0</v>
      </c>
      <c r="M289" s="18" t="n">
        <f aca="false">MIN(Desain_Kolam!$B$21,MAX(0,M288+F289-H289-G289))</f>
        <v>15148.38</v>
      </c>
      <c r="N289" s="6" t="n">
        <f aca="false">IF(M288+F289-H289&gt;=G289,1,0)</f>
        <v>1</v>
      </c>
    </row>
    <row r="290" customFormat="false" ht="15" hidden="false" customHeight="false" outlineLevel="0" collapsed="false">
      <c r="A290" s="6" t="n">
        <v>2021</v>
      </c>
      <c r="B290" s="6" t="n">
        <v>2</v>
      </c>
      <c r="C290" s="4" t="n">
        <v>50</v>
      </c>
      <c r="D290" s="6" t="n">
        <v>28</v>
      </c>
      <c r="E290" s="4" t="n">
        <f aca="false">INDEX(Evaporasi!$B$3:$B$14,MATCH(B290,Evaporasi!$A$3:$A$14,0))</f>
        <v>120</v>
      </c>
      <c r="F290" s="18" t="n">
        <f aca="false">Kawasan!$B$11*Kawasan!$B$9*C290/1000</f>
        <v>416</v>
      </c>
      <c r="G290" s="18" t="n">
        <f aca="false">Kawasan!$B$27*D290</f>
        <v>1505.28</v>
      </c>
      <c r="H290" s="18" t="n">
        <f aca="false">E290*Desain_Kolam!$B$16/1000</f>
        <v>128.7</v>
      </c>
      <c r="I290" s="18" t="n">
        <f aca="false">F290-G290-H290</f>
        <v>-1217.98</v>
      </c>
      <c r="J290" s="18" t="n">
        <f aca="false">J289+I290</f>
        <v>20123.32</v>
      </c>
      <c r="K290" s="18" t="n">
        <f aca="false">MAX(K289,J290)</f>
        <v>21341.3</v>
      </c>
      <c r="L290" s="18" t="n">
        <f aca="false">K290-J290</f>
        <v>1217.98</v>
      </c>
      <c r="M290" s="18" t="n">
        <f aca="false">MIN(Desain_Kolam!$B$21,MAX(0,M289+F290-H290-G290))</f>
        <v>13930.4</v>
      </c>
      <c r="N290" s="6" t="n">
        <f aca="false">IF(M289+F290-H290&gt;=G290,1,0)</f>
        <v>1</v>
      </c>
    </row>
    <row r="291" customFormat="false" ht="15" hidden="false" customHeight="false" outlineLevel="0" collapsed="false">
      <c r="A291" s="6" t="n">
        <v>2021</v>
      </c>
      <c r="B291" s="6" t="n">
        <v>3</v>
      </c>
      <c r="C291" s="4" t="n">
        <v>263</v>
      </c>
      <c r="D291" s="6" t="n">
        <v>31</v>
      </c>
      <c r="E291" s="4" t="n">
        <f aca="false">INDEX(Evaporasi!$B$3:$B$14,MATCH(B291,Evaporasi!$A$3:$A$14,0))</f>
        <v>120</v>
      </c>
      <c r="F291" s="18" t="n">
        <f aca="false">Kawasan!$B$11*Kawasan!$B$9*C291/1000</f>
        <v>2188.16</v>
      </c>
      <c r="G291" s="18" t="n">
        <f aca="false">Kawasan!$B$27*D291</f>
        <v>1666.56</v>
      </c>
      <c r="H291" s="18" t="n">
        <f aca="false">E291*Desain_Kolam!$B$16/1000</f>
        <v>128.7</v>
      </c>
      <c r="I291" s="18" t="n">
        <f aca="false">F291-G291-H291</f>
        <v>392.9</v>
      </c>
      <c r="J291" s="18" t="n">
        <f aca="false">J290+I291</f>
        <v>20516.22</v>
      </c>
      <c r="K291" s="18" t="n">
        <f aca="false">MAX(K290,J291)</f>
        <v>21341.3</v>
      </c>
      <c r="L291" s="18" t="n">
        <f aca="false">K291-J291</f>
        <v>825.079999999998</v>
      </c>
      <c r="M291" s="18" t="n">
        <f aca="false">MIN(Desain_Kolam!$B$21,MAX(0,M290+F291-H291-G291))</f>
        <v>14323.3</v>
      </c>
      <c r="N291" s="6" t="n">
        <f aca="false">IF(M290+F291-H291&gt;=G291,1,0)</f>
        <v>1</v>
      </c>
    </row>
    <row r="292" customFormat="false" ht="15" hidden="false" customHeight="false" outlineLevel="0" collapsed="false">
      <c r="A292" s="6" t="n">
        <v>2021</v>
      </c>
      <c r="B292" s="6" t="n">
        <v>4</v>
      </c>
      <c r="C292" s="4" t="n">
        <v>240</v>
      </c>
      <c r="D292" s="6" t="n">
        <v>30</v>
      </c>
      <c r="E292" s="4" t="n">
        <f aca="false">INDEX(Evaporasi!$B$3:$B$14,MATCH(B292,Evaporasi!$A$3:$A$14,0))</f>
        <v>120</v>
      </c>
      <c r="F292" s="18" t="n">
        <f aca="false">Kawasan!$B$11*Kawasan!$B$9*C292/1000</f>
        <v>1996.8</v>
      </c>
      <c r="G292" s="18" t="n">
        <f aca="false">Kawasan!$B$27*D292</f>
        <v>1612.8</v>
      </c>
      <c r="H292" s="18" t="n">
        <f aca="false">E292*Desain_Kolam!$B$16/1000</f>
        <v>128.7</v>
      </c>
      <c r="I292" s="18" t="n">
        <f aca="false">F292-G292-H292</f>
        <v>255.3</v>
      </c>
      <c r="J292" s="18" t="n">
        <f aca="false">J291+I292</f>
        <v>20771.52</v>
      </c>
      <c r="K292" s="18" t="n">
        <f aca="false">MAX(K291,J292)</f>
        <v>21341.3</v>
      </c>
      <c r="L292" s="18" t="n">
        <f aca="false">K292-J292</f>
        <v>569.779999999999</v>
      </c>
      <c r="M292" s="18" t="n">
        <f aca="false">MIN(Desain_Kolam!$B$21,MAX(0,M291+F292-H292-G292))</f>
        <v>14578.6</v>
      </c>
      <c r="N292" s="6" t="n">
        <f aca="false">IF(M291+F292-H292&gt;=G292,1,0)</f>
        <v>1</v>
      </c>
    </row>
    <row r="293" customFormat="false" ht="15" hidden="false" customHeight="false" outlineLevel="0" collapsed="false">
      <c r="A293" s="6" t="n">
        <v>2021</v>
      </c>
      <c r="B293" s="6" t="n">
        <v>5</v>
      </c>
      <c r="C293" s="4" t="n">
        <v>465</v>
      </c>
      <c r="D293" s="6" t="n">
        <v>31</v>
      </c>
      <c r="E293" s="4" t="n">
        <f aca="false">INDEX(Evaporasi!$B$3:$B$14,MATCH(B293,Evaporasi!$A$3:$A$14,0))</f>
        <v>120</v>
      </c>
      <c r="F293" s="18" t="n">
        <f aca="false">Kawasan!$B$11*Kawasan!$B$9*C293/1000</f>
        <v>3868.8</v>
      </c>
      <c r="G293" s="18" t="n">
        <f aca="false">Kawasan!$B$27*D293</f>
        <v>1666.56</v>
      </c>
      <c r="H293" s="18" t="n">
        <f aca="false">E293*Desain_Kolam!$B$16/1000</f>
        <v>128.7</v>
      </c>
      <c r="I293" s="18" t="n">
        <f aca="false">F293-G293-H293</f>
        <v>2073.54</v>
      </c>
      <c r="J293" s="18" t="n">
        <f aca="false">J292+I293</f>
        <v>22845.06</v>
      </c>
      <c r="K293" s="18" t="n">
        <f aca="false">MAX(K292,J293)</f>
        <v>22845.06</v>
      </c>
      <c r="L293" s="18" t="n">
        <f aca="false">K293-J293</f>
        <v>0</v>
      </c>
      <c r="M293" s="18" t="n">
        <f aca="false">MIN(Desain_Kolam!$B$21,MAX(0,M292+F293-H293-G293))</f>
        <v>15148.38</v>
      </c>
      <c r="N293" s="6" t="n">
        <f aca="false">IF(M292+F293-H293&gt;=G293,1,0)</f>
        <v>1</v>
      </c>
    </row>
    <row r="294" customFormat="false" ht="15" hidden="false" customHeight="false" outlineLevel="0" collapsed="false">
      <c r="A294" s="6" t="n">
        <v>2021</v>
      </c>
      <c r="B294" s="6" t="n">
        <v>6</v>
      </c>
      <c r="C294" s="4" t="n">
        <v>390</v>
      </c>
      <c r="D294" s="6" t="n">
        <v>30</v>
      </c>
      <c r="E294" s="4" t="n">
        <f aca="false">INDEX(Evaporasi!$B$3:$B$14,MATCH(B294,Evaporasi!$A$3:$A$14,0))</f>
        <v>120</v>
      </c>
      <c r="F294" s="18" t="n">
        <f aca="false">Kawasan!$B$11*Kawasan!$B$9*C294/1000</f>
        <v>3244.8</v>
      </c>
      <c r="G294" s="18" t="n">
        <f aca="false">Kawasan!$B$27*D294</f>
        <v>1612.8</v>
      </c>
      <c r="H294" s="18" t="n">
        <f aca="false">E294*Desain_Kolam!$B$16/1000</f>
        <v>128.7</v>
      </c>
      <c r="I294" s="18" t="n">
        <f aca="false">F294-G294-H294</f>
        <v>1503.3</v>
      </c>
      <c r="J294" s="18" t="n">
        <f aca="false">J293+I294</f>
        <v>24348.36</v>
      </c>
      <c r="K294" s="18" t="n">
        <f aca="false">MAX(K293,J294)</f>
        <v>24348.36</v>
      </c>
      <c r="L294" s="18" t="n">
        <f aca="false">K294-J294</f>
        <v>0</v>
      </c>
      <c r="M294" s="18" t="n">
        <f aca="false">MIN(Desain_Kolam!$B$21,MAX(0,M293+F294-H294-G294))</f>
        <v>15148.38</v>
      </c>
      <c r="N294" s="6" t="n">
        <f aca="false">IF(M293+F294-H294&gt;=G294,1,0)</f>
        <v>1</v>
      </c>
    </row>
    <row r="295" customFormat="false" ht="15" hidden="false" customHeight="false" outlineLevel="0" collapsed="false">
      <c r="A295" s="6" t="n">
        <v>2021</v>
      </c>
      <c r="B295" s="6" t="n">
        <v>7</v>
      </c>
      <c r="C295" s="4" t="n">
        <v>211</v>
      </c>
      <c r="D295" s="6" t="n">
        <v>31</v>
      </c>
      <c r="E295" s="4" t="n">
        <f aca="false">INDEX(Evaporasi!$B$3:$B$14,MATCH(B295,Evaporasi!$A$3:$A$14,0))</f>
        <v>120</v>
      </c>
      <c r="F295" s="18" t="n">
        <f aca="false">Kawasan!$B$11*Kawasan!$B$9*C295/1000</f>
        <v>1755.52</v>
      </c>
      <c r="G295" s="18" t="n">
        <f aca="false">Kawasan!$B$27*D295</f>
        <v>1666.56</v>
      </c>
      <c r="H295" s="18" t="n">
        <f aca="false">E295*Desain_Kolam!$B$16/1000</f>
        <v>128.7</v>
      </c>
      <c r="I295" s="18" t="n">
        <f aca="false">F295-G295-H295</f>
        <v>-39.74</v>
      </c>
      <c r="J295" s="18" t="n">
        <f aca="false">J294+I295</f>
        <v>24308.62</v>
      </c>
      <c r="K295" s="18" t="n">
        <f aca="false">MAX(K294,J295)</f>
        <v>24348.36</v>
      </c>
      <c r="L295" s="18" t="n">
        <f aca="false">K295-J295</f>
        <v>39.7400000000016</v>
      </c>
      <c r="M295" s="18" t="n">
        <f aca="false">MIN(Desain_Kolam!$B$21,MAX(0,M294+F295-H295-G295))</f>
        <v>15108.64</v>
      </c>
      <c r="N295" s="6" t="n">
        <f aca="false">IF(M294+F295-H295&gt;=G295,1,0)</f>
        <v>1</v>
      </c>
    </row>
    <row r="296" customFormat="false" ht="15" hidden="false" customHeight="false" outlineLevel="0" collapsed="false">
      <c r="A296" s="6" t="n">
        <v>2021</v>
      </c>
      <c r="B296" s="6" t="n">
        <v>8</v>
      </c>
      <c r="C296" s="4" t="n">
        <v>587</v>
      </c>
      <c r="D296" s="6" t="n">
        <v>31</v>
      </c>
      <c r="E296" s="4" t="n">
        <f aca="false">INDEX(Evaporasi!$B$3:$B$14,MATCH(B296,Evaporasi!$A$3:$A$14,0))</f>
        <v>120</v>
      </c>
      <c r="F296" s="18" t="n">
        <f aca="false">Kawasan!$B$11*Kawasan!$B$9*C296/1000</f>
        <v>4883.84</v>
      </c>
      <c r="G296" s="18" t="n">
        <f aca="false">Kawasan!$B$27*D296</f>
        <v>1666.56</v>
      </c>
      <c r="H296" s="18" t="n">
        <f aca="false">E296*Desain_Kolam!$B$16/1000</f>
        <v>128.7</v>
      </c>
      <c r="I296" s="18" t="n">
        <f aca="false">F296-G296-H296</f>
        <v>3088.58</v>
      </c>
      <c r="J296" s="18" t="n">
        <f aca="false">J295+I296</f>
        <v>27397.2</v>
      </c>
      <c r="K296" s="18" t="n">
        <f aca="false">MAX(K295,J296)</f>
        <v>27397.2</v>
      </c>
      <c r="L296" s="18" t="n">
        <f aca="false">K296-J296</f>
        <v>0</v>
      </c>
      <c r="M296" s="18" t="n">
        <f aca="false">MIN(Desain_Kolam!$B$21,MAX(0,M295+F296-H296-G296))</f>
        <v>15148.38</v>
      </c>
      <c r="N296" s="6" t="n">
        <f aca="false">IF(M295+F296-H296&gt;=G296,1,0)</f>
        <v>1</v>
      </c>
    </row>
    <row r="297" customFormat="false" ht="15" hidden="false" customHeight="false" outlineLevel="0" collapsed="false">
      <c r="A297" s="6" t="n">
        <v>2021</v>
      </c>
      <c r="B297" s="6" t="n">
        <v>9</v>
      </c>
      <c r="C297" s="4" t="n">
        <v>524</v>
      </c>
      <c r="D297" s="6" t="n">
        <v>30</v>
      </c>
      <c r="E297" s="4" t="n">
        <f aca="false">INDEX(Evaporasi!$B$3:$B$14,MATCH(B297,Evaporasi!$A$3:$A$14,0))</f>
        <v>120</v>
      </c>
      <c r="F297" s="18" t="n">
        <f aca="false">Kawasan!$B$11*Kawasan!$B$9*C297/1000</f>
        <v>4359.68</v>
      </c>
      <c r="G297" s="18" t="n">
        <f aca="false">Kawasan!$B$27*D297</f>
        <v>1612.8</v>
      </c>
      <c r="H297" s="18" t="n">
        <f aca="false">E297*Desain_Kolam!$B$16/1000</f>
        <v>128.7</v>
      </c>
      <c r="I297" s="18" t="n">
        <f aca="false">F297-G297-H297</f>
        <v>2618.18</v>
      </c>
      <c r="J297" s="18" t="n">
        <f aca="false">J296+I297</f>
        <v>30015.38</v>
      </c>
      <c r="K297" s="18" t="n">
        <f aca="false">MAX(K296,J297)</f>
        <v>30015.38</v>
      </c>
      <c r="L297" s="18" t="n">
        <f aca="false">K297-J297</f>
        <v>0</v>
      </c>
      <c r="M297" s="18" t="n">
        <f aca="false">MIN(Desain_Kolam!$B$21,MAX(0,M296+F297-H297-G297))</f>
        <v>15148.38</v>
      </c>
      <c r="N297" s="6" t="n">
        <f aca="false">IF(M296+F297-H297&gt;=G297,1,0)</f>
        <v>1</v>
      </c>
    </row>
    <row r="298" customFormat="false" ht="15" hidden="false" customHeight="false" outlineLevel="0" collapsed="false">
      <c r="A298" s="6" t="n">
        <v>2021</v>
      </c>
      <c r="B298" s="6" t="n">
        <v>10</v>
      </c>
      <c r="C298" s="4" t="n">
        <v>252</v>
      </c>
      <c r="D298" s="6" t="n">
        <v>31</v>
      </c>
      <c r="E298" s="4" t="n">
        <f aca="false">INDEX(Evaporasi!$B$3:$B$14,MATCH(B298,Evaporasi!$A$3:$A$14,0))</f>
        <v>120</v>
      </c>
      <c r="F298" s="18" t="n">
        <f aca="false">Kawasan!$B$11*Kawasan!$B$9*C298/1000</f>
        <v>2096.64</v>
      </c>
      <c r="G298" s="18" t="n">
        <f aca="false">Kawasan!$B$27*D298</f>
        <v>1666.56</v>
      </c>
      <c r="H298" s="18" t="n">
        <f aca="false">E298*Desain_Kolam!$B$16/1000</f>
        <v>128.7</v>
      </c>
      <c r="I298" s="18" t="n">
        <f aca="false">F298-G298-H298</f>
        <v>301.38</v>
      </c>
      <c r="J298" s="18" t="n">
        <f aca="false">J297+I298</f>
        <v>30316.76</v>
      </c>
      <c r="K298" s="18" t="n">
        <f aca="false">MAX(K297,J298)</f>
        <v>30316.76</v>
      </c>
      <c r="L298" s="18" t="n">
        <f aca="false">K298-J298</f>
        <v>0</v>
      </c>
      <c r="M298" s="18" t="n">
        <f aca="false">MIN(Desain_Kolam!$B$21,MAX(0,M297+F298-H298-G298))</f>
        <v>15148.38</v>
      </c>
      <c r="N298" s="6" t="n">
        <f aca="false">IF(M297+F298-H298&gt;=G298,1,0)</f>
        <v>1</v>
      </c>
    </row>
    <row r="299" customFormat="false" ht="15" hidden="false" customHeight="false" outlineLevel="0" collapsed="false">
      <c r="A299" s="6" t="n">
        <v>2021</v>
      </c>
      <c r="B299" s="6" t="n">
        <v>11</v>
      </c>
      <c r="C299" s="4" t="n">
        <v>252</v>
      </c>
      <c r="D299" s="6" t="n">
        <v>30</v>
      </c>
      <c r="E299" s="4" t="n">
        <f aca="false">INDEX(Evaporasi!$B$3:$B$14,MATCH(B299,Evaporasi!$A$3:$A$14,0))</f>
        <v>120</v>
      </c>
      <c r="F299" s="18" t="n">
        <f aca="false">Kawasan!$B$11*Kawasan!$B$9*C299/1000</f>
        <v>2096.64</v>
      </c>
      <c r="G299" s="18" t="n">
        <f aca="false">Kawasan!$B$27*D299</f>
        <v>1612.8</v>
      </c>
      <c r="H299" s="18" t="n">
        <f aca="false">E299*Desain_Kolam!$B$16/1000</f>
        <v>128.7</v>
      </c>
      <c r="I299" s="18" t="n">
        <f aca="false">F299-G299-H299</f>
        <v>355.14</v>
      </c>
      <c r="J299" s="18" t="n">
        <f aca="false">J298+I299</f>
        <v>30671.9</v>
      </c>
      <c r="K299" s="18" t="n">
        <f aca="false">MAX(K298,J299)</f>
        <v>30671.9</v>
      </c>
      <c r="L299" s="18" t="n">
        <f aca="false">K299-J299</f>
        <v>0</v>
      </c>
      <c r="M299" s="18" t="n">
        <f aca="false">MIN(Desain_Kolam!$B$21,MAX(0,M298+F299-H299-G299))</f>
        <v>15148.38</v>
      </c>
      <c r="N299" s="6" t="n">
        <f aca="false">IF(M298+F299-H299&gt;=G299,1,0)</f>
        <v>1</v>
      </c>
    </row>
    <row r="300" customFormat="false" ht="15" hidden="false" customHeight="false" outlineLevel="0" collapsed="false">
      <c r="A300" s="6" t="n">
        <v>2021</v>
      </c>
      <c r="B300" s="6" t="n">
        <v>12</v>
      </c>
      <c r="C300" s="4" t="n">
        <v>152</v>
      </c>
      <c r="D300" s="6" t="n">
        <v>31</v>
      </c>
      <c r="E300" s="4" t="n">
        <f aca="false">INDEX(Evaporasi!$B$3:$B$14,MATCH(B300,Evaporasi!$A$3:$A$14,0))</f>
        <v>120</v>
      </c>
      <c r="F300" s="18" t="n">
        <f aca="false">Kawasan!$B$11*Kawasan!$B$9*C300/1000</f>
        <v>1264.64</v>
      </c>
      <c r="G300" s="18" t="n">
        <f aca="false">Kawasan!$B$27*D300</f>
        <v>1666.56</v>
      </c>
      <c r="H300" s="18" t="n">
        <f aca="false">E300*Desain_Kolam!$B$16/1000</f>
        <v>128.7</v>
      </c>
      <c r="I300" s="18" t="n">
        <f aca="false">F300-G300-H300</f>
        <v>-530.62</v>
      </c>
      <c r="J300" s="18" t="n">
        <f aca="false">J299+I300</f>
        <v>30141.28</v>
      </c>
      <c r="K300" s="18" t="n">
        <f aca="false">MAX(K299,J300)</f>
        <v>30671.9</v>
      </c>
      <c r="L300" s="18" t="n">
        <f aca="false">K300-J300</f>
        <v>530.619999999999</v>
      </c>
      <c r="M300" s="18" t="n">
        <f aca="false">MIN(Desain_Kolam!$B$21,MAX(0,M299+F300-H300-G300))</f>
        <v>14617.76</v>
      </c>
      <c r="N300" s="6" t="n">
        <f aca="false">IF(M299+F300-H300&gt;=G300,1,0)</f>
        <v>1</v>
      </c>
    </row>
    <row r="301" customFormat="false" ht="15" hidden="false" customHeight="false" outlineLevel="0" collapsed="false">
      <c r="A301" s="6" t="n">
        <v>2022</v>
      </c>
      <c r="B301" s="6" t="n">
        <v>1</v>
      </c>
      <c r="C301" s="4" t="n">
        <v>145</v>
      </c>
      <c r="D301" s="6" t="n">
        <v>31</v>
      </c>
      <c r="E301" s="4" t="n">
        <f aca="false">INDEX(Evaporasi!$B$3:$B$14,MATCH(B301,Evaporasi!$A$3:$A$14,0))</f>
        <v>120</v>
      </c>
      <c r="F301" s="18" t="n">
        <f aca="false">Kawasan!$B$11*Kawasan!$B$9*C301/1000</f>
        <v>1206.4</v>
      </c>
      <c r="G301" s="18" t="n">
        <f aca="false">Kawasan!$B$27*D301</f>
        <v>1666.56</v>
      </c>
      <c r="H301" s="18" t="n">
        <f aca="false">E301*Desain_Kolam!$B$16/1000</f>
        <v>128.7</v>
      </c>
      <c r="I301" s="18" t="n">
        <f aca="false">F301-G301-H301</f>
        <v>-588.86</v>
      </c>
      <c r="J301" s="18" t="n">
        <f aca="false">J300+I301</f>
        <v>29552.42</v>
      </c>
      <c r="K301" s="18" t="n">
        <f aca="false">MAX(K300,J301)</f>
        <v>30671.9</v>
      </c>
      <c r="L301" s="18" t="n">
        <f aca="false">K301-J301</f>
        <v>1119.48</v>
      </c>
      <c r="M301" s="18" t="n">
        <f aca="false">MIN(Desain_Kolam!$B$21,MAX(0,M300+F301-H301-G301))</f>
        <v>14028.9</v>
      </c>
      <c r="N301" s="6" t="n">
        <f aca="false">IF(M300+F301-H301&gt;=G301,1,0)</f>
        <v>1</v>
      </c>
    </row>
    <row r="302" customFormat="false" ht="15" hidden="false" customHeight="false" outlineLevel="0" collapsed="false">
      <c r="A302" s="6" t="n">
        <v>2022</v>
      </c>
      <c r="B302" s="6" t="n">
        <v>2</v>
      </c>
      <c r="C302" s="4" t="n">
        <v>106</v>
      </c>
      <c r="D302" s="6" t="n">
        <v>28</v>
      </c>
      <c r="E302" s="4" t="n">
        <f aca="false">INDEX(Evaporasi!$B$3:$B$14,MATCH(B302,Evaporasi!$A$3:$A$14,0))</f>
        <v>120</v>
      </c>
      <c r="F302" s="18" t="n">
        <f aca="false">Kawasan!$B$11*Kawasan!$B$9*C302/1000</f>
        <v>881.92</v>
      </c>
      <c r="G302" s="18" t="n">
        <f aca="false">Kawasan!$B$27*D302</f>
        <v>1505.28</v>
      </c>
      <c r="H302" s="18" t="n">
        <f aca="false">E302*Desain_Kolam!$B$16/1000</f>
        <v>128.7</v>
      </c>
      <c r="I302" s="18" t="n">
        <f aca="false">F302-G302-H302</f>
        <v>-752.06</v>
      </c>
      <c r="J302" s="18" t="n">
        <f aca="false">J301+I302</f>
        <v>28800.36</v>
      </c>
      <c r="K302" s="18" t="n">
        <f aca="false">MAX(K301,J302)</f>
        <v>30671.9</v>
      </c>
      <c r="L302" s="18" t="n">
        <f aca="false">K302-J302</f>
        <v>1871.54</v>
      </c>
      <c r="M302" s="18" t="n">
        <f aca="false">MIN(Desain_Kolam!$B$21,MAX(0,M301+F302-H302-G302))</f>
        <v>13276.84</v>
      </c>
      <c r="N302" s="6" t="n">
        <f aca="false">IF(M301+F302-H302&gt;=G302,1,0)</f>
        <v>1</v>
      </c>
    </row>
    <row r="303" customFormat="false" ht="15" hidden="false" customHeight="false" outlineLevel="0" collapsed="false">
      <c r="A303" s="6" t="n">
        <v>2022</v>
      </c>
      <c r="B303" s="6" t="n">
        <v>3</v>
      </c>
      <c r="C303" s="4" t="n">
        <v>104</v>
      </c>
      <c r="D303" s="6" t="n">
        <v>31</v>
      </c>
      <c r="E303" s="4" t="n">
        <f aca="false">INDEX(Evaporasi!$B$3:$B$14,MATCH(B303,Evaporasi!$A$3:$A$14,0))</f>
        <v>120</v>
      </c>
      <c r="F303" s="18" t="n">
        <f aca="false">Kawasan!$B$11*Kawasan!$B$9*C303/1000</f>
        <v>865.28</v>
      </c>
      <c r="G303" s="18" t="n">
        <f aca="false">Kawasan!$B$27*D303</f>
        <v>1666.56</v>
      </c>
      <c r="H303" s="18" t="n">
        <f aca="false">E303*Desain_Kolam!$B$16/1000</f>
        <v>128.7</v>
      </c>
      <c r="I303" s="18" t="n">
        <f aca="false">F303-G303-H303</f>
        <v>-929.98</v>
      </c>
      <c r="J303" s="18" t="n">
        <f aca="false">J302+I303</f>
        <v>27870.38</v>
      </c>
      <c r="K303" s="18" t="n">
        <f aca="false">MAX(K302,J303)</f>
        <v>30671.9</v>
      </c>
      <c r="L303" s="18" t="n">
        <f aca="false">K303-J303</f>
        <v>2801.52</v>
      </c>
      <c r="M303" s="18" t="n">
        <f aca="false">MIN(Desain_Kolam!$B$21,MAX(0,M302+F303-H303-G303))</f>
        <v>12346.86</v>
      </c>
      <c r="N303" s="6" t="n">
        <f aca="false">IF(M302+F303-H303&gt;=G303,1,0)</f>
        <v>1</v>
      </c>
    </row>
    <row r="304" customFormat="false" ht="15" hidden="false" customHeight="false" outlineLevel="0" collapsed="false">
      <c r="A304" s="6" t="n">
        <v>2022</v>
      </c>
      <c r="B304" s="6" t="n">
        <v>4</v>
      </c>
      <c r="C304" s="4" t="n">
        <v>301</v>
      </c>
      <c r="D304" s="6" t="n">
        <v>30</v>
      </c>
      <c r="E304" s="4" t="n">
        <f aca="false">INDEX(Evaporasi!$B$3:$B$14,MATCH(B304,Evaporasi!$A$3:$A$14,0))</f>
        <v>120</v>
      </c>
      <c r="F304" s="18" t="n">
        <f aca="false">Kawasan!$B$11*Kawasan!$B$9*C304/1000</f>
        <v>2504.32</v>
      </c>
      <c r="G304" s="18" t="n">
        <f aca="false">Kawasan!$B$27*D304</f>
        <v>1612.8</v>
      </c>
      <c r="H304" s="18" t="n">
        <f aca="false">E304*Desain_Kolam!$B$16/1000</f>
        <v>128.7</v>
      </c>
      <c r="I304" s="18" t="n">
        <f aca="false">F304-G304-H304</f>
        <v>762.82</v>
      </c>
      <c r="J304" s="18" t="n">
        <f aca="false">J303+I304</f>
        <v>28633.2</v>
      </c>
      <c r="K304" s="18" t="n">
        <f aca="false">MAX(K303,J304)</f>
        <v>30671.9</v>
      </c>
      <c r="L304" s="18" t="n">
        <f aca="false">K304-J304</f>
        <v>2038.7</v>
      </c>
      <c r="M304" s="18" t="n">
        <f aca="false">MIN(Desain_Kolam!$B$21,MAX(0,M303+F304-H304-G304))</f>
        <v>13109.68</v>
      </c>
      <c r="N304" s="6" t="n">
        <f aca="false">IF(M303+F304-H304&gt;=G304,1,0)</f>
        <v>1</v>
      </c>
    </row>
    <row r="305" customFormat="false" ht="15" hidden="false" customHeight="false" outlineLevel="0" collapsed="false">
      <c r="A305" s="6" t="n">
        <v>2022</v>
      </c>
      <c r="B305" s="6" t="n">
        <v>5</v>
      </c>
      <c r="C305" s="4" t="n">
        <v>201</v>
      </c>
      <c r="D305" s="6" t="n">
        <v>31</v>
      </c>
      <c r="E305" s="4" t="n">
        <f aca="false">INDEX(Evaporasi!$B$3:$B$14,MATCH(B305,Evaporasi!$A$3:$A$14,0))</f>
        <v>120</v>
      </c>
      <c r="F305" s="18" t="n">
        <f aca="false">Kawasan!$B$11*Kawasan!$B$9*C305/1000</f>
        <v>1672.32</v>
      </c>
      <c r="G305" s="18" t="n">
        <f aca="false">Kawasan!$B$27*D305</f>
        <v>1666.56</v>
      </c>
      <c r="H305" s="18" t="n">
        <f aca="false">E305*Desain_Kolam!$B$16/1000</f>
        <v>128.7</v>
      </c>
      <c r="I305" s="18" t="n">
        <f aca="false">F305-G305-H305</f>
        <v>-122.94</v>
      </c>
      <c r="J305" s="18" t="n">
        <f aca="false">J304+I305</f>
        <v>28510.26</v>
      </c>
      <c r="K305" s="18" t="n">
        <f aca="false">MAX(K304,J305)</f>
        <v>30671.9</v>
      </c>
      <c r="L305" s="18" t="n">
        <f aca="false">K305-J305</f>
        <v>2161.64</v>
      </c>
      <c r="M305" s="18" t="n">
        <f aca="false">MIN(Desain_Kolam!$B$21,MAX(0,M304+F305-H305-G305))</f>
        <v>12986.74</v>
      </c>
      <c r="N305" s="6" t="n">
        <f aca="false">IF(M304+F305-H305&gt;=G305,1,0)</f>
        <v>1</v>
      </c>
    </row>
    <row r="306" customFormat="false" ht="15" hidden="false" customHeight="false" outlineLevel="0" collapsed="false">
      <c r="A306" s="6" t="n">
        <v>2022</v>
      </c>
      <c r="B306" s="6" t="n">
        <v>6</v>
      </c>
      <c r="C306" s="4" t="n">
        <v>293</v>
      </c>
      <c r="D306" s="6" t="n">
        <v>30</v>
      </c>
      <c r="E306" s="4" t="n">
        <f aca="false">INDEX(Evaporasi!$B$3:$B$14,MATCH(B306,Evaporasi!$A$3:$A$14,0))</f>
        <v>120</v>
      </c>
      <c r="F306" s="18" t="n">
        <f aca="false">Kawasan!$B$11*Kawasan!$B$9*C306/1000</f>
        <v>2437.76</v>
      </c>
      <c r="G306" s="18" t="n">
        <f aca="false">Kawasan!$B$27*D306</f>
        <v>1612.8</v>
      </c>
      <c r="H306" s="18" t="n">
        <f aca="false">E306*Desain_Kolam!$B$16/1000</f>
        <v>128.7</v>
      </c>
      <c r="I306" s="18" t="n">
        <f aca="false">F306-G306-H306</f>
        <v>696.26</v>
      </c>
      <c r="J306" s="18" t="n">
        <f aca="false">J305+I306</f>
        <v>29206.52</v>
      </c>
      <c r="K306" s="18" t="n">
        <f aca="false">MAX(K305,J306)</f>
        <v>30671.9</v>
      </c>
      <c r="L306" s="18" t="n">
        <f aca="false">K306-J306</f>
        <v>1465.38</v>
      </c>
      <c r="M306" s="18" t="n">
        <f aca="false">MIN(Desain_Kolam!$B$21,MAX(0,M305+F306-H306-G306))</f>
        <v>13683</v>
      </c>
      <c r="N306" s="6" t="n">
        <f aca="false">IF(M305+F306-H306&gt;=G306,1,0)</f>
        <v>1</v>
      </c>
    </row>
    <row r="307" customFormat="false" ht="15" hidden="false" customHeight="false" outlineLevel="0" collapsed="false">
      <c r="A307" s="6" t="n">
        <v>2022</v>
      </c>
      <c r="B307" s="6" t="n">
        <v>7</v>
      </c>
      <c r="C307" s="4" t="n">
        <v>272</v>
      </c>
      <c r="D307" s="6" t="n">
        <v>31</v>
      </c>
      <c r="E307" s="4" t="n">
        <f aca="false">INDEX(Evaporasi!$B$3:$B$14,MATCH(B307,Evaporasi!$A$3:$A$14,0))</f>
        <v>120</v>
      </c>
      <c r="F307" s="18" t="n">
        <f aca="false">Kawasan!$B$11*Kawasan!$B$9*C307/1000</f>
        <v>2263.04</v>
      </c>
      <c r="G307" s="18" t="n">
        <f aca="false">Kawasan!$B$27*D307</f>
        <v>1666.56</v>
      </c>
      <c r="H307" s="18" t="n">
        <f aca="false">E307*Desain_Kolam!$B$16/1000</f>
        <v>128.7</v>
      </c>
      <c r="I307" s="18" t="n">
        <f aca="false">F307-G307-H307</f>
        <v>467.78</v>
      </c>
      <c r="J307" s="18" t="n">
        <f aca="false">J306+I307</f>
        <v>29674.3</v>
      </c>
      <c r="K307" s="18" t="n">
        <f aca="false">MAX(K306,J307)</f>
        <v>30671.9</v>
      </c>
      <c r="L307" s="18" t="n">
        <f aca="false">K307-J307</f>
        <v>997.599999999999</v>
      </c>
      <c r="M307" s="18" t="n">
        <f aca="false">MIN(Desain_Kolam!$B$21,MAX(0,M306+F307-H307-G307))</f>
        <v>14150.78</v>
      </c>
      <c r="N307" s="6" t="n">
        <f aca="false">IF(M306+F307-H307&gt;=G307,1,0)</f>
        <v>1</v>
      </c>
    </row>
    <row r="308" customFormat="false" ht="15" hidden="false" customHeight="false" outlineLevel="0" collapsed="false">
      <c r="A308" s="6" t="n">
        <v>2022</v>
      </c>
      <c r="B308" s="6" t="n">
        <v>8</v>
      </c>
      <c r="C308" s="4" t="n">
        <v>354</v>
      </c>
      <c r="D308" s="6" t="n">
        <v>31</v>
      </c>
      <c r="E308" s="4" t="n">
        <f aca="false">INDEX(Evaporasi!$B$3:$B$14,MATCH(B308,Evaporasi!$A$3:$A$14,0))</f>
        <v>120</v>
      </c>
      <c r="F308" s="18" t="n">
        <f aca="false">Kawasan!$B$11*Kawasan!$B$9*C308/1000</f>
        <v>2945.28</v>
      </c>
      <c r="G308" s="18" t="n">
        <f aca="false">Kawasan!$B$27*D308</f>
        <v>1666.56</v>
      </c>
      <c r="H308" s="18" t="n">
        <f aca="false">E308*Desain_Kolam!$B$16/1000</f>
        <v>128.7</v>
      </c>
      <c r="I308" s="18" t="n">
        <f aca="false">F308-G308-H308</f>
        <v>1150.02</v>
      </c>
      <c r="J308" s="18" t="n">
        <f aca="false">J307+I308</f>
        <v>30824.32</v>
      </c>
      <c r="K308" s="18" t="n">
        <f aca="false">MAX(K307,J308)</f>
        <v>30824.32</v>
      </c>
      <c r="L308" s="18" t="n">
        <f aca="false">K308-J308</f>
        <v>0</v>
      </c>
      <c r="M308" s="18" t="n">
        <f aca="false">MIN(Desain_Kolam!$B$21,MAX(0,M307+F308-H308-G308))</f>
        <v>15148.38</v>
      </c>
      <c r="N308" s="6" t="n">
        <f aca="false">IF(M307+F308-H308&gt;=G308,1,0)</f>
        <v>1</v>
      </c>
    </row>
    <row r="309" customFormat="false" ht="15" hidden="false" customHeight="false" outlineLevel="0" collapsed="false">
      <c r="A309" s="6" t="n">
        <v>2022</v>
      </c>
      <c r="B309" s="6" t="n">
        <v>9</v>
      </c>
      <c r="C309" s="4" t="n">
        <v>275</v>
      </c>
      <c r="D309" s="6" t="n">
        <v>30</v>
      </c>
      <c r="E309" s="4" t="n">
        <f aca="false">INDEX(Evaporasi!$B$3:$B$14,MATCH(B309,Evaporasi!$A$3:$A$14,0))</f>
        <v>120</v>
      </c>
      <c r="F309" s="18" t="n">
        <f aca="false">Kawasan!$B$11*Kawasan!$B$9*C309/1000</f>
        <v>2288</v>
      </c>
      <c r="G309" s="18" t="n">
        <f aca="false">Kawasan!$B$27*D309</f>
        <v>1612.8</v>
      </c>
      <c r="H309" s="18" t="n">
        <f aca="false">E309*Desain_Kolam!$B$16/1000</f>
        <v>128.7</v>
      </c>
      <c r="I309" s="18" t="n">
        <f aca="false">F309-G309-H309</f>
        <v>546.5</v>
      </c>
      <c r="J309" s="18" t="n">
        <f aca="false">J308+I309</f>
        <v>31370.82</v>
      </c>
      <c r="K309" s="18" t="n">
        <f aca="false">MAX(K308,J309)</f>
        <v>31370.82</v>
      </c>
      <c r="L309" s="18" t="n">
        <f aca="false">K309-J309</f>
        <v>0</v>
      </c>
      <c r="M309" s="18" t="n">
        <f aca="false">MIN(Desain_Kolam!$B$21,MAX(0,M308+F309-H309-G309))</f>
        <v>15148.38</v>
      </c>
      <c r="N309" s="6" t="n">
        <f aca="false">IF(M308+F309-H309&gt;=G309,1,0)</f>
        <v>1</v>
      </c>
    </row>
    <row r="310" customFormat="false" ht="15" hidden="false" customHeight="false" outlineLevel="0" collapsed="false">
      <c r="A310" s="6" t="n">
        <v>2022</v>
      </c>
      <c r="B310" s="6" t="n">
        <v>10</v>
      </c>
      <c r="C310" s="4" t="n">
        <v>423</v>
      </c>
      <c r="D310" s="6" t="n">
        <v>31</v>
      </c>
      <c r="E310" s="4" t="n">
        <f aca="false">INDEX(Evaporasi!$B$3:$B$14,MATCH(B310,Evaporasi!$A$3:$A$14,0))</f>
        <v>120</v>
      </c>
      <c r="F310" s="18" t="n">
        <f aca="false">Kawasan!$B$11*Kawasan!$B$9*C310/1000</f>
        <v>3519.36</v>
      </c>
      <c r="G310" s="18" t="n">
        <f aca="false">Kawasan!$B$27*D310</f>
        <v>1666.56</v>
      </c>
      <c r="H310" s="18" t="n">
        <f aca="false">E310*Desain_Kolam!$B$16/1000</f>
        <v>128.7</v>
      </c>
      <c r="I310" s="18" t="n">
        <f aca="false">F310-G310-H310</f>
        <v>1724.1</v>
      </c>
      <c r="J310" s="18" t="n">
        <f aca="false">J309+I310</f>
        <v>33094.92</v>
      </c>
      <c r="K310" s="18" t="n">
        <f aca="false">MAX(K309,J310)</f>
        <v>33094.92</v>
      </c>
      <c r="L310" s="18" t="n">
        <f aca="false">K310-J310</f>
        <v>0</v>
      </c>
      <c r="M310" s="18" t="n">
        <f aca="false">MIN(Desain_Kolam!$B$21,MAX(0,M309+F310-H310-G310))</f>
        <v>15148.38</v>
      </c>
      <c r="N310" s="6" t="n">
        <f aca="false">IF(M309+F310-H310&gt;=G310,1,0)</f>
        <v>1</v>
      </c>
    </row>
    <row r="311" customFormat="false" ht="15" hidden="false" customHeight="false" outlineLevel="0" collapsed="false">
      <c r="A311" s="6" t="n">
        <v>2022</v>
      </c>
      <c r="B311" s="6" t="n">
        <v>11</v>
      </c>
      <c r="C311" s="4" t="n">
        <v>237</v>
      </c>
      <c r="D311" s="6" t="n">
        <v>30</v>
      </c>
      <c r="E311" s="4" t="n">
        <f aca="false">INDEX(Evaporasi!$B$3:$B$14,MATCH(B311,Evaporasi!$A$3:$A$14,0))</f>
        <v>120</v>
      </c>
      <c r="F311" s="18" t="n">
        <f aca="false">Kawasan!$B$11*Kawasan!$B$9*C311/1000</f>
        <v>1971.84</v>
      </c>
      <c r="G311" s="18" t="n">
        <f aca="false">Kawasan!$B$27*D311</f>
        <v>1612.8</v>
      </c>
      <c r="H311" s="18" t="n">
        <f aca="false">E311*Desain_Kolam!$B$16/1000</f>
        <v>128.7</v>
      </c>
      <c r="I311" s="18" t="n">
        <f aca="false">F311-G311-H311</f>
        <v>230.34</v>
      </c>
      <c r="J311" s="18" t="n">
        <f aca="false">J310+I311</f>
        <v>33325.26</v>
      </c>
      <c r="K311" s="18" t="n">
        <f aca="false">MAX(K310,J311)</f>
        <v>33325.26</v>
      </c>
      <c r="L311" s="18" t="n">
        <f aca="false">K311-J311</f>
        <v>0</v>
      </c>
      <c r="M311" s="18" t="n">
        <f aca="false">MIN(Desain_Kolam!$B$21,MAX(0,M310+F311-H311-G311))</f>
        <v>15148.38</v>
      </c>
      <c r="N311" s="6" t="n">
        <f aca="false">IF(M310+F311-H311&gt;=G311,1,0)</f>
        <v>1</v>
      </c>
    </row>
    <row r="312" customFormat="false" ht="15" hidden="false" customHeight="false" outlineLevel="0" collapsed="false">
      <c r="A312" s="6" t="n">
        <v>2022</v>
      </c>
      <c r="B312" s="6" t="n">
        <v>12</v>
      </c>
      <c r="C312" s="4" t="n">
        <v>215</v>
      </c>
      <c r="D312" s="6" t="n">
        <v>31</v>
      </c>
      <c r="E312" s="4" t="n">
        <f aca="false">INDEX(Evaporasi!$B$3:$B$14,MATCH(B312,Evaporasi!$A$3:$A$14,0))</f>
        <v>120</v>
      </c>
      <c r="F312" s="18" t="n">
        <f aca="false">Kawasan!$B$11*Kawasan!$B$9*C312/1000</f>
        <v>1788.8</v>
      </c>
      <c r="G312" s="18" t="n">
        <f aca="false">Kawasan!$B$27*D312</f>
        <v>1666.56</v>
      </c>
      <c r="H312" s="18" t="n">
        <f aca="false">E312*Desain_Kolam!$B$16/1000</f>
        <v>128.7</v>
      </c>
      <c r="I312" s="18" t="n">
        <f aca="false">F312-G312-H312</f>
        <v>-6.45999999999998</v>
      </c>
      <c r="J312" s="18" t="n">
        <f aca="false">J311+I312</f>
        <v>33318.8</v>
      </c>
      <c r="K312" s="18" t="n">
        <f aca="false">MAX(K311,J312)</f>
        <v>33325.26</v>
      </c>
      <c r="L312" s="18" t="n">
        <f aca="false">K312-J312</f>
        <v>6.45999999999913</v>
      </c>
      <c r="M312" s="18" t="n">
        <f aca="false">MIN(Desain_Kolam!$B$21,MAX(0,M311+F312-H312-G312))</f>
        <v>15141.92</v>
      </c>
      <c r="N312" s="6" t="n">
        <f aca="false">IF(M311+F312-H312&gt;=G312,1,0)</f>
        <v>1</v>
      </c>
    </row>
    <row r="313" customFormat="false" ht="15" hidden="false" customHeight="false" outlineLevel="0" collapsed="false">
      <c r="A313" s="6" t="n">
        <v>2023</v>
      </c>
      <c r="B313" s="6" t="n">
        <v>1</v>
      </c>
      <c r="C313" s="4" t="n">
        <v>258</v>
      </c>
      <c r="D313" s="6" t="n">
        <v>31</v>
      </c>
      <c r="E313" s="4" t="n">
        <f aca="false">INDEX(Evaporasi!$B$3:$B$14,MATCH(B313,Evaporasi!$A$3:$A$14,0))</f>
        <v>120</v>
      </c>
      <c r="F313" s="18" t="n">
        <f aca="false">Kawasan!$B$11*Kawasan!$B$9*C313/1000</f>
        <v>2146.56</v>
      </c>
      <c r="G313" s="18" t="n">
        <f aca="false">Kawasan!$B$27*D313</f>
        <v>1666.56</v>
      </c>
      <c r="H313" s="18" t="n">
        <f aca="false">E313*Desain_Kolam!$B$16/1000</f>
        <v>128.7</v>
      </c>
      <c r="I313" s="18" t="n">
        <f aca="false">F313-G313-H313</f>
        <v>351.3</v>
      </c>
      <c r="J313" s="18" t="n">
        <f aca="false">J312+I313</f>
        <v>33670.1</v>
      </c>
      <c r="K313" s="18" t="n">
        <f aca="false">MAX(K312,J313)</f>
        <v>33670.1</v>
      </c>
      <c r="L313" s="18" t="n">
        <f aca="false">K313-J313</f>
        <v>0</v>
      </c>
      <c r="M313" s="18" t="n">
        <f aca="false">MIN(Desain_Kolam!$B$21,MAX(0,M312+F313-H313-G313))</f>
        <v>15148.38</v>
      </c>
      <c r="N313" s="6" t="n">
        <f aca="false">IF(M312+F313-H313&gt;=G313,1,0)</f>
        <v>1</v>
      </c>
    </row>
    <row r="314" customFormat="false" ht="15" hidden="false" customHeight="false" outlineLevel="0" collapsed="false">
      <c r="A314" s="6" t="n">
        <v>2023</v>
      </c>
      <c r="B314" s="6" t="n">
        <v>2</v>
      </c>
      <c r="C314" s="4" t="n">
        <v>185</v>
      </c>
      <c r="D314" s="6" t="n">
        <v>28</v>
      </c>
      <c r="E314" s="4" t="n">
        <f aca="false">INDEX(Evaporasi!$B$3:$B$14,MATCH(B314,Evaporasi!$A$3:$A$14,0))</f>
        <v>120</v>
      </c>
      <c r="F314" s="18" t="n">
        <f aca="false">Kawasan!$B$11*Kawasan!$B$9*C314/1000</f>
        <v>1539.2</v>
      </c>
      <c r="G314" s="18" t="n">
        <f aca="false">Kawasan!$B$27*D314</f>
        <v>1505.28</v>
      </c>
      <c r="H314" s="18" t="n">
        <f aca="false">E314*Desain_Kolam!$B$16/1000</f>
        <v>128.7</v>
      </c>
      <c r="I314" s="18" t="n">
        <f aca="false">F314-G314-H314</f>
        <v>-94.7799999999999</v>
      </c>
      <c r="J314" s="18" t="n">
        <f aca="false">J313+I314</f>
        <v>33575.32</v>
      </c>
      <c r="K314" s="18" t="n">
        <f aca="false">MAX(K313,J314)</f>
        <v>33670.1</v>
      </c>
      <c r="L314" s="18" t="n">
        <f aca="false">K314-J314</f>
        <v>94.7799999999988</v>
      </c>
      <c r="M314" s="18" t="n">
        <f aca="false">MIN(Desain_Kolam!$B$21,MAX(0,M313+F314-H314-G314))</f>
        <v>15053.6</v>
      </c>
      <c r="N314" s="6" t="n">
        <f aca="false">IF(M313+F314-H314&gt;=G314,1,0)</f>
        <v>1</v>
      </c>
    </row>
    <row r="315" customFormat="false" ht="15" hidden="false" customHeight="false" outlineLevel="0" collapsed="false">
      <c r="A315" s="6" t="n">
        <v>2023</v>
      </c>
      <c r="B315" s="6" t="n">
        <v>3</v>
      </c>
      <c r="C315" s="4" t="n">
        <v>309</v>
      </c>
      <c r="D315" s="6" t="n">
        <v>31</v>
      </c>
      <c r="E315" s="4" t="n">
        <f aca="false">INDEX(Evaporasi!$B$3:$B$14,MATCH(B315,Evaporasi!$A$3:$A$14,0))</f>
        <v>120</v>
      </c>
      <c r="F315" s="18" t="n">
        <f aca="false">Kawasan!$B$11*Kawasan!$B$9*C315/1000</f>
        <v>2570.88</v>
      </c>
      <c r="G315" s="18" t="n">
        <f aca="false">Kawasan!$B$27*D315</f>
        <v>1666.56</v>
      </c>
      <c r="H315" s="18" t="n">
        <f aca="false">E315*Desain_Kolam!$B$16/1000</f>
        <v>128.7</v>
      </c>
      <c r="I315" s="18" t="n">
        <f aca="false">F315-G315-H315</f>
        <v>775.62</v>
      </c>
      <c r="J315" s="18" t="n">
        <f aca="false">J314+I315</f>
        <v>34350.94</v>
      </c>
      <c r="K315" s="18" t="n">
        <f aca="false">MAX(K314,J315)</f>
        <v>34350.94</v>
      </c>
      <c r="L315" s="18" t="n">
        <f aca="false">K315-J315</f>
        <v>0</v>
      </c>
      <c r="M315" s="18" t="n">
        <f aca="false">MIN(Desain_Kolam!$B$21,MAX(0,M314+F315-H315-G315))</f>
        <v>15148.38</v>
      </c>
      <c r="N315" s="6" t="n">
        <f aca="false">IF(M314+F315-H315&gt;=G315,1,0)</f>
        <v>1</v>
      </c>
    </row>
    <row r="316" customFormat="false" ht="15" hidden="false" customHeight="false" outlineLevel="0" collapsed="false">
      <c r="A316" s="6" t="n">
        <v>2023</v>
      </c>
      <c r="B316" s="6" t="n">
        <v>4</v>
      </c>
      <c r="C316" s="4" t="n">
        <v>189</v>
      </c>
      <c r="D316" s="6" t="n">
        <v>30</v>
      </c>
      <c r="E316" s="4" t="n">
        <f aca="false">INDEX(Evaporasi!$B$3:$B$14,MATCH(B316,Evaporasi!$A$3:$A$14,0))</f>
        <v>120</v>
      </c>
      <c r="F316" s="18" t="n">
        <f aca="false">Kawasan!$B$11*Kawasan!$B$9*C316/1000</f>
        <v>1572.48</v>
      </c>
      <c r="G316" s="18" t="n">
        <f aca="false">Kawasan!$B$27*D316</f>
        <v>1612.8</v>
      </c>
      <c r="H316" s="18" t="n">
        <f aca="false">E316*Desain_Kolam!$B$16/1000</f>
        <v>128.7</v>
      </c>
      <c r="I316" s="18" t="n">
        <f aca="false">F316-G316-H316</f>
        <v>-169.02</v>
      </c>
      <c r="J316" s="18" t="n">
        <f aca="false">J315+I316</f>
        <v>34181.92</v>
      </c>
      <c r="K316" s="18" t="n">
        <f aca="false">MAX(K315,J316)</f>
        <v>34350.94</v>
      </c>
      <c r="L316" s="18" t="n">
        <f aca="false">K316-J316</f>
        <v>169.019999999997</v>
      </c>
      <c r="M316" s="18" t="n">
        <f aca="false">MIN(Desain_Kolam!$B$21,MAX(0,M315+F316-H316-G316))</f>
        <v>14979.36</v>
      </c>
      <c r="N316" s="6" t="n">
        <f aca="false">IF(M315+F316-H316&gt;=G316,1,0)</f>
        <v>1</v>
      </c>
    </row>
    <row r="317" customFormat="false" ht="15" hidden="false" customHeight="false" outlineLevel="0" collapsed="false">
      <c r="A317" s="6" t="n">
        <v>2023</v>
      </c>
      <c r="B317" s="6" t="n">
        <v>5</v>
      </c>
      <c r="C317" s="4" t="n">
        <v>333</v>
      </c>
      <c r="D317" s="6" t="n">
        <v>31</v>
      </c>
      <c r="E317" s="4" t="n">
        <f aca="false">INDEX(Evaporasi!$B$3:$B$14,MATCH(B317,Evaporasi!$A$3:$A$14,0))</f>
        <v>120</v>
      </c>
      <c r="F317" s="18" t="n">
        <f aca="false">Kawasan!$B$11*Kawasan!$B$9*C317/1000</f>
        <v>2770.56</v>
      </c>
      <c r="G317" s="18" t="n">
        <f aca="false">Kawasan!$B$27*D317</f>
        <v>1666.56</v>
      </c>
      <c r="H317" s="18" t="n">
        <f aca="false">E317*Desain_Kolam!$B$16/1000</f>
        <v>128.7</v>
      </c>
      <c r="I317" s="18" t="n">
        <f aca="false">F317-G317-H317</f>
        <v>975.3</v>
      </c>
      <c r="J317" s="18" t="n">
        <f aca="false">J316+I317</f>
        <v>35157.22</v>
      </c>
      <c r="K317" s="18" t="n">
        <f aca="false">MAX(K316,J317)</f>
        <v>35157.22</v>
      </c>
      <c r="L317" s="18" t="n">
        <f aca="false">K317-J317</f>
        <v>0</v>
      </c>
      <c r="M317" s="18" t="n">
        <f aca="false">MIN(Desain_Kolam!$B$21,MAX(0,M316+F317-H317-G317))</f>
        <v>15148.38</v>
      </c>
      <c r="N317" s="6" t="n">
        <f aca="false">IF(M316+F317-H317&gt;=G317,1,0)</f>
        <v>1</v>
      </c>
    </row>
    <row r="318" customFormat="false" ht="15" hidden="false" customHeight="false" outlineLevel="0" collapsed="false">
      <c r="A318" s="6" t="n">
        <v>2023</v>
      </c>
      <c r="B318" s="6" t="n">
        <v>6</v>
      </c>
      <c r="C318" s="4" t="n">
        <v>263</v>
      </c>
      <c r="D318" s="6" t="n">
        <v>30</v>
      </c>
      <c r="E318" s="4" t="n">
        <f aca="false">INDEX(Evaporasi!$B$3:$B$14,MATCH(B318,Evaporasi!$A$3:$A$14,0))</f>
        <v>120</v>
      </c>
      <c r="F318" s="18" t="n">
        <f aca="false">Kawasan!$B$11*Kawasan!$B$9*C318/1000</f>
        <v>2188.16</v>
      </c>
      <c r="G318" s="18" t="n">
        <f aca="false">Kawasan!$B$27*D318</f>
        <v>1612.8</v>
      </c>
      <c r="H318" s="18" t="n">
        <f aca="false">E318*Desain_Kolam!$B$16/1000</f>
        <v>128.7</v>
      </c>
      <c r="I318" s="18" t="n">
        <f aca="false">F318-G318-H318</f>
        <v>446.66</v>
      </c>
      <c r="J318" s="18" t="n">
        <f aca="false">J317+I318</f>
        <v>35603.88</v>
      </c>
      <c r="K318" s="18" t="n">
        <f aca="false">MAX(K317,J318)</f>
        <v>35603.88</v>
      </c>
      <c r="L318" s="18" t="n">
        <f aca="false">K318-J318</f>
        <v>0</v>
      </c>
      <c r="M318" s="18" t="n">
        <f aca="false">MIN(Desain_Kolam!$B$21,MAX(0,M317+F318-H318-G318))</f>
        <v>15148.38</v>
      </c>
      <c r="N318" s="6" t="n">
        <f aca="false">IF(M317+F318-H318&gt;=G318,1,0)</f>
        <v>1</v>
      </c>
    </row>
    <row r="319" customFormat="false" ht="15" hidden="false" customHeight="false" outlineLevel="0" collapsed="false">
      <c r="A319" s="6" t="n">
        <v>2023</v>
      </c>
      <c r="B319" s="6" t="n">
        <v>7</v>
      </c>
      <c r="C319" s="4" t="n">
        <v>405</v>
      </c>
      <c r="D319" s="6" t="n">
        <v>31</v>
      </c>
      <c r="E319" s="4" t="n">
        <f aca="false">INDEX(Evaporasi!$B$3:$B$14,MATCH(B319,Evaporasi!$A$3:$A$14,0))</f>
        <v>120</v>
      </c>
      <c r="F319" s="18" t="n">
        <f aca="false">Kawasan!$B$11*Kawasan!$B$9*C319/1000</f>
        <v>3369.6</v>
      </c>
      <c r="G319" s="18" t="n">
        <f aca="false">Kawasan!$B$27*D319</f>
        <v>1666.56</v>
      </c>
      <c r="H319" s="18" t="n">
        <f aca="false">E319*Desain_Kolam!$B$16/1000</f>
        <v>128.7</v>
      </c>
      <c r="I319" s="18" t="n">
        <f aca="false">F319-G319-H319</f>
        <v>1574.34</v>
      </c>
      <c r="J319" s="18" t="n">
        <f aca="false">J318+I319</f>
        <v>37178.22</v>
      </c>
      <c r="K319" s="18" t="n">
        <f aca="false">MAX(K318,J319)</f>
        <v>37178.22</v>
      </c>
      <c r="L319" s="18" t="n">
        <f aca="false">K319-J319</f>
        <v>0</v>
      </c>
      <c r="M319" s="18" t="n">
        <f aca="false">MIN(Desain_Kolam!$B$21,MAX(0,M318+F319-H319-G319))</f>
        <v>15148.38</v>
      </c>
      <c r="N319" s="6" t="n">
        <f aca="false">IF(M318+F319-H319&gt;=G319,1,0)</f>
        <v>1</v>
      </c>
    </row>
    <row r="320" customFormat="false" ht="15" hidden="false" customHeight="false" outlineLevel="0" collapsed="false">
      <c r="A320" s="6" t="n">
        <v>2023</v>
      </c>
      <c r="B320" s="6" t="n">
        <v>8</v>
      </c>
      <c r="C320" s="4" t="n">
        <v>164</v>
      </c>
      <c r="D320" s="6" t="n">
        <v>31</v>
      </c>
      <c r="E320" s="4" t="n">
        <f aca="false">INDEX(Evaporasi!$B$3:$B$14,MATCH(B320,Evaporasi!$A$3:$A$14,0))</f>
        <v>120</v>
      </c>
      <c r="F320" s="18" t="n">
        <f aca="false">Kawasan!$B$11*Kawasan!$B$9*C320/1000</f>
        <v>1364.48</v>
      </c>
      <c r="G320" s="18" t="n">
        <f aca="false">Kawasan!$B$27*D320</f>
        <v>1666.56</v>
      </c>
      <c r="H320" s="18" t="n">
        <f aca="false">E320*Desain_Kolam!$B$16/1000</f>
        <v>128.7</v>
      </c>
      <c r="I320" s="18" t="n">
        <f aca="false">F320-G320-H320</f>
        <v>-430.78</v>
      </c>
      <c r="J320" s="18" t="n">
        <f aca="false">J319+I320</f>
        <v>36747.44</v>
      </c>
      <c r="K320" s="18" t="n">
        <f aca="false">MAX(K319,J320)</f>
        <v>37178.22</v>
      </c>
      <c r="L320" s="18" t="n">
        <f aca="false">K320-J320</f>
        <v>430.779999999999</v>
      </c>
      <c r="M320" s="18" t="n">
        <f aca="false">MIN(Desain_Kolam!$B$21,MAX(0,M319+F320-H320-G320))</f>
        <v>14717.6</v>
      </c>
      <c r="N320" s="6" t="n">
        <f aca="false">IF(M319+F320-H320&gt;=G320,1,0)</f>
        <v>1</v>
      </c>
    </row>
    <row r="321" customFormat="false" ht="15" hidden="false" customHeight="false" outlineLevel="0" collapsed="false">
      <c r="A321" s="6" t="n">
        <v>2023</v>
      </c>
      <c r="B321" s="6" t="n">
        <v>9</v>
      </c>
      <c r="C321" s="4" t="n">
        <v>218</v>
      </c>
      <c r="D321" s="6" t="n">
        <v>30</v>
      </c>
      <c r="E321" s="4" t="n">
        <f aca="false">INDEX(Evaporasi!$B$3:$B$14,MATCH(B321,Evaporasi!$A$3:$A$14,0))</f>
        <v>120</v>
      </c>
      <c r="F321" s="18" t="n">
        <f aca="false">Kawasan!$B$11*Kawasan!$B$9*C321/1000</f>
        <v>1813.76</v>
      </c>
      <c r="G321" s="18" t="n">
        <f aca="false">Kawasan!$B$27*D321</f>
        <v>1612.8</v>
      </c>
      <c r="H321" s="18" t="n">
        <f aca="false">E321*Desain_Kolam!$B$16/1000</f>
        <v>128.7</v>
      </c>
      <c r="I321" s="18" t="n">
        <f aca="false">F321-G321-H321</f>
        <v>72.2600000000001</v>
      </c>
      <c r="J321" s="18" t="n">
        <f aca="false">J320+I321</f>
        <v>36819.7</v>
      </c>
      <c r="K321" s="18" t="n">
        <f aca="false">MAX(K320,J321)</f>
        <v>37178.22</v>
      </c>
      <c r="L321" s="18" t="n">
        <f aca="false">K321-J321</f>
        <v>358.519999999997</v>
      </c>
      <c r="M321" s="18" t="n">
        <f aca="false">MIN(Desain_Kolam!$B$21,MAX(0,M320+F321-H321-G321))</f>
        <v>14789.86</v>
      </c>
      <c r="N321" s="6" t="n">
        <f aca="false">IF(M320+F321-H321&gt;=G321,1,0)</f>
        <v>1</v>
      </c>
    </row>
    <row r="322" customFormat="false" ht="15" hidden="false" customHeight="false" outlineLevel="0" collapsed="false">
      <c r="A322" s="6" t="n">
        <v>2023</v>
      </c>
      <c r="B322" s="6" t="n">
        <v>10</v>
      </c>
      <c r="C322" s="4" t="n">
        <v>250</v>
      </c>
      <c r="D322" s="6" t="n">
        <v>31</v>
      </c>
      <c r="E322" s="4" t="n">
        <f aca="false">INDEX(Evaporasi!$B$3:$B$14,MATCH(B322,Evaporasi!$A$3:$A$14,0))</f>
        <v>120</v>
      </c>
      <c r="F322" s="18" t="n">
        <f aca="false">Kawasan!$B$11*Kawasan!$B$9*C322/1000</f>
        <v>2080</v>
      </c>
      <c r="G322" s="18" t="n">
        <f aca="false">Kawasan!$B$27*D322</f>
        <v>1666.56</v>
      </c>
      <c r="H322" s="18" t="n">
        <f aca="false">E322*Desain_Kolam!$B$16/1000</f>
        <v>128.7</v>
      </c>
      <c r="I322" s="18" t="n">
        <f aca="false">F322-G322-H322</f>
        <v>284.74</v>
      </c>
      <c r="J322" s="18" t="n">
        <f aca="false">J321+I322</f>
        <v>37104.44</v>
      </c>
      <c r="K322" s="18" t="n">
        <f aca="false">MAX(K321,J322)</f>
        <v>37178.22</v>
      </c>
      <c r="L322" s="18" t="n">
        <f aca="false">K322-J322</f>
        <v>73.7799999999988</v>
      </c>
      <c r="M322" s="18" t="n">
        <f aca="false">MIN(Desain_Kolam!$B$21,MAX(0,M321+F322-H322-G322))</f>
        <v>15074.6</v>
      </c>
      <c r="N322" s="6" t="n">
        <f aca="false">IF(M321+F322-H322&gt;=G322,1,0)</f>
        <v>1</v>
      </c>
    </row>
    <row r="323" customFormat="false" ht="15" hidden="false" customHeight="false" outlineLevel="0" collapsed="false">
      <c r="A323" s="6" t="n">
        <v>2023</v>
      </c>
      <c r="B323" s="6" t="n">
        <v>11</v>
      </c>
      <c r="C323" s="4" t="n">
        <v>265</v>
      </c>
      <c r="D323" s="6" t="n">
        <v>30</v>
      </c>
      <c r="E323" s="4" t="n">
        <f aca="false">INDEX(Evaporasi!$B$3:$B$14,MATCH(B323,Evaporasi!$A$3:$A$14,0))</f>
        <v>120</v>
      </c>
      <c r="F323" s="18" t="n">
        <f aca="false">Kawasan!$B$11*Kawasan!$B$9*C323/1000</f>
        <v>2204.8</v>
      </c>
      <c r="G323" s="18" t="n">
        <f aca="false">Kawasan!$B$27*D323</f>
        <v>1612.8</v>
      </c>
      <c r="H323" s="18" t="n">
        <f aca="false">E323*Desain_Kolam!$B$16/1000</f>
        <v>128.7</v>
      </c>
      <c r="I323" s="18" t="n">
        <f aca="false">F323-G323-H323</f>
        <v>463.3</v>
      </c>
      <c r="J323" s="18" t="n">
        <f aca="false">J322+I323</f>
        <v>37567.74</v>
      </c>
      <c r="K323" s="18" t="n">
        <f aca="false">MAX(K322,J323)</f>
        <v>37567.74</v>
      </c>
      <c r="L323" s="18" t="n">
        <f aca="false">K323-J323</f>
        <v>0</v>
      </c>
      <c r="M323" s="18" t="n">
        <f aca="false">MIN(Desain_Kolam!$B$21,MAX(0,M322+F323-H323-G323))</f>
        <v>15148.38</v>
      </c>
      <c r="N323" s="6" t="n">
        <f aca="false">IF(M322+F323-H323&gt;=G323,1,0)</f>
        <v>1</v>
      </c>
    </row>
    <row r="324" customFormat="false" ht="15" hidden="false" customHeight="false" outlineLevel="0" collapsed="false">
      <c r="A324" s="6" t="n">
        <v>2023</v>
      </c>
      <c r="B324" s="6" t="n">
        <v>12</v>
      </c>
      <c r="C324" s="4" t="n">
        <v>421</v>
      </c>
      <c r="D324" s="6" t="n">
        <v>31</v>
      </c>
      <c r="E324" s="4" t="n">
        <f aca="false">INDEX(Evaporasi!$B$3:$B$14,MATCH(B324,Evaporasi!$A$3:$A$14,0))</f>
        <v>120</v>
      </c>
      <c r="F324" s="18" t="n">
        <f aca="false">Kawasan!$B$11*Kawasan!$B$9*C324/1000</f>
        <v>3502.72</v>
      </c>
      <c r="G324" s="18" t="n">
        <f aca="false">Kawasan!$B$27*D324</f>
        <v>1666.56</v>
      </c>
      <c r="H324" s="18" t="n">
        <f aca="false">E324*Desain_Kolam!$B$16/1000</f>
        <v>128.7</v>
      </c>
      <c r="I324" s="18" t="n">
        <f aca="false">F324-G324-H324</f>
        <v>1707.46</v>
      </c>
      <c r="J324" s="18" t="n">
        <f aca="false">J323+I324</f>
        <v>39275.2</v>
      </c>
      <c r="K324" s="18" t="n">
        <f aca="false">MAX(K323,J324)</f>
        <v>39275.2</v>
      </c>
      <c r="L324" s="18" t="n">
        <f aca="false">K324-J324</f>
        <v>0</v>
      </c>
      <c r="M324" s="18" t="n">
        <f aca="false">MIN(Desain_Kolam!$B$21,MAX(0,M323+F324-H324-G324))</f>
        <v>15148.38</v>
      </c>
      <c r="N324" s="6" t="n">
        <f aca="false">IF(M323+F324-H324&gt;=G324,1,0)</f>
        <v>1</v>
      </c>
    </row>
    <row r="325" customFormat="false" ht="15" hidden="false" customHeight="false" outlineLevel="0" collapsed="false">
      <c r="A325" s="6" t="n">
        <v>2024</v>
      </c>
      <c r="B325" s="6" t="n">
        <v>1</v>
      </c>
      <c r="C325" s="4" t="n">
        <v>379</v>
      </c>
      <c r="D325" s="6" t="n">
        <v>31</v>
      </c>
      <c r="E325" s="4" t="n">
        <f aca="false">INDEX(Evaporasi!$B$3:$B$14,MATCH(B325,Evaporasi!$A$3:$A$14,0))</f>
        <v>120</v>
      </c>
      <c r="F325" s="18" t="n">
        <f aca="false">Kawasan!$B$11*Kawasan!$B$9*C325/1000</f>
        <v>3153.28</v>
      </c>
      <c r="G325" s="18" t="n">
        <f aca="false">Kawasan!$B$27*D325</f>
        <v>1666.56</v>
      </c>
      <c r="H325" s="18" t="n">
        <f aca="false">E325*Desain_Kolam!$B$16/1000</f>
        <v>128.7</v>
      </c>
      <c r="I325" s="18" t="n">
        <f aca="false">F325-G325-H325</f>
        <v>1358.02</v>
      </c>
      <c r="J325" s="18" t="n">
        <f aca="false">J324+I325</f>
        <v>40633.22</v>
      </c>
      <c r="K325" s="18" t="n">
        <f aca="false">MAX(K324,J325)</f>
        <v>40633.22</v>
      </c>
      <c r="L325" s="18" t="n">
        <f aca="false">K325-J325</f>
        <v>0</v>
      </c>
      <c r="M325" s="18" t="n">
        <f aca="false">MIN(Desain_Kolam!$B$21,MAX(0,M324+F325-H325-G325))</f>
        <v>15148.38</v>
      </c>
      <c r="N325" s="6" t="n">
        <f aca="false">IF(M324+F325-H325&gt;=G325,1,0)</f>
        <v>1</v>
      </c>
    </row>
    <row r="326" customFormat="false" ht="15" hidden="false" customHeight="false" outlineLevel="0" collapsed="false">
      <c r="A326" s="6" t="n">
        <v>2024</v>
      </c>
      <c r="B326" s="6" t="n">
        <v>2</v>
      </c>
      <c r="C326" s="4" t="n">
        <v>300</v>
      </c>
      <c r="D326" s="6" t="n">
        <v>29</v>
      </c>
      <c r="E326" s="4" t="n">
        <f aca="false">INDEX(Evaporasi!$B$3:$B$14,MATCH(B326,Evaporasi!$A$3:$A$14,0))</f>
        <v>120</v>
      </c>
      <c r="F326" s="18" t="n">
        <f aca="false">Kawasan!$B$11*Kawasan!$B$9*C326/1000</f>
        <v>2496</v>
      </c>
      <c r="G326" s="18" t="n">
        <f aca="false">Kawasan!$B$27*D326</f>
        <v>1559.04</v>
      </c>
      <c r="H326" s="18" t="n">
        <f aca="false">E326*Desain_Kolam!$B$16/1000</f>
        <v>128.7</v>
      </c>
      <c r="I326" s="18" t="n">
        <f aca="false">F326-G326-H326</f>
        <v>808.26</v>
      </c>
      <c r="J326" s="18" t="n">
        <f aca="false">J325+I326</f>
        <v>41441.48</v>
      </c>
      <c r="K326" s="18" t="n">
        <f aca="false">MAX(K325,J326)</f>
        <v>41441.48</v>
      </c>
      <c r="L326" s="18" t="n">
        <f aca="false">K326-J326</f>
        <v>0</v>
      </c>
      <c r="M326" s="18" t="n">
        <f aca="false">MIN(Desain_Kolam!$B$21,MAX(0,M325+F326-H326-G326))</f>
        <v>15148.38</v>
      </c>
      <c r="N326" s="6" t="n">
        <f aca="false">IF(M325+F326-H326&gt;=G326,1,0)</f>
        <v>1</v>
      </c>
    </row>
    <row r="327" customFormat="false" ht="15" hidden="false" customHeight="false" outlineLevel="0" collapsed="false">
      <c r="A327" s="6" t="n">
        <v>2024</v>
      </c>
      <c r="B327" s="6" t="n">
        <v>3</v>
      </c>
      <c r="C327" s="4" t="n">
        <v>512</v>
      </c>
      <c r="D327" s="6" t="n">
        <v>31</v>
      </c>
      <c r="E327" s="4" t="n">
        <f aca="false">INDEX(Evaporasi!$B$3:$B$14,MATCH(B327,Evaporasi!$A$3:$A$14,0))</f>
        <v>120</v>
      </c>
      <c r="F327" s="18" t="n">
        <f aca="false">Kawasan!$B$11*Kawasan!$B$9*C327/1000</f>
        <v>4259.84</v>
      </c>
      <c r="G327" s="18" t="n">
        <f aca="false">Kawasan!$B$27*D327</f>
        <v>1666.56</v>
      </c>
      <c r="H327" s="18" t="n">
        <f aca="false">E327*Desain_Kolam!$B$16/1000</f>
        <v>128.7</v>
      </c>
      <c r="I327" s="18" t="n">
        <f aca="false">F327-G327-H327</f>
        <v>2464.58</v>
      </c>
      <c r="J327" s="18" t="n">
        <f aca="false">J326+I327</f>
        <v>43906.06</v>
      </c>
      <c r="K327" s="18" t="n">
        <f aca="false">MAX(K326,J327)</f>
        <v>43906.06</v>
      </c>
      <c r="L327" s="18" t="n">
        <f aca="false">K327-J327</f>
        <v>0</v>
      </c>
      <c r="M327" s="18" t="n">
        <f aca="false">MIN(Desain_Kolam!$B$21,MAX(0,M326+F327-H327-G327))</f>
        <v>15148.38</v>
      </c>
      <c r="N327" s="6" t="n">
        <f aca="false">IF(M326+F327-H327&gt;=G327,1,0)</f>
        <v>1</v>
      </c>
    </row>
    <row r="328" customFormat="false" ht="15" hidden="false" customHeight="false" outlineLevel="0" collapsed="false">
      <c r="A328" s="6" t="n">
        <v>2024</v>
      </c>
      <c r="B328" s="6" t="n">
        <v>4</v>
      </c>
      <c r="C328" s="4" t="n">
        <v>327</v>
      </c>
      <c r="D328" s="6" t="n">
        <v>30</v>
      </c>
      <c r="E328" s="4" t="n">
        <f aca="false">INDEX(Evaporasi!$B$3:$B$14,MATCH(B328,Evaporasi!$A$3:$A$14,0))</f>
        <v>120</v>
      </c>
      <c r="F328" s="18" t="n">
        <f aca="false">Kawasan!$B$11*Kawasan!$B$9*C328/1000</f>
        <v>2720.64</v>
      </c>
      <c r="G328" s="18" t="n">
        <f aca="false">Kawasan!$B$27*D328</f>
        <v>1612.8</v>
      </c>
      <c r="H328" s="18" t="n">
        <f aca="false">E328*Desain_Kolam!$B$16/1000</f>
        <v>128.7</v>
      </c>
      <c r="I328" s="18" t="n">
        <f aca="false">F328-G328-H328</f>
        <v>979.14</v>
      </c>
      <c r="J328" s="18" t="n">
        <f aca="false">J327+I328</f>
        <v>44885.2</v>
      </c>
      <c r="K328" s="18" t="n">
        <f aca="false">MAX(K327,J328)</f>
        <v>44885.2</v>
      </c>
      <c r="L328" s="18" t="n">
        <f aca="false">K328-J328</f>
        <v>0</v>
      </c>
      <c r="M328" s="18" t="n">
        <f aca="false">MIN(Desain_Kolam!$B$21,MAX(0,M327+F328-H328-G328))</f>
        <v>15148.38</v>
      </c>
      <c r="N328" s="6" t="n">
        <f aca="false">IF(M327+F328-H328&gt;=G328,1,0)</f>
        <v>1</v>
      </c>
    </row>
    <row r="329" customFormat="false" ht="15" hidden="false" customHeight="false" outlineLevel="0" collapsed="false">
      <c r="A329" s="6" t="n">
        <v>2024</v>
      </c>
      <c r="B329" s="6" t="n">
        <v>5</v>
      </c>
      <c r="C329" s="4" t="n">
        <v>406</v>
      </c>
      <c r="D329" s="6" t="n">
        <v>31</v>
      </c>
      <c r="E329" s="4" t="n">
        <f aca="false">INDEX(Evaporasi!$B$3:$B$14,MATCH(B329,Evaporasi!$A$3:$A$14,0))</f>
        <v>120</v>
      </c>
      <c r="F329" s="18" t="n">
        <f aca="false">Kawasan!$B$11*Kawasan!$B$9*C329/1000</f>
        <v>3377.92</v>
      </c>
      <c r="G329" s="18" t="n">
        <f aca="false">Kawasan!$B$27*D329</f>
        <v>1666.56</v>
      </c>
      <c r="H329" s="18" t="n">
        <f aca="false">E329*Desain_Kolam!$B$16/1000</f>
        <v>128.7</v>
      </c>
      <c r="I329" s="18" t="n">
        <f aca="false">F329-G329-H329</f>
        <v>1582.66</v>
      </c>
      <c r="J329" s="18" t="n">
        <f aca="false">J328+I329</f>
        <v>46467.86</v>
      </c>
      <c r="K329" s="18" t="n">
        <f aca="false">MAX(K328,J329)</f>
        <v>46467.86</v>
      </c>
      <c r="L329" s="18" t="n">
        <f aca="false">K329-J329</f>
        <v>0</v>
      </c>
      <c r="M329" s="18" t="n">
        <f aca="false">MIN(Desain_Kolam!$B$21,MAX(0,M328+F329-H329-G329))</f>
        <v>15148.38</v>
      </c>
      <c r="N329" s="6" t="n">
        <f aca="false">IF(M328+F329-H329&gt;=G329,1,0)</f>
        <v>1</v>
      </c>
    </row>
    <row r="330" customFormat="false" ht="15" hidden="false" customHeight="false" outlineLevel="0" collapsed="false">
      <c r="A330" s="6" t="n">
        <v>2024</v>
      </c>
      <c r="B330" s="6" t="n">
        <v>6</v>
      </c>
      <c r="C330" s="4" t="n">
        <v>166</v>
      </c>
      <c r="D330" s="6" t="n">
        <v>30</v>
      </c>
      <c r="E330" s="4" t="n">
        <f aca="false">INDEX(Evaporasi!$B$3:$B$14,MATCH(B330,Evaporasi!$A$3:$A$14,0))</f>
        <v>120</v>
      </c>
      <c r="F330" s="18" t="n">
        <f aca="false">Kawasan!$B$11*Kawasan!$B$9*C330/1000</f>
        <v>1381.12</v>
      </c>
      <c r="G330" s="18" t="n">
        <f aca="false">Kawasan!$B$27*D330</f>
        <v>1612.8</v>
      </c>
      <c r="H330" s="18" t="n">
        <f aca="false">E330*Desain_Kolam!$B$16/1000</f>
        <v>128.7</v>
      </c>
      <c r="I330" s="18" t="n">
        <f aca="false">F330-G330-H330</f>
        <v>-360.38</v>
      </c>
      <c r="J330" s="18" t="n">
        <f aca="false">J329+I330</f>
        <v>46107.48</v>
      </c>
      <c r="K330" s="18" t="n">
        <f aca="false">MAX(K329,J330)</f>
        <v>46467.86</v>
      </c>
      <c r="L330" s="18" t="n">
        <f aca="false">K330-J330</f>
        <v>360.379999999997</v>
      </c>
      <c r="M330" s="18" t="n">
        <f aca="false">MIN(Desain_Kolam!$B$21,MAX(0,M329+F330-H330-G330))</f>
        <v>14788</v>
      </c>
      <c r="N330" s="6" t="n">
        <f aca="false">IF(M329+F330-H330&gt;=G330,1,0)</f>
        <v>1</v>
      </c>
    </row>
    <row r="331" customFormat="false" ht="15" hidden="false" customHeight="false" outlineLevel="0" collapsed="false">
      <c r="A331" s="6" t="n">
        <v>2024</v>
      </c>
      <c r="B331" s="6" t="n">
        <v>7</v>
      </c>
      <c r="C331" s="4" t="n">
        <v>114</v>
      </c>
      <c r="D331" s="6" t="n">
        <v>31</v>
      </c>
      <c r="E331" s="4" t="n">
        <f aca="false">INDEX(Evaporasi!$B$3:$B$14,MATCH(B331,Evaporasi!$A$3:$A$14,0))</f>
        <v>120</v>
      </c>
      <c r="F331" s="18" t="n">
        <f aca="false">Kawasan!$B$11*Kawasan!$B$9*C331/1000</f>
        <v>948.48</v>
      </c>
      <c r="G331" s="18" t="n">
        <f aca="false">Kawasan!$B$27*D331</f>
        <v>1666.56</v>
      </c>
      <c r="H331" s="18" t="n">
        <f aca="false">E331*Desain_Kolam!$B$16/1000</f>
        <v>128.7</v>
      </c>
      <c r="I331" s="18" t="n">
        <f aca="false">F331-G331-H331</f>
        <v>-846.78</v>
      </c>
      <c r="J331" s="18" t="n">
        <f aca="false">J330+I331</f>
        <v>45260.7</v>
      </c>
      <c r="K331" s="18" t="n">
        <f aca="false">MAX(K330,J331)</f>
        <v>46467.86</v>
      </c>
      <c r="L331" s="18" t="n">
        <f aca="false">K331-J331</f>
        <v>1207.16</v>
      </c>
      <c r="M331" s="18" t="n">
        <f aca="false">MIN(Desain_Kolam!$B$21,MAX(0,M330+F331-H331-G331))</f>
        <v>13941.22</v>
      </c>
      <c r="N331" s="6" t="n">
        <f aca="false">IF(M330+F331-H331&gt;=G331,1,0)</f>
        <v>1</v>
      </c>
    </row>
    <row r="332" customFormat="false" ht="15" hidden="false" customHeight="false" outlineLevel="0" collapsed="false">
      <c r="A332" s="6" t="n">
        <v>2024</v>
      </c>
      <c r="B332" s="6" t="n">
        <v>8</v>
      </c>
      <c r="C332" s="4" t="n">
        <v>350</v>
      </c>
      <c r="D332" s="6" t="n">
        <v>31</v>
      </c>
      <c r="E332" s="4" t="n">
        <f aca="false">INDEX(Evaporasi!$B$3:$B$14,MATCH(B332,Evaporasi!$A$3:$A$14,0))</f>
        <v>120</v>
      </c>
      <c r="F332" s="18" t="n">
        <f aca="false">Kawasan!$B$11*Kawasan!$B$9*C332/1000</f>
        <v>2912</v>
      </c>
      <c r="G332" s="18" t="n">
        <f aca="false">Kawasan!$B$27*D332</f>
        <v>1666.56</v>
      </c>
      <c r="H332" s="18" t="n">
        <f aca="false">E332*Desain_Kolam!$B$16/1000</f>
        <v>128.7</v>
      </c>
      <c r="I332" s="18" t="n">
        <f aca="false">F332-G332-H332</f>
        <v>1116.74</v>
      </c>
      <c r="J332" s="18" t="n">
        <f aca="false">J331+I332</f>
        <v>46377.44</v>
      </c>
      <c r="K332" s="18" t="n">
        <f aca="false">MAX(K331,J332)</f>
        <v>46467.86</v>
      </c>
      <c r="L332" s="18" t="n">
        <f aca="false">K332-J332</f>
        <v>90.4199999999983</v>
      </c>
      <c r="M332" s="18" t="n">
        <f aca="false">MIN(Desain_Kolam!$B$21,MAX(0,M331+F332-H332-G332))</f>
        <v>15057.96</v>
      </c>
      <c r="N332" s="6" t="n">
        <f aca="false">IF(M331+F332-H332&gt;=G332,1,0)</f>
        <v>1</v>
      </c>
    </row>
    <row r="333" customFormat="false" ht="15" hidden="false" customHeight="false" outlineLevel="0" collapsed="false">
      <c r="A333" s="6" t="n">
        <v>2024</v>
      </c>
      <c r="B333" s="6" t="n">
        <v>9</v>
      </c>
      <c r="C333" s="4" t="n">
        <v>197</v>
      </c>
      <c r="D333" s="6" t="n">
        <v>30</v>
      </c>
      <c r="E333" s="4" t="n">
        <f aca="false">INDEX(Evaporasi!$B$3:$B$14,MATCH(B333,Evaporasi!$A$3:$A$14,0))</f>
        <v>120</v>
      </c>
      <c r="F333" s="18" t="n">
        <f aca="false">Kawasan!$B$11*Kawasan!$B$9*C333/1000</f>
        <v>1639.04</v>
      </c>
      <c r="G333" s="18" t="n">
        <f aca="false">Kawasan!$B$27*D333</f>
        <v>1612.8</v>
      </c>
      <c r="H333" s="18" t="n">
        <f aca="false">E333*Desain_Kolam!$B$16/1000</f>
        <v>128.7</v>
      </c>
      <c r="I333" s="18" t="n">
        <f aca="false">F333-G333-H333</f>
        <v>-102.46</v>
      </c>
      <c r="J333" s="18" t="n">
        <f aca="false">J332+I333</f>
        <v>46274.98</v>
      </c>
      <c r="K333" s="18" t="n">
        <f aca="false">MAX(K332,J333)</f>
        <v>46467.86</v>
      </c>
      <c r="L333" s="18" t="n">
        <f aca="false">K333-J333</f>
        <v>192.879999999997</v>
      </c>
      <c r="M333" s="18" t="n">
        <f aca="false">MIN(Desain_Kolam!$B$21,MAX(0,M332+F333-H333-G333))</f>
        <v>14955.5</v>
      </c>
      <c r="N333" s="6" t="n">
        <f aca="false">IF(M332+F333-H333&gt;=G333,1,0)</f>
        <v>1</v>
      </c>
    </row>
    <row r="334" customFormat="false" ht="15" hidden="false" customHeight="false" outlineLevel="0" collapsed="false">
      <c r="A334" s="6" t="n">
        <v>2024</v>
      </c>
      <c r="B334" s="6" t="n">
        <v>10</v>
      </c>
      <c r="C334" s="4" t="n">
        <v>327</v>
      </c>
      <c r="D334" s="6" t="n">
        <v>31</v>
      </c>
      <c r="E334" s="4" t="n">
        <f aca="false">INDEX(Evaporasi!$B$3:$B$14,MATCH(B334,Evaporasi!$A$3:$A$14,0))</f>
        <v>120</v>
      </c>
      <c r="F334" s="18" t="n">
        <f aca="false">Kawasan!$B$11*Kawasan!$B$9*C334/1000</f>
        <v>2720.64</v>
      </c>
      <c r="G334" s="18" t="n">
        <f aca="false">Kawasan!$B$27*D334</f>
        <v>1666.56</v>
      </c>
      <c r="H334" s="18" t="n">
        <f aca="false">E334*Desain_Kolam!$B$16/1000</f>
        <v>128.7</v>
      </c>
      <c r="I334" s="18" t="n">
        <f aca="false">F334-G334-H334</f>
        <v>925.38</v>
      </c>
      <c r="J334" s="18" t="n">
        <f aca="false">J333+I334</f>
        <v>47200.36</v>
      </c>
      <c r="K334" s="18" t="n">
        <f aca="false">MAX(K333,J334)</f>
        <v>47200.36</v>
      </c>
      <c r="L334" s="18" t="n">
        <f aca="false">K334-J334</f>
        <v>0</v>
      </c>
      <c r="M334" s="18" t="n">
        <f aca="false">MIN(Desain_Kolam!$B$21,MAX(0,M333+F334-H334-G334))</f>
        <v>15148.38</v>
      </c>
      <c r="N334" s="6" t="n">
        <f aca="false">IF(M333+F334-H334&gt;=G334,1,0)</f>
        <v>1</v>
      </c>
    </row>
    <row r="335" customFormat="false" ht="15" hidden="false" customHeight="false" outlineLevel="0" collapsed="false">
      <c r="A335" s="6" t="n">
        <v>2024</v>
      </c>
      <c r="B335" s="6" t="n">
        <v>11</v>
      </c>
      <c r="C335" s="4" t="n">
        <v>419</v>
      </c>
      <c r="D335" s="6" t="n">
        <v>30</v>
      </c>
      <c r="E335" s="4" t="n">
        <f aca="false">INDEX(Evaporasi!$B$3:$B$14,MATCH(B335,Evaporasi!$A$3:$A$14,0))</f>
        <v>120</v>
      </c>
      <c r="F335" s="18" t="n">
        <f aca="false">Kawasan!$B$11*Kawasan!$B$9*C335/1000</f>
        <v>3486.08</v>
      </c>
      <c r="G335" s="18" t="n">
        <f aca="false">Kawasan!$B$27*D335</f>
        <v>1612.8</v>
      </c>
      <c r="H335" s="18" t="n">
        <f aca="false">E335*Desain_Kolam!$B$16/1000</f>
        <v>128.7</v>
      </c>
      <c r="I335" s="18" t="n">
        <f aca="false">F335-G335-H335</f>
        <v>1744.58</v>
      </c>
      <c r="J335" s="18" t="n">
        <f aca="false">J334+I335</f>
        <v>48944.94</v>
      </c>
      <c r="K335" s="18" t="n">
        <f aca="false">MAX(K334,J335)</f>
        <v>48944.94</v>
      </c>
      <c r="L335" s="18" t="n">
        <f aca="false">K335-J335</f>
        <v>0</v>
      </c>
      <c r="M335" s="18" t="n">
        <f aca="false">MIN(Desain_Kolam!$B$21,MAX(0,M334+F335-H335-G335))</f>
        <v>15148.38</v>
      </c>
      <c r="N335" s="6" t="n">
        <f aca="false">IF(M334+F335-H335&gt;=G335,1,0)</f>
        <v>1</v>
      </c>
    </row>
    <row r="336" customFormat="false" ht="15" hidden="false" customHeight="false" outlineLevel="0" collapsed="false">
      <c r="A336" s="6" t="n">
        <v>2024</v>
      </c>
      <c r="B336" s="6" t="n">
        <v>12</v>
      </c>
      <c r="C336" s="4" t="n">
        <v>214</v>
      </c>
      <c r="D336" s="6" t="n">
        <v>31</v>
      </c>
      <c r="E336" s="4" t="n">
        <f aca="false">INDEX(Evaporasi!$B$3:$B$14,MATCH(B336,Evaporasi!$A$3:$A$14,0))</f>
        <v>120</v>
      </c>
      <c r="F336" s="18" t="n">
        <f aca="false">Kawasan!$B$11*Kawasan!$B$9*C336/1000</f>
        <v>1780.48</v>
      </c>
      <c r="G336" s="18" t="n">
        <f aca="false">Kawasan!$B$27*D336</f>
        <v>1666.56</v>
      </c>
      <c r="H336" s="18" t="n">
        <f aca="false">E336*Desain_Kolam!$B$16/1000</f>
        <v>128.7</v>
      </c>
      <c r="I336" s="18" t="n">
        <f aca="false">F336-G336-H336</f>
        <v>-14.7799999999999</v>
      </c>
      <c r="J336" s="18" t="n">
        <f aca="false">J335+I336</f>
        <v>48930.16</v>
      </c>
      <c r="K336" s="18" t="n">
        <f aca="false">MAX(K335,J336)</f>
        <v>48944.94</v>
      </c>
      <c r="L336" s="18" t="n">
        <f aca="false">K336-J336</f>
        <v>14.7799999999988</v>
      </c>
      <c r="M336" s="18" t="n">
        <f aca="false">MIN(Desain_Kolam!$B$21,MAX(0,M335+F336-H336-G336))</f>
        <v>15133.6</v>
      </c>
      <c r="N336" s="6" t="n">
        <f aca="false">IF(M335+F336-H336&gt;=G336,1,0)</f>
        <v>1</v>
      </c>
    </row>
    <row r="337" customFormat="false" ht="15" hidden="false" customHeight="false" outlineLevel="0" collapsed="false">
      <c r="A337" s="6" t="n">
        <v>2025</v>
      </c>
      <c r="B337" s="6" t="n">
        <v>1</v>
      </c>
      <c r="C337" s="4" t="n">
        <v>400</v>
      </c>
      <c r="D337" s="6" t="n">
        <v>31</v>
      </c>
      <c r="E337" s="4" t="n">
        <f aca="false">INDEX(Evaporasi!$B$3:$B$14,MATCH(B337,Evaporasi!$A$3:$A$14,0))</f>
        <v>120</v>
      </c>
      <c r="F337" s="18" t="n">
        <f aca="false">Kawasan!$B$11*Kawasan!$B$9*C337/1000</f>
        <v>3328</v>
      </c>
      <c r="G337" s="18" t="n">
        <f aca="false">Kawasan!$B$27*D337</f>
        <v>1666.56</v>
      </c>
      <c r="H337" s="18" t="n">
        <f aca="false">E337*Desain_Kolam!$B$16/1000</f>
        <v>128.7</v>
      </c>
      <c r="I337" s="18" t="n">
        <f aca="false">F337-G337-H337</f>
        <v>1532.74</v>
      </c>
      <c r="J337" s="18" t="n">
        <f aca="false">J336+I337</f>
        <v>50462.9</v>
      </c>
      <c r="K337" s="18" t="n">
        <f aca="false">MAX(K336,J337)</f>
        <v>50462.9</v>
      </c>
      <c r="L337" s="18" t="n">
        <f aca="false">K337-J337</f>
        <v>0</v>
      </c>
      <c r="M337" s="18" t="n">
        <f aca="false">MIN(Desain_Kolam!$B$21,MAX(0,M336+F337-H337-G337))</f>
        <v>15148.38</v>
      </c>
      <c r="N337" s="6" t="n">
        <f aca="false">IF(M336+F337-H337&gt;=G337,1,0)</f>
        <v>1</v>
      </c>
    </row>
    <row r="338" customFormat="false" ht="15" hidden="false" customHeight="false" outlineLevel="0" collapsed="false">
      <c r="A338" s="6" t="n">
        <v>2025</v>
      </c>
      <c r="B338" s="6" t="n">
        <v>2</v>
      </c>
      <c r="C338" s="4" t="n">
        <v>210</v>
      </c>
      <c r="D338" s="6" t="n">
        <v>28</v>
      </c>
      <c r="E338" s="4" t="n">
        <f aca="false">INDEX(Evaporasi!$B$3:$B$14,MATCH(B338,Evaporasi!$A$3:$A$14,0))</f>
        <v>120</v>
      </c>
      <c r="F338" s="18" t="n">
        <f aca="false">Kawasan!$B$11*Kawasan!$B$9*C338/1000</f>
        <v>1747.2</v>
      </c>
      <c r="G338" s="18" t="n">
        <f aca="false">Kawasan!$B$27*D338</f>
        <v>1505.28</v>
      </c>
      <c r="H338" s="18" t="n">
        <f aca="false">E338*Desain_Kolam!$B$16/1000</f>
        <v>128.7</v>
      </c>
      <c r="I338" s="18" t="n">
        <f aca="false">F338-G338-H338</f>
        <v>113.22</v>
      </c>
      <c r="J338" s="18" t="n">
        <f aca="false">J337+I338</f>
        <v>50576.12</v>
      </c>
      <c r="K338" s="18" t="n">
        <f aca="false">MAX(K337,J338)</f>
        <v>50576.12</v>
      </c>
      <c r="L338" s="18" t="n">
        <f aca="false">K338-J338</f>
        <v>0</v>
      </c>
      <c r="M338" s="18" t="n">
        <f aca="false">MIN(Desain_Kolam!$B$21,MAX(0,M337+F338-H338-G338))</f>
        <v>15148.38</v>
      </c>
      <c r="N338" s="6" t="n">
        <f aca="false">IF(M337+F338-H338&gt;=G338,1,0)</f>
        <v>1</v>
      </c>
    </row>
    <row r="339" customFormat="false" ht="15" hidden="false" customHeight="false" outlineLevel="0" collapsed="false">
      <c r="A339" s="6" t="n">
        <v>2025</v>
      </c>
      <c r="B339" s="6" t="n">
        <v>3</v>
      </c>
      <c r="C339" s="4" t="n">
        <v>302</v>
      </c>
      <c r="D339" s="6" t="n">
        <v>31</v>
      </c>
      <c r="E339" s="4" t="n">
        <f aca="false">INDEX(Evaporasi!$B$3:$B$14,MATCH(B339,Evaporasi!$A$3:$A$14,0))</f>
        <v>120</v>
      </c>
      <c r="F339" s="18" t="n">
        <f aca="false">Kawasan!$B$11*Kawasan!$B$9*C339/1000</f>
        <v>2512.64</v>
      </c>
      <c r="G339" s="18" t="n">
        <f aca="false">Kawasan!$B$27*D339</f>
        <v>1666.56</v>
      </c>
      <c r="H339" s="18" t="n">
        <f aca="false">E339*Desain_Kolam!$B$16/1000</f>
        <v>128.7</v>
      </c>
      <c r="I339" s="18" t="n">
        <f aca="false">F339-G339-H339</f>
        <v>717.38</v>
      </c>
      <c r="J339" s="18" t="n">
        <f aca="false">J338+I339</f>
        <v>51293.5</v>
      </c>
      <c r="K339" s="18" t="n">
        <f aca="false">MAX(K338,J339)</f>
        <v>51293.5</v>
      </c>
      <c r="L339" s="18" t="n">
        <f aca="false">K339-J339</f>
        <v>0</v>
      </c>
      <c r="M339" s="18" t="n">
        <f aca="false">MIN(Desain_Kolam!$B$21,MAX(0,M338+F339-H339-G339))</f>
        <v>15148.38</v>
      </c>
      <c r="N339" s="6" t="n">
        <f aca="false">IF(M338+F339-H339&gt;=G339,1,0)</f>
        <v>1</v>
      </c>
    </row>
    <row r="340" customFormat="false" ht="15" hidden="false" customHeight="false" outlineLevel="0" collapsed="false">
      <c r="A340" s="6" t="n">
        <v>2025</v>
      </c>
      <c r="B340" s="6" t="n">
        <v>4</v>
      </c>
      <c r="C340" s="4" t="n">
        <v>231</v>
      </c>
      <c r="D340" s="6" t="n">
        <v>30</v>
      </c>
      <c r="E340" s="4" t="n">
        <f aca="false">INDEX(Evaporasi!$B$3:$B$14,MATCH(B340,Evaporasi!$A$3:$A$14,0))</f>
        <v>120</v>
      </c>
      <c r="F340" s="18" t="n">
        <f aca="false">Kawasan!$B$11*Kawasan!$B$9*C340/1000</f>
        <v>1921.92</v>
      </c>
      <c r="G340" s="18" t="n">
        <f aca="false">Kawasan!$B$27*D340</f>
        <v>1612.8</v>
      </c>
      <c r="H340" s="18" t="n">
        <f aca="false">E340*Desain_Kolam!$B$16/1000</f>
        <v>128.7</v>
      </c>
      <c r="I340" s="18" t="n">
        <f aca="false">F340-G340-H340</f>
        <v>180.42</v>
      </c>
      <c r="J340" s="18" t="n">
        <f aca="false">J339+I340</f>
        <v>51473.92</v>
      </c>
      <c r="K340" s="18" t="n">
        <f aca="false">MAX(K339,J340)</f>
        <v>51473.92</v>
      </c>
      <c r="L340" s="18" t="n">
        <f aca="false">K340-J340</f>
        <v>0</v>
      </c>
      <c r="M340" s="18" t="n">
        <f aca="false">MIN(Desain_Kolam!$B$21,MAX(0,M339+F340-H340-G340))</f>
        <v>15148.38</v>
      </c>
      <c r="N340" s="6" t="n">
        <f aca="false">IF(M339+F340-H340&gt;=G340,1,0)</f>
        <v>1</v>
      </c>
    </row>
    <row r="341" customFormat="false" ht="15" hidden="false" customHeight="false" outlineLevel="0" collapsed="false">
      <c r="A341" s="6" t="n">
        <v>2025</v>
      </c>
      <c r="B341" s="6" t="n">
        <v>5</v>
      </c>
      <c r="C341" s="4" t="n">
        <v>231</v>
      </c>
      <c r="D341" s="6" t="n">
        <v>31</v>
      </c>
      <c r="E341" s="4" t="n">
        <f aca="false">INDEX(Evaporasi!$B$3:$B$14,MATCH(B341,Evaporasi!$A$3:$A$14,0))</f>
        <v>120</v>
      </c>
      <c r="F341" s="18" t="n">
        <f aca="false">Kawasan!$B$11*Kawasan!$B$9*C341/1000</f>
        <v>1921.92</v>
      </c>
      <c r="G341" s="18" t="n">
        <f aca="false">Kawasan!$B$27*D341</f>
        <v>1666.56</v>
      </c>
      <c r="H341" s="18" t="n">
        <f aca="false">E341*Desain_Kolam!$B$16/1000</f>
        <v>128.7</v>
      </c>
      <c r="I341" s="18" t="n">
        <f aca="false">F341-G341-H341</f>
        <v>126.66</v>
      </c>
      <c r="J341" s="18" t="n">
        <f aca="false">J340+I341</f>
        <v>51600.58</v>
      </c>
      <c r="K341" s="18" t="n">
        <f aca="false">MAX(K340,J341)</f>
        <v>51600.58</v>
      </c>
      <c r="L341" s="18" t="n">
        <f aca="false">K341-J341</f>
        <v>0</v>
      </c>
      <c r="M341" s="18" t="n">
        <f aca="false">MIN(Desain_Kolam!$B$21,MAX(0,M340+F341-H341-G341))</f>
        <v>15148.38</v>
      </c>
      <c r="N341" s="6" t="n">
        <f aca="false">IF(M340+F341-H341&gt;=G341,1,0)</f>
        <v>1</v>
      </c>
    </row>
    <row r="342" customFormat="false" ht="15" hidden="false" customHeight="false" outlineLevel="0" collapsed="false">
      <c r="A342" s="6" t="n">
        <v>2025</v>
      </c>
      <c r="B342" s="6" t="n">
        <v>6</v>
      </c>
      <c r="C342" s="4" t="n">
        <v>167</v>
      </c>
      <c r="D342" s="6" t="n">
        <v>30</v>
      </c>
      <c r="E342" s="4" t="n">
        <f aca="false">INDEX(Evaporasi!$B$3:$B$14,MATCH(B342,Evaporasi!$A$3:$A$14,0))</f>
        <v>120</v>
      </c>
      <c r="F342" s="18" t="n">
        <f aca="false">Kawasan!$B$11*Kawasan!$B$9*C342/1000</f>
        <v>1389.44</v>
      </c>
      <c r="G342" s="18" t="n">
        <f aca="false">Kawasan!$B$27*D342</f>
        <v>1612.8</v>
      </c>
      <c r="H342" s="18" t="n">
        <f aca="false">E342*Desain_Kolam!$B$16/1000</f>
        <v>128.7</v>
      </c>
      <c r="I342" s="18" t="n">
        <f aca="false">F342-G342-H342</f>
        <v>-352.06</v>
      </c>
      <c r="J342" s="18" t="n">
        <f aca="false">J341+I342</f>
        <v>51248.52</v>
      </c>
      <c r="K342" s="18" t="n">
        <f aca="false">MAX(K341,J342)</f>
        <v>51600.58</v>
      </c>
      <c r="L342" s="18" t="n">
        <f aca="false">K342-J342</f>
        <v>352.059999999998</v>
      </c>
      <c r="M342" s="18" t="n">
        <f aca="false">MIN(Desain_Kolam!$B$21,MAX(0,M341+F342-H342-G342))</f>
        <v>14796.32</v>
      </c>
      <c r="N342" s="6" t="n">
        <f aca="false">IF(M341+F342-H342&gt;=G342,1,0)</f>
        <v>1</v>
      </c>
    </row>
    <row r="343" customFormat="false" ht="15" hidden="false" customHeight="false" outlineLevel="0" collapsed="false">
      <c r="A343" s="6" t="n">
        <v>2025</v>
      </c>
      <c r="B343" s="6" t="n">
        <v>7</v>
      </c>
      <c r="C343" s="4" t="n">
        <v>159</v>
      </c>
      <c r="D343" s="6" t="n">
        <v>31</v>
      </c>
      <c r="E343" s="4" t="n">
        <f aca="false">INDEX(Evaporasi!$B$3:$B$14,MATCH(B343,Evaporasi!$A$3:$A$14,0))</f>
        <v>120</v>
      </c>
      <c r="F343" s="18" t="n">
        <f aca="false">Kawasan!$B$11*Kawasan!$B$9*C343/1000</f>
        <v>1322.88</v>
      </c>
      <c r="G343" s="18" t="n">
        <f aca="false">Kawasan!$B$27*D343</f>
        <v>1666.56</v>
      </c>
      <c r="H343" s="18" t="n">
        <f aca="false">E343*Desain_Kolam!$B$16/1000</f>
        <v>128.7</v>
      </c>
      <c r="I343" s="18" t="n">
        <f aca="false">F343-G343-H343</f>
        <v>-472.38</v>
      </c>
      <c r="J343" s="18" t="n">
        <f aca="false">J342+I343</f>
        <v>50776.14</v>
      </c>
      <c r="K343" s="18" t="n">
        <f aca="false">MAX(K342,J343)</f>
        <v>51600.58</v>
      </c>
      <c r="L343" s="18" t="n">
        <f aca="false">K343-J343</f>
        <v>824.439999999995</v>
      </c>
      <c r="M343" s="18" t="n">
        <f aca="false">MIN(Desain_Kolam!$B$21,MAX(0,M342+F343-H343-G343))</f>
        <v>14323.94</v>
      </c>
      <c r="N343" s="6" t="n">
        <f aca="false">IF(M342+F343-H343&gt;=G343,1,0)</f>
        <v>1</v>
      </c>
    </row>
    <row r="344" customFormat="false" ht="15" hidden="false" customHeight="false" outlineLevel="0" collapsed="false">
      <c r="A344" s="6" t="n">
        <v>2025</v>
      </c>
      <c r="B344" s="6" t="n">
        <v>8</v>
      </c>
      <c r="C344" s="4" t="n">
        <v>392</v>
      </c>
      <c r="D344" s="6" t="n">
        <v>31</v>
      </c>
      <c r="E344" s="4" t="n">
        <f aca="false">INDEX(Evaporasi!$B$3:$B$14,MATCH(B344,Evaporasi!$A$3:$A$14,0))</f>
        <v>120</v>
      </c>
      <c r="F344" s="18" t="n">
        <f aca="false">Kawasan!$B$11*Kawasan!$B$9*C344/1000</f>
        <v>3261.44</v>
      </c>
      <c r="G344" s="18" t="n">
        <f aca="false">Kawasan!$B$27*D344</f>
        <v>1666.56</v>
      </c>
      <c r="H344" s="18" t="n">
        <f aca="false">E344*Desain_Kolam!$B$16/1000</f>
        <v>128.7</v>
      </c>
      <c r="I344" s="18" t="n">
        <f aca="false">F344-G344-H344</f>
        <v>1466.18</v>
      </c>
      <c r="J344" s="18" t="n">
        <f aca="false">J343+I344</f>
        <v>52242.32</v>
      </c>
      <c r="K344" s="18" t="n">
        <f aca="false">MAX(K343,J344)</f>
        <v>52242.32</v>
      </c>
      <c r="L344" s="18" t="n">
        <f aca="false">K344-J344</f>
        <v>0</v>
      </c>
      <c r="M344" s="18" t="n">
        <f aca="false">MIN(Desain_Kolam!$B$21,MAX(0,M343+F344-H344-G344))</f>
        <v>15148.38</v>
      </c>
      <c r="N344" s="6" t="n">
        <f aca="false">IF(M343+F344-H344&gt;=G344,1,0)</f>
        <v>1</v>
      </c>
    </row>
    <row r="345" customFormat="false" ht="15" hidden="false" customHeight="false" outlineLevel="0" collapsed="false">
      <c r="A345" s="6" t="n">
        <v>2025</v>
      </c>
      <c r="B345" s="6" t="n">
        <v>9</v>
      </c>
      <c r="C345" s="4" t="n">
        <v>360</v>
      </c>
      <c r="D345" s="6" t="n">
        <v>30</v>
      </c>
      <c r="E345" s="4" t="n">
        <f aca="false">INDEX(Evaporasi!$B$3:$B$14,MATCH(B345,Evaporasi!$A$3:$A$14,0))</f>
        <v>120</v>
      </c>
      <c r="F345" s="18" t="n">
        <f aca="false">Kawasan!$B$11*Kawasan!$B$9*C345/1000</f>
        <v>2995.2</v>
      </c>
      <c r="G345" s="18" t="n">
        <f aca="false">Kawasan!$B$27*D345</f>
        <v>1612.8</v>
      </c>
      <c r="H345" s="18" t="n">
        <f aca="false">E345*Desain_Kolam!$B$16/1000</f>
        <v>128.7</v>
      </c>
      <c r="I345" s="18" t="n">
        <f aca="false">F345-G345-H345</f>
        <v>1253.7</v>
      </c>
      <c r="J345" s="18" t="n">
        <f aca="false">J344+I345</f>
        <v>53496.02</v>
      </c>
      <c r="K345" s="18" t="n">
        <f aca="false">MAX(K344,J345)</f>
        <v>53496.02</v>
      </c>
      <c r="L345" s="18" t="n">
        <f aca="false">K345-J345</f>
        <v>0</v>
      </c>
      <c r="M345" s="18" t="n">
        <f aca="false">MIN(Desain_Kolam!$B$21,MAX(0,M344+F345-H345-G345))</f>
        <v>15148.38</v>
      </c>
      <c r="N345" s="6" t="n">
        <f aca="false">IF(M344+F345-H345&gt;=G345,1,0)</f>
        <v>1</v>
      </c>
    </row>
    <row r="346" customFormat="false" ht="15" hidden="false" customHeight="false" outlineLevel="0" collapsed="false">
      <c r="A346" s="6" t="n">
        <v>2025</v>
      </c>
      <c r="B346" s="6" t="n">
        <v>10</v>
      </c>
      <c r="C346" s="4" t="n">
        <v>391</v>
      </c>
      <c r="D346" s="6" t="n">
        <v>31</v>
      </c>
      <c r="E346" s="4" t="n">
        <f aca="false">INDEX(Evaporasi!$B$3:$B$14,MATCH(B346,Evaporasi!$A$3:$A$14,0))</f>
        <v>120</v>
      </c>
      <c r="F346" s="18" t="n">
        <f aca="false">Kawasan!$B$11*Kawasan!$B$9*C346/1000</f>
        <v>3253.12</v>
      </c>
      <c r="G346" s="18" t="n">
        <f aca="false">Kawasan!$B$27*D346</f>
        <v>1666.56</v>
      </c>
      <c r="H346" s="18" t="n">
        <f aca="false">E346*Desain_Kolam!$B$16/1000</f>
        <v>128.7</v>
      </c>
      <c r="I346" s="18" t="n">
        <f aca="false">F346-G346-H346</f>
        <v>1457.86</v>
      </c>
      <c r="J346" s="18" t="n">
        <f aca="false">J345+I346</f>
        <v>54953.88</v>
      </c>
      <c r="K346" s="18" t="n">
        <f aca="false">MAX(K345,J346)</f>
        <v>54953.88</v>
      </c>
      <c r="L346" s="18" t="n">
        <f aca="false">K346-J346</f>
        <v>0</v>
      </c>
      <c r="M346" s="18" t="n">
        <f aca="false">MIN(Desain_Kolam!$B$21,MAX(0,M345+F346-H346-G346))</f>
        <v>15148.38</v>
      </c>
      <c r="N346" s="6" t="n">
        <f aca="false">IF(M345+F346-H346&gt;=G346,1,0)</f>
        <v>1</v>
      </c>
    </row>
    <row r="347" customFormat="false" ht="15" hidden="false" customHeight="false" outlineLevel="0" collapsed="false">
      <c r="A347" s="6" t="n">
        <v>2025</v>
      </c>
      <c r="B347" s="6" t="n">
        <v>11</v>
      </c>
      <c r="C347" s="4" t="n">
        <v>327</v>
      </c>
      <c r="D347" s="6" t="n">
        <v>30</v>
      </c>
      <c r="E347" s="4" t="n">
        <f aca="false">INDEX(Evaporasi!$B$3:$B$14,MATCH(B347,Evaporasi!$A$3:$A$14,0))</f>
        <v>120</v>
      </c>
      <c r="F347" s="18" t="n">
        <f aca="false">Kawasan!$B$11*Kawasan!$B$9*C347/1000</f>
        <v>2720.64</v>
      </c>
      <c r="G347" s="18" t="n">
        <f aca="false">Kawasan!$B$27*D347</f>
        <v>1612.8</v>
      </c>
      <c r="H347" s="18" t="n">
        <f aca="false">E347*Desain_Kolam!$B$16/1000</f>
        <v>128.7</v>
      </c>
      <c r="I347" s="18" t="n">
        <f aca="false">F347-G347-H347</f>
        <v>979.14</v>
      </c>
      <c r="J347" s="18" t="n">
        <f aca="false">J346+I347</f>
        <v>55933.02</v>
      </c>
      <c r="K347" s="18" t="n">
        <f aca="false">MAX(K346,J347)</f>
        <v>55933.02</v>
      </c>
      <c r="L347" s="18" t="n">
        <f aca="false">K347-J347</f>
        <v>0</v>
      </c>
      <c r="M347" s="18" t="n">
        <f aca="false">MIN(Desain_Kolam!$B$21,MAX(0,M346+F347-H347-G347))</f>
        <v>15148.38</v>
      </c>
      <c r="N347" s="6" t="n">
        <f aca="false">IF(M346+F347-H347&gt;=G347,1,0)</f>
        <v>1</v>
      </c>
    </row>
    <row r="348" customFormat="false" ht="15" hidden="false" customHeight="false" outlineLevel="0" collapsed="false">
      <c r="A348" s="6" t="n">
        <v>2025</v>
      </c>
      <c r="B348" s="6" t="n">
        <v>12</v>
      </c>
      <c r="C348" s="4" t="n">
        <v>140</v>
      </c>
      <c r="D348" s="6" t="n">
        <v>31</v>
      </c>
      <c r="E348" s="4" t="n">
        <f aca="false">INDEX(Evaporasi!$B$3:$B$14,MATCH(B348,Evaporasi!$A$3:$A$14,0))</f>
        <v>120</v>
      </c>
      <c r="F348" s="18" t="n">
        <f aca="false">Kawasan!$B$11*Kawasan!$B$9*C348/1000</f>
        <v>1164.8</v>
      </c>
      <c r="G348" s="18" t="n">
        <f aca="false">Kawasan!$B$27*D348</f>
        <v>1666.56</v>
      </c>
      <c r="H348" s="18" t="n">
        <f aca="false">E348*Desain_Kolam!$B$16/1000</f>
        <v>128.7</v>
      </c>
      <c r="I348" s="18" t="n">
        <f aca="false">F348-G348-H348</f>
        <v>-630.46</v>
      </c>
      <c r="J348" s="18" t="n">
        <f aca="false">J347+I348</f>
        <v>55302.56</v>
      </c>
      <c r="K348" s="18" t="n">
        <f aca="false">MAX(K347,J348)</f>
        <v>55933.02</v>
      </c>
      <c r="L348" s="18" t="n">
        <f aca="false">K348-J348</f>
        <v>630.459999999999</v>
      </c>
      <c r="M348" s="18" t="n">
        <f aca="false">MIN(Desain_Kolam!$B$21,MAX(0,M347+F348-H348-G348))</f>
        <v>14517.92</v>
      </c>
      <c r="N348" s="6" t="n">
        <f aca="false">IF(M347+F348-H348&gt;=G348,1,0)</f>
        <v>1</v>
      </c>
    </row>
    <row r="349" customFormat="false" ht="15" hidden="false" customHeight="false" outlineLevel="0" collapsed="false">
      <c r="A349" s="27" t="s">
        <v>5436</v>
      </c>
      <c r="B349" s="27"/>
      <c r="C349" s="27"/>
      <c r="D349" s="27"/>
      <c r="E349" s="28" t="n">
        <f aca="false">MAX(L181:L348)</f>
        <v>18066.78</v>
      </c>
    </row>
    <row r="350" customFormat="false" ht="15" hidden="false" customHeight="false" outlineLevel="0" collapsed="false">
      <c r="A350" s="27" t="s">
        <v>5432</v>
      </c>
      <c r="B350" s="27"/>
      <c r="C350" s="27"/>
      <c r="D350" s="27"/>
      <c r="E350" s="29" t="n">
        <f aca="false">100*SUM(N181:N348)/COUNT(N181:N348)</f>
        <v>98.2142857142857</v>
      </c>
    </row>
    <row r="351" customFormat="false" ht="15" hidden="false" customHeight="false" outlineLevel="0" collapsed="false">
      <c r="A351" s="27" t="s">
        <v>5433</v>
      </c>
      <c r="B351" s="27"/>
      <c r="C351" s="27"/>
      <c r="D351" s="27"/>
      <c r="E351" s="30" t="n">
        <f aca="false">SUM(N181:N348)</f>
        <v>165</v>
      </c>
    </row>
    <row r="352" customFormat="false" ht="15" hidden="false" customHeight="false" outlineLevel="0" collapsed="false">
      <c r="A352" s="27" t="s">
        <v>5434</v>
      </c>
      <c r="B352" s="27"/>
      <c r="C352" s="27"/>
      <c r="D352" s="27"/>
      <c r="E352" s="28" t="n">
        <f aca="false">J348</f>
        <v>55302.56</v>
      </c>
    </row>
    <row r="354" customFormat="false" ht="15" hidden="false" customHeight="false" outlineLevel="0" collapsed="false">
      <c r="A354" s="31" t="s">
        <v>5437</v>
      </c>
    </row>
    <row r="355" customFormat="false" ht="23.85" hidden="false" customHeight="false" outlineLevel="0" collapsed="false">
      <c r="A355" s="1" t="s">
        <v>0</v>
      </c>
      <c r="B355" s="1" t="s">
        <v>1</v>
      </c>
      <c r="C355" s="1" t="s">
        <v>5419</v>
      </c>
      <c r="D355" s="1" t="s">
        <v>5420</v>
      </c>
      <c r="E355" s="1" t="s">
        <v>5421</v>
      </c>
      <c r="F355" s="1" t="s">
        <v>5422</v>
      </c>
      <c r="G355" s="1" t="s">
        <v>5423</v>
      </c>
      <c r="H355" s="1" t="s">
        <v>5424</v>
      </c>
      <c r="I355" s="1" t="s">
        <v>5425</v>
      </c>
      <c r="J355" s="1" t="s">
        <v>5426</v>
      </c>
      <c r="K355" s="1" t="s">
        <v>5427</v>
      </c>
      <c r="L355" s="1" t="s">
        <v>5428</v>
      </c>
      <c r="M355" s="1" t="s">
        <v>5429</v>
      </c>
      <c r="N355" s="1" t="s">
        <v>5430</v>
      </c>
      <c r="O355" s="1" t="s">
        <v>5438</v>
      </c>
      <c r="P355" s="1" t="s">
        <v>5439</v>
      </c>
      <c r="Q355" s="1" t="s">
        <v>5440</v>
      </c>
      <c r="R355" s="1" t="s">
        <v>5441</v>
      </c>
      <c r="S355" s="1" t="s">
        <v>5442</v>
      </c>
      <c r="T355" s="1" t="s">
        <v>5443</v>
      </c>
      <c r="U355" s="1" t="s">
        <v>5444</v>
      </c>
      <c r="V355" s="1" t="s">
        <v>5445</v>
      </c>
      <c r="W355" s="1" t="s">
        <v>5446</v>
      </c>
      <c r="X355" s="1" t="s">
        <v>5447</v>
      </c>
    </row>
    <row r="356" customFormat="false" ht="15" hidden="false" customHeight="false" outlineLevel="0" collapsed="false">
      <c r="A356" s="6" t="n">
        <v>2012</v>
      </c>
      <c r="B356" s="6" t="n">
        <v>1</v>
      </c>
      <c r="C356" s="4" t="n">
        <v>349</v>
      </c>
      <c r="D356" s="6" t="n">
        <v>31</v>
      </c>
      <c r="E356" s="4" t="n">
        <f aca="false">INDEX(Evaporasi!$B$3:$B$14,MATCH(B356,Evaporasi!$A$3:$A$14,0))</f>
        <v>120</v>
      </c>
      <c r="F356" s="18" t="n">
        <f aca="false">Kawasan!$B$11*Kawasan!$B$9*C356/1000</f>
        <v>2903.68</v>
      </c>
      <c r="G356" s="18" t="n">
        <f aca="false">Kawasan!$B$28*D356</f>
        <v>1547.52</v>
      </c>
      <c r="H356" s="18" t="n">
        <f aca="false">E356*Desain_Kolam!$B$16/1000</f>
        <v>128.7</v>
      </c>
      <c r="I356" s="18" t="n">
        <f aca="false">F356-G356-H356</f>
        <v>1227.46</v>
      </c>
      <c r="J356" s="18" t="n">
        <f aca="false">I356</f>
        <v>1227.46</v>
      </c>
      <c r="K356" s="18" t="n">
        <f aca="false">MAX(0,J356)</f>
        <v>1227.46</v>
      </c>
      <c r="L356" s="18" t="n">
        <f aca="false">K356-J356</f>
        <v>0</v>
      </c>
      <c r="M356" s="18" t="n">
        <f aca="false">MIN(Desain_Kolam!$B$21,MAX(0,F356-H356-G356))</f>
        <v>1227.46</v>
      </c>
      <c r="N356" s="6" t="n">
        <f aca="false">IF(F356-H356&gt;=G356,1,0)</f>
        <v>1</v>
      </c>
      <c r="O356" s="18" t="n">
        <f aca="false">E356*Desain_Kolam!$B$24/1000</f>
        <v>609.18</v>
      </c>
      <c r="P356" s="18" t="n">
        <f aca="false">F356-G356-O356</f>
        <v>746.98</v>
      </c>
      <c r="Q356" s="18" t="n">
        <f aca="false">P356</f>
        <v>746.98</v>
      </c>
      <c r="R356" s="18" t="n">
        <f aca="false">MAX(0,Q356)</f>
        <v>746.98</v>
      </c>
      <c r="S356" s="18" t="n">
        <f aca="false">R356-Q356</f>
        <v>0</v>
      </c>
      <c r="T356" s="18" t="n">
        <f aca="false">E356*Desain_Kolam!$B$34/1000</f>
        <v>1406.16</v>
      </c>
      <c r="U356" s="18" t="n">
        <f aca="false">F356-G356-T356</f>
        <v>-50.0000000000002</v>
      </c>
      <c r="V356" s="18" t="n">
        <f aca="false">U356</f>
        <v>-50.0000000000002</v>
      </c>
      <c r="W356" s="18" t="n">
        <f aca="false">MAX(0,V356)</f>
        <v>0</v>
      </c>
      <c r="X356" s="18" t="n">
        <f aca="false">W356-V356</f>
        <v>50.0000000000002</v>
      </c>
    </row>
    <row r="357" customFormat="false" ht="15" hidden="false" customHeight="false" outlineLevel="0" collapsed="false">
      <c r="A357" s="6" t="n">
        <v>2012</v>
      </c>
      <c r="B357" s="6" t="n">
        <v>2</v>
      </c>
      <c r="C357" s="4" t="n">
        <v>340</v>
      </c>
      <c r="D357" s="6" t="n">
        <v>29</v>
      </c>
      <c r="E357" s="4" t="n">
        <f aca="false">INDEX(Evaporasi!$B$3:$B$14,MATCH(B357,Evaporasi!$A$3:$A$14,0))</f>
        <v>120</v>
      </c>
      <c r="F357" s="18" t="n">
        <f aca="false">Kawasan!$B$11*Kawasan!$B$9*C357/1000</f>
        <v>2828.8</v>
      </c>
      <c r="G357" s="18" t="n">
        <f aca="false">Kawasan!$B$28*D357</f>
        <v>1447.68</v>
      </c>
      <c r="H357" s="18" t="n">
        <f aca="false">E357*Desain_Kolam!$B$16/1000</f>
        <v>128.7</v>
      </c>
      <c r="I357" s="18" t="n">
        <f aca="false">F357-G357-H357</f>
        <v>1252.42</v>
      </c>
      <c r="J357" s="18" t="n">
        <f aca="false">J356+I357</f>
        <v>2479.88</v>
      </c>
      <c r="K357" s="18" t="n">
        <f aca="false">MAX(K356,J357)</f>
        <v>2479.88</v>
      </c>
      <c r="L357" s="18" t="n">
        <f aca="false">K357-J357</f>
        <v>0</v>
      </c>
      <c r="M357" s="18" t="n">
        <f aca="false">MIN(Desain_Kolam!$B$21,MAX(0,M356+F357-H357-G357))</f>
        <v>2479.88</v>
      </c>
      <c r="N357" s="6" t="n">
        <f aca="false">IF(M356+F357-H357&gt;=G357,1,0)</f>
        <v>1</v>
      </c>
      <c r="O357" s="18" t="n">
        <f aca="false">E357*Desain_Kolam!$B$24/1000</f>
        <v>609.18</v>
      </c>
      <c r="P357" s="18" t="n">
        <f aca="false">F357-G357-O357</f>
        <v>771.94</v>
      </c>
      <c r="Q357" s="18" t="n">
        <f aca="false">Q356+P357</f>
        <v>1518.92</v>
      </c>
      <c r="R357" s="18" t="n">
        <f aca="false">MAX(R356,Q357)</f>
        <v>1518.92</v>
      </c>
      <c r="S357" s="18" t="n">
        <f aca="false">R357-Q357</f>
        <v>0</v>
      </c>
      <c r="T357" s="18" t="n">
        <f aca="false">E357*Desain_Kolam!$B$34/1000</f>
        <v>1406.16</v>
      </c>
      <c r="U357" s="18" t="n">
        <f aca="false">F357-G357-T357</f>
        <v>-25.04</v>
      </c>
      <c r="V357" s="18" t="n">
        <f aca="false">V356+U357</f>
        <v>-75.0400000000002</v>
      </c>
      <c r="W357" s="18" t="n">
        <f aca="false">MAX(W356,V357)</f>
        <v>0</v>
      </c>
      <c r="X357" s="18" t="n">
        <f aca="false">W357-V357</f>
        <v>75.0400000000002</v>
      </c>
    </row>
    <row r="358" customFormat="false" ht="15" hidden="false" customHeight="false" outlineLevel="0" collapsed="false">
      <c r="A358" s="6" t="n">
        <v>2012</v>
      </c>
      <c r="B358" s="6" t="n">
        <v>3</v>
      </c>
      <c r="C358" s="4" t="n">
        <v>244</v>
      </c>
      <c r="D358" s="6" t="n">
        <v>31</v>
      </c>
      <c r="E358" s="4" t="n">
        <f aca="false">INDEX(Evaporasi!$B$3:$B$14,MATCH(B358,Evaporasi!$A$3:$A$14,0))</f>
        <v>120</v>
      </c>
      <c r="F358" s="18" t="n">
        <f aca="false">Kawasan!$B$11*Kawasan!$B$9*C358/1000</f>
        <v>2030.08</v>
      </c>
      <c r="G358" s="18" t="n">
        <f aca="false">Kawasan!$B$28*D358</f>
        <v>1547.52</v>
      </c>
      <c r="H358" s="18" t="n">
        <f aca="false">E358*Desain_Kolam!$B$16/1000</f>
        <v>128.7</v>
      </c>
      <c r="I358" s="18" t="n">
        <f aca="false">F358-G358-H358</f>
        <v>353.86</v>
      </c>
      <c r="J358" s="18" t="n">
        <f aca="false">J357+I358</f>
        <v>2833.74</v>
      </c>
      <c r="K358" s="18" t="n">
        <f aca="false">MAX(K357,J358)</f>
        <v>2833.74</v>
      </c>
      <c r="L358" s="18" t="n">
        <f aca="false">K358-J358</f>
        <v>0</v>
      </c>
      <c r="M358" s="18" t="n">
        <f aca="false">MIN(Desain_Kolam!$B$21,MAX(0,M357+F358-H358-G358))</f>
        <v>2833.74</v>
      </c>
      <c r="N358" s="6" t="n">
        <f aca="false">IF(M357+F358-H358&gt;=G358,1,0)</f>
        <v>1</v>
      </c>
      <c r="O358" s="18" t="n">
        <f aca="false">E358*Desain_Kolam!$B$24/1000</f>
        <v>609.18</v>
      </c>
      <c r="P358" s="18" t="n">
        <f aca="false">F358-G358-O358</f>
        <v>-126.62</v>
      </c>
      <c r="Q358" s="18" t="n">
        <f aca="false">Q357+P358</f>
        <v>1392.3</v>
      </c>
      <c r="R358" s="18" t="n">
        <f aca="false">MAX(R357,Q358)</f>
        <v>1518.92</v>
      </c>
      <c r="S358" s="18" t="n">
        <f aca="false">R358-Q358</f>
        <v>126.62</v>
      </c>
      <c r="T358" s="18" t="n">
        <f aca="false">E358*Desain_Kolam!$B$34/1000</f>
        <v>1406.16</v>
      </c>
      <c r="U358" s="18" t="n">
        <f aca="false">F358-G358-T358</f>
        <v>-923.6</v>
      </c>
      <c r="V358" s="18" t="n">
        <f aca="false">V357+U358</f>
        <v>-998.64</v>
      </c>
      <c r="W358" s="18" t="n">
        <f aca="false">MAX(W357,V358)</f>
        <v>0</v>
      </c>
      <c r="X358" s="18" t="n">
        <f aca="false">W358-V358</f>
        <v>998.64</v>
      </c>
    </row>
    <row r="359" customFormat="false" ht="15" hidden="false" customHeight="false" outlineLevel="0" collapsed="false">
      <c r="A359" s="6" t="n">
        <v>2012</v>
      </c>
      <c r="B359" s="6" t="n">
        <v>4</v>
      </c>
      <c r="C359" s="4" t="n">
        <v>282</v>
      </c>
      <c r="D359" s="6" t="n">
        <v>30</v>
      </c>
      <c r="E359" s="4" t="n">
        <f aca="false">INDEX(Evaporasi!$B$3:$B$14,MATCH(B359,Evaporasi!$A$3:$A$14,0))</f>
        <v>120</v>
      </c>
      <c r="F359" s="18" t="n">
        <f aca="false">Kawasan!$B$11*Kawasan!$B$9*C359/1000</f>
        <v>2346.24</v>
      </c>
      <c r="G359" s="18" t="n">
        <f aca="false">Kawasan!$B$28*D359</f>
        <v>1497.6</v>
      </c>
      <c r="H359" s="18" t="n">
        <f aca="false">E359*Desain_Kolam!$B$16/1000</f>
        <v>128.7</v>
      </c>
      <c r="I359" s="18" t="n">
        <f aca="false">F359-G359-H359</f>
        <v>719.94</v>
      </c>
      <c r="J359" s="18" t="n">
        <f aca="false">J358+I359</f>
        <v>3553.68</v>
      </c>
      <c r="K359" s="18" t="n">
        <f aca="false">MAX(K358,J359)</f>
        <v>3553.68</v>
      </c>
      <c r="L359" s="18" t="n">
        <f aca="false">K359-J359</f>
        <v>0</v>
      </c>
      <c r="M359" s="18" t="n">
        <f aca="false">MIN(Desain_Kolam!$B$21,MAX(0,M358+F359-H359-G359))</f>
        <v>3553.68</v>
      </c>
      <c r="N359" s="6" t="n">
        <f aca="false">IF(M358+F359-H359&gt;=G359,1,0)</f>
        <v>1</v>
      </c>
      <c r="O359" s="18" t="n">
        <f aca="false">E359*Desain_Kolam!$B$24/1000</f>
        <v>609.18</v>
      </c>
      <c r="P359" s="18" t="n">
        <f aca="false">F359-G359-O359</f>
        <v>239.46</v>
      </c>
      <c r="Q359" s="18" t="n">
        <f aca="false">Q358+P359</f>
        <v>1631.76</v>
      </c>
      <c r="R359" s="18" t="n">
        <f aca="false">MAX(R358,Q359)</f>
        <v>1631.76</v>
      </c>
      <c r="S359" s="18" t="n">
        <f aca="false">R359-Q359</f>
        <v>0</v>
      </c>
      <c r="T359" s="18" t="n">
        <f aca="false">E359*Desain_Kolam!$B$34/1000</f>
        <v>1406.16</v>
      </c>
      <c r="U359" s="18" t="n">
        <f aca="false">F359-G359-T359</f>
        <v>-557.52</v>
      </c>
      <c r="V359" s="18" t="n">
        <f aca="false">V358+U359</f>
        <v>-1556.16</v>
      </c>
      <c r="W359" s="18" t="n">
        <f aca="false">MAX(W358,V359)</f>
        <v>0</v>
      </c>
      <c r="X359" s="18" t="n">
        <f aca="false">W359-V359</f>
        <v>1556.16</v>
      </c>
    </row>
    <row r="360" customFormat="false" ht="15" hidden="false" customHeight="false" outlineLevel="0" collapsed="false">
      <c r="A360" s="6" t="n">
        <v>2012</v>
      </c>
      <c r="B360" s="6" t="n">
        <v>5</v>
      </c>
      <c r="C360" s="4" t="n">
        <v>319</v>
      </c>
      <c r="D360" s="6" t="n">
        <v>31</v>
      </c>
      <c r="E360" s="4" t="n">
        <f aca="false">INDEX(Evaporasi!$B$3:$B$14,MATCH(B360,Evaporasi!$A$3:$A$14,0))</f>
        <v>120</v>
      </c>
      <c r="F360" s="18" t="n">
        <f aca="false">Kawasan!$B$11*Kawasan!$B$9*C360/1000</f>
        <v>2654.08</v>
      </c>
      <c r="G360" s="18" t="n">
        <f aca="false">Kawasan!$B$28*D360</f>
        <v>1547.52</v>
      </c>
      <c r="H360" s="18" t="n">
        <f aca="false">E360*Desain_Kolam!$B$16/1000</f>
        <v>128.7</v>
      </c>
      <c r="I360" s="18" t="n">
        <f aca="false">F360-G360-H360</f>
        <v>977.86</v>
      </c>
      <c r="J360" s="18" t="n">
        <f aca="false">J359+I360</f>
        <v>4531.54</v>
      </c>
      <c r="K360" s="18" t="n">
        <f aca="false">MAX(K359,J360)</f>
        <v>4531.54</v>
      </c>
      <c r="L360" s="18" t="n">
        <f aca="false">K360-J360</f>
        <v>0</v>
      </c>
      <c r="M360" s="18" t="n">
        <f aca="false">MIN(Desain_Kolam!$B$21,MAX(0,M359+F360-H360-G360))</f>
        <v>4531.54</v>
      </c>
      <c r="N360" s="6" t="n">
        <f aca="false">IF(M359+F360-H360&gt;=G360,1,0)</f>
        <v>1</v>
      </c>
      <c r="O360" s="18" t="n">
        <f aca="false">E360*Desain_Kolam!$B$24/1000</f>
        <v>609.18</v>
      </c>
      <c r="P360" s="18" t="n">
        <f aca="false">F360-G360-O360</f>
        <v>497.38</v>
      </c>
      <c r="Q360" s="18" t="n">
        <f aca="false">Q359+P360</f>
        <v>2129.14</v>
      </c>
      <c r="R360" s="18" t="n">
        <f aca="false">MAX(R359,Q360)</f>
        <v>2129.14</v>
      </c>
      <c r="S360" s="18" t="n">
        <f aca="false">R360-Q360</f>
        <v>0</v>
      </c>
      <c r="T360" s="18" t="n">
        <f aca="false">E360*Desain_Kolam!$B$34/1000</f>
        <v>1406.16</v>
      </c>
      <c r="U360" s="18" t="n">
        <f aca="false">F360-G360-T360</f>
        <v>-299.6</v>
      </c>
      <c r="V360" s="18" t="n">
        <f aca="false">V359+U360</f>
        <v>-1855.76</v>
      </c>
      <c r="W360" s="18" t="n">
        <f aca="false">MAX(W359,V360)</f>
        <v>0</v>
      </c>
      <c r="X360" s="18" t="n">
        <f aca="false">W360-V360</f>
        <v>1855.76</v>
      </c>
    </row>
    <row r="361" customFormat="false" ht="15" hidden="false" customHeight="false" outlineLevel="0" collapsed="false">
      <c r="A361" s="6" t="n">
        <v>2012</v>
      </c>
      <c r="B361" s="6" t="n">
        <v>6</v>
      </c>
      <c r="C361" s="4" t="n">
        <v>107</v>
      </c>
      <c r="D361" s="6" t="n">
        <v>30</v>
      </c>
      <c r="E361" s="4" t="n">
        <f aca="false">INDEX(Evaporasi!$B$3:$B$14,MATCH(B361,Evaporasi!$A$3:$A$14,0))</f>
        <v>120</v>
      </c>
      <c r="F361" s="18" t="n">
        <f aca="false">Kawasan!$B$11*Kawasan!$B$9*C361/1000</f>
        <v>890.24</v>
      </c>
      <c r="G361" s="18" t="n">
        <f aca="false">Kawasan!$B$28*D361</f>
        <v>1497.6</v>
      </c>
      <c r="H361" s="18" t="n">
        <f aca="false">E361*Desain_Kolam!$B$16/1000</f>
        <v>128.7</v>
      </c>
      <c r="I361" s="18" t="n">
        <f aca="false">F361-G361-H361</f>
        <v>-736.06</v>
      </c>
      <c r="J361" s="18" t="n">
        <f aca="false">J360+I361</f>
        <v>3795.48</v>
      </c>
      <c r="K361" s="18" t="n">
        <f aca="false">MAX(K360,J361)</f>
        <v>4531.54</v>
      </c>
      <c r="L361" s="18" t="n">
        <f aca="false">K361-J361</f>
        <v>736.06</v>
      </c>
      <c r="M361" s="18" t="n">
        <f aca="false">MIN(Desain_Kolam!$B$21,MAX(0,M360+F361-H361-G361))</f>
        <v>3795.48</v>
      </c>
      <c r="N361" s="6" t="n">
        <f aca="false">IF(M360+F361-H361&gt;=G361,1,0)</f>
        <v>1</v>
      </c>
      <c r="O361" s="18" t="n">
        <f aca="false">E361*Desain_Kolam!$B$24/1000</f>
        <v>609.18</v>
      </c>
      <c r="P361" s="18" t="n">
        <f aca="false">F361-G361-O361</f>
        <v>-1216.54</v>
      </c>
      <c r="Q361" s="18" t="n">
        <f aca="false">Q360+P361</f>
        <v>912.6</v>
      </c>
      <c r="R361" s="18" t="n">
        <f aca="false">MAX(R360,Q361)</f>
        <v>2129.14</v>
      </c>
      <c r="S361" s="18" t="n">
        <f aca="false">R361-Q361</f>
        <v>1216.54</v>
      </c>
      <c r="T361" s="18" t="n">
        <f aca="false">E361*Desain_Kolam!$B$34/1000</f>
        <v>1406.16</v>
      </c>
      <c r="U361" s="18" t="n">
        <f aca="false">F361-G361-T361</f>
        <v>-2013.52</v>
      </c>
      <c r="V361" s="18" t="n">
        <f aca="false">V360+U361</f>
        <v>-3869.28</v>
      </c>
      <c r="W361" s="18" t="n">
        <f aca="false">MAX(W360,V361)</f>
        <v>0</v>
      </c>
      <c r="X361" s="18" t="n">
        <f aca="false">W361-V361</f>
        <v>3869.28</v>
      </c>
    </row>
    <row r="362" customFormat="false" ht="15" hidden="false" customHeight="false" outlineLevel="0" collapsed="false">
      <c r="A362" s="6" t="n">
        <v>2012</v>
      </c>
      <c r="B362" s="6" t="n">
        <v>7</v>
      </c>
      <c r="C362" s="4" t="n">
        <v>133</v>
      </c>
      <c r="D362" s="6" t="n">
        <v>31</v>
      </c>
      <c r="E362" s="4" t="n">
        <f aca="false">INDEX(Evaporasi!$B$3:$B$14,MATCH(B362,Evaporasi!$A$3:$A$14,0))</f>
        <v>120</v>
      </c>
      <c r="F362" s="18" t="n">
        <f aca="false">Kawasan!$B$11*Kawasan!$B$9*C362/1000</f>
        <v>1106.56</v>
      </c>
      <c r="G362" s="18" t="n">
        <f aca="false">Kawasan!$B$28*D362</f>
        <v>1547.52</v>
      </c>
      <c r="H362" s="18" t="n">
        <f aca="false">E362*Desain_Kolam!$B$16/1000</f>
        <v>128.7</v>
      </c>
      <c r="I362" s="18" t="n">
        <f aca="false">F362-G362-H362</f>
        <v>-569.66</v>
      </c>
      <c r="J362" s="18" t="n">
        <f aca="false">J361+I362</f>
        <v>3225.82</v>
      </c>
      <c r="K362" s="18" t="n">
        <f aca="false">MAX(K361,J362)</f>
        <v>4531.54</v>
      </c>
      <c r="L362" s="18" t="n">
        <f aca="false">K362-J362</f>
        <v>1305.72</v>
      </c>
      <c r="M362" s="18" t="n">
        <f aca="false">MIN(Desain_Kolam!$B$21,MAX(0,M361+F362-H362-G362))</f>
        <v>3225.82</v>
      </c>
      <c r="N362" s="6" t="n">
        <f aca="false">IF(M361+F362-H362&gt;=G362,1,0)</f>
        <v>1</v>
      </c>
      <c r="O362" s="18" t="n">
        <f aca="false">E362*Desain_Kolam!$B$24/1000</f>
        <v>609.18</v>
      </c>
      <c r="P362" s="18" t="n">
        <f aca="false">F362-G362-O362</f>
        <v>-1050.14</v>
      </c>
      <c r="Q362" s="18" t="n">
        <f aca="false">Q361+P362</f>
        <v>-137.54</v>
      </c>
      <c r="R362" s="18" t="n">
        <f aca="false">MAX(R361,Q362)</f>
        <v>2129.14</v>
      </c>
      <c r="S362" s="18" t="n">
        <f aca="false">R362-Q362</f>
        <v>2266.68</v>
      </c>
      <c r="T362" s="18" t="n">
        <f aca="false">E362*Desain_Kolam!$B$34/1000</f>
        <v>1406.16</v>
      </c>
      <c r="U362" s="18" t="n">
        <f aca="false">F362-G362-T362</f>
        <v>-1847.12</v>
      </c>
      <c r="V362" s="18" t="n">
        <f aca="false">V361+U362</f>
        <v>-5716.4</v>
      </c>
      <c r="W362" s="18" t="n">
        <f aca="false">MAX(W361,V362)</f>
        <v>0</v>
      </c>
      <c r="X362" s="18" t="n">
        <f aca="false">W362-V362</f>
        <v>5716.4</v>
      </c>
    </row>
    <row r="363" customFormat="false" ht="15" hidden="false" customHeight="false" outlineLevel="0" collapsed="false">
      <c r="A363" s="6" t="n">
        <v>2012</v>
      </c>
      <c r="B363" s="6" t="n">
        <v>8</v>
      </c>
      <c r="C363" s="4" t="n">
        <v>105</v>
      </c>
      <c r="D363" s="6" t="n">
        <v>31</v>
      </c>
      <c r="E363" s="4" t="n">
        <f aca="false">INDEX(Evaporasi!$B$3:$B$14,MATCH(B363,Evaporasi!$A$3:$A$14,0))</f>
        <v>120</v>
      </c>
      <c r="F363" s="18" t="n">
        <f aca="false">Kawasan!$B$11*Kawasan!$B$9*C363/1000</f>
        <v>873.6</v>
      </c>
      <c r="G363" s="18" t="n">
        <f aca="false">Kawasan!$B$28*D363</f>
        <v>1547.52</v>
      </c>
      <c r="H363" s="18" t="n">
        <f aca="false">E363*Desain_Kolam!$B$16/1000</f>
        <v>128.7</v>
      </c>
      <c r="I363" s="18" t="n">
        <f aca="false">F363-G363-H363</f>
        <v>-802.62</v>
      </c>
      <c r="J363" s="18" t="n">
        <f aca="false">J362+I363</f>
        <v>2423.2</v>
      </c>
      <c r="K363" s="18" t="n">
        <f aca="false">MAX(K362,J363)</f>
        <v>4531.54</v>
      </c>
      <c r="L363" s="18" t="n">
        <f aca="false">K363-J363</f>
        <v>2108.34</v>
      </c>
      <c r="M363" s="18" t="n">
        <f aca="false">MIN(Desain_Kolam!$B$21,MAX(0,M362+F363-H363-G363))</f>
        <v>2423.2</v>
      </c>
      <c r="N363" s="6" t="n">
        <f aca="false">IF(M362+F363-H363&gt;=G363,1,0)</f>
        <v>1</v>
      </c>
      <c r="O363" s="18" t="n">
        <f aca="false">E363*Desain_Kolam!$B$24/1000</f>
        <v>609.18</v>
      </c>
      <c r="P363" s="18" t="n">
        <f aca="false">F363-G363-O363</f>
        <v>-1283.1</v>
      </c>
      <c r="Q363" s="18" t="n">
        <f aca="false">Q362+P363</f>
        <v>-1420.64</v>
      </c>
      <c r="R363" s="18" t="n">
        <f aca="false">MAX(R362,Q363)</f>
        <v>2129.14</v>
      </c>
      <c r="S363" s="18" t="n">
        <f aca="false">R363-Q363</f>
        <v>3549.78</v>
      </c>
      <c r="T363" s="18" t="n">
        <f aca="false">E363*Desain_Kolam!$B$34/1000</f>
        <v>1406.16</v>
      </c>
      <c r="U363" s="18" t="n">
        <f aca="false">F363-G363-T363</f>
        <v>-2080.08</v>
      </c>
      <c r="V363" s="18" t="n">
        <f aca="false">V362+U363</f>
        <v>-7796.48</v>
      </c>
      <c r="W363" s="18" t="n">
        <f aca="false">MAX(W362,V363)</f>
        <v>0</v>
      </c>
      <c r="X363" s="18" t="n">
        <f aca="false">W363-V363</f>
        <v>7796.48</v>
      </c>
    </row>
    <row r="364" customFormat="false" ht="15" hidden="false" customHeight="false" outlineLevel="0" collapsed="false">
      <c r="A364" s="6" t="n">
        <v>2012</v>
      </c>
      <c r="B364" s="6" t="n">
        <v>9</v>
      </c>
      <c r="C364" s="4" t="n">
        <v>174</v>
      </c>
      <c r="D364" s="6" t="n">
        <v>30</v>
      </c>
      <c r="E364" s="4" t="n">
        <f aca="false">INDEX(Evaporasi!$B$3:$B$14,MATCH(B364,Evaporasi!$A$3:$A$14,0))</f>
        <v>120</v>
      </c>
      <c r="F364" s="18" t="n">
        <f aca="false">Kawasan!$B$11*Kawasan!$B$9*C364/1000</f>
        <v>1447.68</v>
      </c>
      <c r="G364" s="18" t="n">
        <f aca="false">Kawasan!$B$28*D364</f>
        <v>1497.6</v>
      </c>
      <c r="H364" s="18" t="n">
        <f aca="false">E364*Desain_Kolam!$B$16/1000</f>
        <v>128.7</v>
      </c>
      <c r="I364" s="18" t="n">
        <f aca="false">F364-G364-H364</f>
        <v>-178.62</v>
      </c>
      <c r="J364" s="18" t="n">
        <f aca="false">J363+I364</f>
        <v>2244.58</v>
      </c>
      <c r="K364" s="18" t="n">
        <f aca="false">MAX(K363,J364)</f>
        <v>4531.54</v>
      </c>
      <c r="L364" s="18" t="n">
        <f aca="false">K364-J364</f>
        <v>2286.96</v>
      </c>
      <c r="M364" s="18" t="n">
        <f aca="false">MIN(Desain_Kolam!$B$21,MAX(0,M363+F364-H364-G364))</f>
        <v>2244.58</v>
      </c>
      <c r="N364" s="6" t="n">
        <f aca="false">IF(M363+F364-H364&gt;=G364,1,0)</f>
        <v>1</v>
      </c>
      <c r="O364" s="18" t="n">
        <f aca="false">E364*Desain_Kolam!$B$24/1000</f>
        <v>609.18</v>
      </c>
      <c r="P364" s="18" t="n">
        <f aca="false">F364-G364-O364</f>
        <v>-659.1</v>
      </c>
      <c r="Q364" s="18" t="n">
        <f aca="false">Q363+P364</f>
        <v>-2079.74</v>
      </c>
      <c r="R364" s="18" t="n">
        <f aca="false">MAX(R363,Q364)</f>
        <v>2129.14</v>
      </c>
      <c r="S364" s="18" t="n">
        <f aca="false">R364-Q364</f>
        <v>4208.88</v>
      </c>
      <c r="T364" s="18" t="n">
        <f aca="false">E364*Desain_Kolam!$B$34/1000</f>
        <v>1406.16</v>
      </c>
      <c r="U364" s="18" t="n">
        <f aca="false">F364-G364-T364</f>
        <v>-1456.08</v>
      </c>
      <c r="V364" s="18" t="n">
        <f aca="false">V363+U364</f>
        <v>-9252.56</v>
      </c>
      <c r="W364" s="18" t="n">
        <f aca="false">MAX(W363,V364)</f>
        <v>0</v>
      </c>
      <c r="X364" s="18" t="n">
        <f aca="false">W364-V364</f>
        <v>9252.56</v>
      </c>
    </row>
    <row r="365" customFormat="false" ht="15" hidden="false" customHeight="false" outlineLevel="0" collapsed="false">
      <c r="A365" s="6" t="n">
        <v>2012</v>
      </c>
      <c r="B365" s="6" t="n">
        <v>10</v>
      </c>
      <c r="C365" s="4" t="n">
        <v>436</v>
      </c>
      <c r="D365" s="6" t="n">
        <v>31</v>
      </c>
      <c r="E365" s="4" t="n">
        <f aca="false">INDEX(Evaporasi!$B$3:$B$14,MATCH(B365,Evaporasi!$A$3:$A$14,0))</f>
        <v>120</v>
      </c>
      <c r="F365" s="18" t="n">
        <f aca="false">Kawasan!$B$11*Kawasan!$B$9*C365/1000</f>
        <v>3627.52</v>
      </c>
      <c r="G365" s="18" t="n">
        <f aca="false">Kawasan!$B$28*D365</f>
        <v>1547.52</v>
      </c>
      <c r="H365" s="18" t="n">
        <f aca="false">E365*Desain_Kolam!$B$16/1000</f>
        <v>128.7</v>
      </c>
      <c r="I365" s="18" t="n">
        <f aca="false">F365-G365-H365</f>
        <v>1951.3</v>
      </c>
      <c r="J365" s="18" t="n">
        <f aca="false">J364+I365</f>
        <v>4195.88</v>
      </c>
      <c r="K365" s="18" t="n">
        <f aca="false">MAX(K364,J365)</f>
        <v>4531.54</v>
      </c>
      <c r="L365" s="18" t="n">
        <f aca="false">K365-J365</f>
        <v>335.66</v>
      </c>
      <c r="M365" s="18" t="n">
        <f aca="false">MIN(Desain_Kolam!$B$21,MAX(0,M364+F365-H365-G365))</f>
        <v>4195.88</v>
      </c>
      <c r="N365" s="6" t="n">
        <f aca="false">IF(M364+F365-H365&gt;=G365,1,0)</f>
        <v>1</v>
      </c>
      <c r="O365" s="18" t="n">
        <f aca="false">E365*Desain_Kolam!$B$24/1000</f>
        <v>609.18</v>
      </c>
      <c r="P365" s="18" t="n">
        <f aca="false">F365-G365-O365</f>
        <v>1470.82</v>
      </c>
      <c r="Q365" s="18" t="n">
        <f aca="false">Q364+P365</f>
        <v>-608.92</v>
      </c>
      <c r="R365" s="18" t="n">
        <f aca="false">MAX(R364,Q365)</f>
        <v>2129.14</v>
      </c>
      <c r="S365" s="18" t="n">
        <f aca="false">R365-Q365</f>
        <v>2738.06</v>
      </c>
      <c r="T365" s="18" t="n">
        <f aca="false">E365*Desain_Kolam!$B$34/1000</f>
        <v>1406.16</v>
      </c>
      <c r="U365" s="18" t="n">
        <f aca="false">F365-G365-T365</f>
        <v>673.84</v>
      </c>
      <c r="V365" s="18" t="n">
        <f aca="false">V364+U365</f>
        <v>-8578.72</v>
      </c>
      <c r="W365" s="18" t="n">
        <f aca="false">MAX(W364,V365)</f>
        <v>0</v>
      </c>
      <c r="X365" s="18" t="n">
        <f aca="false">W365-V365</f>
        <v>8578.72</v>
      </c>
    </row>
    <row r="366" customFormat="false" ht="15" hidden="false" customHeight="false" outlineLevel="0" collapsed="false">
      <c r="A366" s="6" t="n">
        <v>2012</v>
      </c>
      <c r="B366" s="6" t="n">
        <v>11</v>
      </c>
      <c r="C366" s="4" t="n">
        <v>323</v>
      </c>
      <c r="D366" s="6" t="n">
        <v>30</v>
      </c>
      <c r="E366" s="4" t="n">
        <f aca="false">INDEX(Evaporasi!$B$3:$B$14,MATCH(B366,Evaporasi!$A$3:$A$14,0))</f>
        <v>120</v>
      </c>
      <c r="F366" s="18" t="n">
        <f aca="false">Kawasan!$B$11*Kawasan!$B$9*C366/1000</f>
        <v>2687.36</v>
      </c>
      <c r="G366" s="18" t="n">
        <f aca="false">Kawasan!$B$28*D366</f>
        <v>1497.6</v>
      </c>
      <c r="H366" s="18" t="n">
        <f aca="false">E366*Desain_Kolam!$B$16/1000</f>
        <v>128.7</v>
      </c>
      <c r="I366" s="18" t="n">
        <f aca="false">F366-G366-H366</f>
        <v>1061.06</v>
      </c>
      <c r="J366" s="18" t="n">
        <f aca="false">J365+I366</f>
        <v>5256.94</v>
      </c>
      <c r="K366" s="18" t="n">
        <f aca="false">MAX(K365,J366)</f>
        <v>5256.94</v>
      </c>
      <c r="L366" s="18" t="n">
        <f aca="false">K366-J366</f>
        <v>0</v>
      </c>
      <c r="M366" s="18" t="n">
        <f aca="false">MIN(Desain_Kolam!$B$21,MAX(0,M365+F366-H366-G366))</f>
        <v>5256.94</v>
      </c>
      <c r="N366" s="6" t="n">
        <f aca="false">IF(M365+F366-H366&gt;=G366,1,0)</f>
        <v>1</v>
      </c>
      <c r="O366" s="18" t="n">
        <f aca="false">E366*Desain_Kolam!$B$24/1000</f>
        <v>609.18</v>
      </c>
      <c r="P366" s="18" t="n">
        <f aca="false">F366-G366-O366</f>
        <v>580.58</v>
      </c>
      <c r="Q366" s="18" t="n">
        <f aca="false">Q365+P366</f>
        <v>-28.3399999999996</v>
      </c>
      <c r="R366" s="18" t="n">
        <f aca="false">MAX(R365,Q366)</f>
        <v>2129.14</v>
      </c>
      <c r="S366" s="18" t="n">
        <f aca="false">R366-Q366</f>
        <v>2157.48</v>
      </c>
      <c r="T366" s="18" t="n">
        <f aca="false">E366*Desain_Kolam!$B$34/1000</f>
        <v>1406.16</v>
      </c>
      <c r="U366" s="18" t="n">
        <f aca="false">F366-G366-T366</f>
        <v>-216.4</v>
      </c>
      <c r="V366" s="18" t="n">
        <f aca="false">V365+U366</f>
        <v>-8795.12</v>
      </c>
      <c r="W366" s="18" t="n">
        <f aca="false">MAX(W365,V366)</f>
        <v>0</v>
      </c>
      <c r="X366" s="18" t="n">
        <f aca="false">W366-V366</f>
        <v>8795.12</v>
      </c>
    </row>
    <row r="367" customFormat="false" ht="15" hidden="false" customHeight="false" outlineLevel="0" collapsed="false">
      <c r="A367" s="6" t="n">
        <v>2012</v>
      </c>
      <c r="B367" s="6" t="n">
        <v>12</v>
      </c>
      <c r="C367" s="4" t="n">
        <v>297</v>
      </c>
      <c r="D367" s="6" t="n">
        <v>31</v>
      </c>
      <c r="E367" s="4" t="n">
        <f aca="false">INDEX(Evaporasi!$B$3:$B$14,MATCH(B367,Evaporasi!$A$3:$A$14,0))</f>
        <v>120</v>
      </c>
      <c r="F367" s="18" t="n">
        <f aca="false">Kawasan!$B$11*Kawasan!$B$9*C367/1000</f>
        <v>2471.04</v>
      </c>
      <c r="G367" s="18" t="n">
        <f aca="false">Kawasan!$B$28*D367</f>
        <v>1547.52</v>
      </c>
      <c r="H367" s="18" t="n">
        <f aca="false">E367*Desain_Kolam!$B$16/1000</f>
        <v>128.7</v>
      </c>
      <c r="I367" s="18" t="n">
        <f aca="false">F367-G367-H367</f>
        <v>794.82</v>
      </c>
      <c r="J367" s="18" t="n">
        <f aca="false">J366+I367</f>
        <v>6051.76</v>
      </c>
      <c r="K367" s="18" t="n">
        <f aca="false">MAX(K366,J367)</f>
        <v>6051.76</v>
      </c>
      <c r="L367" s="18" t="n">
        <f aca="false">K367-J367</f>
        <v>0</v>
      </c>
      <c r="M367" s="18" t="n">
        <f aca="false">MIN(Desain_Kolam!$B$21,MAX(0,M366+F367-H367-G367))</f>
        <v>6051.76</v>
      </c>
      <c r="N367" s="6" t="n">
        <f aca="false">IF(M366+F367-H367&gt;=G367,1,0)</f>
        <v>1</v>
      </c>
      <c r="O367" s="18" t="n">
        <f aca="false">E367*Desain_Kolam!$B$24/1000</f>
        <v>609.18</v>
      </c>
      <c r="P367" s="18" t="n">
        <f aca="false">F367-G367-O367</f>
        <v>314.34</v>
      </c>
      <c r="Q367" s="18" t="n">
        <f aca="false">Q366+P367</f>
        <v>286</v>
      </c>
      <c r="R367" s="18" t="n">
        <f aca="false">MAX(R366,Q367)</f>
        <v>2129.14</v>
      </c>
      <c r="S367" s="18" t="n">
        <f aca="false">R367-Q367</f>
        <v>1843.14</v>
      </c>
      <c r="T367" s="18" t="n">
        <f aca="false">E367*Desain_Kolam!$B$34/1000</f>
        <v>1406.16</v>
      </c>
      <c r="U367" s="18" t="n">
        <f aca="false">F367-G367-T367</f>
        <v>-482.64</v>
      </c>
      <c r="V367" s="18" t="n">
        <f aca="false">V366+U367</f>
        <v>-9277.76</v>
      </c>
      <c r="W367" s="18" t="n">
        <f aca="false">MAX(W366,V367)</f>
        <v>0</v>
      </c>
      <c r="X367" s="18" t="n">
        <f aca="false">W367-V367</f>
        <v>9277.76</v>
      </c>
    </row>
    <row r="368" customFormat="false" ht="15" hidden="false" customHeight="false" outlineLevel="0" collapsed="false">
      <c r="A368" s="6" t="n">
        <v>2013</v>
      </c>
      <c r="B368" s="6" t="n">
        <v>1</v>
      </c>
      <c r="C368" s="4" t="n">
        <v>141</v>
      </c>
      <c r="D368" s="6" t="n">
        <v>31</v>
      </c>
      <c r="E368" s="4" t="n">
        <f aca="false">INDEX(Evaporasi!$B$3:$B$14,MATCH(B368,Evaporasi!$A$3:$A$14,0))</f>
        <v>120</v>
      </c>
      <c r="F368" s="18" t="n">
        <f aca="false">Kawasan!$B$11*Kawasan!$B$9*C368/1000</f>
        <v>1173.12</v>
      </c>
      <c r="G368" s="18" t="n">
        <f aca="false">Kawasan!$B$28*D368</f>
        <v>1547.52</v>
      </c>
      <c r="H368" s="18" t="n">
        <f aca="false">E368*Desain_Kolam!$B$16/1000</f>
        <v>128.7</v>
      </c>
      <c r="I368" s="18" t="n">
        <f aca="false">F368-G368-H368</f>
        <v>-503.1</v>
      </c>
      <c r="J368" s="18" t="n">
        <f aca="false">J367+I368</f>
        <v>5548.66</v>
      </c>
      <c r="K368" s="18" t="n">
        <f aca="false">MAX(K367,J368)</f>
        <v>6051.76</v>
      </c>
      <c r="L368" s="18" t="n">
        <f aca="false">K368-J368</f>
        <v>503.1</v>
      </c>
      <c r="M368" s="18" t="n">
        <f aca="false">MIN(Desain_Kolam!$B$21,MAX(0,M367+F368-H368-G368))</f>
        <v>5548.66</v>
      </c>
      <c r="N368" s="6" t="n">
        <f aca="false">IF(M367+F368-H368&gt;=G368,1,0)</f>
        <v>1</v>
      </c>
      <c r="O368" s="18" t="n">
        <f aca="false">E368*Desain_Kolam!$B$24/1000</f>
        <v>609.18</v>
      </c>
      <c r="P368" s="18" t="n">
        <f aca="false">F368-G368-O368</f>
        <v>-983.58</v>
      </c>
      <c r="Q368" s="18" t="n">
        <f aca="false">Q367+P368</f>
        <v>-697.58</v>
      </c>
      <c r="R368" s="18" t="n">
        <f aca="false">MAX(R367,Q368)</f>
        <v>2129.14</v>
      </c>
      <c r="S368" s="18" t="n">
        <f aca="false">R368-Q368</f>
        <v>2826.72</v>
      </c>
      <c r="T368" s="18" t="n">
        <f aca="false">E368*Desain_Kolam!$B$34/1000</f>
        <v>1406.16</v>
      </c>
      <c r="U368" s="18" t="n">
        <f aca="false">F368-G368-T368</f>
        <v>-1780.56</v>
      </c>
      <c r="V368" s="18" t="n">
        <f aca="false">V367+U368</f>
        <v>-11058.32</v>
      </c>
      <c r="W368" s="18" t="n">
        <f aca="false">MAX(W367,V368)</f>
        <v>0</v>
      </c>
      <c r="X368" s="18" t="n">
        <f aca="false">W368-V368</f>
        <v>11058.32</v>
      </c>
    </row>
    <row r="369" customFormat="false" ht="15" hidden="false" customHeight="false" outlineLevel="0" collapsed="false">
      <c r="A369" s="6" t="n">
        <v>2013</v>
      </c>
      <c r="B369" s="6" t="n">
        <v>2</v>
      </c>
      <c r="C369" s="4" t="n">
        <v>291</v>
      </c>
      <c r="D369" s="6" t="n">
        <v>28</v>
      </c>
      <c r="E369" s="4" t="n">
        <f aca="false">INDEX(Evaporasi!$B$3:$B$14,MATCH(B369,Evaporasi!$A$3:$A$14,0))</f>
        <v>120</v>
      </c>
      <c r="F369" s="18" t="n">
        <f aca="false">Kawasan!$B$11*Kawasan!$B$9*C369/1000</f>
        <v>2421.12</v>
      </c>
      <c r="G369" s="18" t="n">
        <f aca="false">Kawasan!$B$28*D369</f>
        <v>1397.76</v>
      </c>
      <c r="H369" s="18" t="n">
        <f aca="false">E369*Desain_Kolam!$B$16/1000</f>
        <v>128.7</v>
      </c>
      <c r="I369" s="18" t="n">
        <f aca="false">F369-G369-H369</f>
        <v>894.66</v>
      </c>
      <c r="J369" s="18" t="n">
        <f aca="false">J368+I369</f>
        <v>6443.32</v>
      </c>
      <c r="K369" s="18" t="n">
        <f aca="false">MAX(K368,J369)</f>
        <v>6443.32</v>
      </c>
      <c r="L369" s="18" t="n">
        <f aca="false">K369-J369</f>
        <v>0</v>
      </c>
      <c r="M369" s="18" t="n">
        <f aca="false">MIN(Desain_Kolam!$B$21,MAX(0,M368+F369-H369-G369))</f>
        <v>6443.32</v>
      </c>
      <c r="N369" s="6" t="n">
        <f aca="false">IF(M368+F369-H369&gt;=G369,1,0)</f>
        <v>1</v>
      </c>
      <c r="O369" s="18" t="n">
        <f aca="false">E369*Desain_Kolam!$B$24/1000</f>
        <v>609.18</v>
      </c>
      <c r="P369" s="18" t="n">
        <f aca="false">F369-G369-O369</f>
        <v>414.18</v>
      </c>
      <c r="Q369" s="18" t="n">
        <f aca="false">Q368+P369</f>
        <v>-283.4</v>
      </c>
      <c r="R369" s="18" t="n">
        <f aca="false">MAX(R368,Q369)</f>
        <v>2129.14</v>
      </c>
      <c r="S369" s="18" t="n">
        <f aca="false">R369-Q369</f>
        <v>2412.54</v>
      </c>
      <c r="T369" s="18" t="n">
        <f aca="false">E369*Desain_Kolam!$B$34/1000</f>
        <v>1406.16</v>
      </c>
      <c r="U369" s="18" t="n">
        <f aca="false">F369-G369-T369</f>
        <v>-382.8</v>
      </c>
      <c r="V369" s="18" t="n">
        <f aca="false">V368+U369</f>
        <v>-11441.12</v>
      </c>
      <c r="W369" s="18" t="n">
        <f aca="false">MAX(W368,V369)</f>
        <v>0</v>
      </c>
      <c r="X369" s="18" t="n">
        <f aca="false">W369-V369</f>
        <v>11441.12</v>
      </c>
    </row>
    <row r="370" customFormat="false" ht="15" hidden="false" customHeight="false" outlineLevel="0" collapsed="false">
      <c r="A370" s="6" t="n">
        <v>2013</v>
      </c>
      <c r="B370" s="6" t="n">
        <v>3</v>
      </c>
      <c r="C370" s="4" t="n">
        <v>152</v>
      </c>
      <c r="D370" s="6" t="n">
        <v>31</v>
      </c>
      <c r="E370" s="4" t="n">
        <f aca="false">INDEX(Evaporasi!$B$3:$B$14,MATCH(B370,Evaporasi!$A$3:$A$14,0))</f>
        <v>120</v>
      </c>
      <c r="F370" s="18" t="n">
        <f aca="false">Kawasan!$B$11*Kawasan!$B$9*C370/1000</f>
        <v>1264.64</v>
      </c>
      <c r="G370" s="18" t="n">
        <f aca="false">Kawasan!$B$28*D370</f>
        <v>1547.52</v>
      </c>
      <c r="H370" s="18" t="n">
        <f aca="false">E370*Desain_Kolam!$B$16/1000</f>
        <v>128.7</v>
      </c>
      <c r="I370" s="18" t="n">
        <f aca="false">F370-G370-H370</f>
        <v>-411.58</v>
      </c>
      <c r="J370" s="18" t="n">
        <f aca="false">J369+I370</f>
        <v>6031.74</v>
      </c>
      <c r="K370" s="18" t="n">
        <f aca="false">MAX(K369,J370)</f>
        <v>6443.32</v>
      </c>
      <c r="L370" s="18" t="n">
        <f aca="false">K370-J370</f>
        <v>411.58</v>
      </c>
      <c r="M370" s="18" t="n">
        <f aca="false">MIN(Desain_Kolam!$B$21,MAX(0,M369+F370-H370-G370))</f>
        <v>6031.74</v>
      </c>
      <c r="N370" s="6" t="n">
        <f aca="false">IF(M369+F370-H370&gt;=G370,1,0)</f>
        <v>1</v>
      </c>
      <c r="O370" s="18" t="n">
        <f aca="false">E370*Desain_Kolam!$B$24/1000</f>
        <v>609.18</v>
      </c>
      <c r="P370" s="18" t="n">
        <f aca="false">F370-G370-O370</f>
        <v>-892.06</v>
      </c>
      <c r="Q370" s="18" t="n">
        <f aca="false">Q369+P370</f>
        <v>-1175.46</v>
      </c>
      <c r="R370" s="18" t="n">
        <f aca="false">MAX(R369,Q370)</f>
        <v>2129.14</v>
      </c>
      <c r="S370" s="18" t="n">
        <f aca="false">R370-Q370</f>
        <v>3304.6</v>
      </c>
      <c r="T370" s="18" t="n">
        <f aca="false">E370*Desain_Kolam!$B$34/1000</f>
        <v>1406.16</v>
      </c>
      <c r="U370" s="18" t="n">
        <f aca="false">F370-G370-T370</f>
        <v>-1689.04</v>
      </c>
      <c r="V370" s="18" t="n">
        <f aca="false">V369+U370</f>
        <v>-13130.16</v>
      </c>
      <c r="W370" s="18" t="n">
        <f aca="false">MAX(W369,V370)</f>
        <v>0</v>
      </c>
      <c r="X370" s="18" t="n">
        <f aca="false">W370-V370</f>
        <v>13130.16</v>
      </c>
    </row>
    <row r="371" customFormat="false" ht="15" hidden="false" customHeight="false" outlineLevel="0" collapsed="false">
      <c r="A371" s="6" t="n">
        <v>2013</v>
      </c>
      <c r="B371" s="6" t="n">
        <v>4</v>
      </c>
      <c r="C371" s="4" t="n">
        <v>435</v>
      </c>
      <c r="D371" s="6" t="n">
        <v>30</v>
      </c>
      <c r="E371" s="4" t="n">
        <f aca="false">INDEX(Evaporasi!$B$3:$B$14,MATCH(B371,Evaporasi!$A$3:$A$14,0))</f>
        <v>120</v>
      </c>
      <c r="F371" s="18" t="n">
        <f aca="false">Kawasan!$B$11*Kawasan!$B$9*C371/1000</f>
        <v>3619.2</v>
      </c>
      <c r="G371" s="18" t="n">
        <f aca="false">Kawasan!$B$28*D371</f>
        <v>1497.6</v>
      </c>
      <c r="H371" s="18" t="n">
        <f aca="false">E371*Desain_Kolam!$B$16/1000</f>
        <v>128.7</v>
      </c>
      <c r="I371" s="18" t="n">
        <f aca="false">F371-G371-H371</f>
        <v>1992.9</v>
      </c>
      <c r="J371" s="18" t="n">
        <f aca="false">J370+I371</f>
        <v>8024.64</v>
      </c>
      <c r="K371" s="18" t="n">
        <f aca="false">MAX(K370,J371)</f>
        <v>8024.64</v>
      </c>
      <c r="L371" s="18" t="n">
        <f aca="false">K371-J371</f>
        <v>0</v>
      </c>
      <c r="M371" s="18" t="n">
        <f aca="false">MIN(Desain_Kolam!$B$21,MAX(0,M370+F371-H371-G371))</f>
        <v>8024.64</v>
      </c>
      <c r="N371" s="6" t="n">
        <f aca="false">IF(M370+F371-H371&gt;=G371,1,0)</f>
        <v>1</v>
      </c>
      <c r="O371" s="18" t="n">
        <f aca="false">E371*Desain_Kolam!$B$24/1000</f>
        <v>609.18</v>
      </c>
      <c r="P371" s="18" t="n">
        <f aca="false">F371-G371-O371</f>
        <v>1512.42</v>
      </c>
      <c r="Q371" s="18" t="n">
        <f aca="false">Q370+P371</f>
        <v>336.96</v>
      </c>
      <c r="R371" s="18" t="n">
        <f aca="false">MAX(R370,Q371)</f>
        <v>2129.14</v>
      </c>
      <c r="S371" s="18" t="n">
        <f aca="false">R371-Q371</f>
        <v>1792.18</v>
      </c>
      <c r="T371" s="18" t="n">
        <f aca="false">E371*Desain_Kolam!$B$34/1000</f>
        <v>1406.16</v>
      </c>
      <c r="U371" s="18" t="n">
        <f aca="false">F371-G371-T371</f>
        <v>715.439999999999</v>
      </c>
      <c r="V371" s="18" t="n">
        <f aca="false">V370+U371</f>
        <v>-12414.72</v>
      </c>
      <c r="W371" s="18" t="n">
        <f aca="false">MAX(W370,V371)</f>
        <v>0</v>
      </c>
      <c r="X371" s="18" t="n">
        <f aca="false">W371-V371</f>
        <v>12414.72</v>
      </c>
    </row>
    <row r="372" customFormat="false" ht="15" hidden="false" customHeight="false" outlineLevel="0" collapsed="false">
      <c r="A372" s="6" t="n">
        <v>2013</v>
      </c>
      <c r="B372" s="6" t="n">
        <v>5</v>
      </c>
      <c r="C372" s="4" t="n">
        <v>358</v>
      </c>
      <c r="D372" s="6" t="n">
        <v>31</v>
      </c>
      <c r="E372" s="4" t="n">
        <f aca="false">INDEX(Evaporasi!$B$3:$B$14,MATCH(B372,Evaporasi!$A$3:$A$14,0))</f>
        <v>120</v>
      </c>
      <c r="F372" s="18" t="n">
        <f aca="false">Kawasan!$B$11*Kawasan!$B$9*C372/1000</f>
        <v>2978.56</v>
      </c>
      <c r="G372" s="18" t="n">
        <f aca="false">Kawasan!$B$28*D372</f>
        <v>1547.52</v>
      </c>
      <c r="H372" s="18" t="n">
        <f aca="false">E372*Desain_Kolam!$B$16/1000</f>
        <v>128.7</v>
      </c>
      <c r="I372" s="18" t="n">
        <f aca="false">F372-G372-H372</f>
        <v>1302.34</v>
      </c>
      <c r="J372" s="18" t="n">
        <f aca="false">J371+I372</f>
        <v>9326.98</v>
      </c>
      <c r="K372" s="18" t="n">
        <f aca="false">MAX(K371,J372)</f>
        <v>9326.98</v>
      </c>
      <c r="L372" s="18" t="n">
        <f aca="false">K372-J372</f>
        <v>0</v>
      </c>
      <c r="M372" s="18" t="n">
        <f aca="false">MIN(Desain_Kolam!$B$21,MAX(0,M371+F372-H372-G372))</f>
        <v>9326.98</v>
      </c>
      <c r="N372" s="6" t="n">
        <f aca="false">IF(M371+F372-H372&gt;=G372,1,0)</f>
        <v>1</v>
      </c>
      <c r="O372" s="18" t="n">
        <f aca="false">E372*Desain_Kolam!$B$24/1000</f>
        <v>609.18</v>
      </c>
      <c r="P372" s="18" t="n">
        <f aca="false">F372-G372-O372</f>
        <v>821.86</v>
      </c>
      <c r="Q372" s="18" t="n">
        <f aca="false">Q371+P372</f>
        <v>1158.82</v>
      </c>
      <c r="R372" s="18" t="n">
        <f aca="false">MAX(R371,Q372)</f>
        <v>2129.14</v>
      </c>
      <c r="S372" s="18" t="n">
        <f aca="false">R372-Q372</f>
        <v>970.32</v>
      </c>
      <c r="T372" s="18" t="n">
        <f aca="false">E372*Desain_Kolam!$B$34/1000</f>
        <v>1406.16</v>
      </c>
      <c r="U372" s="18" t="n">
        <f aca="false">F372-G372-T372</f>
        <v>24.8799999999999</v>
      </c>
      <c r="V372" s="18" t="n">
        <f aca="false">V371+U372</f>
        <v>-12389.84</v>
      </c>
      <c r="W372" s="18" t="n">
        <f aca="false">MAX(W371,V372)</f>
        <v>0</v>
      </c>
      <c r="X372" s="18" t="n">
        <f aca="false">W372-V372</f>
        <v>12389.84</v>
      </c>
    </row>
    <row r="373" customFormat="false" ht="15" hidden="false" customHeight="false" outlineLevel="0" collapsed="false">
      <c r="A373" s="6" t="n">
        <v>2013</v>
      </c>
      <c r="B373" s="6" t="n">
        <v>6</v>
      </c>
      <c r="C373" s="4" t="n">
        <v>212</v>
      </c>
      <c r="D373" s="6" t="n">
        <v>30</v>
      </c>
      <c r="E373" s="4" t="n">
        <f aca="false">INDEX(Evaporasi!$B$3:$B$14,MATCH(B373,Evaporasi!$A$3:$A$14,0))</f>
        <v>120</v>
      </c>
      <c r="F373" s="18" t="n">
        <f aca="false">Kawasan!$B$11*Kawasan!$B$9*C373/1000</f>
        <v>1763.84</v>
      </c>
      <c r="G373" s="18" t="n">
        <f aca="false">Kawasan!$B$28*D373</f>
        <v>1497.6</v>
      </c>
      <c r="H373" s="18" t="n">
        <f aca="false">E373*Desain_Kolam!$B$16/1000</f>
        <v>128.7</v>
      </c>
      <c r="I373" s="18" t="n">
        <f aca="false">F373-G373-H373</f>
        <v>137.54</v>
      </c>
      <c r="J373" s="18" t="n">
        <f aca="false">J372+I373</f>
        <v>9464.52</v>
      </c>
      <c r="K373" s="18" t="n">
        <f aca="false">MAX(K372,J373)</f>
        <v>9464.52</v>
      </c>
      <c r="L373" s="18" t="n">
        <f aca="false">K373-J373</f>
        <v>0</v>
      </c>
      <c r="M373" s="18" t="n">
        <f aca="false">MIN(Desain_Kolam!$B$21,MAX(0,M372+F373-H373-G373))</f>
        <v>9464.52</v>
      </c>
      <c r="N373" s="6" t="n">
        <f aca="false">IF(M372+F373-H373&gt;=G373,1,0)</f>
        <v>1</v>
      </c>
      <c r="O373" s="18" t="n">
        <f aca="false">E373*Desain_Kolam!$B$24/1000</f>
        <v>609.18</v>
      </c>
      <c r="P373" s="18" t="n">
        <f aca="false">F373-G373-O373</f>
        <v>-342.94</v>
      </c>
      <c r="Q373" s="18" t="n">
        <f aca="false">Q372+P373</f>
        <v>815.88</v>
      </c>
      <c r="R373" s="18" t="n">
        <f aca="false">MAX(R372,Q373)</f>
        <v>2129.14</v>
      </c>
      <c r="S373" s="18" t="n">
        <f aca="false">R373-Q373</f>
        <v>1313.26</v>
      </c>
      <c r="T373" s="18" t="n">
        <f aca="false">E373*Desain_Kolam!$B$34/1000</f>
        <v>1406.16</v>
      </c>
      <c r="U373" s="18" t="n">
        <f aca="false">F373-G373-T373</f>
        <v>-1139.92</v>
      </c>
      <c r="V373" s="18" t="n">
        <f aca="false">V372+U373</f>
        <v>-13529.76</v>
      </c>
      <c r="W373" s="18" t="n">
        <f aca="false">MAX(W372,V373)</f>
        <v>0</v>
      </c>
      <c r="X373" s="18" t="n">
        <f aca="false">W373-V373</f>
        <v>13529.76</v>
      </c>
    </row>
    <row r="374" customFormat="false" ht="15" hidden="false" customHeight="false" outlineLevel="0" collapsed="false">
      <c r="A374" s="6" t="n">
        <v>2013</v>
      </c>
      <c r="B374" s="6" t="n">
        <v>7</v>
      </c>
      <c r="C374" s="4" t="n">
        <v>320</v>
      </c>
      <c r="D374" s="6" t="n">
        <v>31</v>
      </c>
      <c r="E374" s="4" t="n">
        <f aca="false">INDEX(Evaporasi!$B$3:$B$14,MATCH(B374,Evaporasi!$A$3:$A$14,0))</f>
        <v>120</v>
      </c>
      <c r="F374" s="18" t="n">
        <f aca="false">Kawasan!$B$11*Kawasan!$B$9*C374/1000</f>
        <v>2662.4</v>
      </c>
      <c r="G374" s="18" t="n">
        <f aca="false">Kawasan!$B$28*D374</f>
        <v>1547.52</v>
      </c>
      <c r="H374" s="18" t="n">
        <f aca="false">E374*Desain_Kolam!$B$16/1000</f>
        <v>128.7</v>
      </c>
      <c r="I374" s="18" t="n">
        <f aca="false">F374-G374-H374</f>
        <v>986.18</v>
      </c>
      <c r="J374" s="18" t="n">
        <f aca="false">J373+I374</f>
        <v>10450.7</v>
      </c>
      <c r="K374" s="18" t="n">
        <f aca="false">MAX(K373,J374)</f>
        <v>10450.7</v>
      </c>
      <c r="L374" s="18" t="n">
        <f aca="false">K374-J374</f>
        <v>0</v>
      </c>
      <c r="M374" s="18" t="n">
        <f aca="false">MIN(Desain_Kolam!$B$21,MAX(0,M373+F374-H374-G374))</f>
        <v>10450.7</v>
      </c>
      <c r="N374" s="6" t="n">
        <f aca="false">IF(M373+F374-H374&gt;=G374,1,0)</f>
        <v>1</v>
      </c>
      <c r="O374" s="18" t="n">
        <f aca="false">E374*Desain_Kolam!$B$24/1000</f>
        <v>609.18</v>
      </c>
      <c r="P374" s="18" t="n">
        <f aca="false">F374-G374-O374</f>
        <v>505.7</v>
      </c>
      <c r="Q374" s="18" t="n">
        <f aca="false">Q373+P374</f>
        <v>1321.58</v>
      </c>
      <c r="R374" s="18" t="n">
        <f aca="false">MAX(R373,Q374)</f>
        <v>2129.14</v>
      </c>
      <c r="S374" s="18" t="n">
        <f aca="false">R374-Q374</f>
        <v>807.56</v>
      </c>
      <c r="T374" s="18" t="n">
        <f aca="false">E374*Desain_Kolam!$B$34/1000</f>
        <v>1406.16</v>
      </c>
      <c r="U374" s="18" t="n">
        <f aca="false">F374-G374-T374</f>
        <v>-291.28</v>
      </c>
      <c r="V374" s="18" t="n">
        <f aca="false">V373+U374</f>
        <v>-13821.04</v>
      </c>
      <c r="W374" s="18" t="n">
        <f aca="false">MAX(W373,V374)</f>
        <v>0</v>
      </c>
      <c r="X374" s="18" t="n">
        <f aca="false">W374-V374</f>
        <v>13821.04</v>
      </c>
    </row>
    <row r="375" customFormat="false" ht="15" hidden="false" customHeight="false" outlineLevel="0" collapsed="false">
      <c r="A375" s="6" t="n">
        <v>2013</v>
      </c>
      <c r="B375" s="6" t="n">
        <v>8</v>
      </c>
      <c r="C375" s="4" t="n">
        <v>167</v>
      </c>
      <c r="D375" s="6" t="n">
        <v>31</v>
      </c>
      <c r="E375" s="4" t="n">
        <f aca="false">INDEX(Evaporasi!$B$3:$B$14,MATCH(B375,Evaporasi!$A$3:$A$14,0))</f>
        <v>120</v>
      </c>
      <c r="F375" s="18" t="n">
        <f aca="false">Kawasan!$B$11*Kawasan!$B$9*C375/1000</f>
        <v>1389.44</v>
      </c>
      <c r="G375" s="18" t="n">
        <f aca="false">Kawasan!$B$28*D375</f>
        <v>1547.52</v>
      </c>
      <c r="H375" s="18" t="n">
        <f aca="false">E375*Desain_Kolam!$B$16/1000</f>
        <v>128.7</v>
      </c>
      <c r="I375" s="18" t="n">
        <f aca="false">F375-G375-H375</f>
        <v>-286.78</v>
      </c>
      <c r="J375" s="18" t="n">
        <f aca="false">J374+I375</f>
        <v>10163.92</v>
      </c>
      <c r="K375" s="18" t="n">
        <f aca="false">MAX(K374,J375)</f>
        <v>10450.7</v>
      </c>
      <c r="L375" s="18" t="n">
        <f aca="false">K375-J375</f>
        <v>286.780000000001</v>
      </c>
      <c r="M375" s="18" t="n">
        <f aca="false">MIN(Desain_Kolam!$B$21,MAX(0,M374+F375-H375-G375))</f>
        <v>10163.92</v>
      </c>
      <c r="N375" s="6" t="n">
        <f aca="false">IF(M374+F375-H375&gt;=G375,1,0)</f>
        <v>1</v>
      </c>
      <c r="O375" s="18" t="n">
        <f aca="false">E375*Desain_Kolam!$B$24/1000</f>
        <v>609.18</v>
      </c>
      <c r="P375" s="18" t="n">
        <f aca="false">F375-G375-O375</f>
        <v>-767.26</v>
      </c>
      <c r="Q375" s="18" t="n">
        <f aca="false">Q374+P375</f>
        <v>554.32</v>
      </c>
      <c r="R375" s="18" t="n">
        <f aca="false">MAX(R374,Q375)</f>
        <v>2129.14</v>
      </c>
      <c r="S375" s="18" t="n">
        <f aca="false">R375-Q375</f>
        <v>1574.82</v>
      </c>
      <c r="T375" s="18" t="n">
        <f aca="false">E375*Desain_Kolam!$B$34/1000</f>
        <v>1406.16</v>
      </c>
      <c r="U375" s="18" t="n">
        <f aca="false">F375-G375-T375</f>
        <v>-1564.24</v>
      </c>
      <c r="V375" s="18" t="n">
        <f aca="false">V374+U375</f>
        <v>-15385.28</v>
      </c>
      <c r="W375" s="18" t="n">
        <f aca="false">MAX(W374,V375)</f>
        <v>0</v>
      </c>
      <c r="X375" s="18" t="n">
        <f aca="false">W375-V375</f>
        <v>15385.28</v>
      </c>
    </row>
    <row r="376" customFormat="false" ht="15" hidden="false" customHeight="false" outlineLevel="0" collapsed="false">
      <c r="A376" s="6" t="n">
        <v>2013</v>
      </c>
      <c r="B376" s="6" t="n">
        <v>9</v>
      </c>
      <c r="C376" s="4" t="n">
        <v>129</v>
      </c>
      <c r="D376" s="6" t="n">
        <v>30</v>
      </c>
      <c r="E376" s="4" t="n">
        <f aca="false">INDEX(Evaporasi!$B$3:$B$14,MATCH(B376,Evaporasi!$A$3:$A$14,0))</f>
        <v>120</v>
      </c>
      <c r="F376" s="18" t="n">
        <f aca="false">Kawasan!$B$11*Kawasan!$B$9*C376/1000</f>
        <v>1073.28</v>
      </c>
      <c r="G376" s="18" t="n">
        <f aca="false">Kawasan!$B$28*D376</f>
        <v>1497.6</v>
      </c>
      <c r="H376" s="18" t="n">
        <f aca="false">E376*Desain_Kolam!$B$16/1000</f>
        <v>128.7</v>
      </c>
      <c r="I376" s="18" t="n">
        <f aca="false">F376-G376-H376</f>
        <v>-553.02</v>
      </c>
      <c r="J376" s="18" t="n">
        <f aca="false">J375+I376</f>
        <v>9610.9</v>
      </c>
      <c r="K376" s="18" t="n">
        <f aca="false">MAX(K375,J376)</f>
        <v>10450.7</v>
      </c>
      <c r="L376" s="18" t="n">
        <f aca="false">K376-J376</f>
        <v>839.800000000001</v>
      </c>
      <c r="M376" s="18" t="n">
        <f aca="false">MIN(Desain_Kolam!$B$21,MAX(0,M375+F376-H376-G376))</f>
        <v>9610.89999999999</v>
      </c>
      <c r="N376" s="6" t="n">
        <f aca="false">IF(M375+F376-H376&gt;=G376,1,0)</f>
        <v>1</v>
      </c>
      <c r="O376" s="18" t="n">
        <f aca="false">E376*Desain_Kolam!$B$24/1000</f>
        <v>609.18</v>
      </c>
      <c r="P376" s="18" t="n">
        <f aca="false">F376-G376-O376</f>
        <v>-1033.5</v>
      </c>
      <c r="Q376" s="18" t="n">
        <f aca="false">Q375+P376</f>
        <v>-479.18</v>
      </c>
      <c r="R376" s="18" t="n">
        <f aca="false">MAX(R375,Q376)</f>
        <v>2129.14</v>
      </c>
      <c r="S376" s="18" t="n">
        <f aca="false">R376-Q376</f>
        <v>2608.32</v>
      </c>
      <c r="T376" s="18" t="n">
        <f aca="false">E376*Desain_Kolam!$B$34/1000</f>
        <v>1406.16</v>
      </c>
      <c r="U376" s="18" t="n">
        <f aca="false">F376-G376-T376</f>
        <v>-1830.48</v>
      </c>
      <c r="V376" s="18" t="n">
        <f aca="false">V375+U376</f>
        <v>-17215.76</v>
      </c>
      <c r="W376" s="18" t="n">
        <f aca="false">MAX(W375,V376)</f>
        <v>0</v>
      </c>
      <c r="X376" s="18" t="n">
        <f aca="false">W376-V376</f>
        <v>17215.76</v>
      </c>
    </row>
    <row r="377" customFormat="false" ht="15" hidden="false" customHeight="false" outlineLevel="0" collapsed="false">
      <c r="A377" s="6" t="n">
        <v>2013</v>
      </c>
      <c r="B377" s="6" t="n">
        <v>10</v>
      </c>
      <c r="C377" s="4" t="n">
        <v>151</v>
      </c>
      <c r="D377" s="6" t="n">
        <v>31</v>
      </c>
      <c r="E377" s="4" t="n">
        <f aca="false">INDEX(Evaporasi!$B$3:$B$14,MATCH(B377,Evaporasi!$A$3:$A$14,0))</f>
        <v>120</v>
      </c>
      <c r="F377" s="18" t="n">
        <f aca="false">Kawasan!$B$11*Kawasan!$B$9*C377/1000</f>
        <v>1256.32</v>
      </c>
      <c r="G377" s="18" t="n">
        <f aca="false">Kawasan!$B$28*D377</f>
        <v>1547.52</v>
      </c>
      <c r="H377" s="18" t="n">
        <f aca="false">E377*Desain_Kolam!$B$16/1000</f>
        <v>128.7</v>
      </c>
      <c r="I377" s="18" t="n">
        <f aca="false">F377-G377-H377</f>
        <v>-419.9</v>
      </c>
      <c r="J377" s="18" t="n">
        <f aca="false">J376+I377</f>
        <v>9191</v>
      </c>
      <c r="K377" s="18" t="n">
        <f aca="false">MAX(K376,J377)</f>
        <v>10450.7</v>
      </c>
      <c r="L377" s="18" t="n">
        <f aca="false">K377-J377</f>
        <v>1259.7</v>
      </c>
      <c r="M377" s="18" t="n">
        <f aca="false">MIN(Desain_Kolam!$B$21,MAX(0,M376+F377-H377-G377))</f>
        <v>9190.99999999999</v>
      </c>
      <c r="N377" s="6" t="n">
        <f aca="false">IF(M376+F377-H377&gt;=G377,1,0)</f>
        <v>1</v>
      </c>
      <c r="O377" s="18" t="n">
        <f aca="false">E377*Desain_Kolam!$B$24/1000</f>
        <v>609.18</v>
      </c>
      <c r="P377" s="18" t="n">
        <f aca="false">F377-G377-O377</f>
        <v>-900.38</v>
      </c>
      <c r="Q377" s="18" t="n">
        <f aca="false">Q376+P377</f>
        <v>-1379.56</v>
      </c>
      <c r="R377" s="18" t="n">
        <f aca="false">MAX(R376,Q377)</f>
        <v>2129.14</v>
      </c>
      <c r="S377" s="18" t="n">
        <f aca="false">R377-Q377</f>
        <v>3508.7</v>
      </c>
      <c r="T377" s="18" t="n">
        <f aca="false">E377*Desain_Kolam!$B$34/1000</f>
        <v>1406.16</v>
      </c>
      <c r="U377" s="18" t="n">
        <f aca="false">F377-G377-T377</f>
        <v>-1697.36</v>
      </c>
      <c r="V377" s="18" t="n">
        <f aca="false">V376+U377</f>
        <v>-18913.12</v>
      </c>
      <c r="W377" s="18" t="n">
        <f aca="false">MAX(W376,V377)</f>
        <v>0</v>
      </c>
      <c r="X377" s="18" t="n">
        <f aca="false">W377-V377</f>
        <v>18913.12</v>
      </c>
    </row>
    <row r="378" customFormat="false" ht="15" hidden="false" customHeight="false" outlineLevel="0" collapsed="false">
      <c r="A378" s="6" t="n">
        <v>2013</v>
      </c>
      <c r="B378" s="6" t="n">
        <v>11</v>
      </c>
      <c r="C378" s="4" t="n">
        <v>280</v>
      </c>
      <c r="D378" s="6" t="n">
        <v>30</v>
      </c>
      <c r="E378" s="4" t="n">
        <f aca="false">INDEX(Evaporasi!$B$3:$B$14,MATCH(B378,Evaporasi!$A$3:$A$14,0))</f>
        <v>120</v>
      </c>
      <c r="F378" s="18" t="n">
        <f aca="false">Kawasan!$B$11*Kawasan!$B$9*C378/1000</f>
        <v>2329.6</v>
      </c>
      <c r="G378" s="18" t="n">
        <f aca="false">Kawasan!$B$28*D378</f>
        <v>1497.6</v>
      </c>
      <c r="H378" s="18" t="n">
        <f aca="false">E378*Desain_Kolam!$B$16/1000</f>
        <v>128.7</v>
      </c>
      <c r="I378" s="18" t="n">
        <f aca="false">F378-G378-H378</f>
        <v>703.3</v>
      </c>
      <c r="J378" s="18" t="n">
        <f aca="false">J377+I378</f>
        <v>9894.3</v>
      </c>
      <c r="K378" s="18" t="n">
        <f aca="false">MAX(K377,J378)</f>
        <v>10450.7</v>
      </c>
      <c r="L378" s="18" t="n">
        <f aca="false">K378-J378</f>
        <v>556.400000000002</v>
      </c>
      <c r="M378" s="18" t="n">
        <f aca="false">MIN(Desain_Kolam!$B$21,MAX(0,M377+F378-H378-G378))</f>
        <v>9894.29999999999</v>
      </c>
      <c r="N378" s="6" t="n">
        <f aca="false">IF(M377+F378-H378&gt;=G378,1,0)</f>
        <v>1</v>
      </c>
      <c r="O378" s="18" t="n">
        <f aca="false">E378*Desain_Kolam!$B$24/1000</f>
        <v>609.18</v>
      </c>
      <c r="P378" s="18" t="n">
        <f aca="false">F378-G378-O378</f>
        <v>222.82</v>
      </c>
      <c r="Q378" s="18" t="n">
        <f aca="false">Q377+P378</f>
        <v>-1156.74</v>
      </c>
      <c r="R378" s="18" t="n">
        <f aca="false">MAX(R377,Q378)</f>
        <v>2129.14</v>
      </c>
      <c r="S378" s="18" t="n">
        <f aca="false">R378-Q378</f>
        <v>3285.88</v>
      </c>
      <c r="T378" s="18" t="n">
        <f aca="false">E378*Desain_Kolam!$B$34/1000</f>
        <v>1406.16</v>
      </c>
      <c r="U378" s="18" t="n">
        <f aca="false">F378-G378-T378</f>
        <v>-574.16</v>
      </c>
      <c r="V378" s="18" t="n">
        <f aca="false">V377+U378</f>
        <v>-19487.28</v>
      </c>
      <c r="W378" s="18" t="n">
        <f aca="false">MAX(W377,V378)</f>
        <v>0</v>
      </c>
      <c r="X378" s="18" t="n">
        <f aca="false">W378-V378</f>
        <v>19487.28</v>
      </c>
    </row>
    <row r="379" customFormat="false" ht="15" hidden="false" customHeight="false" outlineLevel="0" collapsed="false">
      <c r="A379" s="6" t="n">
        <v>2013</v>
      </c>
      <c r="B379" s="6" t="n">
        <v>12</v>
      </c>
      <c r="C379" s="4" t="n">
        <v>280</v>
      </c>
      <c r="D379" s="6" t="n">
        <v>31</v>
      </c>
      <c r="E379" s="4" t="n">
        <f aca="false">INDEX(Evaporasi!$B$3:$B$14,MATCH(B379,Evaporasi!$A$3:$A$14,0))</f>
        <v>120</v>
      </c>
      <c r="F379" s="18" t="n">
        <f aca="false">Kawasan!$B$11*Kawasan!$B$9*C379/1000</f>
        <v>2329.6</v>
      </c>
      <c r="G379" s="18" t="n">
        <f aca="false">Kawasan!$B$28*D379</f>
        <v>1547.52</v>
      </c>
      <c r="H379" s="18" t="n">
        <f aca="false">E379*Desain_Kolam!$B$16/1000</f>
        <v>128.7</v>
      </c>
      <c r="I379" s="18" t="n">
        <f aca="false">F379-G379-H379</f>
        <v>653.38</v>
      </c>
      <c r="J379" s="18" t="n">
        <f aca="false">J378+I379</f>
        <v>10547.68</v>
      </c>
      <c r="K379" s="18" t="n">
        <f aca="false">MAX(K378,J379)</f>
        <v>10547.68</v>
      </c>
      <c r="L379" s="18" t="n">
        <f aca="false">K379-J379</f>
        <v>0</v>
      </c>
      <c r="M379" s="18" t="n">
        <f aca="false">MIN(Desain_Kolam!$B$21,MAX(0,M378+F379-H379-G379))</f>
        <v>10547.68</v>
      </c>
      <c r="N379" s="6" t="n">
        <f aca="false">IF(M378+F379-H379&gt;=G379,1,0)</f>
        <v>1</v>
      </c>
      <c r="O379" s="18" t="n">
        <f aca="false">E379*Desain_Kolam!$B$24/1000</f>
        <v>609.18</v>
      </c>
      <c r="P379" s="18" t="n">
        <f aca="false">F379-G379-O379</f>
        <v>172.9</v>
      </c>
      <c r="Q379" s="18" t="n">
        <f aca="false">Q378+P379</f>
        <v>-983.84</v>
      </c>
      <c r="R379" s="18" t="n">
        <f aca="false">MAX(R378,Q379)</f>
        <v>2129.14</v>
      </c>
      <c r="S379" s="18" t="n">
        <f aca="false">R379-Q379</f>
        <v>3112.98</v>
      </c>
      <c r="T379" s="18" t="n">
        <f aca="false">E379*Desain_Kolam!$B$34/1000</f>
        <v>1406.16</v>
      </c>
      <c r="U379" s="18" t="n">
        <f aca="false">F379-G379-T379</f>
        <v>-624.08</v>
      </c>
      <c r="V379" s="18" t="n">
        <f aca="false">V378+U379</f>
        <v>-20111.36</v>
      </c>
      <c r="W379" s="18" t="n">
        <f aca="false">MAX(W378,V379)</f>
        <v>0</v>
      </c>
      <c r="X379" s="18" t="n">
        <f aca="false">W379-V379</f>
        <v>20111.36</v>
      </c>
    </row>
    <row r="380" customFormat="false" ht="15" hidden="false" customHeight="false" outlineLevel="0" collapsed="false">
      <c r="A380" s="6" t="n">
        <v>2014</v>
      </c>
      <c r="B380" s="6" t="n">
        <v>1</v>
      </c>
      <c r="C380" s="4" t="n">
        <v>66</v>
      </c>
      <c r="D380" s="6" t="n">
        <v>31</v>
      </c>
      <c r="E380" s="4" t="n">
        <f aca="false">INDEX(Evaporasi!$B$3:$B$14,MATCH(B380,Evaporasi!$A$3:$A$14,0))</f>
        <v>120</v>
      </c>
      <c r="F380" s="18" t="n">
        <f aca="false">Kawasan!$B$11*Kawasan!$B$9*C380/1000</f>
        <v>549.12</v>
      </c>
      <c r="G380" s="18" t="n">
        <f aca="false">Kawasan!$B$28*D380</f>
        <v>1547.52</v>
      </c>
      <c r="H380" s="18" t="n">
        <f aca="false">E380*Desain_Kolam!$B$16/1000</f>
        <v>128.7</v>
      </c>
      <c r="I380" s="18" t="n">
        <f aca="false">F380-G380-H380</f>
        <v>-1127.1</v>
      </c>
      <c r="J380" s="18" t="n">
        <f aca="false">J379+I380</f>
        <v>9420.58</v>
      </c>
      <c r="K380" s="18" t="n">
        <f aca="false">MAX(K379,J380)</f>
        <v>10547.68</v>
      </c>
      <c r="L380" s="18" t="n">
        <f aca="false">K380-J380</f>
        <v>1127.1</v>
      </c>
      <c r="M380" s="18" t="n">
        <f aca="false">MIN(Desain_Kolam!$B$21,MAX(0,M379+F380-H380-G380))</f>
        <v>9420.57999999999</v>
      </c>
      <c r="N380" s="6" t="n">
        <f aca="false">IF(M379+F380-H380&gt;=G380,1,0)</f>
        <v>1</v>
      </c>
      <c r="O380" s="18" t="n">
        <f aca="false">E380*Desain_Kolam!$B$24/1000</f>
        <v>609.18</v>
      </c>
      <c r="P380" s="18" t="n">
        <f aca="false">F380-G380-O380</f>
        <v>-1607.58</v>
      </c>
      <c r="Q380" s="18" t="n">
        <f aca="false">Q379+P380</f>
        <v>-2591.42</v>
      </c>
      <c r="R380" s="18" t="n">
        <f aca="false">MAX(R379,Q380)</f>
        <v>2129.14</v>
      </c>
      <c r="S380" s="18" t="n">
        <f aca="false">R380-Q380</f>
        <v>4720.56</v>
      </c>
      <c r="T380" s="18" t="n">
        <f aca="false">E380*Desain_Kolam!$B$34/1000</f>
        <v>1406.16</v>
      </c>
      <c r="U380" s="18" t="n">
        <f aca="false">F380-G380-T380</f>
        <v>-2404.56</v>
      </c>
      <c r="V380" s="18" t="n">
        <f aca="false">V379+U380</f>
        <v>-22515.92</v>
      </c>
      <c r="W380" s="18" t="n">
        <f aca="false">MAX(W379,V380)</f>
        <v>0</v>
      </c>
      <c r="X380" s="18" t="n">
        <f aca="false">W380-V380</f>
        <v>22515.92</v>
      </c>
    </row>
    <row r="381" customFormat="false" ht="15" hidden="false" customHeight="false" outlineLevel="0" collapsed="false">
      <c r="A381" s="6" t="n">
        <v>2014</v>
      </c>
      <c r="B381" s="6" t="n">
        <v>2</v>
      </c>
      <c r="C381" s="4" t="n">
        <v>24</v>
      </c>
      <c r="D381" s="6" t="n">
        <v>28</v>
      </c>
      <c r="E381" s="4" t="n">
        <f aca="false">INDEX(Evaporasi!$B$3:$B$14,MATCH(B381,Evaporasi!$A$3:$A$14,0))</f>
        <v>120</v>
      </c>
      <c r="F381" s="18" t="n">
        <f aca="false">Kawasan!$B$11*Kawasan!$B$9*C381/1000</f>
        <v>199.68</v>
      </c>
      <c r="G381" s="18" t="n">
        <f aca="false">Kawasan!$B$28*D381</f>
        <v>1397.76</v>
      </c>
      <c r="H381" s="18" t="n">
        <f aca="false">E381*Desain_Kolam!$B$16/1000</f>
        <v>128.7</v>
      </c>
      <c r="I381" s="18" t="n">
        <f aca="false">F381-G381-H381</f>
        <v>-1326.78</v>
      </c>
      <c r="J381" s="18" t="n">
        <f aca="false">J380+I381</f>
        <v>8093.8</v>
      </c>
      <c r="K381" s="18" t="n">
        <f aca="false">MAX(K380,J381)</f>
        <v>10547.68</v>
      </c>
      <c r="L381" s="18" t="n">
        <f aca="false">K381-J381</f>
        <v>2453.88</v>
      </c>
      <c r="M381" s="18" t="n">
        <f aca="false">MIN(Desain_Kolam!$B$21,MAX(0,M380+F381-H381-G381))</f>
        <v>8093.79999999999</v>
      </c>
      <c r="N381" s="6" t="n">
        <f aca="false">IF(M380+F381-H381&gt;=G381,1,0)</f>
        <v>1</v>
      </c>
      <c r="O381" s="18" t="n">
        <f aca="false">E381*Desain_Kolam!$B$24/1000</f>
        <v>609.18</v>
      </c>
      <c r="P381" s="18" t="n">
        <f aca="false">F381-G381-O381</f>
        <v>-1807.26</v>
      </c>
      <c r="Q381" s="18" t="n">
        <f aca="false">Q380+P381</f>
        <v>-4398.68</v>
      </c>
      <c r="R381" s="18" t="n">
        <f aca="false">MAX(R380,Q381)</f>
        <v>2129.14</v>
      </c>
      <c r="S381" s="18" t="n">
        <f aca="false">R381-Q381</f>
        <v>6527.82</v>
      </c>
      <c r="T381" s="18" t="n">
        <f aca="false">E381*Desain_Kolam!$B$34/1000</f>
        <v>1406.16</v>
      </c>
      <c r="U381" s="18" t="n">
        <f aca="false">F381-G381-T381</f>
        <v>-2604.24</v>
      </c>
      <c r="V381" s="18" t="n">
        <f aca="false">V380+U381</f>
        <v>-25120.16</v>
      </c>
      <c r="W381" s="18" t="n">
        <f aca="false">MAX(W380,V381)</f>
        <v>0</v>
      </c>
      <c r="X381" s="18" t="n">
        <f aca="false">W381-V381</f>
        <v>25120.16</v>
      </c>
    </row>
    <row r="382" customFormat="false" ht="15" hidden="false" customHeight="false" outlineLevel="0" collapsed="false">
      <c r="A382" s="6" t="n">
        <v>2014</v>
      </c>
      <c r="B382" s="6" t="n">
        <v>3</v>
      </c>
      <c r="C382" s="4" t="n">
        <v>141</v>
      </c>
      <c r="D382" s="6" t="n">
        <v>31</v>
      </c>
      <c r="E382" s="4" t="n">
        <f aca="false">INDEX(Evaporasi!$B$3:$B$14,MATCH(B382,Evaporasi!$A$3:$A$14,0))</f>
        <v>120</v>
      </c>
      <c r="F382" s="18" t="n">
        <f aca="false">Kawasan!$B$11*Kawasan!$B$9*C382/1000</f>
        <v>1173.12</v>
      </c>
      <c r="G382" s="18" t="n">
        <f aca="false">Kawasan!$B$28*D382</f>
        <v>1547.52</v>
      </c>
      <c r="H382" s="18" t="n">
        <f aca="false">E382*Desain_Kolam!$B$16/1000</f>
        <v>128.7</v>
      </c>
      <c r="I382" s="18" t="n">
        <f aca="false">F382-G382-H382</f>
        <v>-503.1</v>
      </c>
      <c r="J382" s="18" t="n">
        <f aca="false">J381+I382</f>
        <v>7590.7</v>
      </c>
      <c r="K382" s="18" t="n">
        <f aca="false">MAX(K381,J382)</f>
        <v>10547.68</v>
      </c>
      <c r="L382" s="18" t="n">
        <f aca="false">K382-J382</f>
        <v>2956.98</v>
      </c>
      <c r="M382" s="18" t="n">
        <f aca="false">MIN(Desain_Kolam!$B$21,MAX(0,M381+F382-H382-G382))</f>
        <v>7590.69999999999</v>
      </c>
      <c r="N382" s="6" t="n">
        <f aca="false">IF(M381+F382-H382&gt;=G382,1,0)</f>
        <v>1</v>
      </c>
      <c r="O382" s="18" t="n">
        <f aca="false">E382*Desain_Kolam!$B$24/1000</f>
        <v>609.18</v>
      </c>
      <c r="P382" s="18" t="n">
        <f aca="false">F382-G382-O382</f>
        <v>-983.58</v>
      </c>
      <c r="Q382" s="18" t="n">
        <f aca="false">Q381+P382</f>
        <v>-5382.26</v>
      </c>
      <c r="R382" s="18" t="n">
        <f aca="false">MAX(R381,Q382)</f>
        <v>2129.14</v>
      </c>
      <c r="S382" s="18" t="n">
        <f aca="false">R382-Q382</f>
        <v>7511.4</v>
      </c>
      <c r="T382" s="18" t="n">
        <f aca="false">E382*Desain_Kolam!$B$34/1000</f>
        <v>1406.16</v>
      </c>
      <c r="U382" s="18" t="n">
        <f aca="false">F382-G382-T382</f>
        <v>-1780.56</v>
      </c>
      <c r="V382" s="18" t="n">
        <f aca="false">V381+U382</f>
        <v>-26900.72</v>
      </c>
      <c r="W382" s="18" t="n">
        <f aca="false">MAX(W381,V382)</f>
        <v>0</v>
      </c>
      <c r="X382" s="18" t="n">
        <f aca="false">W382-V382</f>
        <v>26900.72</v>
      </c>
    </row>
    <row r="383" customFormat="false" ht="15" hidden="false" customHeight="false" outlineLevel="0" collapsed="false">
      <c r="A383" s="6" t="n">
        <v>2014</v>
      </c>
      <c r="B383" s="6" t="n">
        <v>4</v>
      </c>
      <c r="C383" s="4" t="n">
        <v>129</v>
      </c>
      <c r="D383" s="6" t="n">
        <v>30</v>
      </c>
      <c r="E383" s="4" t="n">
        <f aca="false">INDEX(Evaporasi!$B$3:$B$14,MATCH(B383,Evaporasi!$A$3:$A$14,0))</f>
        <v>120</v>
      </c>
      <c r="F383" s="18" t="n">
        <f aca="false">Kawasan!$B$11*Kawasan!$B$9*C383/1000</f>
        <v>1073.28</v>
      </c>
      <c r="G383" s="18" t="n">
        <f aca="false">Kawasan!$B$28*D383</f>
        <v>1497.6</v>
      </c>
      <c r="H383" s="18" t="n">
        <f aca="false">E383*Desain_Kolam!$B$16/1000</f>
        <v>128.7</v>
      </c>
      <c r="I383" s="18" t="n">
        <f aca="false">F383-G383-H383</f>
        <v>-553.02</v>
      </c>
      <c r="J383" s="18" t="n">
        <f aca="false">J382+I383</f>
        <v>7037.68</v>
      </c>
      <c r="K383" s="18" t="n">
        <f aca="false">MAX(K382,J383)</f>
        <v>10547.68</v>
      </c>
      <c r="L383" s="18" t="n">
        <f aca="false">K383-J383</f>
        <v>3510</v>
      </c>
      <c r="M383" s="18" t="n">
        <f aca="false">MIN(Desain_Kolam!$B$21,MAX(0,M382+F383-H383-G383))</f>
        <v>7037.67999999999</v>
      </c>
      <c r="N383" s="6" t="n">
        <f aca="false">IF(M382+F383-H383&gt;=G383,1,0)</f>
        <v>1</v>
      </c>
      <c r="O383" s="18" t="n">
        <f aca="false">E383*Desain_Kolam!$B$24/1000</f>
        <v>609.18</v>
      </c>
      <c r="P383" s="18" t="n">
        <f aca="false">F383-G383-O383</f>
        <v>-1033.5</v>
      </c>
      <c r="Q383" s="18" t="n">
        <f aca="false">Q382+P383</f>
        <v>-6415.76</v>
      </c>
      <c r="R383" s="18" t="n">
        <f aca="false">MAX(R382,Q383)</f>
        <v>2129.14</v>
      </c>
      <c r="S383" s="18" t="n">
        <f aca="false">R383-Q383</f>
        <v>8544.9</v>
      </c>
      <c r="T383" s="18" t="n">
        <f aca="false">E383*Desain_Kolam!$B$34/1000</f>
        <v>1406.16</v>
      </c>
      <c r="U383" s="18" t="n">
        <f aca="false">F383-G383-T383</f>
        <v>-1830.48</v>
      </c>
      <c r="V383" s="18" t="n">
        <f aca="false">V382+U383</f>
        <v>-28731.2</v>
      </c>
      <c r="W383" s="18" t="n">
        <f aca="false">MAX(W382,V383)</f>
        <v>0</v>
      </c>
      <c r="X383" s="18" t="n">
        <f aca="false">W383-V383</f>
        <v>28731.2</v>
      </c>
    </row>
    <row r="384" customFormat="false" ht="15" hidden="false" customHeight="false" outlineLevel="0" collapsed="false">
      <c r="A384" s="6" t="n">
        <v>2014</v>
      </c>
      <c r="B384" s="6" t="n">
        <v>5</v>
      </c>
      <c r="C384" s="4" t="n">
        <v>279</v>
      </c>
      <c r="D384" s="6" t="n">
        <v>31</v>
      </c>
      <c r="E384" s="4" t="n">
        <f aca="false">INDEX(Evaporasi!$B$3:$B$14,MATCH(B384,Evaporasi!$A$3:$A$14,0))</f>
        <v>120</v>
      </c>
      <c r="F384" s="18" t="n">
        <f aca="false">Kawasan!$B$11*Kawasan!$B$9*C384/1000</f>
        <v>2321.28</v>
      </c>
      <c r="G384" s="18" t="n">
        <f aca="false">Kawasan!$B$28*D384</f>
        <v>1547.52</v>
      </c>
      <c r="H384" s="18" t="n">
        <f aca="false">E384*Desain_Kolam!$B$16/1000</f>
        <v>128.7</v>
      </c>
      <c r="I384" s="18" t="n">
        <f aca="false">F384-G384-H384</f>
        <v>645.06</v>
      </c>
      <c r="J384" s="18" t="n">
        <f aca="false">J383+I384</f>
        <v>7682.74</v>
      </c>
      <c r="K384" s="18" t="n">
        <f aca="false">MAX(K383,J384)</f>
        <v>10547.68</v>
      </c>
      <c r="L384" s="18" t="n">
        <f aca="false">K384-J384</f>
        <v>2864.94</v>
      </c>
      <c r="M384" s="18" t="n">
        <f aca="false">MIN(Desain_Kolam!$B$21,MAX(0,M383+F384-H384-G384))</f>
        <v>7682.73999999999</v>
      </c>
      <c r="N384" s="6" t="n">
        <f aca="false">IF(M383+F384-H384&gt;=G384,1,0)</f>
        <v>1</v>
      </c>
      <c r="O384" s="18" t="n">
        <f aca="false">E384*Desain_Kolam!$B$24/1000</f>
        <v>609.18</v>
      </c>
      <c r="P384" s="18" t="n">
        <f aca="false">F384-G384-O384</f>
        <v>164.58</v>
      </c>
      <c r="Q384" s="18" t="n">
        <f aca="false">Q383+P384</f>
        <v>-6251.18</v>
      </c>
      <c r="R384" s="18" t="n">
        <f aca="false">MAX(R383,Q384)</f>
        <v>2129.14</v>
      </c>
      <c r="S384" s="18" t="n">
        <f aca="false">R384-Q384</f>
        <v>8380.32</v>
      </c>
      <c r="T384" s="18" t="n">
        <f aca="false">E384*Desain_Kolam!$B$34/1000</f>
        <v>1406.16</v>
      </c>
      <c r="U384" s="18" t="n">
        <f aca="false">F384-G384-T384</f>
        <v>-632.4</v>
      </c>
      <c r="V384" s="18" t="n">
        <f aca="false">V383+U384</f>
        <v>-29363.6</v>
      </c>
      <c r="W384" s="18" t="n">
        <f aca="false">MAX(W383,V384)</f>
        <v>0</v>
      </c>
      <c r="X384" s="18" t="n">
        <f aca="false">W384-V384</f>
        <v>29363.6</v>
      </c>
    </row>
    <row r="385" customFormat="false" ht="15" hidden="false" customHeight="false" outlineLevel="0" collapsed="false">
      <c r="A385" s="6" t="n">
        <v>2014</v>
      </c>
      <c r="B385" s="6" t="n">
        <v>6</v>
      </c>
      <c r="C385" s="4" t="n">
        <v>231</v>
      </c>
      <c r="D385" s="6" t="n">
        <v>30</v>
      </c>
      <c r="E385" s="4" t="n">
        <f aca="false">INDEX(Evaporasi!$B$3:$B$14,MATCH(B385,Evaporasi!$A$3:$A$14,0))</f>
        <v>120</v>
      </c>
      <c r="F385" s="18" t="n">
        <f aca="false">Kawasan!$B$11*Kawasan!$B$9*C385/1000</f>
        <v>1921.92</v>
      </c>
      <c r="G385" s="18" t="n">
        <f aca="false">Kawasan!$B$28*D385</f>
        <v>1497.6</v>
      </c>
      <c r="H385" s="18" t="n">
        <f aca="false">E385*Desain_Kolam!$B$16/1000</f>
        <v>128.7</v>
      </c>
      <c r="I385" s="18" t="n">
        <f aca="false">F385-G385-H385</f>
        <v>295.62</v>
      </c>
      <c r="J385" s="18" t="n">
        <f aca="false">J384+I385</f>
        <v>7978.36</v>
      </c>
      <c r="K385" s="18" t="n">
        <f aca="false">MAX(K384,J385)</f>
        <v>10547.68</v>
      </c>
      <c r="L385" s="18" t="n">
        <f aca="false">K385-J385</f>
        <v>2569.32</v>
      </c>
      <c r="M385" s="18" t="n">
        <f aca="false">MIN(Desain_Kolam!$B$21,MAX(0,M384+F385-H385-G385))</f>
        <v>7978.35999999998</v>
      </c>
      <c r="N385" s="6" t="n">
        <f aca="false">IF(M384+F385-H385&gt;=G385,1,0)</f>
        <v>1</v>
      </c>
      <c r="O385" s="18" t="n">
        <f aca="false">E385*Desain_Kolam!$B$24/1000</f>
        <v>609.18</v>
      </c>
      <c r="P385" s="18" t="n">
        <f aca="false">F385-G385-O385</f>
        <v>-184.86</v>
      </c>
      <c r="Q385" s="18" t="n">
        <f aca="false">Q384+P385</f>
        <v>-6436.04</v>
      </c>
      <c r="R385" s="18" t="n">
        <f aca="false">MAX(R384,Q385)</f>
        <v>2129.14</v>
      </c>
      <c r="S385" s="18" t="n">
        <f aca="false">R385-Q385</f>
        <v>8565.18</v>
      </c>
      <c r="T385" s="18" t="n">
        <f aca="false">E385*Desain_Kolam!$B$34/1000</f>
        <v>1406.16</v>
      </c>
      <c r="U385" s="18" t="n">
        <f aca="false">F385-G385-T385</f>
        <v>-981.84</v>
      </c>
      <c r="V385" s="18" t="n">
        <f aca="false">V384+U385</f>
        <v>-30345.44</v>
      </c>
      <c r="W385" s="18" t="n">
        <f aca="false">MAX(W384,V385)</f>
        <v>0</v>
      </c>
      <c r="X385" s="18" t="n">
        <f aca="false">W385-V385</f>
        <v>30345.44</v>
      </c>
    </row>
    <row r="386" customFormat="false" ht="15" hidden="false" customHeight="false" outlineLevel="0" collapsed="false">
      <c r="A386" s="6" t="n">
        <v>2014</v>
      </c>
      <c r="B386" s="6" t="n">
        <v>7</v>
      </c>
      <c r="C386" s="4" t="n">
        <v>93</v>
      </c>
      <c r="D386" s="6" t="n">
        <v>31</v>
      </c>
      <c r="E386" s="4" t="n">
        <f aca="false">INDEX(Evaporasi!$B$3:$B$14,MATCH(B386,Evaporasi!$A$3:$A$14,0))</f>
        <v>120</v>
      </c>
      <c r="F386" s="18" t="n">
        <f aca="false">Kawasan!$B$11*Kawasan!$B$9*C386/1000</f>
        <v>773.76</v>
      </c>
      <c r="G386" s="18" t="n">
        <f aca="false">Kawasan!$B$28*D386</f>
        <v>1547.52</v>
      </c>
      <c r="H386" s="18" t="n">
        <f aca="false">E386*Desain_Kolam!$B$16/1000</f>
        <v>128.7</v>
      </c>
      <c r="I386" s="18" t="n">
        <f aca="false">F386-G386-H386</f>
        <v>-902.46</v>
      </c>
      <c r="J386" s="18" t="n">
        <f aca="false">J385+I386</f>
        <v>7075.9</v>
      </c>
      <c r="K386" s="18" t="n">
        <f aca="false">MAX(K385,J386)</f>
        <v>10547.68</v>
      </c>
      <c r="L386" s="18" t="n">
        <f aca="false">K386-J386</f>
        <v>3471.78</v>
      </c>
      <c r="M386" s="18" t="n">
        <f aca="false">MIN(Desain_Kolam!$B$21,MAX(0,M385+F386-H386-G386))</f>
        <v>7075.89999999998</v>
      </c>
      <c r="N386" s="6" t="n">
        <f aca="false">IF(M385+F386-H386&gt;=G386,1,0)</f>
        <v>1</v>
      </c>
      <c r="O386" s="18" t="n">
        <f aca="false">E386*Desain_Kolam!$B$24/1000</f>
        <v>609.18</v>
      </c>
      <c r="P386" s="18" t="n">
        <f aca="false">F386-G386-O386</f>
        <v>-1382.94</v>
      </c>
      <c r="Q386" s="18" t="n">
        <f aca="false">Q385+P386</f>
        <v>-7818.98</v>
      </c>
      <c r="R386" s="18" t="n">
        <f aca="false">MAX(R385,Q386)</f>
        <v>2129.14</v>
      </c>
      <c r="S386" s="18" t="n">
        <f aca="false">R386-Q386</f>
        <v>9948.12</v>
      </c>
      <c r="T386" s="18" t="n">
        <f aca="false">E386*Desain_Kolam!$B$34/1000</f>
        <v>1406.16</v>
      </c>
      <c r="U386" s="18" t="n">
        <f aca="false">F386-G386-T386</f>
        <v>-2179.92</v>
      </c>
      <c r="V386" s="18" t="n">
        <f aca="false">V385+U386</f>
        <v>-32525.36</v>
      </c>
      <c r="W386" s="18" t="n">
        <f aca="false">MAX(W385,V386)</f>
        <v>0</v>
      </c>
      <c r="X386" s="18" t="n">
        <f aca="false">W386-V386</f>
        <v>32525.36</v>
      </c>
    </row>
    <row r="387" customFormat="false" ht="15" hidden="false" customHeight="false" outlineLevel="0" collapsed="false">
      <c r="A387" s="6" t="n">
        <v>2014</v>
      </c>
      <c r="B387" s="6" t="n">
        <v>8</v>
      </c>
      <c r="C387" s="4" t="n">
        <v>303</v>
      </c>
      <c r="D387" s="6" t="n">
        <v>31</v>
      </c>
      <c r="E387" s="4" t="n">
        <f aca="false">INDEX(Evaporasi!$B$3:$B$14,MATCH(B387,Evaporasi!$A$3:$A$14,0))</f>
        <v>120</v>
      </c>
      <c r="F387" s="18" t="n">
        <f aca="false">Kawasan!$B$11*Kawasan!$B$9*C387/1000</f>
        <v>2520.96</v>
      </c>
      <c r="G387" s="18" t="n">
        <f aca="false">Kawasan!$B$28*D387</f>
        <v>1547.52</v>
      </c>
      <c r="H387" s="18" t="n">
        <f aca="false">E387*Desain_Kolam!$B$16/1000</f>
        <v>128.7</v>
      </c>
      <c r="I387" s="18" t="n">
        <f aca="false">F387-G387-H387</f>
        <v>844.74</v>
      </c>
      <c r="J387" s="18" t="n">
        <f aca="false">J386+I387</f>
        <v>7920.64</v>
      </c>
      <c r="K387" s="18" t="n">
        <f aca="false">MAX(K386,J387)</f>
        <v>10547.68</v>
      </c>
      <c r="L387" s="18" t="n">
        <f aca="false">K387-J387</f>
        <v>2627.04</v>
      </c>
      <c r="M387" s="18" t="n">
        <f aca="false">MIN(Desain_Kolam!$B$21,MAX(0,M386+F387-H387-G387))</f>
        <v>7920.63999999998</v>
      </c>
      <c r="N387" s="6" t="n">
        <f aca="false">IF(M386+F387-H387&gt;=G387,1,0)</f>
        <v>1</v>
      </c>
      <c r="O387" s="18" t="n">
        <f aca="false">E387*Desain_Kolam!$B$24/1000</f>
        <v>609.18</v>
      </c>
      <c r="P387" s="18" t="n">
        <f aca="false">F387-G387-O387</f>
        <v>364.26</v>
      </c>
      <c r="Q387" s="18" t="n">
        <f aca="false">Q386+P387</f>
        <v>-7454.72</v>
      </c>
      <c r="R387" s="18" t="n">
        <f aca="false">MAX(R386,Q387)</f>
        <v>2129.14</v>
      </c>
      <c r="S387" s="18" t="n">
        <f aca="false">R387-Q387</f>
        <v>9583.86</v>
      </c>
      <c r="T387" s="18" t="n">
        <f aca="false">E387*Desain_Kolam!$B$34/1000</f>
        <v>1406.16</v>
      </c>
      <c r="U387" s="18" t="n">
        <f aca="false">F387-G387-T387</f>
        <v>-432.72</v>
      </c>
      <c r="V387" s="18" t="n">
        <f aca="false">V386+U387</f>
        <v>-32958.08</v>
      </c>
      <c r="W387" s="18" t="n">
        <f aca="false">MAX(W386,V387)</f>
        <v>0</v>
      </c>
      <c r="X387" s="18" t="n">
        <f aca="false">W387-V387</f>
        <v>32958.08</v>
      </c>
    </row>
    <row r="388" customFormat="false" ht="15" hidden="false" customHeight="false" outlineLevel="0" collapsed="false">
      <c r="A388" s="6" t="n">
        <v>2014</v>
      </c>
      <c r="B388" s="6" t="n">
        <v>9</v>
      </c>
      <c r="C388" s="4" t="n">
        <v>156</v>
      </c>
      <c r="D388" s="6" t="n">
        <v>30</v>
      </c>
      <c r="E388" s="4" t="n">
        <f aca="false">INDEX(Evaporasi!$B$3:$B$14,MATCH(B388,Evaporasi!$A$3:$A$14,0))</f>
        <v>120</v>
      </c>
      <c r="F388" s="18" t="n">
        <f aca="false">Kawasan!$B$11*Kawasan!$B$9*C388/1000</f>
        <v>1297.92</v>
      </c>
      <c r="G388" s="18" t="n">
        <f aca="false">Kawasan!$B$28*D388</f>
        <v>1497.6</v>
      </c>
      <c r="H388" s="18" t="n">
        <f aca="false">E388*Desain_Kolam!$B$16/1000</f>
        <v>128.7</v>
      </c>
      <c r="I388" s="18" t="n">
        <f aca="false">F388-G388-H388</f>
        <v>-328.38</v>
      </c>
      <c r="J388" s="18" t="n">
        <f aca="false">J387+I388</f>
        <v>7592.26</v>
      </c>
      <c r="K388" s="18" t="n">
        <f aca="false">MAX(K387,J388)</f>
        <v>10547.68</v>
      </c>
      <c r="L388" s="18" t="n">
        <f aca="false">K388-J388</f>
        <v>2955.42</v>
      </c>
      <c r="M388" s="18" t="n">
        <f aca="false">MIN(Desain_Kolam!$B$21,MAX(0,M387+F388-H388-G388))</f>
        <v>7592.25999999998</v>
      </c>
      <c r="N388" s="6" t="n">
        <f aca="false">IF(M387+F388-H388&gt;=G388,1,0)</f>
        <v>1</v>
      </c>
      <c r="O388" s="18" t="n">
        <f aca="false">E388*Desain_Kolam!$B$24/1000</f>
        <v>609.18</v>
      </c>
      <c r="P388" s="18" t="n">
        <f aca="false">F388-G388-O388</f>
        <v>-808.86</v>
      </c>
      <c r="Q388" s="18" t="n">
        <f aca="false">Q387+P388</f>
        <v>-8263.58</v>
      </c>
      <c r="R388" s="18" t="n">
        <f aca="false">MAX(R387,Q388)</f>
        <v>2129.14</v>
      </c>
      <c r="S388" s="18" t="n">
        <f aca="false">R388-Q388</f>
        <v>10392.72</v>
      </c>
      <c r="T388" s="18" t="n">
        <f aca="false">E388*Desain_Kolam!$B$34/1000</f>
        <v>1406.16</v>
      </c>
      <c r="U388" s="18" t="n">
        <f aca="false">F388-G388-T388</f>
        <v>-1605.84</v>
      </c>
      <c r="V388" s="18" t="n">
        <f aca="false">V387+U388</f>
        <v>-34563.92</v>
      </c>
      <c r="W388" s="18" t="n">
        <f aca="false">MAX(W387,V388)</f>
        <v>0</v>
      </c>
      <c r="X388" s="18" t="n">
        <f aca="false">W388-V388</f>
        <v>34563.92</v>
      </c>
    </row>
    <row r="389" customFormat="false" ht="15" hidden="false" customHeight="false" outlineLevel="0" collapsed="false">
      <c r="A389" s="6" t="n">
        <v>2014</v>
      </c>
      <c r="B389" s="6" t="n">
        <v>10</v>
      </c>
      <c r="C389" s="4" t="n">
        <v>226</v>
      </c>
      <c r="D389" s="6" t="n">
        <v>31</v>
      </c>
      <c r="E389" s="4" t="n">
        <f aca="false">INDEX(Evaporasi!$B$3:$B$14,MATCH(B389,Evaporasi!$A$3:$A$14,0))</f>
        <v>120</v>
      </c>
      <c r="F389" s="18" t="n">
        <f aca="false">Kawasan!$B$11*Kawasan!$B$9*C389/1000</f>
        <v>1880.32</v>
      </c>
      <c r="G389" s="18" t="n">
        <f aca="false">Kawasan!$B$28*D389</f>
        <v>1547.52</v>
      </c>
      <c r="H389" s="18" t="n">
        <f aca="false">E389*Desain_Kolam!$B$16/1000</f>
        <v>128.7</v>
      </c>
      <c r="I389" s="18" t="n">
        <f aca="false">F389-G389-H389</f>
        <v>204.1</v>
      </c>
      <c r="J389" s="18" t="n">
        <f aca="false">J388+I389</f>
        <v>7796.36</v>
      </c>
      <c r="K389" s="18" t="n">
        <f aca="false">MAX(K388,J389)</f>
        <v>10547.68</v>
      </c>
      <c r="L389" s="18" t="n">
        <f aca="false">K389-J389</f>
        <v>2751.32</v>
      </c>
      <c r="M389" s="18" t="n">
        <f aca="false">MIN(Desain_Kolam!$B$21,MAX(0,M388+F389-H389-G389))</f>
        <v>7796.35999999998</v>
      </c>
      <c r="N389" s="6" t="n">
        <f aca="false">IF(M388+F389-H389&gt;=G389,1,0)</f>
        <v>1</v>
      </c>
      <c r="O389" s="18" t="n">
        <f aca="false">E389*Desain_Kolam!$B$24/1000</f>
        <v>609.18</v>
      </c>
      <c r="P389" s="18" t="n">
        <f aca="false">F389-G389-O389</f>
        <v>-276.38</v>
      </c>
      <c r="Q389" s="18" t="n">
        <f aca="false">Q388+P389</f>
        <v>-8539.96</v>
      </c>
      <c r="R389" s="18" t="n">
        <f aca="false">MAX(R388,Q389)</f>
        <v>2129.14</v>
      </c>
      <c r="S389" s="18" t="n">
        <f aca="false">R389-Q389</f>
        <v>10669.1</v>
      </c>
      <c r="T389" s="18" t="n">
        <f aca="false">E389*Desain_Kolam!$B$34/1000</f>
        <v>1406.16</v>
      </c>
      <c r="U389" s="18" t="n">
        <f aca="false">F389-G389-T389</f>
        <v>-1073.36</v>
      </c>
      <c r="V389" s="18" t="n">
        <f aca="false">V388+U389</f>
        <v>-35637.28</v>
      </c>
      <c r="W389" s="18" t="n">
        <f aca="false">MAX(W388,V389)</f>
        <v>0</v>
      </c>
      <c r="X389" s="18" t="n">
        <f aca="false">W389-V389</f>
        <v>35637.28</v>
      </c>
    </row>
    <row r="390" customFormat="false" ht="15" hidden="false" customHeight="false" outlineLevel="0" collapsed="false">
      <c r="A390" s="6" t="n">
        <v>2014</v>
      </c>
      <c r="B390" s="6" t="n">
        <v>11</v>
      </c>
      <c r="C390" s="4" t="n">
        <v>290</v>
      </c>
      <c r="D390" s="6" t="n">
        <v>30</v>
      </c>
      <c r="E390" s="4" t="n">
        <f aca="false">INDEX(Evaporasi!$B$3:$B$14,MATCH(B390,Evaporasi!$A$3:$A$14,0))</f>
        <v>120</v>
      </c>
      <c r="F390" s="18" t="n">
        <f aca="false">Kawasan!$B$11*Kawasan!$B$9*C390/1000</f>
        <v>2412.8</v>
      </c>
      <c r="G390" s="18" t="n">
        <f aca="false">Kawasan!$B$28*D390</f>
        <v>1497.6</v>
      </c>
      <c r="H390" s="18" t="n">
        <f aca="false">E390*Desain_Kolam!$B$16/1000</f>
        <v>128.7</v>
      </c>
      <c r="I390" s="18" t="n">
        <f aca="false">F390-G390-H390</f>
        <v>786.5</v>
      </c>
      <c r="J390" s="18" t="n">
        <f aca="false">J389+I390</f>
        <v>8582.86</v>
      </c>
      <c r="K390" s="18" t="n">
        <f aca="false">MAX(K389,J390)</f>
        <v>10547.68</v>
      </c>
      <c r="L390" s="18" t="n">
        <f aca="false">K390-J390</f>
        <v>1964.82</v>
      </c>
      <c r="M390" s="18" t="n">
        <f aca="false">MIN(Desain_Kolam!$B$21,MAX(0,M389+F390-H390-G390))</f>
        <v>8582.85999999998</v>
      </c>
      <c r="N390" s="6" t="n">
        <f aca="false">IF(M389+F390-H390&gt;=G390,1,0)</f>
        <v>1</v>
      </c>
      <c r="O390" s="18" t="n">
        <f aca="false">E390*Desain_Kolam!$B$24/1000</f>
        <v>609.18</v>
      </c>
      <c r="P390" s="18" t="n">
        <f aca="false">F390-G390-O390</f>
        <v>306.02</v>
      </c>
      <c r="Q390" s="18" t="n">
        <f aca="false">Q389+P390</f>
        <v>-8233.94</v>
      </c>
      <c r="R390" s="18" t="n">
        <f aca="false">MAX(R389,Q390)</f>
        <v>2129.14</v>
      </c>
      <c r="S390" s="18" t="n">
        <f aca="false">R390-Q390</f>
        <v>10363.08</v>
      </c>
      <c r="T390" s="18" t="n">
        <f aca="false">E390*Desain_Kolam!$B$34/1000</f>
        <v>1406.16</v>
      </c>
      <c r="U390" s="18" t="n">
        <f aca="false">F390-G390-T390</f>
        <v>-490.96</v>
      </c>
      <c r="V390" s="18" t="n">
        <f aca="false">V389+U390</f>
        <v>-36128.24</v>
      </c>
      <c r="W390" s="18" t="n">
        <f aca="false">MAX(W389,V390)</f>
        <v>0</v>
      </c>
      <c r="X390" s="18" t="n">
        <f aca="false">W390-V390</f>
        <v>36128.24</v>
      </c>
    </row>
    <row r="391" customFormat="false" ht="15" hidden="false" customHeight="false" outlineLevel="0" collapsed="false">
      <c r="A391" s="6" t="n">
        <v>2014</v>
      </c>
      <c r="B391" s="6" t="n">
        <v>12</v>
      </c>
      <c r="C391" s="4" t="n">
        <v>448</v>
      </c>
      <c r="D391" s="6" t="n">
        <v>31</v>
      </c>
      <c r="E391" s="4" t="n">
        <f aca="false">INDEX(Evaporasi!$B$3:$B$14,MATCH(B391,Evaporasi!$A$3:$A$14,0))</f>
        <v>120</v>
      </c>
      <c r="F391" s="18" t="n">
        <f aca="false">Kawasan!$B$11*Kawasan!$B$9*C391/1000</f>
        <v>3727.36</v>
      </c>
      <c r="G391" s="18" t="n">
        <f aca="false">Kawasan!$B$28*D391</f>
        <v>1547.52</v>
      </c>
      <c r="H391" s="18" t="n">
        <f aca="false">E391*Desain_Kolam!$B$16/1000</f>
        <v>128.7</v>
      </c>
      <c r="I391" s="18" t="n">
        <f aca="false">F391-G391-H391</f>
        <v>2051.14</v>
      </c>
      <c r="J391" s="18" t="n">
        <f aca="false">J390+I391</f>
        <v>10634</v>
      </c>
      <c r="K391" s="18" t="n">
        <f aca="false">MAX(K390,J391)</f>
        <v>10634</v>
      </c>
      <c r="L391" s="18" t="n">
        <f aca="false">K391-J391</f>
        <v>0</v>
      </c>
      <c r="M391" s="18" t="n">
        <f aca="false">MIN(Desain_Kolam!$B$21,MAX(0,M390+F391-H391-G391))</f>
        <v>10634</v>
      </c>
      <c r="N391" s="6" t="n">
        <f aca="false">IF(M390+F391-H391&gt;=G391,1,0)</f>
        <v>1</v>
      </c>
      <c r="O391" s="18" t="n">
        <f aca="false">E391*Desain_Kolam!$B$24/1000</f>
        <v>609.18</v>
      </c>
      <c r="P391" s="18" t="n">
        <f aca="false">F391-G391-O391</f>
        <v>1570.66</v>
      </c>
      <c r="Q391" s="18" t="n">
        <f aca="false">Q390+P391</f>
        <v>-6663.28</v>
      </c>
      <c r="R391" s="18" t="n">
        <f aca="false">MAX(R390,Q391)</f>
        <v>2129.14</v>
      </c>
      <c r="S391" s="18" t="n">
        <f aca="false">R391-Q391</f>
        <v>8792.42</v>
      </c>
      <c r="T391" s="18" t="n">
        <f aca="false">E391*Desain_Kolam!$B$34/1000</f>
        <v>1406.16</v>
      </c>
      <c r="U391" s="18" t="n">
        <f aca="false">F391-G391-T391</f>
        <v>773.68</v>
      </c>
      <c r="V391" s="18" t="n">
        <f aca="false">V390+U391</f>
        <v>-35354.56</v>
      </c>
      <c r="W391" s="18" t="n">
        <f aca="false">MAX(W390,V391)</f>
        <v>0</v>
      </c>
      <c r="X391" s="18" t="n">
        <f aca="false">W391-V391</f>
        <v>35354.56</v>
      </c>
    </row>
    <row r="392" customFormat="false" ht="15" hidden="false" customHeight="false" outlineLevel="0" collapsed="false">
      <c r="A392" s="6" t="n">
        <v>2015</v>
      </c>
      <c r="B392" s="6" t="n">
        <v>1</v>
      </c>
      <c r="C392" s="4" t="n">
        <v>266</v>
      </c>
      <c r="D392" s="6" t="n">
        <v>31</v>
      </c>
      <c r="E392" s="4" t="n">
        <f aca="false">INDEX(Evaporasi!$B$3:$B$14,MATCH(B392,Evaporasi!$A$3:$A$14,0))</f>
        <v>120</v>
      </c>
      <c r="F392" s="18" t="n">
        <f aca="false">Kawasan!$B$11*Kawasan!$B$9*C392/1000</f>
        <v>2213.12</v>
      </c>
      <c r="G392" s="18" t="n">
        <f aca="false">Kawasan!$B$28*D392</f>
        <v>1547.52</v>
      </c>
      <c r="H392" s="18" t="n">
        <f aca="false">E392*Desain_Kolam!$B$16/1000</f>
        <v>128.7</v>
      </c>
      <c r="I392" s="18" t="n">
        <f aca="false">F392-G392-H392</f>
        <v>536.9</v>
      </c>
      <c r="J392" s="18" t="n">
        <f aca="false">J391+I392</f>
        <v>11170.9</v>
      </c>
      <c r="K392" s="18" t="n">
        <f aca="false">MAX(K391,J392)</f>
        <v>11170.9</v>
      </c>
      <c r="L392" s="18" t="n">
        <f aca="false">K392-J392</f>
        <v>0</v>
      </c>
      <c r="M392" s="18" t="n">
        <f aca="false">MIN(Desain_Kolam!$B$21,MAX(0,M391+F392-H392-G392))</f>
        <v>11170.9</v>
      </c>
      <c r="N392" s="6" t="n">
        <f aca="false">IF(M391+F392-H392&gt;=G392,1,0)</f>
        <v>1</v>
      </c>
      <c r="O392" s="18" t="n">
        <f aca="false">E392*Desain_Kolam!$B$24/1000</f>
        <v>609.18</v>
      </c>
      <c r="P392" s="18" t="n">
        <f aca="false">F392-G392-O392</f>
        <v>56.42</v>
      </c>
      <c r="Q392" s="18" t="n">
        <f aca="false">Q391+P392</f>
        <v>-6606.86</v>
      </c>
      <c r="R392" s="18" t="n">
        <f aca="false">MAX(R391,Q392)</f>
        <v>2129.14</v>
      </c>
      <c r="S392" s="18" t="n">
        <f aca="false">R392-Q392</f>
        <v>8736</v>
      </c>
      <c r="T392" s="18" t="n">
        <f aca="false">E392*Desain_Kolam!$B$34/1000</f>
        <v>1406.16</v>
      </c>
      <c r="U392" s="18" t="n">
        <f aca="false">F392-G392-T392</f>
        <v>-740.56</v>
      </c>
      <c r="V392" s="18" t="n">
        <f aca="false">V391+U392</f>
        <v>-36095.12</v>
      </c>
      <c r="W392" s="18" t="n">
        <f aca="false">MAX(W391,V392)</f>
        <v>0</v>
      </c>
      <c r="X392" s="18" t="n">
        <f aca="false">W392-V392</f>
        <v>36095.12</v>
      </c>
    </row>
    <row r="393" customFormat="false" ht="15" hidden="false" customHeight="false" outlineLevel="0" collapsed="false">
      <c r="A393" s="6" t="n">
        <v>2015</v>
      </c>
      <c r="B393" s="6" t="n">
        <v>2</v>
      </c>
      <c r="C393" s="4" t="n">
        <v>351</v>
      </c>
      <c r="D393" s="6" t="n">
        <v>28</v>
      </c>
      <c r="E393" s="4" t="n">
        <f aca="false">INDEX(Evaporasi!$B$3:$B$14,MATCH(B393,Evaporasi!$A$3:$A$14,0))</f>
        <v>120</v>
      </c>
      <c r="F393" s="18" t="n">
        <f aca="false">Kawasan!$B$11*Kawasan!$B$9*C393/1000</f>
        <v>2920.32</v>
      </c>
      <c r="G393" s="18" t="n">
        <f aca="false">Kawasan!$B$28*D393</f>
        <v>1397.76</v>
      </c>
      <c r="H393" s="18" t="n">
        <f aca="false">E393*Desain_Kolam!$B$16/1000</f>
        <v>128.7</v>
      </c>
      <c r="I393" s="18" t="n">
        <f aca="false">F393-G393-H393</f>
        <v>1393.86</v>
      </c>
      <c r="J393" s="18" t="n">
        <f aca="false">J392+I393</f>
        <v>12564.76</v>
      </c>
      <c r="K393" s="18" t="n">
        <f aca="false">MAX(K392,J393)</f>
        <v>12564.76</v>
      </c>
      <c r="L393" s="18" t="n">
        <f aca="false">K393-J393</f>
        <v>0</v>
      </c>
      <c r="M393" s="18" t="n">
        <f aca="false">MIN(Desain_Kolam!$B$21,MAX(0,M392+F393-H393-G393))</f>
        <v>12564.76</v>
      </c>
      <c r="N393" s="6" t="n">
        <f aca="false">IF(M392+F393-H393&gt;=G393,1,0)</f>
        <v>1</v>
      </c>
      <c r="O393" s="18" t="n">
        <f aca="false">E393*Desain_Kolam!$B$24/1000</f>
        <v>609.18</v>
      </c>
      <c r="P393" s="18" t="n">
        <f aca="false">F393-G393-O393</f>
        <v>913.38</v>
      </c>
      <c r="Q393" s="18" t="n">
        <f aca="false">Q392+P393</f>
        <v>-5693.48</v>
      </c>
      <c r="R393" s="18" t="n">
        <f aca="false">MAX(R392,Q393)</f>
        <v>2129.14</v>
      </c>
      <c r="S393" s="18" t="n">
        <f aca="false">R393-Q393</f>
        <v>7822.62</v>
      </c>
      <c r="T393" s="18" t="n">
        <f aca="false">E393*Desain_Kolam!$B$34/1000</f>
        <v>1406.16</v>
      </c>
      <c r="U393" s="18" t="n">
        <f aca="false">F393-G393-T393</f>
        <v>116.4</v>
      </c>
      <c r="V393" s="18" t="n">
        <f aca="false">V392+U393</f>
        <v>-35978.72</v>
      </c>
      <c r="W393" s="18" t="n">
        <f aca="false">MAX(W392,V393)</f>
        <v>0</v>
      </c>
      <c r="X393" s="18" t="n">
        <f aca="false">W393-V393</f>
        <v>35978.72</v>
      </c>
    </row>
    <row r="394" customFormat="false" ht="15" hidden="false" customHeight="false" outlineLevel="0" collapsed="false">
      <c r="A394" s="6" t="n">
        <v>2015</v>
      </c>
      <c r="B394" s="6" t="n">
        <v>3</v>
      </c>
      <c r="C394" s="4" t="n">
        <v>222</v>
      </c>
      <c r="D394" s="6" t="n">
        <v>31</v>
      </c>
      <c r="E394" s="4" t="n">
        <f aca="false">INDEX(Evaporasi!$B$3:$B$14,MATCH(B394,Evaporasi!$A$3:$A$14,0))</f>
        <v>120</v>
      </c>
      <c r="F394" s="18" t="n">
        <f aca="false">Kawasan!$B$11*Kawasan!$B$9*C394/1000</f>
        <v>1847.04</v>
      </c>
      <c r="G394" s="18" t="n">
        <f aca="false">Kawasan!$B$28*D394</f>
        <v>1547.52</v>
      </c>
      <c r="H394" s="18" t="n">
        <f aca="false">E394*Desain_Kolam!$B$16/1000</f>
        <v>128.7</v>
      </c>
      <c r="I394" s="18" t="n">
        <f aca="false">F394-G394-H394</f>
        <v>170.82</v>
      </c>
      <c r="J394" s="18" t="n">
        <f aca="false">J393+I394</f>
        <v>12735.58</v>
      </c>
      <c r="K394" s="18" t="n">
        <f aca="false">MAX(K393,J394)</f>
        <v>12735.58</v>
      </c>
      <c r="L394" s="18" t="n">
        <f aca="false">K394-J394</f>
        <v>0</v>
      </c>
      <c r="M394" s="18" t="n">
        <f aca="false">MIN(Desain_Kolam!$B$21,MAX(0,M393+F394-H394-G394))</f>
        <v>12735.58</v>
      </c>
      <c r="N394" s="6" t="n">
        <f aca="false">IF(M393+F394-H394&gt;=G394,1,0)</f>
        <v>1</v>
      </c>
      <c r="O394" s="18" t="n">
        <f aca="false">E394*Desain_Kolam!$B$24/1000</f>
        <v>609.18</v>
      </c>
      <c r="P394" s="18" t="n">
        <f aca="false">F394-G394-O394</f>
        <v>-309.66</v>
      </c>
      <c r="Q394" s="18" t="n">
        <f aca="false">Q393+P394</f>
        <v>-6003.14</v>
      </c>
      <c r="R394" s="18" t="n">
        <f aca="false">MAX(R393,Q394)</f>
        <v>2129.14</v>
      </c>
      <c r="S394" s="18" t="n">
        <f aca="false">R394-Q394</f>
        <v>8132.28</v>
      </c>
      <c r="T394" s="18" t="n">
        <f aca="false">E394*Desain_Kolam!$B$34/1000</f>
        <v>1406.16</v>
      </c>
      <c r="U394" s="18" t="n">
        <f aca="false">F394-G394-T394</f>
        <v>-1106.64</v>
      </c>
      <c r="V394" s="18" t="n">
        <f aca="false">V393+U394</f>
        <v>-37085.36</v>
      </c>
      <c r="W394" s="18" t="n">
        <f aca="false">MAX(W393,V394)</f>
        <v>0</v>
      </c>
      <c r="X394" s="18" t="n">
        <f aca="false">W394-V394</f>
        <v>37085.36</v>
      </c>
    </row>
    <row r="395" customFormat="false" ht="15" hidden="false" customHeight="false" outlineLevel="0" collapsed="false">
      <c r="A395" s="6" t="n">
        <v>2015</v>
      </c>
      <c r="B395" s="6" t="n">
        <v>4</v>
      </c>
      <c r="C395" s="4" t="n">
        <v>202</v>
      </c>
      <c r="D395" s="6" t="n">
        <v>30</v>
      </c>
      <c r="E395" s="4" t="n">
        <f aca="false">INDEX(Evaporasi!$B$3:$B$14,MATCH(B395,Evaporasi!$A$3:$A$14,0))</f>
        <v>120</v>
      </c>
      <c r="F395" s="18" t="n">
        <f aca="false">Kawasan!$B$11*Kawasan!$B$9*C395/1000</f>
        <v>1680.64</v>
      </c>
      <c r="G395" s="18" t="n">
        <f aca="false">Kawasan!$B$28*D395</f>
        <v>1497.6</v>
      </c>
      <c r="H395" s="18" t="n">
        <f aca="false">E395*Desain_Kolam!$B$16/1000</f>
        <v>128.7</v>
      </c>
      <c r="I395" s="18" t="n">
        <f aca="false">F395-G395-H395</f>
        <v>54.34</v>
      </c>
      <c r="J395" s="18" t="n">
        <f aca="false">J394+I395</f>
        <v>12789.92</v>
      </c>
      <c r="K395" s="18" t="n">
        <f aca="false">MAX(K394,J395)</f>
        <v>12789.92</v>
      </c>
      <c r="L395" s="18" t="n">
        <f aca="false">K395-J395</f>
        <v>0</v>
      </c>
      <c r="M395" s="18" t="n">
        <f aca="false">MIN(Desain_Kolam!$B$21,MAX(0,M394+F395-H395-G395))</f>
        <v>12789.92</v>
      </c>
      <c r="N395" s="6" t="n">
        <f aca="false">IF(M394+F395-H395&gt;=G395,1,0)</f>
        <v>1</v>
      </c>
      <c r="O395" s="18" t="n">
        <f aca="false">E395*Desain_Kolam!$B$24/1000</f>
        <v>609.18</v>
      </c>
      <c r="P395" s="18" t="n">
        <f aca="false">F395-G395-O395</f>
        <v>-426.14</v>
      </c>
      <c r="Q395" s="18" t="n">
        <f aca="false">Q394+P395</f>
        <v>-6429.28</v>
      </c>
      <c r="R395" s="18" t="n">
        <f aca="false">MAX(R394,Q395)</f>
        <v>2129.14</v>
      </c>
      <c r="S395" s="18" t="n">
        <f aca="false">R395-Q395</f>
        <v>8558.42</v>
      </c>
      <c r="T395" s="18" t="n">
        <f aca="false">E395*Desain_Kolam!$B$34/1000</f>
        <v>1406.16</v>
      </c>
      <c r="U395" s="18" t="n">
        <f aca="false">F395-G395-T395</f>
        <v>-1223.12</v>
      </c>
      <c r="V395" s="18" t="n">
        <f aca="false">V394+U395</f>
        <v>-38308.48</v>
      </c>
      <c r="W395" s="18" t="n">
        <f aca="false">MAX(W394,V395)</f>
        <v>0</v>
      </c>
      <c r="X395" s="18" t="n">
        <f aca="false">W395-V395</f>
        <v>38308.48</v>
      </c>
    </row>
    <row r="396" customFormat="false" ht="15" hidden="false" customHeight="false" outlineLevel="0" collapsed="false">
      <c r="A396" s="6" t="n">
        <v>2015</v>
      </c>
      <c r="B396" s="6" t="n">
        <v>5</v>
      </c>
      <c r="C396" s="4" t="n">
        <v>341</v>
      </c>
      <c r="D396" s="6" t="n">
        <v>31</v>
      </c>
      <c r="E396" s="4" t="n">
        <f aca="false">INDEX(Evaporasi!$B$3:$B$14,MATCH(B396,Evaporasi!$A$3:$A$14,0))</f>
        <v>120</v>
      </c>
      <c r="F396" s="18" t="n">
        <f aca="false">Kawasan!$B$11*Kawasan!$B$9*C396/1000</f>
        <v>2837.12</v>
      </c>
      <c r="G396" s="18" t="n">
        <f aca="false">Kawasan!$B$28*D396</f>
        <v>1547.52</v>
      </c>
      <c r="H396" s="18" t="n">
        <f aca="false">E396*Desain_Kolam!$B$16/1000</f>
        <v>128.7</v>
      </c>
      <c r="I396" s="18" t="n">
        <f aca="false">F396-G396-H396</f>
        <v>1160.9</v>
      </c>
      <c r="J396" s="18" t="n">
        <f aca="false">J395+I396</f>
        <v>13950.82</v>
      </c>
      <c r="K396" s="18" t="n">
        <f aca="false">MAX(K395,J396)</f>
        <v>13950.82</v>
      </c>
      <c r="L396" s="18" t="n">
        <f aca="false">K396-J396</f>
        <v>0</v>
      </c>
      <c r="M396" s="18" t="n">
        <f aca="false">MIN(Desain_Kolam!$B$21,MAX(0,M395+F396-H396-G396))</f>
        <v>13950.82</v>
      </c>
      <c r="N396" s="6" t="n">
        <f aca="false">IF(M395+F396-H396&gt;=G396,1,0)</f>
        <v>1</v>
      </c>
      <c r="O396" s="18" t="n">
        <f aca="false">E396*Desain_Kolam!$B$24/1000</f>
        <v>609.18</v>
      </c>
      <c r="P396" s="18" t="n">
        <f aca="false">F396-G396-O396</f>
        <v>680.42</v>
      </c>
      <c r="Q396" s="18" t="n">
        <f aca="false">Q395+P396</f>
        <v>-5748.86</v>
      </c>
      <c r="R396" s="18" t="n">
        <f aca="false">MAX(R395,Q396)</f>
        <v>2129.14</v>
      </c>
      <c r="S396" s="18" t="n">
        <f aca="false">R396-Q396</f>
        <v>7878</v>
      </c>
      <c r="T396" s="18" t="n">
        <f aca="false">E396*Desain_Kolam!$B$34/1000</f>
        <v>1406.16</v>
      </c>
      <c r="U396" s="18" t="n">
        <f aca="false">F396-G396-T396</f>
        <v>-116.56</v>
      </c>
      <c r="V396" s="18" t="n">
        <f aca="false">V395+U396</f>
        <v>-38425.04</v>
      </c>
      <c r="W396" s="18" t="n">
        <f aca="false">MAX(W395,V396)</f>
        <v>0</v>
      </c>
      <c r="X396" s="18" t="n">
        <f aca="false">W396-V396</f>
        <v>38425.04</v>
      </c>
    </row>
    <row r="397" customFormat="false" ht="15" hidden="false" customHeight="false" outlineLevel="0" collapsed="false">
      <c r="A397" s="6" t="n">
        <v>2015</v>
      </c>
      <c r="B397" s="6" t="n">
        <v>6</v>
      </c>
      <c r="C397" s="4" t="n">
        <v>284</v>
      </c>
      <c r="D397" s="6" t="n">
        <v>30</v>
      </c>
      <c r="E397" s="4" t="n">
        <f aca="false">INDEX(Evaporasi!$B$3:$B$14,MATCH(B397,Evaporasi!$A$3:$A$14,0))</f>
        <v>120</v>
      </c>
      <c r="F397" s="18" t="n">
        <f aca="false">Kawasan!$B$11*Kawasan!$B$9*C397/1000</f>
        <v>2362.88</v>
      </c>
      <c r="G397" s="18" t="n">
        <f aca="false">Kawasan!$B$28*D397</f>
        <v>1497.6</v>
      </c>
      <c r="H397" s="18" t="n">
        <f aca="false">E397*Desain_Kolam!$B$16/1000</f>
        <v>128.7</v>
      </c>
      <c r="I397" s="18" t="n">
        <f aca="false">F397-G397-H397</f>
        <v>736.58</v>
      </c>
      <c r="J397" s="18" t="n">
        <f aca="false">J396+I397</f>
        <v>14687.4</v>
      </c>
      <c r="K397" s="18" t="n">
        <f aca="false">MAX(K396,J397)</f>
        <v>14687.4</v>
      </c>
      <c r="L397" s="18" t="n">
        <f aca="false">K397-J397</f>
        <v>0</v>
      </c>
      <c r="M397" s="18" t="n">
        <f aca="false">MIN(Desain_Kolam!$B$21,MAX(0,M396+F397-H397-G397))</f>
        <v>14687.4</v>
      </c>
      <c r="N397" s="6" t="n">
        <f aca="false">IF(M396+F397-H397&gt;=G397,1,0)</f>
        <v>1</v>
      </c>
      <c r="O397" s="18" t="n">
        <f aca="false">E397*Desain_Kolam!$B$24/1000</f>
        <v>609.18</v>
      </c>
      <c r="P397" s="18" t="n">
        <f aca="false">F397-G397-O397</f>
        <v>256.1</v>
      </c>
      <c r="Q397" s="18" t="n">
        <f aca="false">Q396+P397</f>
        <v>-5492.76</v>
      </c>
      <c r="R397" s="18" t="n">
        <f aca="false">MAX(R396,Q397)</f>
        <v>2129.14</v>
      </c>
      <c r="S397" s="18" t="n">
        <f aca="false">R397-Q397</f>
        <v>7621.9</v>
      </c>
      <c r="T397" s="18" t="n">
        <f aca="false">E397*Desain_Kolam!$B$34/1000</f>
        <v>1406.16</v>
      </c>
      <c r="U397" s="18" t="n">
        <f aca="false">F397-G397-T397</f>
        <v>-540.88</v>
      </c>
      <c r="V397" s="18" t="n">
        <f aca="false">V396+U397</f>
        <v>-38965.92</v>
      </c>
      <c r="W397" s="18" t="n">
        <f aca="false">MAX(W396,V397)</f>
        <v>0</v>
      </c>
      <c r="X397" s="18" t="n">
        <f aca="false">W397-V397</f>
        <v>38965.92</v>
      </c>
    </row>
    <row r="398" customFormat="false" ht="15" hidden="false" customHeight="false" outlineLevel="0" collapsed="false">
      <c r="A398" s="6" t="n">
        <v>2015</v>
      </c>
      <c r="B398" s="6" t="n">
        <v>7</v>
      </c>
      <c r="C398" s="4" t="n">
        <v>290</v>
      </c>
      <c r="D398" s="6" t="n">
        <v>31</v>
      </c>
      <c r="E398" s="4" t="n">
        <f aca="false">INDEX(Evaporasi!$B$3:$B$14,MATCH(B398,Evaporasi!$A$3:$A$14,0))</f>
        <v>120</v>
      </c>
      <c r="F398" s="18" t="n">
        <f aca="false">Kawasan!$B$11*Kawasan!$B$9*C398/1000</f>
        <v>2412.8</v>
      </c>
      <c r="G398" s="18" t="n">
        <f aca="false">Kawasan!$B$28*D398</f>
        <v>1547.52</v>
      </c>
      <c r="H398" s="18" t="n">
        <f aca="false">E398*Desain_Kolam!$B$16/1000</f>
        <v>128.7</v>
      </c>
      <c r="I398" s="18" t="n">
        <f aca="false">F398-G398-H398</f>
        <v>736.58</v>
      </c>
      <c r="J398" s="18" t="n">
        <f aca="false">J397+I398</f>
        <v>15423.98</v>
      </c>
      <c r="K398" s="18" t="n">
        <f aca="false">MAX(K397,J398)</f>
        <v>15423.98</v>
      </c>
      <c r="L398" s="18" t="n">
        <f aca="false">K398-J398</f>
        <v>0</v>
      </c>
      <c r="M398" s="18" t="n">
        <f aca="false">MIN(Desain_Kolam!$B$21,MAX(0,M397+F398-H398-G398))</f>
        <v>15148.38</v>
      </c>
      <c r="N398" s="6" t="n">
        <f aca="false">IF(M397+F398-H398&gt;=G398,1,0)</f>
        <v>1</v>
      </c>
      <c r="O398" s="18" t="n">
        <f aca="false">E398*Desain_Kolam!$B$24/1000</f>
        <v>609.18</v>
      </c>
      <c r="P398" s="18" t="n">
        <f aca="false">F398-G398-O398</f>
        <v>256.1</v>
      </c>
      <c r="Q398" s="18" t="n">
        <f aca="false">Q397+P398</f>
        <v>-5236.66</v>
      </c>
      <c r="R398" s="18" t="n">
        <f aca="false">MAX(R397,Q398)</f>
        <v>2129.14</v>
      </c>
      <c r="S398" s="18" t="n">
        <f aca="false">R398-Q398</f>
        <v>7365.8</v>
      </c>
      <c r="T398" s="18" t="n">
        <f aca="false">E398*Desain_Kolam!$B$34/1000</f>
        <v>1406.16</v>
      </c>
      <c r="U398" s="18" t="n">
        <f aca="false">F398-G398-T398</f>
        <v>-540.88</v>
      </c>
      <c r="V398" s="18" t="n">
        <f aca="false">V397+U398</f>
        <v>-39506.8</v>
      </c>
      <c r="W398" s="18" t="n">
        <f aca="false">MAX(W397,V398)</f>
        <v>0</v>
      </c>
      <c r="X398" s="18" t="n">
        <f aca="false">W398-V398</f>
        <v>39506.8</v>
      </c>
    </row>
    <row r="399" customFormat="false" ht="15" hidden="false" customHeight="false" outlineLevel="0" collapsed="false">
      <c r="A399" s="6" t="n">
        <v>2015</v>
      </c>
      <c r="B399" s="6" t="n">
        <v>8</v>
      </c>
      <c r="C399" s="4" t="n">
        <v>86</v>
      </c>
      <c r="D399" s="6" t="n">
        <v>31</v>
      </c>
      <c r="E399" s="4" t="n">
        <f aca="false">INDEX(Evaporasi!$B$3:$B$14,MATCH(B399,Evaporasi!$A$3:$A$14,0))</f>
        <v>120</v>
      </c>
      <c r="F399" s="18" t="n">
        <f aca="false">Kawasan!$B$11*Kawasan!$B$9*C399/1000</f>
        <v>715.52</v>
      </c>
      <c r="G399" s="18" t="n">
        <f aca="false">Kawasan!$B$28*D399</f>
        <v>1547.52</v>
      </c>
      <c r="H399" s="18" t="n">
        <f aca="false">E399*Desain_Kolam!$B$16/1000</f>
        <v>128.7</v>
      </c>
      <c r="I399" s="18" t="n">
        <f aca="false">F399-G399-H399</f>
        <v>-960.7</v>
      </c>
      <c r="J399" s="18" t="n">
        <f aca="false">J398+I399</f>
        <v>14463.28</v>
      </c>
      <c r="K399" s="18" t="n">
        <f aca="false">MAX(K398,J399)</f>
        <v>15423.98</v>
      </c>
      <c r="L399" s="18" t="n">
        <f aca="false">K399-J399</f>
        <v>960.700000000001</v>
      </c>
      <c r="M399" s="18" t="n">
        <f aca="false">MIN(Desain_Kolam!$B$21,MAX(0,M398+F399-H399-G399))</f>
        <v>14187.68</v>
      </c>
      <c r="N399" s="6" t="n">
        <f aca="false">IF(M398+F399-H399&gt;=G399,1,0)</f>
        <v>1</v>
      </c>
      <c r="O399" s="18" t="n">
        <f aca="false">E399*Desain_Kolam!$B$24/1000</f>
        <v>609.18</v>
      </c>
      <c r="P399" s="18" t="n">
        <f aca="false">F399-G399-O399</f>
        <v>-1441.18</v>
      </c>
      <c r="Q399" s="18" t="n">
        <f aca="false">Q398+P399</f>
        <v>-6677.84</v>
      </c>
      <c r="R399" s="18" t="n">
        <f aca="false">MAX(R398,Q399)</f>
        <v>2129.14</v>
      </c>
      <c r="S399" s="18" t="n">
        <f aca="false">R399-Q399</f>
        <v>8806.98</v>
      </c>
      <c r="T399" s="18" t="n">
        <f aca="false">E399*Desain_Kolam!$B$34/1000</f>
        <v>1406.16</v>
      </c>
      <c r="U399" s="18" t="n">
        <f aca="false">F399-G399-T399</f>
        <v>-2238.16</v>
      </c>
      <c r="V399" s="18" t="n">
        <f aca="false">V398+U399</f>
        <v>-41744.96</v>
      </c>
      <c r="W399" s="18" t="n">
        <f aca="false">MAX(W398,V399)</f>
        <v>0</v>
      </c>
      <c r="X399" s="18" t="n">
        <f aca="false">W399-V399</f>
        <v>41744.96</v>
      </c>
    </row>
    <row r="400" customFormat="false" ht="15" hidden="false" customHeight="false" outlineLevel="0" collapsed="false">
      <c r="A400" s="6" t="n">
        <v>2015</v>
      </c>
      <c r="B400" s="6" t="n">
        <v>9</v>
      </c>
      <c r="C400" s="4" t="n">
        <v>37</v>
      </c>
      <c r="D400" s="6" t="n">
        <v>30</v>
      </c>
      <c r="E400" s="4" t="n">
        <f aca="false">INDEX(Evaporasi!$B$3:$B$14,MATCH(B400,Evaporasi!$A$3:$A$14,0))</f>
        <v>120</v>
      </c>
      <c r="F400" s="18" t="n">
        <f aca="false">Kawasan!$B$11*Kawasan!$B$9*C400/1000</f>
        <v>307.84</v>
      </c>
      <c r="G400" s="18" t="n">
        <f aca="false">Kawasan!$B$28*D400</f>
        <v>1497.6</v>
      </c>
      <c r="H400" s="18" t="n">
        <f aca="false">E400*Desain_Kolam!$B$16/1000</f>
        <v>128.7</v>
      </c>
      <c r="I400" s="18" t="n">
        <f aca="false">F400-G400-H400</f>
        <v>-1318.46</v>
      </c>
      <c r="J400" s="18" t="n">
        <f aca="false">J399+I400</f>
        <v>13144.82</v>
      </c>
      <c r="K400" s="18" t="n">
        <f aca="false">MAX(K399,J400)</f>
        <v>15423.98</v>
      </c>
      <c r="L400" s="18" t="n">
        <f aca="false">K400-J400</f>
        <v>2279.16</v>
      </c>
      <c r="M400" s="18" t="n">
        <f aca="false">MIN(Desain_Kolam!$B$21,MAX(0,M399+F400-H400-G400))</f>
        <v>12869.22</v>
      </c>
      <c r="N400" s="6" t="n">
        <f aca="false">IF(M399+F400-H400&gt;=G400,1,0)</f>
        <v>1</v>
      </c>
      <c r="O400" s="18" t="n">
        <f aca="false">E400*Desain_Kolam!$B$24/1000</f>
        <v>609.18</v>
      </c>
      <c r="P400" s="18" t="n">
        <f aca="false">F400-G400-O400</f>
        <v>-1798.94</v>
      </c>
      <c r="Q400" s="18" t="n">
        <f aca="false">Q399+P400</f>
        <v>-8476.78</v>
      </c>
      <c r="R400" s="18" t="n">
        <f aca="false">MAX(R399,Q400)</f>
        <v>2129.14</v>
      </c>
      <c r="S400" s="18" t="n">
        <f aca="false">R400-Q400</f>
        <v>10605.92</v>
      </c>
      <c r="T400" s="18" t="n">
        <f aca="false">E400*Desain_Kolam!$B$34/1000</f>
        <v>1406.16</v>
      </c>
      <c r="U400" s="18" t="n">
        <f aca="false">F400-G400-T400</f>
        <v>-2595.92</v>
      </c>
      <c r="V400" s="18" t="n">
        <f aca="false">V399+U400</f>
        <v>-44340.88</v>
      </c>
      <c r="W400" s="18" t="n">
        <f aca="false">MAX(W399,V400)</f>
        <v>0</v>
      </c>
      <c r="X400" s="18" t="n">
        <f aca="false">W400-V400</f>
        <v>44340.88</v>
      </c>
    </row>
    <row r="401" customFormat="false" ht="15" hidden="false" customHeight="false" outlineLevel="0" collapsed="false">
      <c r="A401" s="6" t="n">
        <v>2015</v>
      </c>
      <c r="B401" s="6" t="n">
        <v>10</v>
      </c>
      <c r="C401" s="4" t="n">
        <v>159</v>
      </c>
      <c r="D401" s="6" t="n">
        <v>31</v>
      </c>
      <c r="E401" s="4" t="n">
        <f aca="false">INDEX(Evaporasi!$B$3:$B$14,MATCH(B401,Evaporasi!$A$3:$A$14,0))</f>
        <v>120</v>
      </c>
      <c r="F401" s="18" t="n">
        <f aca="false">Kawasan!$B$11*Kawasan!$B$9*C401/1000</f>
        <v>1322.88</v>
      </c>
      <c r="G401" s="18" t="n">
        <f aca="false">Kawasan!$B$28*D401</f>
        <v>1547.52</v>
      </c>
      <c r="H401" s="18" t="n">
        <f aca="false">E401*Desain_Kolam!$B$16/1000</f>
        <v>128.7</v>
      </c>
      <c r="I401" s="18" t="n">
        <f aca="false">F401-G401-H401</f>
        <v>-353.34</v>
      </c>
      <c r="J401" s="18" t="n">
        <f aca="false">J400+I401</f>
        <v>12791.48</v>
      </c>
      <c r="K401" s="18" t="n">
        <f aca="false">MAX(K400,J401)</f>
        <v>15423.98</v>
      </c>
      <c r="L401" s="18" t="n">
        <f aca="false">K401-J401</f>
        <v>2632.5</v>
      </c>
      <c r="M401" s="18" t="n">
        <f aca="false">MIN(Desain_Kolam!$B$21,MAX(0,M400+F401-H401-G401))</f>
        <v>12515.88</v>
      </c>
      <c r="N401" s="6" t="n">
        <f aca="false">IF(M400+F401-H401&gt;=G401,1,0)</f>
        <v>1</v>
      </c>
      <c r="O401" s="18" t="n">
        <f aca="false">E401*Desain_Kolam!$B$24/1000</f>
        <v>609.18</v>
      </c>
      <c r="P401" s="18" t="n">
        <f aca="false">F401-G401-O401</f>
        <v>-833.82</v>
      </c>
      <c r="Q401" s="18" t="n">
        <f aca="false">Q400+P401</f>
        <v>-9310.6</v>
      </c>
      <c r="R401" s="18" t="n">
        <f aca="false">MAX(R400,Q401)</f>
        <v>2129.14</v>
      </c>
      <c r="S401" s="18" t="n">
        <f aca="false">R401-Q401</f>
        <v>11439.74</v>
      </c>
      <c r="T401" s="18" t="n">
        <f aca="false">E401*Desain_Kolam!$B$34/1000</f>
        <v>1406.16</v>
      </c>
      <c r="U401" s="18" t="n">
        <f aca="false">F401-G401-T401</f>
        <v>-1630.8</v>
      </c>
      <c r="V401" s="18" t="n">
        <f aca="false">V400+U401</f>
        <v>-45971.68</v>
      </c>
      <c r="W401" s="18" t="n">
        <f aca="false">MAX(W400,V401)</f>
        <v>0</v>
      </c>
      <c r="X401" s="18" t="n">
        <f aca="false">W401-V401</f>
        <v>45971.68</v>
      </c>
    </row>
    <row r="402" customFormat="false" ht="15" hidden="false" customHeight="false" outlineLevel="0" collapsed="false">
      <c r="A402" s="6" t="n">
        <v>2015</v>
      </c>
      <c r="B402" s="6" t="n">
        <v>11</v>
      </c>
      <c r="C402" s="4" t="n">
        <v>471</v>
      </c>
      <c r="D402" s="6" t="n">
        <v>30</v>
      </c>
      <c r="E402" s="4" t="n">
        <f aca="false">INDEX(Evaporasi!$B$3:$B$14,MATCH(B402,Evaporasi!$A$3:$A$14,0))</f>
        <v>120</v>
      </c>
      <c r="F402" s="18" t="n">
        <f aca="false">Kawasan!$B$11*Kawasan!$B$9*C402/1000</f>
        <v>3918.72</v>
      </c>
      <c r="G402" s="18" t="n">
        <f aca="false">Kawasan!$B$28*D402</f>
        <v>1497.6</v>
      </c>
      <c r="H402" s="18" t="n">
        <f aca="false">E402*Desain_Kolam!$B$16/1000</f>
        <v>128.7</v>
      </c>
      <c r="I402" s="18" t="n">
        <f aca="false">F402-G402-H402</f>
        <v>2292.42</v>
      </c>
      <c r="J402" s="18" t="n">
        <f aca="false">J401+I402</f>
        <v>15083.9</v>
      </c>
      <c r="K402" s="18" t="n">
        <f aca="false">MAX(K401,J402)</f>
        <v>15423.98</v>
      </c>
      <c r="L402" s="18" t="n">
        <f aca="false">K402-J402</f>
        <v>340.080000000002</v>
      </c>
      <c r="M402" s="18" t="n">
        <f aca="false">MIN(Desain_Kolam!$B$21,MAX(0,M401+F402-H402-G402))</f>
        <v>14808.3</v>
      </c>
      <c r="N402" s="6" t="n">
        <f aca="false">IF(M401+F402-H402&gt;=G402,1,0)</f>
        <v>1</v>
      </c>
      <c r="O402" s="18" t="n">
        <f aca="false">E402*Desain_Kolam!$B$24/1000</f>
        <v>609.18</v>
      </c>
      <c r="P402" s="18" t="n">
        <f aca="false">F402-G402-O402</f>
        <v>1811.94</v>
      </c>
      <c r="Q402" s="18" t="n">
        <f aca="false">Q401+P402</f>
        <v>-7498.66</v>
      </c>
      <c r="R402" s="18" t="n">
        <f aca="false">MAX(R401,Q402)</f>
        <v>2129.14</v>
      </c>
      <c r="S402" s="18" t="n">
        <f aca="false">R402-Q402</f>
        <v>9627.8</v>
      </c>
      <c r="T402" s="18" t="n">
        <f aca="false">E402*Desain_Kolam!$B$34/1000</f>
        <v>1406.16</v>
      </c>
      <c r="U402" s="18" t="n">
        <f aca="false">F402-G402-T402</f>
        <v>1014.96</v>
      </c>
      <c r="V402" s="18" t="n">
        <f aca="false">V401+U402</f>
        <v>-44956.72</v>
      </c>
      <c r="W402" s="18" t="n">
        <f aca="false">MAX(W401,V402)</f>
        <v>0</v>
      </c>
      <c r="X402" s="18" t="n">
        <f aca="false">W402-V402</f>
        <v>44956.72</v>
      </c>
    </row>
    <row r="403" customFormat="false" ht="15" hidden="false" customHeight="false" outlineLevel="0" collapsed="false">
      <c r="A403" s="6" t="n">
        <v>2015</v>
      </c>
      <c r="B403" s="6" t="n">
        <v>12</v>
      </c>
      <c r="C403" s="4" t="n">
        <v>252</v>
      </c>
      <c r="D403" s="6" t="n">
        <v>31</v>
      </c>
      <c r="E403" s="4" t="n">
        <f aca="false">INDEX(Evaporasi!$B$3:$B$14,MATCH(B403,Evaporasi!$A$3:$A$14,0))</f>
        <v>120</v>
      </c>
      <c r="F403" s="18" t="n">
        <f aca="false">Kawasan!$B$11*Kawasan!$B$9*C403/1000</f>
        <v>2096.64</v>
      </c>
      <c r="G403" s="18" t="n">
        <f aca="false">Kawasan!$B$28*D403</f>
        <v>1547.52</v>
      </c>
      <c r="H403" s="18" t="n">
        <f aca="false">E403*Desain_Kolam!$B$16/1000</f>
        <v>128.7</v>
      </c>
      <c r="I403" s="18" t="n">
        <f aca="false">F403-G403-H403</f>
        <v>420.42</v>
      </c>
      <c r="J403" s="18" t="n">
        <f aca="false">J402+I403</f>
        <v>15504.32</v>
      </c>
      <c r="K403" s="18" t="n">
        <f aca="false">MAX(K402,J403)</f>
        <v>15504.32</v>
      </c>
      <c r="L403" s="18" t="n">
        <f aca="false">K403-J403</f>
        <v>0</v>
      </c>
      <c r="M403" s="18" t="n">
        <f aca="false">MIN(Desain_Kolam!$B$21,MAX(0,M402+F403-H403-G403))</f>
        <v>15148.38</v>
      </c>
      <c r="N403" s="6" t="n">
        <f aca="false">IF(M402+F403-H403&gt;=G403,1,0)</f>
        <v>1</v>
      </c>
      <c r="O403" s="18" t="n">
        <f aca="false">E403*Desain_Kolam!$B$24/1000</f>
        <v>609.18</v>
      </c>
      <c r="P403" s="18" t="n">
        <f aca="false">F403-G403-O403</f>
        <v>-60.0600000000001</v>
      </c>
      <c r="Q403" s="18" t="n">
        <f aca="false">Q402+P403</f>
        <v>-7558.72</v>
      </c>
      <c r="R403" s="18" t="n">
        <f aca="false">MAX(R402,Q403)</f>
        <v>2129.14</v>
      </c>
      <c r="S403" s="18" t="n">
        <f aca="false">R403-Q403</f>
        <v>9687.86</v>
      </c>
      <c r="T403" s="18" t="n">
        <f aca="false">E403*Desain_Kolam!$B$34/1000</f>
        <v>1406.16</v>
      </c>
      <c r="U403" s="18" t="n">
        <f aca="false">F403-G403-T403</f>
        <v>-857.04</v>
      </c>
      <c r="V403" s="18" t="n">
        <f aca="false">V402+U403</f>
        <v>-45813.76</v>
      </c>
      <c r="W403" s="18" t="n">
        <f aca="false">MAX(W402,V403)</f>
        <v>0</v>
      </c>
      <c r="X403" s="18" t="n">
        <f aca="false">W403-V403</f>
        <v>45813.76</v>
      </c>
    </row>
    <row r="404" customFormat="false" ht="15" hidden="false" customHeight="false" outlineLevel="0" collapsed="false">
      <c r="A404" s="6" t="n">
        <v>2016</v>
      </c>
      <c r="B404" s="6" t="n">
        <v>1</v>
      </c>
      <c r="C404" s="4" t="n">
        <v>245</v>
      </c>
      <c r="D404" s="6" t="n">
        <v>31</v>
      </c>
      <c r="E404" s="4" t="n">
        <f aca="false">INDEX(Evaporasi!$B$3:$B$14,MATCH(B404,Evaporasi!$A$3:$A$14,0))</f>
        <v>120</v>
      </c>
      <c r="F404" s="18" t="n">
        <f aca="false">Kawasan!$B$11*Kawasan!$B$9*C404/1000</f>
        <v>2038.4</v>
      </c>
      <c r="G404" s="18" t="n">
        <f aca="false">Kawasan!$B$28*D404</f>
        <v>1547.52</v>
      </c>
      <c r="H404" s="18" t="n">
        <f aca="false">E404*Desain_Kolam!$B$16/1000</f>
        <v>128.7</v>
      </c>
      <c r="I404" s="18" t="n">
        <f aca="false">F404-G404-H404</f>
        <v>362.18</v>
      </c>
      <c r="J404" s="18" t="n">
        <f aca="false">J403+I404</f>
        <v>15866.5</v>
      </c>
      <c r="K404" s="18" t="n">
        <f aca="false">MAX(K403,J404)</f>
        <v>15866.5</v>
      </c>
      <c r="L404" s="18" t="n">
        <f aca="false">K404-J404</f>
        <v>0</v>
      </c>
      <c r="M404" s="18" t="n">
        <f aca="false">MIN(Desain_Kolam!$B$21,MAX(0,M403+F404-H404-G404))</f>
        <v>15148.38</v>
      </c>
      <c r="N404" s="6" t="n">
        <f aca="false">IF(M403+F404-H404&gt;=G404,1,0)</f>
        <v>1</v>
      </c>
      <c r="O404" s="18" t="n">
        <f aca="false">E404*Desain_Kolam!$B$24/1000</f>
        <v>609.18</v>
      </c>
      <c r="P404" s="18" t="n">
        <f aca="false">F404-G404-O404</f>
        <v>-118.3</v>
      </c>
      <c r="Q404" s="18" t="n">
        <f aca="false">Q403+P404</f>
        <v>-7677.02</v>
      </c>
      <c r="R404" s="18" t="n">
        <f aca="false">MAX(R403,Q404)</f>
        <v>2129.14</v>
      </c>
      <c r="S404" s="18" t="n">
        <f aca="false">R404-Q404</f>
        <v>9806.16</v>
      </c>
      <c r="T404" s="18" t="n">
        <f aca="false">E404*Desain_Kolam!$B$34/1000</f>
        <v>1406.16</v>
      </c>
      <c r="U404" s="18" t="n">
        <f aca="false">F404-G404-T404</f>
        <v>-915.28</v>
      </c>
      <c r="V404" s="18" t="n">
        <f aca="false">V403+U404</f>
        <v>-46729.04</v>
      </c>
      <c r="W404" s="18" t="n">
        <f aca="false">MAX(W403,V404)</f>
        <v>0</v>
      </c>
      <c r="X404" s="18" t="n">
        <f aca="false">W404-V404</f>
        <v>46729.04</v>
      </c>
    </row>
    <row r="405" customFormat="false" ht="15" hidden="false" customHeight="false" outlineLevel="0" collapsed="false">
      <c r="A405" s="6" t="n">
        <v>2016</v>
      </c>
      <c r="B405" s="6" t="n">
        <v>2</v>
      </c>
      <c r="C405" s="4" t="n">
        <v>204</v>
      </c>
      <c r="D405" s="6" t="n">
        <v>29</v>
      </c>
      <c r="E405" s="4" t="n">
        <f aca="false">INDEX(Evaporasi!$B$3:$B$14,MATCH(B405,Evaporasi!$A$3:$A$14,0))</f>
        <v>120</v>
      </c>
      <c r="F405" s="18" t="n">
        <f aca="false">Kawasan!$B$11*Kawasan!$B$9*C405/1000</f>
        <v>1697.28</v>
      </c>
      <c r="G405" s="18" t="n">
        <f aca="false">Kawasan!$B$28*D405</f>
        <v>1447.68</v>
      </c>
      <c r="H405" s="18" t="n">
        <f aca="false">E405*Desain_Kolam!$B$16/1000</f>
        <v>128.7</v>
      </c>
      <c r="I405" s="18" t="n">
        <f aca="false">F405-G405-H405</f>
        <v>120.9</v>
      </c>
      <c r="J405" s="18" t="n">
        <f aca="false">J404+I405</f>
        <v>15987.4</v>
      </c>
      <c r="K405" s="18" t="n">
        <f aca="false">MAX(K404,J405)</f>
        <v>15987.4</v>
      </c>
      <c r="L405" s="18" t="n">
        <f aca="false">K405-J405</f>
        <v>0</v>
      </c>
      <c r="M405" s="18" t="n">
        <f aca="false">MIN(Desain_Kolam!$B$21,MAX(0,M404+F405-H405-G405))</f>
        <v>15148.38</v>
      </c>
      <c r="N405" s="6" t="n">
        <f aca="false">IF(M404+F405-H405&gt;=G405,1,0)</f>
        <v>1</v>
      </c>
      <c r="O405" s="18" t="n">
        <f aca="false">E405*Desain_Kolam!$B$24/1000</f>
        <v>609.18</v>
      </c>
      <c r="P405" s="18" t="n">
        <f aca="false">F405-G405-O405</f>
        <v>-359.58</v>
      </c>
      <c r="Q405" s="18" t="n">
        <f aca="false">Q404+P405</f>
        <v>-8036.6</v>
      </c>
      <c r="R405" s="18" t="n">
        <f aca="false">MAX(R404,Q405)</f>
        <v>2129.14</v>
      </c>
      <c r="S405" s="18" t="n">
        <f aca="false">R405-Q405</f>
        <v>10165.74</v>
      </c>
      <c r="T405" s="18" t="n">
        <f aca="false">E405*Desain_Kolam!$B$34/1000</f>
        <v>1406.16</v>
      </c>
      <c r="U405" s="18" t="n">
        <f aca="false">F405-G405-T405</f>
        <v>-1156.56</v>
      </c>
      <c r="V405" s="18" t="n">
        <f aca="false">V404+U405</f>
        <v>-47885.6</v>
      </c>
      <c r="W405" s="18" t="n">
        <f aca="false">MAX(W404,V405)</f>
        <v>0</v>
      </c>
      <c r="X405" s="18" t="n">
        <f aca="false">W405-V405</f>
        <v>47885.6</v>
      </c>
    </row>
    <row r="406" customFormat="false" ht="15" hidden="false" customHeight="false" outlineLevel="0" collapsed="false">
      <c r="A406" s="6" t="n">
        <v>2016</v>
      </c>
      <c r="B406" s="6" t="n">
        <v>3</v>
      </c>
      <c r="C406" s="4" t="n">
        <v>381</v>
      </c>
      <c r="D406" s="6" t="n">
        <v>31</v>
      </c>
      <c r="E406" s="4" t="n">
        <f aca="false">INDEX(Evaporasi!$B$3:$B$14,MATCH(B406,Evaporasi!$A$3:$A$14,0))</f>
        <v>120</v>
      </c>
      <c r="F406" s="18" t="n">
        <f aca="false">Kawasan!$B$11*Kawasan!$B$9*C406/1000</f>
        <v>3169.92</v>
      </c>
      <c r="G406" s="18" t="n">
        <f aca="false">Kawasan!$B$28*D406</f>
        <v>1547.52</v>
      </c>
      <c r="H406" s="18" t="n">
        <f aca="false">E406*Desain_Kolam!$B$16/1000</f>
        <v>128.7</v>
      </c>
      <c r="I406" s="18" t="n">
        <f aca="false">F406-G406-H406</f>
        <v>1493.7</v>
      </c>
      <c r="J406" s="18" t="n">
        <f aca="false">J405+I406</f>
        <v>17481.1</v>
      </c>
      <c r="K406" s="18" t="n">
        <f aca="false">MAX(K405,J406)</f>
        <v>17481.1</v>
      </c>
      <c r="L406" s="18" t="n">
        <f aca="false">K406-J406</f>
        <v>0</v>
      </c>
      <c r="M406" s="18" t="n">
        <f aca="false">MIN(Desain_Kolam!$B$21,MAX(0,M405+F406-H406-G406))</f>
        <v>15148.38</v>
      </c>
      <c r="N406" s="6" t="n">
        <f aca="false">IF(M405+F406-H406&gt;=G406,1,0)</f>
        <v>1</v>
      </c>
      <c r="O406" s="18" t="n">
        <f aca="false">E406*Desain_Kolam!$B$24/1000</f>
        <v>609.18</v>
      </c>
      <c r="P406" s="18" t="n">
        <f aca="false">F406-G406-O406</f>
        <v>1013.22</v>
      </c>
      <c r="Q406" s="18" t="n">
        <f aca="false">Q405+P406</f>
        <v>-7023.38</v>
      </c>
      <c r="R406" s="18" t="n">
        <f aca="false">MAX(R405,Q406)</f>
        <v>2129.14</v>
      </c>
      <c r="S406" s="18" t="n">
        <f aca="false">R406-Q406</f>
        <v>9152.52</v>
      </c>
      <c r="T406" s="18" t="n">
        <f aca="false">E406*Desain_Kolam!$B$34/1000</f>
        <v>1406.16</v>
      </c>
      <c r="U406" s="18" t="n">
        <f aca="false">F406-G406-T406</f>
        <v>216.24</v>
      </c>
      <c r="V406" s="18" t="n">
        <f aca="false">V405+U406</f>
        <v>-47669.36</v>
      </c>
      <c r="W406" s="18" t="n">
        <f aca="false">MAX(W405,V406)</f>
        <v>0</v>
      </c>
      <c r="X406" s="18" t="n">
        <f aca="false">W406-V406</f>
        <v>47669.36</v>
      </c>
    </row>
    <row r="407" customFormat="false" ht="15" hidden="false" customHeight="false" outlineLevel="0" collapsed="false">
      <c r="A407" s="6" t="n">
        <v>2016</v>
      </c>
      <c r="B407" s="6" t="n">
        <v>4</v>
      </c>
      <c r="C407" s="4" t="n">
        <v>274</v>
      </c>
      <c r="D407" s="6" t="n">
        <v>30</v>
      </c>
      <c r="E407" s="4" t="n">
        <f aca="false">INDEX(Evaporasi!$B$3:$B$14,MATCH(B407,Evaporasi!$A$3:$A$14,0))</f>
        <v>120</v>
      </c>
      <c r="F407" s="18" t="n">
        <f aca="false">Kawasan!$B$11*Kawasan!$B$9*C407/1000</f>
        <v>2279.68</v>
      </c>
      <c r="G407" s="18" t="n">
        <f aca="false">Kawasan!$B$28*D407</f>
        <v>1497.6</v>
      </c>
      <c r="H407" s="18" t="n">
        <f aca="false">E407*Desain_Kolam!$B$16/1000</f>
        <v>128.7</v>
      </c>
      <c r="I407" s="18" t="n">
        <f aca="false">F407-G407-H407</f>
        <v>653.38</v>
      </c>
      <c r="J407" s="18" t="n">
        <f aca="false">J406+I407</f>
        <v>18134.48</v>
      </c>
      <c r="K407" s="18" t="n">
        <f aca="false">MAX(K406,J407)</f>
        <v>18134.48</v>
      </c>
      <c r="L407" s="18" t="n">
        <f aca="false">K407-J407</f>
        <v>0</v>
      </c>
      <c r="M407" s="18" t="n">
        <f aca="false">MIN(Desain_Kolam!$B$21,MAX(0,M406+F407-H407-G407))</f>
        <v>15148.38</v>
      </c>
      <c r="N407" s="6" t="n">
        <f aca="false">IF(M406+F407-H407&gt;=G407,1,0)</f>
        <v>1</v>
      </c>
      <c r="O407" s="18" t="n">
        <f aca="false">E407*Desain_Kolam!$B$24/1000</f>
        <v>609.18</v>
      </c>
      <c r="P407" s="18" t="n">
        <f aca="false">F407-G407-O407</f>
        <v>172.9</v>
      </c>
      <c r="Q407" s="18" t="n">
        <f aca="false">Q406+P407</f>
        <v>-6850.48</v>
      </c>
      <c r="R407" s="18" t="n">
        <f aca="false">MAX(R406,Q407)</f>
        <v>2129.14</v>
      </c>
      <c r="S407" s="18" t="n">
        <f aca="false">R407-Q407</f>
        <v>8979.62</v>
      </c>
      <c r="T407" s="18" t="n">
        <f aca="false">E407*Desain_Kolam!$B$34/1000</f>
        <v>1406.16</v>
      </c>
      <c r="U407" s="18" t="n">
        <f aca="false">F407-G407-T407</f>
        <v>-624.08</v>
      </c>
      <c r="V407" s="18" t="n">
        <f aca="false">V406+U407</f>
        <v>-48293.44</v>
      </c>
      <c r="W407" s="18" t="n">
        <f aca="false">MAX(W406,V407)</f>
        <v>0</v>
      </c>
      <c r="X407" s="18" t="n">
        <f aca="false">W407-V407</f>
        <v>48293.44</v>
      </c>
    </row>
    <row r="408" customFormat="false" ht="15" hidden="false" customHeight="false" outlineLevel="0" collapsed="false">
      <c r="A408" s="6" t="n">
        <v>2016</v>
      </c>
      <c r="B408" s="6" t="n">
        <v>5</v>
      </c>
      <c r="C408" s="4" t="n">
        <v>514</v>
      </c>
      <c r="D408" s="6" t="n">
        <v>31</v>
      </c>
      <c r="E408" s="4" t="n">
        <f aca="false">INDEX(Evaporasi!$B$3:$B$14,MATCH(B408,Evaporasi!$A$3:$A$14,0))</f>
        <v>120</v>
      </c>
      <c r="F408" s="18" t="n">
        <f aca="false">Kawasan!$B$11*Kawasan!$B$9*C408/1000</f>
        <v>4276.48</v>
      </c>
      <c r="G408" s="18" t="n">
        <f aca="false">Kawasan!$B$28*D408</f>
        <v>1547.52</v>
      </c>
      <c r="H408" s="18" t="n">
        <f aca="false">E408*Desain_Kolam!$B$16/1000</f>
        <v>128.7</v>
      </c>
      <c r="I408" s="18" t="n">
        <f aca="false">F408-G408-H408</f>
        <v>2600.26</v>
      </c>
      <c r="J408" s="18" t="n">
        <f aca="false">J407+I408</f>
        <v>20734.74</v>
      </c>
      <c r="K408" s="18" t="n">
        <f aca="false">MAX(K407,J408)</f>
        <v>20734.74</v>
      </c>
      <c r="L408" s="18" t="n">
        <f aca="false">K408-J408</f>
        <v>0</v>
      </c>
      <c r="M408" s="18" t="n">
        <f aca="false">MIN(Desain_Kolam!$B$21,MAX(0,M407+F408-H408-G408))</f>
        <v>15148.38</v>
      </c>
      <c r="N408" s="6" t="n">
        <f aca="false">IF(M407+F408-H408&gt;=G408,1,0)</f>
        <v>1</v>
      </c>
      <c r="O408" s="18" t="n">
        <f aca="false">E408*Desain_Kolam!$B$24/1000</f>
        <v>609.18</v>
      </c>
      <c r="P408" s="18" t="n">
        <f aca="false">F408-G408-O408</f>
        <v>2119.78</v>
      </c>
      <c r="Q408" s="18" t="n">
        <f aca="false">Q407+P408</f>
        <v>-4730.7</v>
      </c>
      <c r="R408" s="18" t="n">
        <f aca="false">MAX(R407,Q408)</f>
        <v>2129.14</v>
      </c>
      <c r="S408" s="18" t="n">
        <f aca="false">R408-Q408</f>
        <v>6859.84</v>
      </c>
      <c r="T408" s="18" t="n">
        <f aca="false">E408*Desain_Kolam!$B$34/1000</f>
        <v>1406.16</v>
      </c>
      <c r="U408" s="18" t="n">
        <f aca="false">F408-G408-T408</f>
        <v>1322.8</v>
      </c>
      <c r="V408" s="18" t="n">
        <f aca="false">V407+U408</f>
        <v>-46970.64</v>
      </c>
      <c r="W408" s="18" t="n">
        <f aca="false">MAX(W407,V408)</f>
        <v>0</v>
      </c>
      <c r="X408" s="18" t="n">
        <f aca="false">W408-V408</f>
        <v>46970.64</v>
      </c>
    </row>
    <row r="409" customFormat="false" ht="15" hidden="false" customHeight="false" outlineLevel="0" collapsed="false">
      <c r="A409" s="6" t="n">
        <v>2016</v>
      </c>
      <c r="B409" s="6" t="n">
        <v>6</v>
      </c>
      <c r="C409" s="4" t="n">
        <v>279</v>
      </c>
      <c r="D409" s="6" t="n">
        <v>30</v>
      </c>
      <c r="E409" s="4" t="n">
        <f aca="false">INDEX(Evaporasi!$B$3:$B$14,MATCH(B409,Evaporasi!$A$3:$A$14,0))</f>
        <v>120</v>
      </c>
      <c r="F409" s="18" t="n">
        <f aca="false">Kawasan!$B$11*Kawasan!$B$9*C409/1000</f>
        <v>2321.28</v>
      </c>
      <c r="G409" s="18" t="n">
        <f aca="false">Kawasan!$B$28*D409</f>
        <v>1497.6</v>
      </c>
      <c r="H409" s="18" t="n">
        <f aca="false">E409*Desain_Kolam!$B$16/1000</f>
        <v>128.7</v>
      </c>
      <c r="I409" s="18" t="n">
        <f aca="false">F409-G409-H409</f>
        <v>694.98</v>
      </c>
      <c r="J409" s="18" t="n">
        <f aca="false">J408+I409</f>
        <v>21429.72</v>
      </c>
      <c r="K409" s="18" t="n">
        <f aca="false">MAX(K408,J409)</f>
        <v>21429.72</v>
      </c>
      <c r="L409" s="18" t="n">
        <f aca="false">K409-J409</f>
        <v>0</v>
      </c>
      <c r="M409" s="18" t="n">
        <f aca="false">MIN(Desain_Kolam!$B$21,MAX(0,M408+F409-H409-G409))</f>
        <v>15148.38</v>
      </c>
      <c r="N409" s="6" t="n">
        <f aca="false">IF(M408+F409-H409&gt;=G409,1,0)</f>
        <v>1</v>
      </c>
      <c r="O409" s="18" t="n">
        <f aca="false">E409*Desain_Kolam!$B$24/1000</f>
        <v>609.18</v>
      </c>
      <c r="P409" s="18" t="n">
        <f aca="false">F409-G409-O409</f>
        <v>214.5</v>
      </c>
      <c r="Q409" s="18" t="n">
        <f aca="false">Q408+P409</f>
        <v>-4516.2</v>
      </c>
      <c r="R409" s="18" t="n">
        <f aca="false">MAX(R408,Q409)</f>
        <v>2129.14</v>
      </c>
      <c r="S409" s="18" t="n">
        <f aca="false">R409-Q409</f>
        <v>6645.34</v>
      </c>
      <c r="T409" s="18" t="n">
        <f aca="false">E409*Desain_Kolam!$B$34/1000</f>
        <v>1406.16</v>
      </c>
      <c r="U409" s="18" t="n">
        <f aca="false">F409-G409-T409</f>
        <v>-582.48</v>
      </c>
      <c r="V409" s="18" t="n">
        <f aca="false">V408+U409</f>
        <v>-47553.12</v>
      </c>
      <c r="W409" s="18" t="n">
        <f aca="false">MAX(W408,V409)</f>
        <v>0</v>
      </c>
      <c r="X409" s="18" t="n">
        <f aca="false">W409-V409</f>
        <v>47553.12</v>
      </c>
    </row>
    <row r="410" customFormat="false" ht="15" hidden="false" customHeight="false" outlineLevel="0" collapsed="false">
      <c r="A410" s="6" t="n">
        <v>2016</v>
      </c>
      <c r="B410" s="6" t="n">
        <v>7</v>
      </c>
      <c r="C410" s="4" t="n">
        <v>254</v>
      </c>
      <c r="D410" s="6" t="n">
        <v>31</v>
      </c>
      <c r="E410" s="4" t="n">
        <f aca="false">INDEX(Evaporasi!$B$3:$B$14,MATCH(B410,Evaporasi!$A$3:$A$14,0))</f>
        <v>120</v>
      </c>
      <c r="F410" s="18" t="n">
        <f aca="false">Kawasan!$B$11*Kawasan!$B$9*C410/1000</f>
        <v>2113.28</v>
      </c>
      <c r="G410" s="18" t="n">
        <f aca="false">Kawasan!$B$28*D410</f>
        <v>1547.52</v>
      </c>
      <c r="H410" s="18" t="n">
        <f aca="false">E410*Desain_Kolam!$B$16/1000</f>
        <v>128.7</v>
      </c>
      <c r="I410" s="18" t="n">
        <f aca="false">F410-G410-H410</f>
        <v>437.06</v>
      </c>
      <c r="J410" s="18" t="n">
        <f aca="false">J409+I410</f>
        <v>21866.78</v>
      </c>
      <c r="K410" s="18" t="n">
        <f aca="false">MAX(K409,J410)</f>
        <v>21866.78</v>
      </c>
      <c r="L410" s="18" t="n">
        <f aca="false">K410-J410</f>
        <v>0</v>
      </c>
      <c r="M410" s="18" t="n">
        <f aca="false">MIN(Desain_Kolam!$B$21,MAX(0,M409+F410-H410-G410))</f>
        <v>15148.38</v>
      </c>
      <c r="N410" s="6" t="n">
        <f aca="false">IF(M409+F410-H410&gt;=G410,1,0)</f>
        <v>1</v>
      </c>
      <c r="O410" s="18" t="n">
        <f aca="false">E410*Desain_Kolam!$B$24/1000</f>
        <v>609.18</v>
      </c>
      <c r="P410" s="18" t="n">
        <f aca="false">F410-G410-O410</f>
        <v>-43.4199999999997</v>
      </c>
      <c r="Q410" s="18" t="n">
        <f aca="false">Q409+P410</f>
        <v>-4559.62</v>
      </c>
      <c r="R410" s="18" t="n">
        <f aca="false">MAX(R409,Q410)</f>
        <v>2129.14</v>
      </c>
      <c r="S410" s="18" t="n">
        <f aca="false">R410-Q410</f>
        <v>6688.76</v>
      </c>
      <c r="T410" s="18" t="n">
        <f aca="false">E410*Desain_Kolam!$B$34/1000</f>
        <v>1406.16</v>
      </c>
      <c r="U410" s="18" t="n">
        <f aca="false">F410-G410-T410</f>
        <v>-840.4</v>
      </c>
      <c r="V410" s="18" t="n">
        <f aca="false">V409+U410</f>
        <v>-48393.52</v>
      </c>
      <c r="W410" s="18" t="n">
        <f aca="false">MAX(W409,V410)</f>
        <v>0</v>
      </c>
      <c r="X410" s="18" t="n">
        <f aca="false">W410-V410</f>
        <v>48393.52</v>
      </c>
    </row>
    <row r="411" customFormat="false" ht="15" hidden="false" customHeight="false" outlineLevel="0" collapsed="false">
      <c r="A411" s="6" t="n">
        <v>2016</v>
      </c>
      <c r="B411" s="6" t="n">
        <v>8</v>
      </c>
      <c r="C411" s="4" t="n">
        <v>14</v>
      </c>
      <c r="D411" s="6" t="n">
        <v>31</v>
      </c>
      <c r="E411" s="4" t="n">
        <f aca="false">INDEX(Evaporasi!$B$3:$B$14,MATCH(B411,Evaporasi!$A$3:$A$14,0))</f>
        <v>120</v>
      </c>
      <c r="F411" s="18" t="n">
        <f aca="false">Kawasan!$B$11*Kawasan!$B$9*C411/1000</f>
        <v>116.48</v>
      </c>
      <c r="G411" s="18" t="n">
        <f aca="false">Kawasan!$B$28*D411</f>
        <v>1547.52</v>
      </c>
      <c r="H411" s="18" t="n">
        <f aca="false">E411*Desain_Kolam!$B$16/1000</f>
        <v>128.7</v>
      </c>
      <c r="I411" s="18" t="n">
        <f aca="false">F411-G411-H411</f>
        <v>-1559.74</v>
      </c>
      <c r="J411" s="18" t="n">
        <f aca="false">J410+I411</f>
        <v>20307.04</v>
      </c>
      <c r="K411" s="18" t="n">
        <f aca="false">MAX(K410,J411)</f>
        <v>21866.78</v>
      </c>
      <c r="L411" s="18" t="n">
        <f aca="false">K411-J411</f>
        <v>1559.74</v>
      </c>
      <c r="M411" s="18" t="n">
        <f aca="false">MIN(Desain_Kolam!$B$21,MAX(0,M410+F411-H411-G411))</f>
        <v>13588.64</v>
      </c>
      <c r="N411" s="6" t="n">
        <f aca="false">IF(M410+F411-H411&gt;=G411,1,0)</f>
        <v>1</v>
      </c>
      <c r="O411" s="18" t="n">
        <f aca="false">E411*Desain_Kolam!$B$24/1000</f>
        <v>609.18</v>
      </c>
      <c r="P411" s="18" t="n">
        <f aca="false">F411-G411-O411</f>
        <v>-2040.22</v>
      </c>
      <c r="Q411" s="18" t="n">
        <f aca="false">Q410+P411</f>
        <v>-6599.84</v>
      </c>
      <c r="R411" s="18" t="n">
        <f aca="false">MAX(R410,Q411)</f>
        <v>2129.14</v>
      </c>
      <c r="S411" s="18" t="n">
        <f aca="false">R411-Q411</f>
        <v>8728.98</v>
      </c>
      <c r="T411" s="18" t="n">
        <f aca="false">E411*Desain_Kolam!$B$34/1000</f>
        <v>1406.16</v>
      </c>
      <c r="U411" s="18" t="n">
        <f aca="false">F411-G411-T411</f>
        <v>-2837.2</v>
      </c>
      <c r="V411" s="18" t="n">
        <f aca="false">V410+U411</f>
        <v>-51230.72</v>
      </c>
      <c r="W411" s="18" t="n">
        <f aca="false">MAX(W410,V411)</f>
        <v>0</v>
      </c>
      <c r="X411" s="18" t="n">
        <f aca="false">W411-V411</f>
        <v>51230.72</v>
      </c>
    </row>
    <row r="412" customFormat="false" ht="15" hidden="false" customHeight="false" outlineLevel="0" collapsed="false">
      <c r="A412" s="6" t="n">
        <v>2016</v>
      </c>
      <c r="B412" s="6" t="n">
        <v>9</v>
      </c>
      <c r="C412" s="4" t="n">
        <v>200</v>
      </c>
      <c r="D412" s="6" t="n">
        <v>30</v>
      </c>
      <c r="E412" s="4" t="n">
        <f aca="false">INDEX(Evaporasi!$B$3:$B$14,MATCH(B412,Evaporasi!$A$3:$A$14,0))</f>
        <v>120</v>
      </c>
      <c r="F412" s="18" t="n">
        <f aca="false">Kawasan!$B$11*Kawasan!$B$9*C412/1000</f>
        <v>1664</v>
      </c>
      <c r="G412" s="18" t="n">
        <f aca="false">Kawasan!$B$28*D412</f>
        <v>1497.6</v>
      </c>
      <c r="H412" s="18" t="n">
        <f aca="false">E412*Desain_Kolam!$B$16/1000</f>
        <v>128.7</v>
      </c>
      <c r="I412" s="18" t="n">
        <f aca="false">F412-G412-H412</f>
        <v>37.6999999999999</v>
      </c>
      <c r="J412" s="18" t="n">
        <f aca="false">J411+I412</f>
        <v>20344.74</v>
      </c>
      <c r="K412" s="18" t="n">
        <f aca="false">MAX(K411,J412)</f>
        <v>21866.78</v>
      </c>
      <c r="L412" s="18" t="n">
        <f aca="false">K412-J412</f>
        <v>1522.04</v>
      </c>
      <c r="M412" s="18" t="n">
        <f aca="false">MIN(Desain_Kolam!$B$21,MAX(0,M411+F412-H412-G412))</f>
        <v>13626.34</v>
      </c>
      <c r="N412" s="6" t="n">
        <f aca="false">IF(M411+F412-H412&gt;=G412,1,0)</f>
        <v>1</v>
      </c>
      <c r="O412" s="18" t="n">
        <f aca="false">E412*Desain_Kolam!$B$24/1000</f>
        <v>609.18</v>
      </c>
      <c r="P412" s="18" t="n">
        <f aca="false">F412-G412-O412</f>
        <v>-442.78</v>
      </c>
      <c r="Q412" s="18" t="n">
        <f aca="false">Q411+P412</f>
        <v>-7042.62</v>
      </c>
      <c r="R412" s="18" t="n">
        <f aca="false">MAX(R411,Q412)</f>
        <v>2129.14</v>
      </c>
      <c r="S412" s="18" t="n">
        <f aca="false">R412-Q412</f>
        <v>9171.76</v>
      </c>
      <c r="T412" s="18" t="n">
        <f aca="false">E412*Desain_Kolam!$B$34/1000</f>
        <v>1406.16</v>
      </c>
      <c r="U412" s="18" t="n">
        <f aca="false">F412-G412-T412</f>
        <v>-1239.76</v>
      </c>
      <c r="V412" s="18" t="n">
        <f aca="false">V411+U412</f>
        <v>-52470.48</v>
      </c>
      <c r="W412" s="18" t="n">
        <f aca="false">MAX(W411,V412)</f>
        <v>0</v>
      </c>
      <c r="X412" s="18" t="n">
        <f aca="false">W412-V412</f>
        <v>52470.48</v>
      </c>
    </row>
    <row r="413" customFormat="false" ht="15" hidden="false" customHeight="false" outlineLevel="0" collapsed="false">
      <c r="A413" s="6" t="n">
        <v>2016</v>
      </c>
      <c r="B413" s="6" t="n">
        <v>10</v>
      </c>
      <c r="C413" s="4" t="n">
        <v>302</v>
      </c>
      <c r="D413" s="6" t="n">
        <v>31</v>
      </c>
      <c r="E413" s="4" t="n">
        <f aca="false">INDEX(Evaporasi!$B$3:$B$14,MATCH(B413,Evaporasi!$A$3:$A$14,0))</f>
        <v>120</v>
      </c>
      <c r="F413" s="18" t="n">
        <f aca="false">Kawasan!$B$11*Kawasan!$B$9*C413/1000</f>
        <v>2512.64</v>
      </c>
      <c r="G413" s="18" t="n">
        <f aca="false">Kawasan!$B$28*D413</f>
        <v>1547.52</v>
      </c>
      <c r="H413" s="18" t="n">
        <f aca="false">E413*Desain_Kolam!$B$16/1000</f>
        <v>128.7</v>
      </c>
      <c r="I413" s="18" t="n">
        <f aca="false">F413-G413-H413</f>
        <v>836.42</v>
      </c>
      <c r="J413" s="18" t="n">
        <f aca="false">J412+I413</f>
        <v>21181.16</v>
      </c>
      <c r="K413" s="18" t="n">
        <f aca="false">MAX(K412,J413)</f>
        <v>21866.78</v>
      </c>
      <c r="L413" s="18" t="n">
        <f aca="false">K413-J413</f>
        <v>685.620000000003</v>
      </c>
      <c r="M413" s="18" t="n">
        <f aca="false">MIN(Desain_Kolam!$B$21,MAX(0,M412+F413-H413-G413))</f>
        <v>14462.76</v>
      </c>
      <c r="N413" s="6" t="n">
        <f aca="false">IF(M412+F413-H413&gt;=G413,1,0)</f>
        <v>1</v>
      </c>
      <c r="O413" s="18" t="n">
        <f aca="false">E413*Desain_Kolam!$B$24/1000</f>
        <v>609.18</v>
      </c>
      <c r="P413" s="18" t="n">
        <f aca="false">F413-G413-O413</f>
        <v>355.94</v>
      </c>
      <c r="Q413" s="18" t="n">
        <f aca="false">Q412+P413</f>
        <v>-6686.68</v>
      </c>
      <c r="R413" s="18" t="n">
        <f aca="false">MAX(R412,Q413)</f>
        <v>2129.14</v>
      </c>
      <c r="S413" s="18" t="n">
        <f aca="false">R413-Q413</f>
        <v>8815.82</v>
      </c>
      <c r="T413" s="18" t="n">
        <f aca="false">E413*Desain_Kolam!$B$34/1000</f>
        <v>1406.16</v>
      </c>
      <c r="U413" s="18" t="n">
        <f aca="false">F413-G413-T413</f>
        <v>-441.04</v>
      </c>
      <c r="V413" s="18" t="n">
        <f aca="false">V412+U413</f>
        <v>-52911.52</v>
      </c>
      <c r="W413" s="18" t="n">
        <f aca="false">MAX(W412,V413)</f>
        <v>0</v>
      </c>
      <c r="X413" s="18" t="n">
        <f aca="false">W413-V413</f>
        <v>52911.52</v>
      </c>
    </row>
    <row r="414" customFormat="false" ht="15" hidden="false" customHeight="false" outlineLevel="0" collapsed="false">
      <c r="A414" s="6" t="n">
        <v>2016</v>
      </c>
      <c r="B414" s="6" t="n">
        <v>11</v>
      </c>
      <c r="C414" s="4" t="n">
        <v>256</v>
      </c>
      <c r="D414" s="6" t="n">
        <v>30</v>
      </c>
      <c r="E414" s="4" t="n">
        <f aca="false">INDEX(Evaporasi!$B$3:$B$14,MATCH(B414,Evaporasi!$A$3:$A$14,0))</f>
        <v>120</v>
      </c>
      <c r="F414" s="18" t="n">
        <f aca="false">Kawasan!$B$11*Kawasan!$B$9*C414/1000</f>
        <v>2129.92</v>
      </c>
      <c r="G414" s="18" t="n">
        <f aca="false">Kawasan!$B$28*D414</f>
        <v>1497.6</v>
      </c>
      <c r="H414" s="18" t="n">
        <f aca="false">E414*Desain_Kolam!$B$16/1000</f>
        <v>128.7</v>
      </c>
      <c r="I414" s="18" t="n">
        <f aca="false">F414-G414-H414</f>
        <v>503.62</v>
      </c>
      <c r="J414" s="18" t="n">
        <f aca="false">J413+I414</f>
        <v>21684.78</v>
      </c>
      <c r="K414" s="18" t="n">
        <f aca="false">MAX(K413,J414)</f>
        <v>21866.78</v>
      </c>
      <c r="L414" s="18" t="n">
        <f aca="false">K414-J414</f>
        <v>182.000000000004</v>
      </c>
      <c r="M414" s="18" t="n">
        <f aca="false">MIN(Desain_Kolam!$B$21,MAX(0,M413+F414-H414-G414))</f>
        <v>14966.38</v>
      </c>
      <c r="N414" s="6" t="n">
        <f aca="false">IF(M413+F414-H414&gt;=G414,1,0)</f>
        <v>1</v>
      </c>
      <c r="O414" s="18" t="n">
        <f aca="false">E414*Desain_Kolam!$B$24/1000</f>
        <v>609.18</v>
      </c>
      <c r="P414" s="18" t="n">
        <f aca="false">F414-G414-O414</f>
        <v>23.14</v>
      </c>
      <c r="Q414" s="18" t="n">
        <f aca="false">Q413+P414</f>
        <v>-6663.54</v>
      </c>
      <c r="R414" s="18" t="n">
        <f aca="false">MAX(R413,Q414)</f>
        <v>2129.14</v>
      </c>
      <c r="S414" s="18" t="n">
        <f aca="false">R414-Q414</f>
        <v>8792.68</v>
      </c>
      <c r="T414" s="18" t="n">
        <f aca="false">E414*Desain_Kolam!$B$34/1000</f>
        <v>1406.16</v>
      </c>
      <c r="U414" s="18" t="n">
        <f aca="false">F414-G414-T414</f>
        <v>-773.84</v>
      </c>
      <c r="V414" s="18" t="n">
        <f aca="false">V413+U414</f>
        <v>-53685.36</v>
      </c>
      <c r="W414" s="18" t="n">
        <f aca="false">MAX(W413,V414)</f>
        <v>0</v>
      </c>
      <c r="X414" s="18" t="n">
        <f aca="false">W414-V414</f>
        <v>53685.36</v>
      </c>
    </row>
    <row r="415" customFormat="false" ht="15" hidden="false" customHeight="false" outlineLevel="0" collapsed="false">
      <c r="A415" s="6" t="n">
        <v>2016</v>
      </c>
      <c r="B415" s="6" t="n">
        <v>12</v>
      </c>
      <c r="C415" s="4" t="n">
        <v>305</v>
      </c>
      <c r="D415" s="6" t="n">
        <v>31</v>
      </c>
      <c r="E415" s="4" t="n">
        <f aca="false">INDEX(Evaporasi!$B$3:$B$14,MATCH(B415,Evaporasi!$A$3:$A$14,0))</f>
        <v>120</v>
      </c>
      <c r="F415" s="18" t="n">
        <f aca="false">Kawasan!$B$11*Kawasan!$B$9*C415/1000</f>
        <v>2537.6</v>
      </c>
      <c r="G415" s="18" t="n">
        <f aca="false">Kawasan!$B$28*D415</f>
        <v>1547.52</v>
      </c>
      <c r="H415" s="18" t="n">
        <f aca="false">E415*Desain_Kolam!$B$16/1000</f>
        <v>128.7</v>
      </c>
      <c r="I415" s="18" t="n">
        <f aca="false">F415-G415-H415</f>
        <v>861.38</v>
      </c>
      <c r="J415" s="18" t="n">
        <f aca="false">J414+I415</f>
        <v>22546.16</v>
      </c>
      <c r="K415" s="18" t="n">
        <f aca="false">MAX(K414,J415)</f>
        <v>22546.16</v>
      </c>
      <c r="L415" s="18" t="n">
        <f aca="false">K415-J415</f>
        <v>0</v>
      </c>
      <c r="M415" s="18" t="n">
        <f aca="false">MIN(Desain_Kolam!$B$21,MAX(0,M414+F415-H415-G415))</f>
        <v>15148.38</v>
      </c>
      <c r="N415" s="6" t="n">
        <f aca="false">IF(M414+F415-H415&gt;=G415,1,0)</f>
        <v>1</v>
      </c>
      <c r="O415" s="18" t="n">
        <f aca="false">E415*Desain_Kolam!$B$24/1000</f>
        <v>609.18</v>
      </c>
      <c r="P415" s="18" t="n">
        <f aca="false">F415-G415-O415</f>
        <v>380.9</v>
      </c>
      <c r="Q415" s="18" t="n">
        <f aca="false">Q414+P415</f>
        <v>-6282.64</v>
      </c>
      <c r="R415" s="18" t="n">
        <f aca="false">MAX(R414,Q415)</f>
        <v>2129.14</v>
      </c>
      <c r="S415" s="18" t="n">
        <f aca="false">R415-Q415</f>
        <v>8411.78</v>
      </c>
      <c r="T415" s="18" t="n">
        <f aca="false">E415*Desain_Kolam!$B$34/1000</f>
        <v>1406.16</v>
      </c>
      <c r="U415" s="18" t="n">
        <f aca="false">F415-G415-T415</f>
        <v>-416.08</v>
      </c>
      <c r="V415" s="18" t="n">
        <f aca="false">V414+U415</f>
        <v>-54101.44</v>
      </c>
      <c r="W415" s="18" t="n">
        <f aca="false">MAX(W414,V415)</f>
        <v>0</v>
      </c>
      <c r="X415" s="18" t="n">
        <f aca="false">W415-V415</f>
        <v>54101.44</v>
      </c>
    </row>
    <row r="416" customFormat="false" ht="15" hidden="false" customHeight="false" outlineLevel="0" collapsed="false">
      <c r="A416" s="6" t="n">
        <v>2017</v>
      </c>
      <c r="B416" s="6" t="n">
        <v>1</v>
      </c>
      <c r="C416" s="4" t="n">
        <v>212</v>
      </c>
      <c r="D416" s="6" t="n">
        <v>31</v>
      </c>
      <c r="E416" s="4" t="n">
        <f aca="false">INDEX(Evaporasi!$B$3:$B$14,MATCH(B416,Evaporasi!$A$3:$A$14,0))</f>
        <v>120</v>
      </c>
      <c r="F416" s="18" t="n">
        <f aca="false">Kawasan!$B$11*Kawasan!$B$9*C416/1000</f>
        <v>1763.84</v>
      </c>
      <c r="G416" s="18" t="n">
        <f aca="false">Kawasan!$B$28*D416</f>
        <v>1547.52</v>
      </c>
      <c r="H416" s="18" t="n">
        <f aca="false">E416*Desain_Kolam!$B$16/1000</f>
        <v>128.7</v>
      </c>
      <c r="I416" s="18" t="n">
        <f aca="false">F416-G416-H416</f>
        <v>87.62</v>
      </c>
      <c r="J416" s="18" t="n">
        <f aca="false">J415+I416</f>
        <v>22633.78</v>
      </c>
      <c r="K416" s="18" t="n">
        <f aca="false">MAX(K415,J416)</f>
        <v>22633.78</v>
      </c>
      <c r="L416" s="18" t="n">
        <f aca="false">K416-J416</f>
        <v>0</v>
      </c>
      <c r="M416" s="18" t="n">
        <f aca="false">MIN(Desain_Kolam!$B$21,MAX(0,M415+F416-H416-G416))</f>
        <v>15148.38</v>
      </c>
      <c r="N416" s="6" t="n">
        <f aca="false">IF(M415+F416-H416&gt;=G416,1,0)</f>
        <v>1</v>
      </c>
      <c r="O416" s="18" t="n">
        <f aca="false">E416*Desain_Kolam!$B$24/1000</f>
        <v>609.18</v>
      </c>
      <c r="P416" s="18" t="n">
        <f aca="false">F416-G416-O416</f>
        <v>-392.86</v>
      </c>
      <c r="Q416" s="18" t="n">
        <f aca="false">Q415+P416</f>
        <v>-6675.5</v>
      </c>
      <c r="R416" s="18" t="n">
        <f aca="false">MAX(R415,Q416)</f>
        <v>2129.14</v>
      </c>
      <c r="S416" s="18" t="n">
        <f aca="false">R416-Q416</f>
        <v>8804.64</v>
      </c>
      <c r="T416" s="18" t="n">
        <f aca="false">E416*Desain_Kolam!$B$34/1000</f>
        <v>1406.16</v>
      </c>
      <c r="U416" s="18" t="n">
        <f aca="false">F416-G416-T416</f>
        <v>-1189.84</v>
      </c>
      <c r="V416" s="18" t="n">
        <f aca="false">V415+U416</f>
        <v>-55291.28</v>
      </c>
      <c r="W416" s="18" t="n">
        <f aca="false">MAX(W415,V416)</f>
        <v>0</v>
      </c>
      <c r="X416" s="18" t="n">
        <f aca="false">W416-V416</f>
        <v>55291.28</v>
      </c>
    </row>
    <row r="417" customFormat="false" ht="15" hidden="false" customHeight="false" outlineLevel="0" collapsed="false">
      <c r="A417" s="6" t="n">
        <v>2017</v>
      </c>
      <c r="B417" s="6" t="n">
        <v>2</v>
      </c>
      <c r="C417" s="4" t="n">
        <v>198</v>
      </c>
      <c r="D417" s="6" t="n">
        <v>28</v>
      </c>
      <c r="E417" s="4" t="n">
        <f aca="false">INDEX(Evaporasi!$B$3:$B$14,MATCH(B417,Evaporasi!$A$3:$A$14,0))</f>
        <v>120</v>
      </c>
      <c r="F417" s="18" t="n">
        <f aca="false">Kawasan!$B$11*Kawasan!$B$9*C417/1000</f>
        <v>1647.36</v>
      </c>
      <c r="G417" s="18" t="n">
        <f aca="false">Kawasan!$B$28*D417</f>
        <v>1397.76</v>
      </c>
      <c r="H417" s="18" t="n">
        <f aca="false">E417*Desain_Kolam!$B$16/1000</f>
        <v>128.7</v>
      </c>
      <c r="I417" s="18" t="n">
        <f aca="false">F417-G417-H417</f>
        <v>120.9</v>
      </c>
      <c r="J417" s="18" t="n">
        <f aca="false">J416+I417</f>
        <v>22754.68</v>
      </c>
      <c r="K417" s="18" t="n">
        <f aca="false">MAX(K416,J417)</f>
        <v>22754.68</v>
      </c>
      <c r="L417" s="18" t="n">
        <f aca="false">K417-J417</f>
        <v>0</v>
      </c>
      <c r="M417" s="18" t="n">
        <f aca="false">MIN(Desain_Kolam!$B$21,MAX(0,M416+F417-H417-G417))</f>
        <v>15148.38</v>
      </c>
      <c r="N417" s="6" t="n">
        <f aca="false">IF(M416+F417-H417&gt;=G417,1,0)</f>
        <v>1</v>
      </c>
      <c r="O417" s="18" t="n">
        <f aca="false">E417*Desain_Kolam!$B$24/1000</f>
        <v>609.18</v>
      </c>
      <c r="P417" s="18" t="n">
        <f aca="false">F417-G417-O417</f>
        <v>-359.58</v>
      </c>
      <c r="Q417" s="18" t="n">
        <f aca="false">Q416+P417</f>
        <v>-7035.08</v>
      </c>
      <c r="R417" s="18" t="n">
        <f aca="false">MAX(R416,Q417)</f>
        <v>2129.14</v>
      </c>
      <c r="S417" s="18" t="n">
        <f aca="false">R417-Q417</f>
        <v>9164.22</v>
      </c>
      <c r="T417" s="18" t="n">
        <f aca="false">E417*Desain_Kolam!$B$34/1000</f>
        <v>1406.16</v>
      </c>
      <c r="U417" s="18" t="n">
        <f aca="false">F417-G417-T417</f>
        <v>-1156.56</v>
      </c>
      <c r="V417" s="18" t="n">
        <f aca="false">V416+U417</f>
        <v>-56447.84</v>
      </c>
      <c r="W417" s="18" t="n">
        <f aca="false">MAX(W416,V417)</f>
        <v>0</v>
      </c>
      <c r="X417" s="18" t="n">
        <f aca="false">W417-V417</f>
        <v>56447.84</v>
      </c>
    </row>
    <row r="418" customFormat="false" ht="15" hidden="false" customHeight="false" outlineLevel="0" collapsed="false">
      <c r="A418" s="6" t="n">
        <v>2017</v>
      </c>
      <c r="B418" s="6" t="n">
        <v>3</v>
      </c>
      <c r="C418" s="4" t="n">
        <v>310</v>
      </c>
      <c r="D418" s="6" t="n">
        <v>31</v>
      </c>
      <c r="E418" s="4" t="n">
        <f aca="false">INDEX(Evaporasi!$B$3:$B$14,MATCH(B418,Evaporasi!$A$3:$A$14,0))</f>
        <v>120</v>
      </c>
      <c r="F418" s="18" t="n">
        <f aca="false">Kawasan!$B$11*Kawasan!$B$9*C418/1000</f>
        <v>2579.2</v>
      </c>
      <c r="G418" s="18" t="n">
        <f aca="false">Kawasan!$B$28*D418</f>
        <v>1547.52</v>
      </c>
      <c r="H418" s="18" t="n">
        <f aca="false">E418*Desain_Kolam!$B$16/1000</f>
        <v>128.7</v>
      </c>
      <c r="I418" s="18" t="n">
        <f aca="false">F418-G418-H418</f>
        <v>902.98</v>
      </c>
      <c r="J418" s="18" t="n">
        <f aca="false">J417+I418</f>
        <v>23657.66</v>
      </c>
      <c r="K418" s="18" t="n">
        <f aca="false">MAX(K417,J418)</f>
        <v>23657.66</v>
      </c>
      <c r="L418" s="18" t="n">
        <f aca="false">K418-J418</f>
        <v>0</v>
      </c>
      <c r="M418" s="18" t="n">
        <f aca="false">MIN(Desain_Kolam!$B$21,MAX(0,M417+F418-H418-G418))</f>
        <v>15148.38</v>
      </c>
      <c r="N418" s="6" t="n">
        <f aca="false">IF(M417+F418-H418&gt;=G418,1,0)</f>
        <v>1</v>
      </c>
      <c r="O418" s="18" t="n">
        <f aca="false">E418*Desain_Kolam!$B$24/1000</f>
        <v>609.18</v>
      </c>
      <c r="P418" s="18" t="n">
        <f aca="false">F418-G418-O418</f>
        <v>422.5</v>
      </c>
      <c r="Q418" s="18" t="n">
        <f aca="false">Q417+P418</f>
        <v>-6612.58</v>
      </c>
      <c r="R418" s="18" t="n">
        <f aca="false">MAX(R417,Q418)</f>
        <v>2129.14</v>
      </c>
      <c r="S418" s="18" t="n">
        <f aca="false">R418-Q418</f>
        <v>8741.72</v>
      </c>
      <c r="T418" s="18" t="n">
        <f aca="false">E418*Desain_Kolam!$B$34/1000</f>
        <v>1406.16</v>
      </c>
      <c r="U418" s="18" t="n">
        <f aca="false">F418-G418-T418</f>
        <v>-374.48</v>
      </c>
      <c r="V418" s="18" t="n">
        <f aca="false">V417+U418</f>
        <v>-56822.32</v>
      </c>
      <c r="W418" s="18" t="n">
        <f aca="false">MAX(W417,V418)</f>
        <v>0</v>
      </c>
      <c r="X418" s="18" t="n">
        <f aca="false">W418-V418</f>
        <v>56822.32</v>
      </c>
    </row>
    <row r="419" customFormat="false" ht="15" hidden="false" customHeight="false" outlineLevel="0" collapsed="false">
      <c r="A419" s="6" t="n">
        <v>2017</v>
      </c>
      <c r="B419" s="6" t="n">
        <v>4</v>
      </c>
      <c r="C419" s="4" t="n">
        <v>216</v>
      </c>
      <c r="D419" s="6" t="n">
        <v>30</v>
      </c>
      <c r="E419" s="4" t="n">
        <f aca="false">INDEX(Evaporasi!$B$3:$B$14,MATCH(B419,Evaporasi!$A$3:$A$14,0))</f>
        <v>120</v>
      </c>
      <c r="F419" s="18" t="n">
        <f aca="false">Kawasan!$B$11*Kawasan!$B$9*C419/1000</f>
        <v>1797.12</v>
      </c>
      <c r="G419" s="18" t="n">
        <f aca="false">Kawasan!$B$28*D419</f>
        <v>1497.6</v>
      </c>
      <c r="H419" s="18" t="n">
        <f aca="false">E419*Desain_Kolam!$B$16/1000</f>
        <v>128.7</v>
      </c>
      <c r="I419" s="18" t="n">
        <f aca="false">F419-G419-H419</f>
        <v>170.82</v>
      </c>
      <c r="J419" s="18" t="n">
        <f aca="false">J418+I419</f>
        <v>23828.48</v>
      </c>
      <c r="K419" s="18" t="n">
        <f aca="false">MAX(K418,J419)</f>
        <v>23828.48</v>
      </c>
      <c r="L419" s="18" t="n">
        <f aca="false">K419-J419</f>
        <v>0</v>
      </c>
      <c r="M419" s="18" t="n">
        <f aca="false">MIN(Desain_Kolam!$B$21,MAX(0,M418+F419-H419-G419))</f>
        <v>15148.38</v>
      </c>
      <c r="N419" s="6" t="n">
        <f aca="false">IF(M418+F419-H419&gt;=G419,1,0)</f>
        <v>1</v>
      </c>
      <c r="O419" s="18" t="n">
        <f aca="false">E419*Desain_Kolam!$B$24/1000</f>
        <v>609.18</v>
      </c>
      <c r="P419" s="18" t="n">
        <f aca="false">F419-G419-O419</f>
        <v>-309.66</v>
      </c>
      <c r="Q419" s="18" t="n">
        <f aca="false">Q418+P419</f>
        <v>-6922.24</v>
      </c>
      <c r="R419" s="18" t="n">
        <f aca="false">MAX(R418,Q419)</f>
        <v>2129.14</v>
      </c>
      <c r="S419" s="18" t="n">
        <f aca="false">R419-Q419</f>
        <v>9051.38</v>
      </c>
      <c r="T419" s="18" t="n">
        <f aca="false">E419*Desain_Kolam!$B$34/1000</f>
        <v>1406.16</v>
      </c>
      <c r="U419" s="18" t="n">
        <f aca="false">F419-G419-T419</f>
        <v>-1106.64</v>
      </c>
      <c r="V419" s="18" t="n">
        <f aca="false">V418+U419</f>
        <v>-57928.96</v>
      </c>
      <c r="W419" s="18" t="n">
        <f aca="false">MAX(W418,V419)</f>
        <v>0</v>
      </c>
      <c r="X419" s="18" t="n">
        <f aca="false">W419-V419</f>
        <v>57928.96</v>
      </c>
    </row>
    <row r="420" customFormat="false" ht="15" hidden="false" customHeight="false" outlineLevel="0" collapsed="false">
      <c r="A420" s="6" t="n">
        <v>2017</v>
      </c>
      <c r="B420" s="6" t="n">
        <v>5</v>
      </c>
      <c r="C420" s="4" t="n">
        <v>314</v>
      </c>
      <c r="D420" s="6" t="n">
        <v>31</v>
      </c>
      <c r="E420" s="4" t="n">
        <f aca="false">INDEX(Evaporasi!$B$3:$B$14,MATCH(B420,Evaporasi!$A$3:$A$14,0))</f>
        <v>120</v>
      </c>
      <c r="F420" s="18" t="n">
        <f aca="false">Kawasan!$B$11*Kawasan!$B$9*C420/1000</f>
        <v>2612.48</v>
      </c>
      <c r="G420" s="18" t="n">
        <f aca="false">Kawasan!$B$28*D420</f>
        <v>1547.52</v>
      </c>
      <c r="H420" s="18" t="n">
        <f aca="false">E420*Desain_Kolam!$B$16/1000</f>
        <v>128.7</v>
      </c>
      <c r="I420" s="18" t="n">
        <f aca="false">F420-G420-H420</f>
        <v>936.26</v>
      </c>
      <c r="J420" s="18" t="n">
        <f aca="false">J419+I420</f>
        <v>24764.74</v>
      </c>
      <c r="K420" s="18" t="n">
        <f aca="false">MAX(K419,J420)</f>
        <v>24764.74</v>
      </c>
      <c r="L420" s="18" t="n">
        <f aca="false">K420-J420</f>
        <v>0</v>
      </c>
      <c r="M420" s="18" t="n">
        <f aca="false">MIN(Desain_Kolam!$B$21,MAX(0,M419+F420-H420-G420))</f>
        <v>15148.38</v>
      </c>
      <c r="N420" s="6" t="n">
        <f aca="false">IF(M419+F420-H420&gt;=G420,1,0)</f>
        <v>1</v>
      </c>
      <c r="O420" s="18" t="n">
        <f aca="false">E420*Desain_Kolam!$B$24/1000</f>
        <v>609.18</v>
      </c>
      <c r="P420" s="18" t="n">
        <f aca="false">F420-G420-O420</f>
        <v>455.78</v>
      </c>
      <c r="Q420" s="18" t="n">
        <f aca="false">Q419+P420</f>
        <v>-6466.46</v>
      </c>
      <c r="R420" s="18" t="n">
        <f aca="false">MAX(R419,Q420)</f>
        <v>2129.14</v>
      </c>
      <c r="S420" s="18" t="n">
        <f aca="false">R420-Q420</f>
        <v>8595.6</v>
      </c>
      <c r="T420" s="18" t="n">
        <f aca="false">E420*Desain_Kolam!$B$34/1000</f>
        <v>1406.16</v>
      </c>
      <c r="U420" s="18" t="n">
        <f aca="false">F420-G420-T420</f>
        <v>-341.2</v>
      </c>
      <c r="V420" s="18" t="n">
        <f aca="false">V419+U420</f>
        <v>-58270.16</v>
      </c>
      <c r="W420" s="18" t="n">
        <f aca="false">MAX(W419,V420)</f>
        <v>0</v>
      </c>
      <c r="X420" s="18" t="n">
        <f aca="false">W420-V420</f>
        <v>58270.16</v>
      </c>
    </row>
    <row r="421" customFormat="false" ht="15" hidden="false" customHeight="false" outlineLevel="0" collapsed="false">
      <c r="A421" s="6" t="n">
        <v>2017</v>
      </c>
      <c r="B421" s="6" t="n">
        <v>6</v>
      </c>
      <c r="C421" s="4" t="n">
        <v>248</v>
      </c>
      <c r="D421" s="6" t="n">
        <v>30</v>
      </c>
      <c r="E421" s="4" t="n">
        <f aca="false">INDEX(Evaporasi!$B$3:$B$14,MATCH(B421,Evaporasi!$A$3:$A$14,0))</f>
        <v>120</v>
      </c>
      <c r="F421" s="18" t="n">
        <f aca="false">Kawasan!$B$11*Kawasan!$B$9*C421/1000</f>
        <v>2063.36</v>
      </c>
      <c r="G421" s="18" t="n">
        <f aca="false">Kawasan!$B$28*D421</f>
        <v>1497.6</v>
      </c>
      <c r="H421" s="18" t="n">
        <f aca="false">E421*Desain_Kolam!$B$16/1000</f>
        <v>128.7</v>
      </c>
      <c r="I421" s="18" t="n">
        <f aca="false">F421-G421-H421</f>
        <v>437.06</v>
      </c>
      <c r="J421" s="18" t="n">
        <f aca="false">J420+I421</f>
        <v>25201.8</v>
      </c>
      <c r="K421" s="18" t="n">
        <f aca="false">MAX(K420,J421)</f>
        <v>25201.8</v>
      </c>
      <c r="L421" s="18" t="n">
        <f aca="false">K421-J421</f>
        <v>0</v>
      </c>
      <c r="M421" s="18" t="n">
        <f aca="false">MIN(Desain_Kolam!$B$21,MAX(0,M420+F421-H421-G421))</f>
        <v>15148.38</v>
      </c>
      <c r="N421" s="6" t="n">
        <f aca="false">IF(M420+F421-H421&gt;=G421,1,0)</f>
        <v>1</v>
      </c>
      <c r="O421" s="18" t="n">
        <f aca="false">E421*Desain_Kolam!$B$24/1000</f>
        <v>609.18</v>
      </c>
      <c r="P421" s="18" t="n">
        <f aca="false">F421-G421-O421</f>
        <v>-43.42</v>
      </c>
      <c r="Q421" s="18" t="n">
        <f aca="false">Q420+P421</f>
        <v>-6509.88</v>
      </c>
      <c r="R421" s="18" t="n">
        <f aca="false">MAX(R420,Q421)</f>
        <v>2129.14</v>
      </c>
      <c r="S421" s="18" t="n">
        <f aca="false">R421-Q421</f>
        <v>8639.02</v>
      </c>
      <c r="T421" s="18" t="n">
        <f aca="false">E421*Desain_Kolam!$B$34/1000</f>
        <v>1406.16</v>
      </c>
      <c r="U421" s="18" t="n">
        <f aca="false">F421-G421-T421</f>
        <v>-840.4</v>
      </c>
      <c r="V421" s="18" t="n">
        <f aca="false">V420+U421</f>
        <v>-59110.56</v>
      </c>
      <c r="W421" s="18" t="n">
        <f aca="false">MAX(W420,V421)</f>
        <v>0</v>
      </c>
      <c r="X421" s="18" t="n">
        <f aca="false">W421-V421</f>
        <v>59110.56</v>
      </c>
    </row>
    <row r="422" customFormat="false" ht="15" hidden="false" customHeight="false" outlineLevel="0" collapsed="false">
      <c r="A422" s="6" t="n">
        <v>2017</v>
      </c>
      <c r="B422" s="6" t="n">
        <v>7</v>
      </c>
      <c r="C422" s="4" t="n">
        <v>279</v>
      </c>
      <c r="D422" s="6" t="n">
        <v>31</v>
      </c>
      <c r="E422" s="4" t="n">
        <f aca="false">INDEX(Evaporasi!$B$3:$B$14,MATCH(B422,Evaporasi!$A$3:$A$14,0))</f>
        <v>120</v>
      </c>
      <c r="F422" s="18" t="n">
        <f aca="false">Kawasan!$B$11*Kawasan!$B$9*C422/1000</f>
        <v>2321.28</v>
      </c>
      <c r="G422" s="18" t="n">
        <f aca="false">Kawasan!$B$28*D422</f>
        <v>1547.52</v>
      </c>
      <c r="H422" s="18" t="n">
        <f aca="false">E422*Desain_Kolam!$B$16/1000</f>
        <v>128.7</v>
      </c>
      <c r="I422" s="18" t="n">
        <f aca="false">F422-G422-H422</f>
        <v>645.06</v>
      </c>
      <c r="J422" s="18" t="n">
        <f aca="false">J421+I422</f>
        <v>25846.86</v>
      </c>
      <c r="K422" s="18" t="n">
        <f aca="false">MAX(K421,J422)</f>
        <v>25846.86</v>
      </c>
      <c r="L422" s="18" t="n">
        <f aca="false">K422-J422</f>
        <v>0</v>
      </c>
      <c r="M422" s="18" t="n">
        <f aca="false">MIN(Desain_Kolam!$B$21,MAX(0,M421+F422-H422-G422))</f>
        <v>15148.38</v>
      </c>
      <c r="N422" s="6" t="n">
        <f aca="false">IF(M421+F422-H422&gt;=G422,1,0)</f>
        <v>1</v>
      </c>
      <c r="O422" s="18" t="n">
        <f aca="false">E422*Desain_Kolam!$B$24/1000</f>
        <v>609.18</v>
      </c>
      <c r="P422" s="18" t="n">
        <f aca="false">F422-G422-O422</f>
        <v>164.58</v>
      </c>
      <c r="Q422" s="18" t="n">
        <f aca="false">Q421+P422</f>
        <v>-6345.3</v>
      </c>
      <c r="R422" s="18" t="n">
        <f aca="false">MAX(R421,Q422)</f>
        <v>2129.14</v>
      </c>
      <c r="S422" s="18" t="n">
        <f aca="false">R422-Q422</f>
        <v>8474.44</v>
      </c>
      <c r="T422" s="18" t="n">
        <f aca="false">E422*Desain_Kolam!$B$34/1000</f>
        <v>1406.16</v>
      </c>
      <c r="U422" s="18" t="n">
        <f aca="false">F422-G422-T422</f>
        <v>-632.4</v>
      </c>
      <c r="V422" s="18" t="n">
        <f aca="false">V421+U422</f>
        <v>-59742.96</v>
      </c>
      <c r="W422" s="18" t="n">
        <f aca="false">MAX(W421,V422)</f>
        <v>0</v>
      </c>
      <c r="X422" s="18" t="n">
        <f aca="false">W422-V422</f>
        <v>59742.96</v>
      </c>
    </row>
    <row r="423" customFormat="false" ht="15" hidden="false" customHeight="false" outlineLevel="0" collapsed="false">
      <c r="A423" s="6" t="n">
        <v>2017</v>
      </c>
      <c r="B423" s="6" t="n">
        <v>8</v>
      </c>
      <c r="C423" s="4" t="n">
        <v>321</v>
      </c>
      <c r="D423" s="6" t="n">
        <v>31</v>
      </c>
      <c r="E423" s="4" t="n">
        <f aca="false">INDEX(Evaporasi!$B$3:$B$14,MATCH(B423,Evaporasi!$A$3:$A$14,0))</f>
        <v>120</v>
      </c>
      <c r="F423" s="18" t="n">
        <f aca="false">Kawasan!$B$11*Kawasan!$B$9*C423/1000</f>
        <v>2670.72</v>
      </c>
      <c r="G423" s="18" t="n">
        <f aca="false">Kawasan!$B$28*D423</f>
        <v>1547.52</v>
      </c>
      <c r="H423" s="18" t="n">
        <f aca="false">E423*Desain_Kolam!$B$16/1000</f>
        <v>128.7</v>
      </c>
      <c r="I423" s="18" t="n">
        <f aca="false">F423-G423-H423</f>
        <v>994.5</v>
      </c>
      <c r="J423" s="18" t="n">
        <f aca="false">J422+I423</f>
        <v>26841.36</v>
      </c>
      <c r="K423" s="18" t="n">
        <f aca="false">MAX(K422,J423)</f>
        <v>26841.36</v>
      </c>
      <c r="L423" s="18" t="n">
        <f aca="false">K423-J423</f>
        <v>0</v>
      </c>
      <c r="M423" s="18" t="n">
        <f aca="false">MIN(Desain_Kolam!$B$21,MAX(0,M422+F423-H423-G423))</f>
        <v>15148.38</v>
      </c>
      <c r="N423" s="6" t="n">
        <f aca="false">IF(M422+F423-H423&gt;=G423,1,0)</f>
        <v>1</v>
      </c>
      <c r="O423" s="18" t="n">
        <f aca="false">E423*Desain_Kolam!$B$24/1000</f>
        <v>609.18</v>
      </c>
      <c r="P423" s="18" t="n">
        <f aca="false">F423-G423-O423</f>
        <v>514.02</v>
      </c>
      <c r="Q423" s="18" t="n">
        <f aca="false">Q422+P423</f>
        <v>-5831.28</v>
      </c>
      <c r="R423" s="18" t="n">
        <f aca="false">MAX(R422,Q423)</f>
        <v>2129.14</v>
      </c>
      <c r="S423" s="18" t="n">
        <f aca="false">R423-Q423</f>
        <v>7960.42</v>
      </c>
      <c r="T423" s="18" t="n">
        <f aca="false">E423*Desain_Kolam!$B$34/1000</f>
        <v>1406.16</v>
      </c>
      <c r="U423" s="18" t="n">
        <f aca="false">F423-G423-T423</f>
        <v>-282.96</v>
      </c>
      <c r="V423" s="18" t="n">
        <f aca="false">V422+U423</f>
        <v>-60025.92</v>
      </c>
      <c r="W423" s="18" t="n">
        <f aca="false">MAX(W422,V423)</f>
        <v>0</v>
      </c>
      <c r="X423" s="18" t="n">
        <f aca="false">W423-V423</f>
        <v>60025.92</v>
      </c>
    </row>
    <row r="424" customFormat="false" ht="15" hidden="false" customHeight="false" outlineLevel="0" collapsed="false">
      <c r="A424" s="6" t="n">
        <v>2017</v>
      </c>
      <c r="B424" s="6" t="n">
        <v>9</v>
      </c>
      <c r="C424" s="4" t="n">
        <v>122</v>
      </c>
      <c r="D424" s="6" t="n">
        <v>30</v>
      </c>
      <c r="E424" s="4" t="n">
        <f aca="false">INDEX(Evaporasi!$B$3:$B$14,MATCH(B424,Evaporasi!$A$3:$A$14,0))</f>
        <v>120</v>
      </c>
      <c r="F424" s="18" t="n">
        <f aca="false">Kawasan!$B$11*Kawasan!$B$9*C424/1000</f>
        <v>1015.04</v>
      </c>
      <c r="G424" s="18" t="n">
        <f aca="false">Kawasan!$B$28*D424</f>
        <v>1497.6</v>
      </c>
      <c r="H424" s="18" t="n">
        <f aca="false">E424*Desain_Kolam!$B$16/1000</f>
        <v>128.7</v>
      </c>
      <c r="I424" s="18" t="n">
        <f aca="false">F424-G424-H424</f>
        <v>-611.26</v>
      </c>
      <c r="J424" s="18" t="n">
        <f aca="false">J423+I424</f>
        <v>26230.1</v>
      </c>
      <c r="K424" s="18" t="n">
        <f aca="false">MAX(K423,J424)</f>
        <v>26841.36</v>
      </c>
      <c r="L424" s="18" t="n">
        <f aca="false">K424-J424</f>
        <v>611.260000000002</v>
      </c>
      <c r="M424" s="18" t="n">
        <f aca="false">MIN(Desain_Kolam!$B$21,MAX(0,M423+F424-H424-G424))</f>
        <v>14537.12</v>
      </c>
      <c r="N424" s="6" t="n">
        <f aca="false">IF(M423+F424-H424&gt;=G424,1,0)</f>
        <v>1</v>
      </c>
      <c r="O424" s="18" t="n">
        <f aca="false">E424*Desain_Kolam!$B$24/1000</f>
        <v>609.18</v>
      </c>
      <c r="P424" s="18" t="n">
        <f aca="false">F424-G424-O424</f>
        <v>-1091.74</v>
      </c>
      <c r="Q424" s="18" t="n">
        <f aca="false">Q423+P424</f>
        <v>-6923.02</v>
      </c>
      <c r="R424" s="18" t="n">
        <f aca="false">MAX(R423,Q424)</f>
        <v>2129.14</v>
      </c>
      <c r="S424" s="18" t="n">
        <f aca="false">R424-Q424</f>
        <v>9052.16</v>
      </c>
      <c r="T424" s="18" t="n">
        <f aca="false">E424*Desain_Kolam!$B$34/1000</f>
        <v>1406.16</v>
      </c>
      <c r="U424" s="18" t="n">
        <f aca="false">F424-G424-T424</f>
        <v>-1888.72</v>
      </c>
      <c r="V424" s="18" t="n">
        <f aca="false">V423+U424</f>
        <v>-61914.64</v>
      </c>
      <c r="W424" s="18" t="n">
        <f aca="false">MAX(W423,V424)</f>
        <v>0</v>
      </c>
      <c r="X424" s="18" t="n">
        <f aca="false">W424-V424</f>
        <v>61914.64</v>
      </c>
    </row>
    <row r="425" customFormat="false" ht="15" hidden="false" customHeight="false" outlineLevel="0" collapsed="false">
      <c r="A425" s="6" t="n">
        <v>2017</v>
      </c>
      <c r="B425" s="6" t="n">
        <v>10</v>
      </c>
      <c r="C425" s="4" t="n">
        <v>107</v>
      </c>
      <c r="D425" s="6" t="n">
        <v>31</v>
      </c>
      <c r="E425" s="4" t="n">
        <f aca="false">INDEX(Evaporasi!$B$3:$B$14,MATCH(B425,Evaporasi!$A$3:$A$14,0))</f>
        <v>120</v>
      </c>
      <c r="F425" s="18" t="n">
        <f aca="false">Kawasan!$B$11*Kawasan!$B$9*C425/1000</f>
        <v>890.24</v>
      </c>
      <c r="G425" s="18" t="n">
        <f aca="false">Kawasan!$B$28*D425</f>
        <v>1547.52</v>
      </c>
      <c r="H425" s="18" t="n">
        <f aca="false">E425*Desain_Kolam!$B$16/1000</f>
        <v>128.7</v>
      </c>
      <c r="I425" s="18" t="n">
        <f aca="false">F425-G425-H425</f>
        <v>-785.98</v>
      </c>
      <c r="J425" s="18" t="n">
        <f aca="false">J424+I425</f>
        <v>25444.12</v>
      </c>
      <c r="K425" s="18" t="n">
        <f aca="false">MAX(K424,J425)</f>
        <v>26841.36</v>
      </c>
      <c r="L425" s="18" t="n">
        <f aca="false">K425-J425</f>
        <v>1397.24</v>
      </c>
      <c r="M425" s="18" t="n">
        <f aca="false">MIN(Desain_Kolam!$B$21,MAX(0,M424+F425-H425-G425))</f>
        <v>13751.14</v>
      </c>
      <c r="N425" s="6" t="n">
        <f aca="false">IF(M424+F425-H425&gt;=G425,1,0)</f>
        <v>1</v>
      </c>
      <c r="O425" s="18" t="n">
        <f aca="false">E425*Desain_Kolam!$B$24/1000</f>
        <v>609.18</v>
      </c>
      <c r="P425" s="18" t="n">
        <f aca="false">F425-G425-O425</f>
        <v>-1266.46</v>
      </c>
      <c r="Q425" s="18" t="n">
        <f aca="false">Q424+P425</f>
        <v>-8189.48</v>
      </c>
      <c r="R425" s="18" t="n">
        <f aca="false">MAX(R424,Q425)</f>
        <v>2129.14</v>
      </c>
      <c r="S425" s="18" t="n">
        <f aca="false">R425-Q425</f>
        <v>10318.62</v>
      </c>
      <c r="T425" s="18" t="n">
        <f aca="false">E425*Desain_Kolam!$B$34/1000</f>
        <v>1406.16</v>
      </c>
      <c r="U425" s="18" t="n">
        <f aca="false">F425-G425-T425</f>
        <v>-2063.44</v>
      </c>
      <c r="V425" s="18" t="n">
        <f aca="false">V424+U425</f>
        <v>-63978.08</v>
      </c>
      <c r="W425" s="18" t="n">
        <f aca="false">MAX(W424,V425)</f>
        <v>0</v>
      </c>
      <c r="X425" s="18" t="n">
        <f aca="false">W425-V425</f>
        <v>63978.08</v>
      </c>
    </row>
    <row r="426" customFormat="false" ht="15" hidden="false" customHeight="false" outlineLevel="0" collapsed="false">
      <c r="A426" s="6" t="n">
        <v>2017</v>
      </c>
      <c r="B426" s="6" t="n">
        <v>11</v>
      </c>
      <c r="C426" s="4" t="n">
        <v>184</v>
      </c>
      <c r="D426" s="6" t="n">
        <v>30</v>
      </c>
      <c r="E426" s="4" t="n">
        <f aca="false">INDEX(Evaporasi!$B$3:$B$14,MATCH(B426,Evaporasi!$A$3:$A$14,0))</f>
        <v>120</v>
      </c>
      <c r="F426" s="18" t="n">
        <f aca="false">Kawasan!$B$11*Kawasan!$B$9*C426/1000</f>
        <v>1530.88</v>
      </c>
      <c r="G426" s="18" t="n">
        <f aca="false">Kawasan!$B$28*D426</f>
        <v>1497.6</v>
      </c>
      <c r="H426" s="18" t="n">
        <f aca="false">E426*Desain_Kolam!$B$16/1000</f>
        <v>128.7</v>
      </c>
      <c r="I426" s="18" t="n">
        <f aca="false">F426-G426-H426</f>
        <v>-95.42</v>
      </c>
      <c r="J426" s="18" t="n">
        <f aca="false">J425+I426</f>
        <v>25348.7</v>
      </c>
      <c r="K426" s="18" t="n">
        <f aca="false">MAX(K425,J426)</f>
        <v>26841.36</v>
      </c>
      <c r="L426" s="18" t="n">
        <f aca="false">K426-J426</f>
        <v>1492.66</v>
      </c>
      <c r="M426" s="18" t="n">
        <f aca="false">MIN(Desain_Kolam!$B$21,MAX(0,M425+F426-H426-G426))</f>
        <v>13655.72</v>
      </c>
      <c r="N426" s="6" t="n">
        <f aca="false">IF(M425+F426-H426&gt;=G426,1,0)</f>
        <v>1</v>
      </c>
      <c r="O426" s="18" t="n">
        <f aca="false">E426*Desain_Kolam!$B$24/1000</f>
        <v>609.18</v>
      </c>
      <c r="P426" s="18" t="n">
        <f aca="false">F426-G426-O426</f>
        <v>-575.9</v>
      </c>
      <c r="Q426" s="18" t="n">
        <f aca="false">Q425+P426</f>
        <v>-8765.38</v>
      </c>
      <c r="R426" s="18" t="n">
        <f aca="false">MAX(R425,Q426)</f>
        <v>2129.14</v>
      </c>
      <c r="S426" s="18" t="n">
        <f aca="false">R426-Q426</f>
        <v>10894.52</v>
      </c>
      <c r="T426" s="18" t="n">
        <f aca="false">E426*Desain_Kolam!$B$34/1000</f>
        <v>1406.16</v>
      </c>
      <c r="U426" s="18" t="n">
        <f aca="false">F426-G426-T426</f>
        <v>-1372.88</v>
      </c>
      <c r="V426" s="18" t="n">
        <f aca="false">V425+U426</f>
        <v>-65350.96</v>
      </c>
      <c r="W426" s="18" t="n">
        <f aca="false">MAX(W425,V426)</f>
        <v>0</v>
      </c>
      <c r="X426" s="18" t="n">
        <f aca="false">W426-V426</f>
        <v>65350.96</v>
      </c>
    </row>
    <row r="427" customFormat="false" ht="15" hidden="false" customHeight="false" outlineLevel="0" collapsed="false">
      <c r="A427" s="6" t="n">
        <v>2017</v>
      </c>
      <c r="B427" s="6" t="n">
        <v>12</v>
      </c>
      <c r="C427" s="4" t="n">
        <v>120</v>
      </c>
      <c r="D427" s="6" t="n">
        <v>31</v>
      </c>
      <c r="E427" s="4" t="n">
        <f aca="false">INDEX(Evaporasi!$B$3:$B$14,MATCH(B427,Evaporasi!$A$3:$A$14,0))</f>
        <v>120</v>
      </c>
      <c r="F427" s="18" t="n">
        <f aca="false">Kawasan!$B$11*Kawasan!$B$9*C427/1000</f>
        <v>998.4</v>
      </c>
      <c r="G427" s="18" t="n">
        <f aca="false">Kawasan!$B$28*D427</f>
        <v>1547.52</v>
      </c>
      <c r="H427" s="18" t="n">
        <f aca="false">E427*Desain_Kolam!$B$16/1000</f>
        <v>128.7</v>
      </c>
      <c r="I427" s="18" t="n">
        <f aca="false">F427-G427-H427</f>
        <v>-677.82</v>
      </c>
      <c r="J427" s="18" t="n">
        <f aca="false">J426+I427</f>
        <v>24670.88</v>
      </c>
      <c r="K427" s="18" t="n">
        <f aca="false">MAX(K426,J427)</f>
        <v>26841.36</v>
      </c>
      <c r="L427" s="18" t="n">
        <f aca="false">K427-J427</f>
        <v>2170.48</v>
      </c>
      <c r="M427" s="18" t="n">
        <f aca="false">MIN(Desain_Kolam!$B$21,MAX(0,M426+F427-H427-G427))</f>
        <v>12977.9</v>
      </c>
      <c r="N427" s="6" t="n">
        <f aca="false">IF(M426+F427-H427&gt;=G427,1,0)</f>
        <v>1</v>
      </c>
      <c r="O427" s="18" t="n">
        <f aca="false">E427*Desain_Kolam!$B$24/1000</f>
        <v>609.18</v>
      </c>
      <c r="P427" s="18" t="n">
        <f aca="false">F427-G427-O427</f>
        <v>-1158.3</v>
      </c>
      <c r="Q427" s="18" t="n">
        <f aca="false">Q426+P427</f>
        <v>-9923.68</v>
      </c>
      <c r="R427" s="18" t="n">
        <f aca="false">MAX(R426,Q427)</f>
        <v>2129.14</v>
      </c>
      <c r="S427" s="18" t="n">
        <f aca="false">R427-Q427</f>
        <v>12052.82</v>
      </c>
      <c r="T427" s="18" t="n">
        <f aca="false">E427*Desain_Kolam!$B$34/1000</f>
        <v>1406.16</v>
      </c>
      <c r="U427" s="18" t="n">
        <f aca="false">F427-G427-T427</f>
        <v>-1955.28</v>
      </c>
      <c r="V427" s="18" t="n">
        <f aca="false">V426+U427</f>
        <v>-67306.24</v>
      </c>
      <c r="W427" s="18" t="n">
        <f aca="false">MAX(W426,V427)</f>
        <v>0</v>
      </c>
      <c r="X427" s="18" t="n">
        <f aca="false">W427-V427</f>
        <v>67306.24</v>
      </c>
    </row>
    <row r="428" customFormat="false" ht="15" hidden="false" customHeight="false" outlineLevel="0" collapsed="false">
      <c r="A428" s="6" t="n">
        <v>2018</v>
      </c>
      <c r="B428" s="6" t="n">
        <v>1</v>
      </c>
      <c r="C428" s="4" t="n">
        <v>220</v>
      </c>
      <c r="D428" s="6" t="n">
        <v>31</v>
      </c>
      <c r="E428" s="4" t="n">
        <f aca="false">INDEX(Evaporasi!$B$3:$B$14,MATCH(B428,Evaporasi!$A$3:$A$14,0))</f>
        <v>120</v>
      </c>
      <c r="F428" s="18" t="n">
        <f aca="false">Kawasan!$B$11*Kawasan!$B$9*C428/1000</f>
        <v>1830.4</v>
      </c>
      <c r="G428" s="18" t="n">
        <f aca="false">Kawasan!$B$28*D428</f>
        <v>1547.52</v>
      </c>
      <c r="H428" s="18" t="n">
        <f aca="false">E428*Desain_Kolam!$B$16/1000</f>
        <v>128.7</v>
      </c>
      <c r="I428" s="18" t="n">
        <f aca="false">F428-G428-H428</f>
        <v>154.18</v>
      </c>
      <c r="J428" s="18" t="n">
        <f aca="false">J427+I428</f>
        <v>24825.06</v>
      </c>
      <c r="K428" s="18" t="n">
        <f aca="false">MAX(K427,J428)</f>
        <v>26841.36</v>
      </c>
      <c r="L428" s="18" t="n">
        <f aca="false">K428-J428</f>
        <v>2016.3</v>
      </c>
      <c r="M428" s="18" t="n">
        <f aca="false">MIN(Desain_Kolam!$B$21,MAX(0,M427+F428-H428-G428))</f>
        <v>13132.08</v>
      </c>
      <c r="N428" s="6" t="n">
        <f aca="false">IF(M427+F428-H428&gt;=G428,1,0)</f>
        <v>1</v>
      </c>
      <c r="O428" s="18" t="n">
        <f aca="false">E428*Desain_Kolam!$B$24/1000</f>
        <v>609.18</v>
      </c>
      <c r="P428" s="18" t="n">
        <f aca="false">F428-G428-O428</f>
        <v>-326.3</v>
      </c>
      <c r="Q428" s="18" t="n">
        <f aca="false">Q427+P428</f>
        <v>-10249.98</v>
      </c>
      <c r="R428" s="18" t="n">
        <f aca="false">MAX(R427,Q428)</f>
        <v>2129.14</v>
      </c>
      <c r="S428" s="18" t="n">
        <f aca="false">R428-Q428</f>
        <v>12379.12</v>
      </c>
      <c r="T428" s="18" t="n">
        <f aca="false">E428*Desain_Kolam!$B$34/1000</f>
        <v>1406.16</v>
      </c>
      <c r="U428" s="18" t="n">
        <f aca="false">F428-G428-T428</f>
        <v>-1123.28</v>
      </c>
      <c r="V428" s="18" t="n">
        <f aca="false">V427+U428</f>
        <v>-68429.52</v>
      </c>
      <c r="W428" s="18" t="n">
        <f aca="false">MAX(W427,V428)</f>
        <v>0</v>
      </c>
      <c r="X428" s="18" t="n">
        <f aca="false">W428-V428</f>
        <v>68429.52</v>
      </c>
    </row>
    <row r="429" customFormat="false" ht="15" hidden="false" customHeight="false" outlineLevel="0" collapsed="false">
      <c r="A429" s="6" t="n">
        <v>2018</v>
      </c>
      <c r="B429" s="6" t="n">
        <v>2</v>
      </c>
      <c r="C429" s="4" t="n">
        <v>93</v>
      </c>
      <c r="D429" s="6" t="n">
        <v>28</v>
      </c>
      <c r="E429" s="4" t="n">
        <f aca="false">INDEX(Evaporasi!$B$3:$B$14,MATCH(B429,Evaporasi!$A$3:$A$14,0))</f>
        <v>120</v>
      </c>
      <c r="F429" s="18" t="n">
        <f aca="false">Kawasan!$B$11*Kawasan!$B$9*C429/1000</f>
        <v>773.76</v>
      </c>
      <c r="G429" s="18" t="n">
        <f aca="false">Kawasan!$B$28*D429</f>
        <v>1397.76</v>
      </c>
      <c r="H429" s="18" t="n">
        <f aca="false">E429*Desain_Kolam!$B$16/1000</f>
        <v>128.7</v>
      </c>
      <c r="I429" s="18" t="n">
        <f aca="false">F429-G429-H429</f>
        <v>-752.7</v>
      </c>
      <c r="J429" s="18" t="n">
        <f aca="false">J428+I429</f>
        <v>24072.36</v>
      </c>
      <c r="K429" s="18" t="n">
        <f aca="false">MAX(K428,J429)</f>
        <v>26841.36</v>
      </c>
      <c r="L429" s="18" t="n">
        <f aca="false">K429-J429</f>
        <v>2769</v>
      </c>
      <c r="M429" s="18" t="n">
        <f aca="false">MIN(Desain_Kolam!$B$21,MAX(0,M428+F429-H429-G429))</f>
        <v>12379.38</v>
      </c>
      <c r="N429" s="6" t="n">
        <f aca="false">IF(M428+F429-H429&gt;=G429,1,0)</f>
        <v>1</v>
      </c>
      <c r="O429" s="18" t="n">
        <f aca="false">E429*Desain_Kolam!$B$24/1000</f>
        <v>609.18</v>
      </c>
      <c r="P429" s="18" t="n">
        <f aca="false">F429-G429-O429</f>
        <v>-1233.18</v>
      </c>
      <c r="Q429" s="18" t="n">
        <f aca="false">Q428+P429</f>
        <v>-11483.16</v>
      </c>
      <c r="R429" s="18" t="n">
        <f aca="false">MAX(R428,Q429)</f>
        <v>2129.14</v>
      </c>
      <c r="S429" s="18" t="n">
        <f aca="false">R429-Q429</f>
        <v>13612.3</v>
      </c>
      <c r="T429" s="18" t="n">
        <f aca="false">E429*Desain_Kolam!$B$34/1000</f>
        <v>1406.16</v>
      </c>
      <c r="U429" s="18" t="n">
        <f aca="false">F429-G429-T429</f>
        <v>-2030.16</v>
      </c>
      <c r="V429" s="18" t="n">
        <f aca="false">V428+U429</f>
        <v>-70459.68</v>
      </c>
      <c r="W429" s="18" t="n">
        <f aca="false">MAX(W428,V429)</f>
        <v>0</v>
      </c>
      <c r="X429" s="18" t="n">
        <f aca="false">W429-V429</f>
        <v>70459.68</v>
      </c>
    </row>
    <row r="430" customFormat="false" ht="15" hidden="false" customHeight="false" outlineLevel="0" collapsed="false">
      <c r="A430" s="6" t="n">
        <v>2018</v>
      </c>
      <c r="B430" s="6" t="n">
        <v>3</v>
      </c>
      <c r="C430" s="4" t="n">
        <v>162</v>
      </c>
      <c r="D430" s="6" t="n">
        <v>31</v>
      </c>
      <c r="E430" s="4" t="n">
        <f aca="false">INDEX(Evaporasi!$B$3:$B$14,MATCH(B430,Evaporasi!$A$3:$A$14,0))</f>
        <v>120</v>
      </c>
      <c r="F430" s="18" t="n">
        <f aca="false">Kawasan!$B$11*Kawasan!$B$9*C430/1000</f>
        <v>1347.84</v>
      </c>
      <c r="G430" s="18" t="n">
        <f aca="false">Kawasan!$B$28*D430</f>
        <v>1547.52</v>
      </c>
      <c r="H430" s="18" t="n">
        <f aca="false">E430*Desain_Kolam!$B$16/1000</f>
        <v>128.7</v>
      </c>
      <c r="I430" s="18" t="n">
        <f aca="false">F430-G430-H430</f>
        <v>-328.38</v>
      </c>
      <c r="J430" s="18" t="n">
        <f aca="false">J429+I430</f>
        <v>23743.98</v>
      </c>
      <c r="K430" s="18" t="n">
        <f aca="false">MAX(K429,J430)</f>
        <v>26841.36</v>
      </c>
      <c r="L430" s="18" t="n">
        <f aca="false">K430-J430</f>
        <v>3097.38</v>
      </c>
      <c r="M430" s="18" t="n">
        <f aca="false">MIN(Desain_Kolam!$B$21,MAX(0,M429+F430-H430-G430))</f>
        <v>12051</v>
      </c>
      <c r="N430" s="6" t="n">
        <f aca="false">IF(M429+F430-H430&gt;=G430,1,0)</f>
        <v>1</v>
      </c>
      <c r="O430" s="18" t="n">
        <f aca="false">E430*Desain_Kolam!$B$24/1000</f>
        <v>609.18</v>
      </c>
      <c r="P430" s="18" t="n">
        <f aca="false">F430-G430-O430</f>
        <v>-808.86</v>
      </c>
      <c r="Q430" s="18" t="n">
        <f aca="false">Q429+P430</f>
        <v>-12292.02</v>
      </c>
      <c r="R430" s="18" t="n">
        <f aca="false">MAX(R429,Q430)</f>
        <v>2129.14</v>
      </c>
      <c r="S430" s="18" t="n">
        <f aca="false">R430-Q430</f>
        <v>14421.16</v>
      </c>
      <c r="T430" s="18" t="n">
        <f aca="false">E430*Desain_Kolam!$B$34/1000</f>
        <v>1406.16</v>
      </c>
      <c r="U430" s="18" t="n">
        <f aca="false">F430-G430-T430</f>
        <v>-1605.84</v>
      </c>
      <c r="V430" s="18" t="n">
        <f aca="false">V429+U430</f>
        <v>-72065.52</v>
      </c>
      <c r="W430" s="18" t="n">
        <f aca="false">MAX(W429,V430)</f>
        <v>0</v>
      </c>
      <c r="X430" s="18" t="n">
        <f aca="false">W430-V430</f>
        <v>72065.52</v>
      </c>
    </row>
    <row r="431" customFormat="false" ht="15" hidden="false" customHeight="false" outlineLevel="0" collapsed="false">
      <c r="A431" s="6" t="n">
        <v>2018</v>
      </c>
      <c r="B431" s="6" t="n">
        <v>4</v>
      </c>
      <c r="C431" s="4" t="n">
        <v>135</v>
      </c>
      <c r="D431" s="6" t="n">
        <v>30</v>
      </c>
      <c r="E431" s="4" t="n">
        <f aca="false">INDEX(Evaporasi!$B$3:$B$14,MATCH(B431,Evaporasi!$A$3:$A$14,0))</f>
        <v>120</v>
      </c>
      <c r="F431" s="18" t="n">
        <f aca="false">Kawasan!$B$11*Kawasan!$B$9*C431/1000</f>
        <v>1123.2</v>
      </c>
      <c r="G431" s="18" t="n">
        <f aca="false">Kawasan!$B$28*D431</f>
        <v>1497.6</v>
      </c>
      <c r="H431" s="18" t="n">
        <f aca="false">E431*Desain_Kolam!$B$16/1000</f>
        <v>128.7</v>
      </c>
      <c r="I431" s="18" t="n">
        <f aca="false">F431-G431-H431</f>
        <v>-503.1</v>
      </c>
      <c r="J431" s="18" t="n">
        <f aca="false">J430+I431</f>
        <v>23240.88</v>
      </c>
      <c r="K431" s="18" t="n">
        <f aca="false">MAX(K430,J431)</f>
        <v>26841.36</v>
      </c>
      <c r="L431" s="18" t="n">
        <f aca="false">K431-J431</f>
        <v>3600.48</v>
      </c>
      <c r="M431" s="18" t="n">
        <f aca="false">MIN(Desain_Kolam!$B$21,MAX(0,M430+F431-H431-G431))</f>
        <v>11547.9</v>
      </c>
      <c r="N431" s="6" t="n">
        <f aca="false">IF(M430+F431-H431&gt;=G431,1,0)</f>
        <v>1</v>
      </c>
      <c r="O431" s="18" t="n">
        <f aca="false">E431*Desain_Kolam!$B$24/1000</f>
        <v>609.18</v>
      </c>
      <c r="P431" s="18" t="n">
        <f aca="false">F431-G431-O431</f>
        <v>-983.58</v>
      </c>
      <c r="Q431" s="18" t="n">
        <f aca="false">Q430+P431</f>
        <v>-13275.6</v>
      </c>
      <c r="R431" s="18" t="n">
        <f aca="false">MAX(R430,Q431)</f>
        <v>2129.14</v>
      </c>
      <c r="S431" s="18" t="n">
        <f aca="false">R431-Q431</f>
        <v>15404.74</v>
      </c>
      <c r="T431" s="18" t="n">
        <f aca="false">E431*Desain_Kolam!$B$34/1000</f>
        <v>1406.16</v>
      </c>
      <c r="U431" s="18" t="n">
        <f aca="false">F431-G431-T431</f>
        <v>-1780.56</v>
      </c>
      <c r="V431" s="18" t="n">
        <f aca="false">V430+U431</f>
        <v>-73846.08</v>
      </c>
      <c r="W431" s="18" t="n">
        <f aca="false">MAX(W430,V431)</f>
        <v>0</v>
      </c>
      <c r="X431" s="18" t="n">
        <f aca="false">W431-V431</f>
        <v>73846.08</v>
      </c>
    </row>
    <row r="432" customFormat="false" ht="15" hidden="false" customHeight="false" outlineLevel="0" collapsed="false">
      <c r="A432" s="6" t="n">
        <v>2018</v>
      </c>
      <c r="B432" s="6" t="n">
        <v>5</v>
      </c>
      <c r="C432" s="4" t="n">
        <v>214</v>
      </c>
      <c r="D432" s="6" t="n">
        <v>31</v>
      </c>
      <c r="E432" s="4" t="n">
        <f aca="false">INDEX(Evaporasi!$B$3:$B$14,MATCH(B432,Evaporasi!$A$3:$A$14,0))</f>
        <v>120</v>
      </c>
      <c r="F432" s="18" t="n">
        <f aca="false">Kawasan!$B$11*Kawasan!$B$9*C432/1000</f>
        <v>1780.48</v>
      </c>
      <c r="G432" s="18" t="n">
        <f aca="false">Kawasan!$B$28*D432</f>
        <v>1547.52</v>
      </c>
      <c r="H432" s="18" t="n">
        <f aca="false">E432*Desain_Kolam!$B$16/1000</f>
        <v>128.7</v>
      </c>
      <c r="I432" s="18" t="n">
        <f aca="false">F432-G432-H432</f>
        <v>104.26</v>
      </c>
      <c r="J432" s="18" t="n">
        <f aca="false">J431+I432</f>
        <v>23345.14</v>
      </c>
      <c r="K432" s="18" t="n">
        <f aca="false">MAX(K431,J432)</f>
        <v>26841.36</v>
      </c>
      <c r="L432" s="18" t="n">
        <f aca="false">K432-J432</f>
        <v>3496.22</v>
      </c>
      <c r="M432" s="18" t="n">
        <f aca="false">MIN(Desain_Kolam!$B$21,MAX(0,M431+F432-H432-G432))</f>
        <v>11652.16</v>
      </c>
      <c r="N432" s="6" t="n">
        <f aca="false">IF(M431+F432-H432&gt;=G432,1,0)</f>
        <v>1</v>
      </c>
      <c r="O432" s="18" t="n">
        <f aca="false">E432*Desain_Kolam!$B$24/1000</f>
        <v>609.18</v>
      </c>
      <c r="P432" s="18" t="n">
        <f aca="false">F432-G432-O432</f>
        <v>-376.22</v>
      </c>
      <c r="Q432" s="18" t="n">
        <f aca="false">Q431+P432</f>
        <v>-13651.82</v>
      </c>
      <c r="R432" s="18" t="n">
        <f aca="false">MAX(R431,Q432)</f>
        <v>2129.14</v>
      </c>
      <c r="S432" s="18" t="n">
        <f aca="false">R432-Q432</f>
        <v>15780.96</v>
      </c>
      <c r="T432" s="18" t="n">
        <f aca="false">E432*Desain_Kolam!$B$34/1000</f>
        <v>1406.16</v>
      </c>
      <c r="U432" s="18" t="n">
        <f aca="false">F432-G432-T432</f>
        <v>-1173.2</v>
      </c>
      <c r="V432" s="18" t="n">
        <f aca="false">V431+U432</f>
        <v>-75019.28</v>
      </c>
      <c r="W432" s="18" t="n">
        <f aca="false">MAX(W431,V432)</f>
        <v>0</v>
      </c>
      <c r="X432" s="18" t="n">
        <f aca="false">W432-V432</f>
        <v>75019.28</v>
      </c>
    </row>
    <row r="433" customFormat="false" ht="15" hidden="false" customHeight="false" outlineLevel="0" collapsed="false">
      <c r="A433" s="6" t="n">
        <v>2018</v>
      </c>
      <c r="B433" s="6" t="n">
        <v>6</v>
      </c>
      <c r="C433" s="4" t="n">
        <v>125</v>
      </c>
      <c r="D433" s="6" t="n">
        <v>30</v>
      </c>
      <c r="E433" s="4" t="n">
        <f aca="false">INDEX(Evaporasi!$B$3:$B$14,MATCH(B433,Evaporasi!$A$3:$A$14,0))</f>
        <v>120</v>
      </c>
      <c r="F433" s="18" t="n">
        <f aca="false">Kawasan!$B$11*Kawasan!$B$9*C433/1000</f>
        <v>1040</v>
      </c>
      <c r="G433" s="18" t="n">
        <f aca="false">Kawasan!$B$28*D433</f>
        <v>1497.6</v>
      </c>
      <c r="H433" s="18" t="n">
        <f aca="false">E433*Desain_Kolam!$B$16/1000</f>
        <v>128.7</v>
      </c>
      <c r="I433" s="18" t="n">
        <f aca="false">F433-G433-H433</f>
        <v>-586.3</v>
      </c>
      <c r="J433" s="18" t="n">
        <f aca="false">J432+I433</f>
        <v>22758.84</v>
      </c>
      <c r="K433" s="18" t="n">
        <f aca="false">MAX(K432,J433)</f>
        <v>26841.36</v>
      </c>
      <c r="L433" s="18" t="n">
        <f aca="false">K433-J433</f>
        <v>4082.52</v>
      </c>
      <c r="M433" s="18" t="n">
        <f aca="false">MIN(Desain_Kolam!$B$21,MAX(0,M432+F433-H433-G433))</f>
        <v>11065.86</v>
      </c>
      <c r="N433" s="6" t="n">
        <f aca="false">IF(M432+F433-H433&gt;=G433,1,0)</f>
        <v>1</v>
      </c>
      <c r="O433" s="18" t="n">
        <f aca="false">E433*Desain_Kolam!$B$24/1000</f>
        <v>609.18</v>
      </c>
      <c r="P433" s="18" t="n">
        <f aca="false">F433-G433-O433</f>
        <v>-1066.78</v>
      </c>
      <c r="Q433" s="18" t="n">
        <f aca="false">Q432+P433</f>
        <v>-14718.6</v>
      </c>
      <c r="R433" s="18" t="n">
        <f aca="false">MAX(R432,Q433)</f>
        <v>2129.14</v>
      </c>
      <c r="S433" s="18" t="n">
        <f aca="false">R433-Q433</f>
        <v>16847.74</v>
      </c>
      <c r="T433" s="18" t="n">
        <f aca="false">E433*Desain_Kolam!$B$34/1000</f>
        <v>1406.16</v>
      </c>
      <c r="U433" s="18" t="n">
        <f aca="false">F433-G433-T433</f>
        <v>-1863.76</v>
      </c>
      <c r="V433" s="18" t="n">
        <f aca="false">V432+U433</f>
        <v>-76883.04</v>
      </c>
      <c r="W433" s="18" t="n">
        <f aca="false">MAX(W432,V433)</f>
        <v>0</v>
      </c>
      <c r="X433" s="18" t="n">
        <f aca="false">W433-V433</f>
        <v>76883.04</v>
      </c>
    </row>
    <row r="434" customFormat="false" ht="15" hidden="false" customHeight="false" outlineLevel="0" collapsed="false">
      <c r="A434" s="6" t="n">
        <v>2018</v>
      </c>
      <c r="B434" s="6" t="n">
        <v>7</v>
      </c>
      <c r="C434" s="4" t="n">
        <v>24</v>
      </c>
      <c r="D434" s="6" t="n">
        <v>31</v>
      </c>
      <c r="E434" s="4" t="n">
        <f aca="false">INDEX(Evaporasi!$B$3:$B$14,MATCH(B434,Evaporasi!$A$3:$A$14,0))</f>
        <v>120</v>
      </c>
      <c r="F434" s="18" t="n">
        <f aca="false">Kawasan!$B$11*Kawasan!$B$9*C434/1000</f>
        <v>199.68</v>
      </c>
      <c r="G434" s="18" t="n">
        <f aca="false">Kawasan!$B$28*D434</f>
        <v>1547.52</v>
      </c>
      <c r="H434" s="18" t="n">
        <f aca="false">E434*Desain_Kolam!$B$16/1000</f>
        <v>128.7</v>
      </c>
      <c r="I434" s="18" t="n">
        <f aca="false">F434-G434-H434</f>
        <v>-1476.54</v>
      </c>
      <c r="J434" s="18" t="n">
        <f aca="false">J433+I434</f>
        <v>21282.3</v>
      </c>
      <c r="K434" s="18" t="n">
        <f aca="false">MAX(K433,J434)</f>
        <v>26841.36</v>
      </c>
      <c r="L434" s="18" t="n">
        <f aca="false">K434-J434</f>
        <v>5559.06</v>
      </c>
      <c r="M434" s="18" t="n">
        <f aca="false">MIN(Desain_Kolam!$B$21,MAX(0,M433+F434-H434-G434))</f>
        <v>9589.31999999999</v>
      </c>
      <c r="N434" s="6" t="n">
        <f aca="false">IF(M433+F434-H434&gt;=G434,1,0)</f>
        <v>1</v>
      </c>
      <c r="O434" s="18" t="n">
        <f aca="false">E434*Desain_Kolam!$B$24/1000</f>
        <v>609.18</v>
      </c>
      <c r="P434" s="18" t="n">
        <f aca="false">F434-G434-O434</f>
        <v>-1957.02</v>
      </c>
      <c r="Q434" s="18" t="n">
        <f aca="false">Q433+P434</f>
        <v>-16675.62</v>
      </c>
      <c r="R434" s="18" t="n">
        <f aca="false">MAX(R433,Q434)</f>
        <v>2129.14</v>
      </c>
      <c r="S434" s="18" t="n">
        <f aca="false">R434-Q434</f>
        <v>18804.76</v>
      </c>
      <c r="T434" s="18" t="n">
        <f aca="false">E434*Desain_Kolam!$B$34/1000</f>
        <v>1406.16</v>
      </c>
      <c r="U434" s="18" t="n">
        <f aca="false">F434-G434-T434</f>
        <v>-2754</v>
      </c>
      <c r="V434" s="18" t="n">
        <f aca="false">V433+U434</f>
        <v>-79637.04</v>
      </c>
      <c r="W434" s="18" t="n">
        <f aca="false">MAX(W433,V434)</f>
        <v>0</v>
      </c>
      <c r="X434" s="18" t="n">
        <f aca="false">W434-V434</f>
        <v>79637.04</v>
      </c>
    </row>
    <row r="435" customFormat="false" ht="15" hidden="false" customHeight="false" outlineLevel="0" collapsed="false">
      <c r="A435" s="6" t="n">
        <v>2018</v>
      </c>
      <c r="B435" s="6" t="n">
        <v>8</v>
      </c>
      <c r="C435" s="4" t="n">
        <v>48</v>
      </c>
      <c r="D435" s="6" t="n">
        <v>31</v>
      </c>
      <c r="E435" s="4" t="n">
        <f aca="false">INDEX(Evaporasi!$B$3:$B$14,MATCH(B435,Evaporasi!$A$3:$A$14,0))</f>
        <v>120</v>
      </c>
      <c r="F435" s="18" t="n">
        <f aca="false">Kawasan!$B$11*Kawasan!$B$9*C435/1000</f>
        <v>399.36</v>
      </c>
      <c r="G435" s="18" t="n">
        <f aca="false">Kawasan!$B$28*D435</f>
        <v>1547.52</v>
      </c>
      <c r="H435" s="18" t="n">
        <f aca="false">E435*Desain_Kolam!$B$16/1000</f>
        <v>128.7</v>
      </c>
      <c r="I435" s="18" t="n">
        <f aca="false">F435-G435-H435</f>
        <v>-1276.86</v>
      </c>
      <c r="J435" s="18" t="n">
        <f aca="false">J434+I435</f>
        <v>20005.44</v>
      </c>
      <c r="K435" s="18" t="n">
        <f aca="false">MAX(K434,J435)</f>
        <v>26841.36</v>
      </c>
      <c r="L435" s="18" t="n">
        <f aca="false">K435-J435</f>
        <v>6835.92</v>
      </c>
      <c r="M435" s="18" t="n">
        <f aca="false">MIN(Desain_Kolam!$B$21,MAX(0,M434+F435-H435-G435))</f>
        <v>8312.45999999999</v>
      </c>
      <c r="N435" s="6" t="n">
        <f aca="false">IF(M434+F435-H435&gt;=G435,1,0)</f>
        <v>1</v>
      </c>
      <c r="O435" s="18" t="n">
        <f aca="false">E435*Desain_Kolam!$B$24/1000</f>
        <v>609.18</v>
      </c>
      <c r="P435" s="18" t="n">
        <f aca="false">F435-G435-O435</f>
        <v>-1757.34</v>
      </c>
      <c r="Q435" s="18" t="n">
        <f aca="false">Q434+P435</f>
        <v>-18432.96</v>
      </c>
      <c r="R435" s="18" t="n">
        <f aca="false">MAX(R434,Q435)</f>
        <v>2129.14</v>
      </c>
      <c r="S435" s="18" t="n">
        <f aca="false">R435-Q435</f>
        <v>20562.1</v>
      </c>
      <c r="T435" s="18" t="n">
        <f aca="false">E435*Desain_Kolam!$B$34/1000</f>
        <v>1406.16</v>
      </c>
      <c r="U435" s="18" t="n">
        <f aca="false">F435-G435-T435</f>
        <v>-2554.32</v>
      </c>
      <c r="V435" s="18" t="n">
        <f aca="false">V434+U435</f>
        <v>-82191.36</v>
      </c>
      <c r="W435" s="18" t="n">
        <f aca="false">MAX(W434,V435)</f>
        <v>0</v>
      </c>
      <c r="X435" s="18" t="n">
        <f aca="false">W435-V435</f>
        <v>82191.36</v>
      </c>
    </row>
    <row r="436" customFormat="false" ht="15" hidden="false" customHeight="false" outlineLevel="0" collapsed="false">
      <c r="A436" s="6" t="n">
        <v>2018</v>
      </c>
      <c r="B436" s="6" t="n">
        <v>9</v>
      </c>
      <c r="C436" s="4" t="n">
        <v>103</v>
      </c>
      <c r="D436" s="6" t="n">
        <v>30</v>
      </c>
      <c r="E436" s="4" t="n">
        <f aca="false">INDEX(Evaporasi!$B$3:$B$14,MATCH(B436,Evaporasi!$A$3:$A$14,0))</f>
        <v>120</v>
      </c>
      <c r="F436" s="18" t="n">
        <f aca="false">Kawasan!$B$11*Kawasan!$B$9*C436/1000</f>
        <v>856.96</v>
      </c>
      <c r="G436" s="18" t="n">
        <f aca="false">Kawasan!$B$28*D436</f>
        <v>1497.6</v>
      </c>
      <c r="H436" s="18" t="n">
        <f aca="false">E436*Desain_Kolam!$B$16/1000</f>
        <v>128.7</v>
      </c>
      <c r="I436" s="18" t="n">
        <f aca="false">F436-G436-H436</f>
        <v>-769.34</v>
      </c>
      <c r="J436" s="18" t="n">
        <f aca="false">J435+I436</f>
        <v>19236.1</v>
      </c>
      <c r="K436" s="18" t="n">
        <f aca="false">MAX(K435,J436)</f>
        <v>26841.36</v>
      </c>
      <c r="L436" s="18" t="n">
        <f aca="false">K436-J436</f>
        <v>7605.26</v>
      </c>
      <c r="M436" s="18" t="n">
        <f aca="false">MIN(Desain_Kolam!$B$21,MAX(0,M435+F436-H436-G436))</f>
        <v>7543.11999999999</v>
      </c>
      <c r="N436" s="6" t="n">
        <f aca="false">IF(M435+F436-H436&gt;=G436,1,0)</f>
        <v>1</v>
      </c>
      <c r="O436" s="18" t="n">
        <f aca="false">E436*Desain_Kolam!$B$24/1000</f>
        <v>609.18</v>
      </c>
      <c r="P436" s="18" t="n">
        <f aca="false">F436-G436-O436</f>
        <v>-1249.82</v>
      </c>
      <c r="Q436" s="18" t="n">
        <f aca="false">Q435+P436</f>
        <v>-19682.78</v>
      </c>
      <c r="R436" s="18" t="n">
        <f aca="false">MAX(R435,Q436)</f>
        <v>2129.14</v>
      </c>
      <c r="S436" s="18" t="n">
        <f aca="false">R436-Q436</f>
        <v>21811.92</v>
      </c>
      <c r="T436" s="18" t="n">
        <f aca="false">E436*Desain_Kolam!$B$34/1000</f>
        <v>1406.16</v>
      </c>
      <c r="U436" s="18" t="n">
        <f aca="false">F436-G436-T436</f>
        <v>-2046.8</v>
      </c>
      <c r="V436" s="18" t="n">
        <f aca="false">V435+U436</f>
        <v>-84238.16</v>
      </c>
      <c r="W436" s="18" t="n">
        <f aca="false">MAX(W435,V436)</f>
        <v>0</v>
      </c>
      <c r="X436" s="18" t="n">
        <f aca="false">W436-V436</f>
        <v>84238.16</v>
      </c>
    </row>
    <row r="437" customFormat="false" ht="15" hidden="false" customHeight="false" outlineLevel="0" collapsed="false">
      <c r="A437" s="6" t="n">
        <v>2018</v>
      </c>
      <c r="B437" s="6" t="n">
        <v>10</v>
      </c>
      <c r="C437" s="4" t="n">
        <v>176</v>
      </c>
      <c r="D437" s="6" t="n">
        <v>31</v>
      </c>
      <c r="E437" s="4" t="n">
        <f aca="false">INDEX(Evaporasi!$B$3:$B$14,MATCH(B437,Evaporasi!$A$3:$A$14,0))</f>
        <v>120</v>
      </c>
      <c r="F437" s="18" t="n">
        <f aca="false">Kawasan!$B$11*Kawasan!$B$9*C437/1000</f>
        <v>1464.32</v>
      </c>
      <c r="G437" s="18" t="n">
        <f aca="false">Kawasan!$B$28*D437</f>
        <v>1547.52</v>
      </c>
      <c r="H437" s="18" t="n">
        <f aca="false">E437*Desain_Kolam!$B$16/1000</f>
        <v>128.7</v>
      </c>
      <c r="I437" s="18" t="n">
        <f aca="false">F437-G437-H437</f>
        <v>-211.9</v>
      </c>
      <c r="J437" s="18" t="n">
        <f aca="false">J436+I437</f>
        <v>19024.2</v>
      </c>
      <c r="K437" s="18" t="n">
        <f aca="false">MAX(K436,J437)</f>
        <v>26841.36</v>
      </c>
      <c r="L437" s="18" t="n">
        <f aca="false">K437-J437</f>
        <v>7817.16</v>
      </c>
      <c r="M437" s="18" t="n">
        <f aca="false">MIN(Desain_Kolam!$B$21,MAX(0,M436+F437-H437-G437))</f>
        <v>7331.21999999999</v>
      </c>
      <c r="N437" s="6" t="n">
        <f aca="false">IF(M436+F437-H437&gt;=G437,1,0)</f>
        <v>1</v>
      </c>
      <c r="O437" s="18" t="n">
        <f aca="false">E437*Desain_Kolam!$B$24/1000</f>
        <v>609.18</v>
      </c>
      <c r="P437" s="18" t="n">
        <f aca="false">F437-G437-O437</f>
        <v>-692.38</v>
      </c>
      <c r="Q437" s="18" t="n">
        <f aca="false">Q436+P437</f>
        <v>-20375.16</v>
      </c>
      <c r="R437" s="18" t="n">
        <f aca="false">MAX(R436,Q437)</f>
        <v>2129.14</v>
      </c>
      <c r="S437" s="18" t="n">
        <f aca="false">R437-Q437</f>
        <v>22504.3</v>
      </c>
      <c r="T437" s="18" t="n">
        <f aca="false">E437*Desain_Kolam!$B$34/1000</f>
        <v>1406.16</v>
      </c>
      <c r="U437" s="18" t="n">
        <f aca="false">F437-G437-T437</f>
        <v>-1489.36</v>
      </c>
      <c r="V437" s="18" t="n">
        <f aca="false">V436+U437</f>
        <v>-85727.52</v>
      </c>
      <c r="W437" s="18" t="n">
        <f aca="false">MAX(W436,V437)</f>
        <v>0</v>
      </c>
      <c r="X437" s="18" t="n">
        <f aca="false">W437-V437</f>
        <v>85727.52</v>
      </c>
    </row>
    <row r="438" customFormat="false" ht="15" hidden="false" customHeight="false" outlineLevel="0" collapsed="false">
      <c r="A438" s="6" t="n">
        <v>2018</v>
      </c>
      <c r="B438" s="6" t="n">
        <v>11</v>
      </c>
      <c r="C438" s="4" t="n">
        <v>172</v>
      </c>
      <c r="D438" s="6" t="n">
        <v>30</v>
      </c>
      <c r="E438" s="4" t="n">
        <f aca="false">INDEX(Evaporasi!$B$3:$B$14,MATCH(B438,Evaporasi!$A$3:$A$14,0))</f>
        <v>120</v>
      </c>
      <c r="F438" s="18" t="n">
        <f aca="false">Kawasan!$B$11*Kawasan!$B$9*C438/1000</f>
        <v>1431.04</v>
      </c>
      <c r="G438" s="18" t="n">
        <f aca="false">Kawasan!$B$28*D438</f>
        <v>1497.6</v>
      </c>
      <c r="H438" s="18" t="n">
        <f aca="false">E438*Desain_Kolam!$B$16/1000</f>
        <v>128.7</v>
      </c>
      <c r="I438" s="18" t="n">
        <f aca="false">F438-G438-H438</f>
        <v>-195.26</v>
      </c>
      <c r="J438" s="18" t="n">
        <f aca="false">J437+I438</f>
        <v>18828.94</v>
      </c>
      <c r="K438" s="18" t="n">
        <f aca="false">MAX(K437,J438)</f>
        <v>26841.36</v>
      </c>
      <c r="L438" s="18" t="n">
        <f aca="false">K438-J438</f>
        <v>8012.42</v>
      </c>
      <c r="M438" s="18" t="n">
        <f aca="false">MIN(Desain_Kolam!$B$21,MAX(0,M437+F438-H438-G438))</f>
        <v>7135.95999999999</v>
      </c>
      <c r="N438" s="6" t="n">
        <f aca="false">IF(M437+F438-H438&gt;=G438,1,0)</f>
        <v>1</v>
      </c>
      <c r="O438" s="18" t="n">
        <f aca="false">E438*Desain_Kolam!$B$24/1000</f>
        <v>609.18</v>
      </c>
      <c r="P438" s="18" t="n">
        <f aca="false">F438-G438-O438</f>
        <v>-675.74</v>
      </c>
      <c r="Q438" s="18" t="n">
        <f aca="false">Q437+P438</f>
        <v>-21050.9</v>
      </c>
      <c r="R438" s="18" t="n">
        <f aca="false">MAX(R437,Q438)</f>
        <v>2129.14</v>
      </c>
      <c r="S438" s="18" t="n">
        <f aca="false">R438-Q438</f>
        <v>23180.04</v>
      </c>
      <c r="T438" s="18" t="n">
        <f aca="false">E438*Desain_Kolam!$B$34/1000</f>
        <v>1406.16</v>
      </c>
      <c r="U438" s="18" t="n">
        <f aca="false">F438-G438-T438</f>
        <v>-1472.72</v>
      </c>
      <c r="V438" s="18" t="n">
        <f aca="false">V437+U438</f>
        <v>-87200.24</v>
      </c>
      <c r="W438" s="18" t="n">
        <f aca="false">MAX(W437,V438)</f>
        <v>0</v>
      </c>
      <c r="X438" s="18" t="n">
        <f aca="false">W438-V438</f>
        <v>87200.24</v>
      </c>
    </row>
    <row r="439" customFormat="false" ht="15" hidden="false" customHeight="false" outlineLevel="0" collapsed="false">
      <c r="A439" s="6" t="n">
        <v>2018</v>
      </c>
      <c r="B439" s="6" t="n">
        <v>12</v>
      </c>
      <c r="C439" s="4" t="n">
        <v>182</v>
      </c>
      <c r="D439" s="6" t="n">
        <v>31</v>
      </c>
      <c r="E439" s="4" t="n">
        <f aca="false">INDEX(Evaporasi!$B$3:$B$14,MATCH(B439,Evaporasi!$A$3:$A$14,0))</f>
        <v>120</v>
      </c>
      <c r="F439" s="18" t="n">
        <f aca="false">Kawasan!$B$11*Kawasan!$B$9*C439/1000</f>
        <v>1514.24</v>
      </c>
      <c r="G439" s="18" t="n">
        <f aca="false">Kawasan!$B$28*D439</f>
        <v>1547.52</v>
      </c>
      <c r="H439" s="18" t="n">
        <f aca="false">E439*Desain_Kolam!$B$16/1000</f>
        <v>128.7</v>
      </c>
      <c r="I439" s="18" t="n">
        <f aca="false">F439-G439-H439</f>
        <v>-161.98</v>
      </c>
      <c r="J439" s="18" t="n">
        <f aca="false">J438+I439</f>
        <v>18666.96</v>
      </c>
      <c r="K439" s="18" t="n">
        <f aca="false">MAX(K438,J439)</f>
        <v>26841.36</v>
      </c>
      <c r="L439" s="18" t="n">
        <f aca="false">K439-J439</f>
        <v>8174.4</v>
      </c>
      <c r="M439" s="18" t="n">
        <f aca="false">MIN(Desain_Kolam!$B$21,MAX(0,M438+F439-H439-G439))</f>
        <v>6973.97999999999</v>
      </c>
      <c r="N439" s="6" t="n">
        <f aca="false">IF(M438+F439-H439&gt;=G439,1,0)</f>
        <v>1</v>
      </c>
      <c r="O439" s="18" t="n">
        <f aca="false">E439*Desain_Kolam!$B$24/1000</f>
        <v>609.18</v>
      </c>
      <c r="P439" s="18" t="n">
        <f aca="false">F439-G439-O439</f>
        <v>-642.46</v>
      </c>
      <c r="Q439" s="18" t="n">
        <f aca="false">Q438+P439</f>
        <v>-21693.36</v>
      </c>
      <c r="R439" s="18" t="n">
        <f aca="false">MAX(R438,Q439)</f>
        <v>2129.14</v>
      </c>
      <c r="S439" s="18" t="n">
        <f aca="false">R439-Q439</f>
        <v>23822.5</v>
      </c>
      <c r="T439" s="18" t="n">
        <f aca="false">E439*Desain_Kolam!$B$34/1000</f>
        <v>1406.16</v>
      </c>
      <c r="U439" s="18" t="n">
        <f aca="false">F439-G439-T439</f>
        <v>-1439.44</v>
      </c>
      <c r="V439" s="18" t="n">
        <f aca="false">V438+U439</f>
        <v>-88639.68</v>
      </c>
      <c r="W439" s="18" t="n">
        <f aca="false">MAX(W438,V439)</f>
        <v>0</v>
      </c>
      <c r="X439" s="18" t="n">
        <f aca="false">W439-V439</f>
        <v>88639.68</v>
      </c>
    </row>
    <row r="440" customFormat="false" ht="15" hidden="false" customHeight="false" outlineLevel="0" collapsed="false">
      <c r="A440" s="6" t="n">
        <v>2019</v>
      </c>
      <c r="B440" s="6" t="n">
        <v>1</v>
      </c>
      <c r="C440" s="4" t="n">
        <v>124</v>
      </c>
      <c r="D440" s="6" t="n">
        <v>31</v>
      </c>
      <c r="E440" s="4" t="n">
        <f aca="false">INDEX(Evaporasi!$B$3:$B$14,MATCH(B440,Evaporasi!$A$3:$A$14,0))</f>
        <v>120</v>
      </c>
      <c r="F440" s="18" t="n">
        <f aca="false">Kawasan!$B$11*Kawasan!$B$9*C440/1000</f>
        <v>1031.68</v>
      </c>
      <c r="G440" s="18" t="n">
        <f aca="false">Kawasan!$B$28*D440</f>
        <v>1547.52</v>
      </c>
      <c r="H440" s="18" t="n">
        <f aca="false">E440*Desain_Kolam!$B$16/1000</f>
        <v>128.7</v>
      </c>
      <c r="I440" s="18" t="n">
        <f aca="false">F440-G440-H440</f>
        <v>-644.54</v>
      </c>
      <c r="J440" s="18" t="n">
        <f aca="false">J439+I440</f>
        <v>18022.42</v>
      </c>
      <c r="K440" s="18" t="n">
        <f aca="false">MAX(K439,J440)</f>
        <v>26841.36</v>
      </c>
      <c r="L440" s="18" t="n">
        <f aca="false">K440-J440</f>
        <v>8818.94</v>
      </c>
      <c r="M440" s="18" t="n">
        <f aca="false">MIN(Desain_Kolam!$B$21,MAX(0,M439+F440-H440-G440))</f>
        <v>6329.43999999999</v>
      </c>
      <c r="N440" s="6" t="n">
        <f aca="false">IF(M439+F440-H440&gt;=G440,1,0)</f>
        <v>1</v>
      </c>
      <c r="O440" s="18" t="n">
        <f aca="false">E440*Desain_Kolam!$B$24/1000</f>
        <v>609.18</v>
      </c>
      <c r="P440" s="18" t="n">
        <f aca="false">F440-G440-O440</f>
        <v>-1125.02</v>
      </c>
      <c r="Q440" s="18" t="n">
        <f aca="false">Q439+P440</f>
        <v>-22818.38</v>
      </c>
      <c r="R440" s="18" t="n">
        <f aca="false">MAX(R439,Q440)</f>
        <v>2129.14</v>
      </c>
      <c r="S440" s="18" t="n">
        <f aca="false">R440-Q440</f>
        <v>24947.52</v>
      </c>
      <c r="T440" s="18" t="n">
        <f aca="false">E440*Desain_Kolam!$B$34/1000</f>
        <v>1406.16</v>
      </c>
      <c r="U440" s="18" t="n">
        <f aca="false">F440-G440-T440</f>
        <v>-1922</v>
      </c>
      <c r="V440" s="18" t="n">
        <f aca="false">V439+U440</f>
        <v>-90561.68</v>
      </c>
      <c r="W440" s="18" t="n">
        <f aca="false">MAX(W439,V440)</f>
        <v>0</v>
      </c>
      <c r="X440" s="18" t="n">
        <f aca="false">W440-V440</f>
        <v>90561.68</v>
      </c>
    </row>
    <row r="441" customFormat="false" ht="15" hidden="false" customHeight="false" outlineLevel="0" collapsed="false">
      <c r="A441" s="6" t="n">
        <v>2019</v>
      </c>
      <c r="B441" s="6" t="n">
        <v>2</v>
      </c>
      <c r="C441" s="4" t="n">
        <v>207</v>
      </c>
      <c r="D441" s="6" t="n">
        <v>28</v>
      </c>
      <c r="E441" s="4" t="n">
        <f aca="false">INDEX(Evaporasi!$B$3:$B$14,MATCH(B441,Evaporasi!$A$3:$A$14,0))</f>
        <v>120</v>
      </c>
      <c r="F441" s="18" t="n">
        <f aca="false">Kawasan!$B$11*Kawasan!$B$9*C441/1000</f>
        <v>1722.24</v>
      </c>
      <c r="G441" s="18" t="n">
        <f aca="false">Kawasan!$B$28*D441</f>
        <v>1397.76</v>
      </c>
      <c r="H441" s="18" t="n">
        <f aca="false">E441*Desain_Kolam!$B$16/1000</f>
        <v>128.7</v>
      </c>
      <c r="I441" s="18" t="n">
        <f aca="false">F441-G441-H441</f>
        <v>195.78</v>
      </c>
      <c r="J441" s="18" t="n">
        <f aca="false">J440+I441</f>
        <v>18218.2</v>
      </c>
      <c r="K441" s="18" t="n">
        <f aca="false">MAX(K440,J441)</f>
        <v>26841.36</v>
      </c>
      <c r="L441" s="18" t="n">
        <f aca="false">K441-J441</f>
        <v>8623.16</v>
      </c>
      <c r="M441" s="18" t="n">
        <f aca="false">MIN(Desain_Kolam!$B$21,MAX(0,M440+F441-H441-G441))</f>
        <v>6525.21999999999</v>
      </c>
      <c r="N441" s="6" t="n">
        <f aca="false">IF(M440+F441-H441&gt;=G441,1,0)</f>
        <v>1</v>
      </c>
      <c r="O441" s="18" t="n">
        <f aca="false">E441*Desain_Kolam!$B$24/1000</f>
        <v>609.18</v>
      </c>
      <c r="P441" s="18" t="n">
        <f aca="false">F441-G441-O441</f>
        <v>-284.7</v>
      </c>
      <c r="Q441" s="18" t="n">
        <f aca="false">Q440+P441</f>
        <v>-23103.08</v>
      </c>
      <c r="R441" s="18" t="n">
        <f aca="false">MAX(R440,Q441)</f>
        <v>2129.14</v>
      </c>
      <c r="S441" s="18" t="n">
        <f aca="false">R441-Q441</f>
        <v>25232.22</v>
      </c>
      <c r="T441" s="18" t="n">
        <f aca="false">E441*Desain_Kolam!$B$34/1000</f>
        <v>1406.16</v>
      </c>
      <c r="U441" s="18" t="n">
        <f aca="false">F441-G441-T441</f>
        <v>-1081.68</v>
      </c>
      <c r="V441" s="18" t="n">
        <f aca="false">V440+U441</f>
        <v>-91643.36</v>
      </c>
      <c r="W441" s="18" t="n">
        <f aca="false">MAX(W440,V441)</f>
        <v>0</v>
      </c>
      <c r="X441" s="18" t="n">
        <f aca="false">W441-V441</f>
        <v>91643.36</v>
      </c>
    </row>
    <row r="442" customFormat="false" ht="15" hidden="false" customHeight="false" outlineLevel="0" collapsed="false">
      <c r="A442" s="6" t="n">
        <v>2019</v>
      </c>
      <c r="B442" s="6" t="n">
        <v>3</v>
      </c>
      <c r="C442" s="4" t="n">
        <v>44</v>
      </c>
      <c r="D442" s="6" t="n">
        <v>31</v>
      </c>
      <c r="E442" s="4" t="n">
        <f aca="false">INDEX(Evaporasi!$B$3:$B$14,MATCH(B442,Evaporasi!$A$3:$A$14,0))</f>
        <v>120</v>
      </c>
      <c r="F442" s="18" t="n">
        <f aca="false">Kawasan!$B$11*Kawasan!$B$9*C442/1000</f>
        <v>366.08</v>
      </c>
      <c r="G442" s="18" t="n">
        <f aca="false">Kawasan!$B$28*D442</f>
        <v>1547.52</v>
      </c>
      <c r="H442" s="18" t="n">
        <f aca="false">E442*Desain_Kolam!$B$16/1000</f>
        <v>128.7</v>
      </c>
      <c r="I442" s="18" t="n">
        <f aca="false">F442-G442-H442</f>
        <v>-1310.14</v>
      </c>
      <c r="J442" s="18" t="n">
        <f aca="false">J441+I442</f>
        <v>16908.06</v>
      </c>
      <c r="K442" s="18" t="n">
        <f aca="false">MAX(K441,J442)</f>
        <v>26841.36</v>
      </c>
      <c r="L442" s="18" t="n">
        <f aca="false">K442-J442</f>
        <v>9933.3</v>
      </c>
      <c r="M442" s="18" t="n">
        <f aca="false">MIN(Desain_Kolam!$B$21,MAX(0,M441+F442-H442-G442))</f>
        <v>5215.07999999999</v>
      </c>
      <c r="N442" s="6" t="n">
        <f aca="false">IF(M441+F442-H442&gt;=G442,1,0)</f>
        <v>1</v>
      </c>
      <c r="O442" s="18" t="n">
        <f aca="false">E442*Desain_Kolam!$B$24/1000</f>
        <v>609.18</v>
      </c>
      <c r="P442" s="18" t="n">
        <f aca="false">F442-G442-O442</f>
        <v>-1790.62</v>
      </c>
      <c r="Q442" s="18" t="n">
        <f aca="false">Q441+P442</f>
        <v>-24893.7</v>
      </c>
      <c r="R442" s="18" t="n">
        <f aca="false">MAX(R441,Q442)</f>
        <v>2129.14</v>
      </c>
      <c r="S442" s="18" t="n">
        <f aca="false">R442-Q442</f>
        <v>27022.84</v>
      </c>
      <c r="T442" s="18" t="n">
        <f aca="false">E442*Desain_Kolam!$B$34/1000</f>
        <v>1406.16</v>
      </c>
      <c r="U442" s="18" t="n">
        <f aca="false">F442-G442-T442</f>
        <v>-2587.6</v>
      </c>
      <c r="V442" s="18" t="n">
        <f aca="false">V441+U442</f>
        <v>-94230.96</v>
      </c>
      <c r="W442" s="18" t="n">
        <f aca="false">MAX(W441,V442)</f>
        <v>0</v>
      </c>
      <c r="X442" s="18" t="n">
        <f aca="false">W442-V442</f>
        <v>94230.96</v>
      </c>
    </row>
    <row r="443" customFormat="false" ht="15" hidden="false" customHeight="false" outlineLevel="0" collapsed="false">
      <c r="A443" s="6" t="n">
        <v>2019</v>
      </c>
      <c r="B443" s="6" t="n">
        <v>4</v>
      </c>
      <c r="C443" s="4" t="n">
        <v>151</v>
      </c>
      <c r="D443" s="6" t="n">
        <v>30</v>
      </c>
      <c r="E443" s="4" t="n">
        <f aca="false">INDEX(Evaporasi!$B$3:$B$14,MATCH(B443,Evaporasi!$A$3:$A$14,0))</f>
        <v>120</v>
      </c>
      <c r="F443" s="18" t="n">
        <f aca="false">Kawasan!$B$11*Kawasan!$B$9*C443/1000</f>
        <v>1256.32</v>
      </c>
      <c r="G443" s="18" t="n">
        <f aca="false">Kawasan!$B$28*D443</f>
        <v>1497.6</v>
      </c>
      <c r="H443" s="18" t="n">
        <f aca="false">E443*Desain_Kolam!$B$16/1000</f>
        <v>128.7</v>
      </c>
      <c r="I443" s="18" t="n">
        <f aca="false">F443-G443-H443</f>
        <v>-369.98</v>
      </c>
      <c r="J443" s="18" t="n">
        <f aca="false">J442+I443</f>
        <v>16538.08</v>
      </c>
      <c r="K443" s="18" t="n">
        <f aca="false">MAX(K442,J443)</f>
        <v>26841.36</v>
      </c>
      <c r="L443" s="18" t="n">
        <f aca="false">K443-J443</f>
        <v>10303.28</v>
      </c>
      <c r="M443" s="18" t="n">
        <f aca="false">MIN(Desain_Kolam!$B$21,MAX(0,M442+F443-H443-G443))</f>
        <v>4845.09999999999</v>
      </c>
      <c r="N443" s="6" t="n">
        <f aca="false">IF(M442+F443-H443&gt;=G443,1,0)</f>
        <v>1</v>
      </c>
      <c r="O443" s="18" t="n">
        <f aca="false">E443*Desain_Kolam!$B$24/1000</f>
        <v>609.18</v>
      </c>
      <c r="P443" s="18" t="n">
        <f aca="false">F443-G443-O443</f>
        <v>-850.46</v>
      </c>
      <c r="Q443" s="18" t="n">
        <f aca="false">Q442+P443</f>
        <v>-25744.16</v>
      </c>
      <c r="R443" s="18" t="n">
        <f aca="false">MAX(R442,Q443)</f>
        <v>2129.14</v>
      </c>
      <c r="S443" s="18" t="n">
        <f aca="false">R443-Q443</f>
        <v>27873.3</v>
      </c>
      <c r="T443" s="18" t="n">
        <f aca="false">E443*Desain_Kolam!$B$34/1000</f>
        <v>1406.16</v>
      </c>
      <c r="U443" s="18" t="n">
        <f aca="false">F443-G443-T443</f>
        <v>-1647.44</v>
      </c>
      <c r="V443" s="18" t="n">
        <f aca="false">V442+U443</f>
        <v>-95878.4</v>
      </c>
      <c r="W443" s="18" t="n">
        <f aca="false">MAX(W442,V443)</f>
        <v>0</v>
      </c>
      <c r="X443" s="18" t="n">
        <f aca="false">W443-V443</f>
        <v>95878.4</v>
      </c>
    </row>
    <row r="444" customFormat="false" ht="15" hidden="false" customHeight="false" outlineLevel="0" collapsed="false">
      <c r="A444" s="6" t="n">
        <v>2019</v>
      </c>
      <c r="B444" s="6" t="n">
        <v>5</v>
      </c>
      <c r="C444" s="4" t="n">
        <v>118</v>
      </c>
      <c r="D444" s="6" t="n">
        <v>31</v>
      </c>
      <c r="E444" s="4" t="n">
        <f aca="false">INDEX(Evaporasi!$B$3:$B$14,MATCH(B444,Evaporasi!$A$3:$A$14,0))</f>
        <v>120</v>
      </c>
      <c r="F444" s="18" t="n">
        <f aca="false">Kawasan!$B$11*Kawasan!$B$9*C444/1000</f>
        <v>981.76</v>
      </c>
      <c r="G444" s="18" t="n">
        <f aca="false">Kawasan!$B$28*D444</f>
        <v>1547.52</v>
      </c>
      <c r="H444" s="18" t="n">
        <f aca="false">E444*Desain_Kolam!$B$16/1000</f>
        <v>128.7</v>
      </c>
      <c r="I444" s="18" t="n">
        <f aca="false">F444-G444-H444</f>
        <v>-694.46</v>
      </c>
      <c r="J444" s="18" t="n">
        <f aca="false">J443+I444</f>
        <v>15843.62</v>
      </c>
      <c r="K444" s="18" t="n">
        <f aca="false">MAX(K443,J444)</f>
        <v>26841.36</v>
      </c>
      <c r="L444" s="18" t="n">
        <f aca="false">K444-J444</f>
        <v>10997.74</v>
      </c>
      <c r="M444" s="18" t="n">
        <f aca="false">MIN(Desain_Kolam!$B$21,MAX(0,M443+F444-H444-G444))</f>
        <v>4150.63999999999</v>
      </c>
      <c r="N444" s="6" t="n">
        <f aca="false">IF(M443+F444-H444&gt;=G444,1,0)</f>
        <v>1</v>
      </c>
      <c r="O444" s="18" t="n">
        <f aca="false">E444*Desain_Kolam!$B$24/1000</f>
        <v>609.18</v>
      </c>
      <c r="P444" s="18" t="n">
        <f aca="false">F444-G444-O444</f>
        <v>-1174.94</v>
      </c>
      <c r="Q444" s="18" t="n">
        <f aca="false">Q443+P444</f>
        <v>-26919.1</v>
      </c>
      <c r="R444" s="18" t="n">
        <f aca="false">MAX(R443,Q444)</f>
        <v>2129.14</v>
      </c>
      <c r="S444" s="18" t="n">
        <f aca="false">R444-Q444</f>
        <v>29048.24</v>
      </c>
      <c r="T444" s="18" t="n">
        <f aca="false">E444*Desain_Kolam!$B$34/1000</f>
        <v>1406.16</v>
      </c>
      <c r="U444" s="18" t="n">
        <f aca="false">F444-G444-T444</f>
        <v>-1971.92</v>
      </c>
      <c r="V444" s="18" t="n">
        <f aca="false">V443+U444</f>
        <v>-97850.32</v>
      </c>
      <c r="W444" s="18" t="n">
        <f aca="false">MAX(W443,V444)</f>
        <v>0</v>
      </c>
      <c r="X444" s="18" t="n">
        <f aca="false">W444-V444</f>
        <v>97850.32</v>
      </c>
    </row>
    <row r="445" customFormat="false" ht="15" hidden="false" customHeight="false" outlineLevel="0" collapsed="false">
      <c r="A445" s="6" t="n">
        <v>2019</v>
      </c>
      <c r="B445" s="6" t="n">
        <v>6</v>
      </c>
      <c r="C445" s="4" t="n">
        <v>125</v>
      </c>
      <c r="D445" s="6" t="n">
        <v>30</v>
      </c>
      <c r="E445" s="4" t="n">
        <f aca="false">INDEX(Evaporasi!$B$3:$B$14,MATCH(B445,Evaporasi!$A$3:$A$14,0))</f>
        <v>120</v>
      </c>
      <c r="F445" s="18" t="n">
        <f aca="false">Kawasan!$B$11*Kawasan!$B$9*C445/1000</f>
        <v>1040</v>
      </c>
      <c r="G445" s="18" t="n">
        <f aca="false">Kawasan!$B$28*D445</f>
        <v>1497.6</v>
      </c>
      <c r="H445" s="18" t="n">
        <f aca="false">E445*Desain_Kolam!$B$16/1000</f>
        <v>128.7</v>
      </c>
      <c r="I445" s="18" t="n">
        <f aca="false">F445-G445-H445</f>
        <v>-586.3</v>
      </c>
      <c r="J445" s="18" t="n">
        <f aca="false">J444+I445</f>
        <v>15257.32</v>
      </c>
      <c r="K445" s="18" t="n">
        <f aca="false">MAX(K444,J445)</f>
        <v>26841.36</v>
      </c>
      <c r="L445" s="18" t="n">
        <f aca="false">K445-J445</f>
        <v>11584.04</v>
      </c>
      <c r="M445" s="18" t="n">
        <f aca="false">MIN(Desain_Kolam!$B$21,MAX(0,M444+F445-H445-G445))</f>
        <v>3564.33999999998</v>
      </c>
      <c r="N445" s="6" t="n">
        <f aca="false">IF(M444+F445-H445&gt;=G445,1,0)</f>
        <v>1</v>
      </c>
      <c r="O445" s="18" t="n">
        <f aca="false">E445*Desain_Kolam!$B$24/1000</f>
        <v>609.18</v>
      </c>
      <c r="P445" s="18" t="n">
        <f aca="false">F445-G445-O445</f>
        <v>-1066.78</v>
      </c>
      <c r="Q445" s="18" t="n">
        <f aca="false">Q444+P445</f>
        <v>-27985.88</v>
      </c>
      <c r="R445" s="18" t="n">
        <f aca="false">MAX(R444,Q445)</f>
        <v>2129.14</v>
      </c>
      <c r="S445" s="18" t="n">
        <f aca="false">R445-Q445</f>
        <v>30115.02</v>
      </c>
      <c r="T445" s="18" t="n">
        <f aca="false">E445*Desain_Kolam!$B$34/1000</f>
        <v>1406.16</v>
      </c>
      <c r="U445" s="18" t="n">
        <f aca="false">F445-G445-T445</f>
        <v>-1863.76</v>
      </c>
      <c r="V445" s="18" t="n">
        <f aca="false">V444+U445</f>
        <v>-99714.08</v>
      </c>
      <c r="W445" s="18" t="n">
        <f aca="false">MAX(W444,V445)</f>
        <v>0</v>
      </c>
      <c r="X445" s="18" t="n">
        <f aca="false">W445-V445</f>
        <v>99714.08</v>
      </c>
    </row>
    <row r="446" customFormat="false" ht="15" hidden="false" customHeight="false" outlineLevel="0" collapsed="false">
      <c r="A446" s="6" t="n">
        <v>2019</v>
      </c>
      <c r="B446" s="6" t="n">
        <v>7</v>
      </c>
      <c r="C446" s="4" t="n">
        <v>53</v>
      </c>
      <c r="D446" s="6" t="n">
        <v>31</v>
      </c>
      <c r="E446" s="4" t="n">
        <f aca="false">INDEX(Evaporasi!$B$3:$B$14,MATCH(B446,Evaporasi!$A$3:$A$14,0))</f>
        <v>120</v>
      </c>
      <c r="F446" s="18" t="n">
        <f aca="false">Kawasan!$B$11*Kawasan!$B$9*C446/1000</f>
        <v>440.96</v>
      </c>
      <c r="G446" s="18" t="n">
        <f aca="false">Kawasan!$B$28*D446</f>
        <v>1547.52</v>
      </c>
      <c r="H446" s="18" t="n">
        <f aca="false">E446*Desain_Kolam!$B$16/1000</f>
        <v>128.7</v>
      </c>
      <c r="I446" s="18" t="n">
        <f aca="false">F446-G446-H446</f>
        <v>-1235.26</v>
      </c>
      <c r="J446" s="18" t="n">
        <f aca="false">J445+I446</f>
        <v>14022.06</v>
      </c>
      <c r="K446" s="18" t="n">
        <f aca="false">MAX(K445,J446)</f>
        <v>26841.36</v>
      </c>
      <c r="L446" s="18" t="n">
        <f aca="false">K446-J446</f>
        <v>12819.3</v>
      </c>
      <c r="M446" s="18" t="n">
        <f aca="false">MIN(Desain_Kolam!$B$21,MAX(0,M445+F446-H446-G446))</f>
        <v>2329.07999999999</v>
      </c>
      <c r="N446" s="6" t="n">
        <f aca="false">IF(M445+F446-H446&gt;=G446,1,0)</f>
        <v>1</v>
      </c>
      <c r="O446" s="18" t="n">
        <f aca="false">E446*Desain_Kolam!$B$24/1000</f>
        <v>609.18</v>
      </c>
      <c r="P446" s="18" t="n">
        <f aca="false">F446-G446-O446</f>
        <v>-1715.74</v>
      </c>
      <c r="Q446" s="18" t="n">
        <f aca="false">Q445+P446</f>
        <v>-29701.62</v>
      </c>
      <c r="R446" s="18" t="n">
        <f aca="false">MAX(R445,Q446)</f>
        <v>2129.14</v>
      </c>
      <c r="S446" s="18" t="n">
        <f aca="false">R446-Q446</f>
        <v>31830.76</v>
      </c>
      <c r="T446" s="18" t="n">
        <f aca="false">E446*Desain_Kolam!$B$34/1000</f>
        <v>1406.16</v>
      </c>
      <c r="U446" s="18" t="n">
        <f aca="false">F446-G446-T446</f>
        <v>-2512.72</v>
      </c>
      <c r="V446" s="18" t="n">
        <f aca="false">V445+U446</f>
        <v>-102226.8</v>
      </c>
      <c r="W446" s="18" t="n">
        <f aca="false">MAX(W445,V446)</f>
        <v>0</v>
      </c>
      <c r="X446" s="18" t="n">
        <f aca="false">W446-V446</f>
        <v>102226.8</v>
      </c>
    </row>
    <row r="447" customFormat="false" ht="15" hidden="false" customHeight="false" outlineLevel="0" collapsed="false">
      <c r="A447" s="6" t="n">
        <v>2019</v>
      </c>
      <c r="B447" s="6" t="n">
        <v>8</v>
      </c>
      <c r="C447" s="4" t="n">
        <v>76</v>
      </c>
      <c r="D447" s="6" t="n">
        <v>31</v>
      </c>
      <c r="E447" s="4" t="n">
        <f aca="false">INDEX(Evaporasi!$B$3:$B$14,MATCH(B447,Evaporasi!$A$3:$A$14,0))</f>
        <v>120</v>
      </c>
      <c r="F447" s="18" t="n">
        <f aca="false">Kawasan!$B$11*Kawasan!$B$9*C447/1000</f>
        <v>632.32</v>
      </c>
      <c r="G447" s="18" t="n">
        <f aca="false">Kawasan!$B$28*D447</f>
        <v>1547.52</v>
      </c>
      <c r="H447" s="18" t="n">
        <f aca="false">E447*Desain_Kolam!$B$16/1000</f>
        <v>128.7</v>
      </c>
      <c r="I447" s="18" t="n">
        <f aca="false">F447-G447-H447</f>
        <v>-1043.9</v>
      </c>
      <c r="J447" s="18" t="n">
        <f aca="false">J446+I447</f>
        <v>12978.16</v>
      </c>
      <c r="K447" s="18" t="n">
        <f aca="false">MAX(K446,J447)</f>
        <v>26841.36</v>
      </c>
      <c r="L447" s="18" t="n">
        <f aca="false">K447-J447</f>
        <v>13863.2</v>
      </c>
      <c r="M447" s="18" t="n">
        <f aca="false">MIN(Desain_Kolam!$B$21,MAX(0,M446+F447-H447-G447))</f>
        <v>1285.17999999999</v>
      </c>
      <c r="N447" s="6" t="n">
        <f aca="false">IF(M446+F447-H447&gt;=G447,1,0)</f>
        <v>1</v>
      </c>
      <c r="O447" s="18" t="n">
        <f aca="false">E447*Desain_Kolam!$B$24/1000</f>
        <v>609.18</v>
      </c>
      <c r="P447" s="18" t="n">
        <f aca="false">F447-G447-O447</f>
        <v>-1524.38</v>
      </c>
      <c r="Q447" s="18" t="n">
        <f aca="false">Q446+P447</f>
        <v>-31226</v>
      </c>
      <c r="R447" s="18" t="n">
        <f aca="false">MAX(R446,Q447)</f>
        <v>2129.14</v>
      </c>
      <c r="S447" s="18" t="n">
        <f aca="false">R447-Q447</f>
        <v>33355.14</v>
      </c>
      <c r="T447" s="18" t="n">
        <f aca="false">E447*Desain_Kolam!$B$34/1000</f>
        <v>1406.16</v>
      </c>
      <c r="U447" s="18" t="n">
        <f aca="false">F447-G447-T447</f>
        <v>-2321.36</v>
      </c>
      <c r="V447" s="18" t="n">
        <f aca="false">V446+U447</f>
        <v>-104548.16</v>
      </c>
      <c r="W447" s="18" t="n">
        <f aca="false">MAX(W446,V447)</f>
        <v>0</v>
      </c>
      <c r="X447" s="18" t="n">
        <f aca="false">W447-V447</f>
        <v>104548.16</v>
      </c>
    </row>
    <row r="448" customFormat="false" ht="15" hidden="false" customHeight="false" outlineLevel="0" collapsed="false">
      <c r="A448" s="6" t="n">
        <v>2019</v>
      </c>
      <c r="B448" s="6" t="n">
        <v>9</v>
      </c>
      <c r="C448" s="4" t="n">
        <v>41</v>
      </c>
      <c r="D448" s="6" t="n">
        <v>30</v>
      </c>
      <c r="E448" s="4" t="n">
        <f aca="false">INDEX(Evaporasi!$B$3:$B$14,MATCH(B448,Evaporasi!$A$3:$A$14,0))</f>
        <v>120</v>
      </c>
      <c r="F448" s="18" t="n">
        <f aca="false">Kawasan!$B$11*Kawasan!$B$9*C448/1000</f>
        <v>341.12</v>
      </c>
      <c r="G448" s="18" t="n">
        <f aca="false">Kawasan!$B$28*D448</f>
        <v>1497.6</v>
      </c>
      <c r="H448" s="18" t="n">
        <f aca="false">E448*Desain_Kolam!$B$16/1000</f>
        <v>128.7</v>
      </c>
      <c r="I448" s="18" t="n">
        <f aca="false">F448-G448-H448</f>
        <v>-1285.18</v>
      </c>
      <c r="J448" s="18" t="n">
        <f aca="false">J447+I448</f>
        <v>11692.98</v>
      </c>
      <c r="K448" s="18" t="n">
        <f aca="false">MAX(K447,J448)</f>
        <v>26841.36</v>
      </c>
      <c r="L448" s="18" t="n">
        <f aca="false">K448-J448</f>
        <v>15148.38</v>
      </c>
      <c r="M448" s="18" t="n">
        <f aca="false">MIN(Desain_Kolam!$B$21,MAX(0,M447+F448-H448-G448))</f>
        <v>0</v>
      </c>
      <c r="N448" s="6" t="n">
        <f aca="false">IF(M447+F448-H448&gt;=G448,1,0)</f>
        <v>0</v>
      </c>
      <c r="O448" s="18" t="n">
        <f aca="false">E448*Desain_Kolam!$B$24/1000</f>
        <v>609.18</v>
      </c>
      <c r="P448" s="18" t="n">
        <f aca="false">F448-G448-O448</f>
        <v>-1765.66</v>
      </c>
      <c r="Q448" s="18" t="n">
        <f aca="false">Q447+P448</f>
        <v>-32991.66</v>
      </c>
      <c r="R448" s="18" t="n">
        <f aca="false">MAX(R447,Q448)</f>
        <v>2129.14</v>
      </c>
      <c r="S448" s="18" t="n">
        <f aca="false">R448-Q448</f>
        <v>35120.8</v>
      </c>
      <c r="T448" s="18" t="n">
        <f aca="false">E448*Desain_Kolam!$B$34/1000</f>
        <v>1406.16</v>
      </c>
      <c r="U448" s="18" t="n">
        <f aca="false">F448-G448-T448</f>
        <v>-2562.64</v>
      </c>
      <c r="V448" s="18" t="n">
        <f aca="false">V447+U448</f>
        <v>-107110.8</v>
      </c>
      <c r="W448" s="18" t="n">
        <f aca="false">MAX(W447,V448)</f>
        <v>0</v>
      </c>
      <c r="X448" s="18" t="n">
        <f aca="false">W448-V448</f>
        <v>107110.8</v>
      </c>
    </row>
    <row r="449" customFormat="false" ht="15" hidden="false" customHeight="false" outlineLevel="0" collapsed="false">
      <c r="A449" s="6" t="n">
        <v>2019</v>
      </c>
      <c r="B449" s="6" t="n">
        <v>10</v>
      </c>
      <c r="C449" s="4" t="n">
        <v>548</v>
      </c>
      <c r="D449" s="6" t="n">
        <v>31</v>
      </c>
      <c r="E449" s="4" t="n">
        <f aca="false">INDEX(Evaporasi!$B$3:$B$14,MATCH(B449,Evaporasi!$A$3:$A$14,0))</f>
        <v>120</v>
      </c>
      <c r="F449" s="18" t="n">
        <f aca="false">Kawasan!$B$11*Kawasan!$B$9*C449/1000</f>
        <v>4559.36</v>
      </c>
      <c r="G449" s="18" t="n">
        <f aca="false">Kawasan!$B$28*D449</f>
        <v>1547.52</v>
      </c>
      <c r="H449" s="18" t="n">
        <f aca="false">E449*Desain_Kolam!$B$16/1000</f>
        <v>128.7</v>
      </c>
      <c r="I449" s="18" t="n">
        <f aca="false">F449-G449-H449</f>
        <v>2883.14</v>
      </c>
      <c r="J449" s="18" t="n">
        <f aca="false">J448+I449</f>
        <v>14576.12</v>
      </c>
      <c r="K449" s="18" t="n">
        <f aca="false">MAX(K448,J449)</f>
        <v>26841.36</v>
      </c>
      <c r="L449" s="18" t="n">
        <f aca="false">K449-J449</f>
        <v>12265.24</v>
      </c>
      <c r="M449" s="18" t="n">
        <f aca="false">MIN(Desain_Kolam!$B$21,MAX(0,M448+F449-H449-G449))</f>
        <v>2883.14</v>
      </c>
      <c r="N449" s="6" t="n">
        <f aca="false">IF(M448+F449-H449&gt;=G449,1,0)</f>
        <v>1</v>
      </c>
      <c r="O449" s="18" t="n">
        <f aca="false">E449*Desain_Kolam!$B$24/1000</f>
        <v>609.18</v>
      </c>
      <c r="P449" s="18" t="n">
        <f aca="false">F449-G449-O449</f>
        <v>2402.66</v>
      </c>
      <c r="Q449" s="18" t="n">
        <f aca="false">Q448+P449</f>
        <v>-30589</v>
      </c>
      <c r="R449" s="18" t="n">
        <f aca="false">MAX(R448,Q449)</f>
        <v>2129.14</v>
      </c>
      <c r="S449" s="18" t="n">
        <f aca="false">R449-Q449</f>
        <v>32718.14</v>
      </c>
      <c r="T449" s="18" t="n">
        <f aca="false">E449*Desain_Kolam!$B$34/1000</f>
        <v>1406.16</v>
      </c>
      <c r="U449" s="18" t="n">
        <f aca="false">F449-G449-T449</f>
        <v>1605.68</v>
      </c>
      <c r="V449" s="18" t="n">
        <f aca="false">V448+U449</f>
        <v>-105505.12</v>
      </c>
      <c r="W449" s="18" t="n">
        <f aca="false">MAX(W448,V449)</f>
        <v>0</v>
      </c>
      <c r="X449" s="18" t="n">
        <f aca="false">W449-V449</f>
        <v>105505.12</v>
      </c>
    </row>
    <row r="450" customFormat="false" ht="15" hidden="false" customHeight="false" outlineLevel="0" collapsed="false">
      <c r="A450" s="6" t="n">
        <v>2019</v>
      </c>
      <c r="B450" s="6" t="n">
        <v>11</v>
      </c>
      <c r="C450" s="4" t="n">
        <v>469</v>
      </c>
      <c r="D450" s="6" t="n">
        <v>30</v>
      </c>
      <c r="E450" s="4" t="n">
        <f aca="false">INDEX(Evaporasi!$B$3:$B$14,MATCH(B450,Evaporasi!$A$3:$A$14,0))</f>
        <v>120</v>
      </c>
      <c r="F450" s="18" t="n">
        <f aca="false">Kawasan!$B$11*Kawasan!$B$9*C450/1000</f>
        <v>3902.08</v>
      </c>
      <c r="G450" s="18" t="n">
        <f aca="false">Kawasan!$B$28*D450</f>
        <v>1497.6</v>
      </c>
      <c r="H450" s="18" t="n">
        <f aca="false">E450*Desain_Kolam!$B$16/1000</f>
        <v>128.7</v>
      </c>
      <c r="I450" s="18" t="n">
        <f aca="false">F450-G450-H450</f>
        <v>2275.78</v>
      </c>
      <c r="J450" s="18" t="n">
        <f aca="false">J449+I450</f>
        <v>16851.9</v>
      </c>
      <c r="K450" s="18" t="n">
        <f aca="false">MAX(K449,J450)</f>
        <v>26841.36</v>
      </c>
      <c r="L450" s="18" t="n">
        <f aca="false">K450-J450</f>
        <v>9989.46</v>
      </c>
      <c r="M450" s="18" t="n">
        <f aca="false">MIN(Desain_Kolam!$B$21,MAX(0,M449+F450-H450-G450))</f>
        <v>5158.92</v>
      </c>
      <c r="N450" s="6" t="n">
        <f aca="false">IF(M449+F450-H450&gt;=G450,1,0)</f>
        <v>1</v>
      </c>
      <c r="O450" s="18" t="n">
        <f aca="false">E450*Desain_Kolam!$B$24/1000</f>
        <v>609.18</v>
      </c>
      <c r="P450" s="18" t="n">
        <f aca="false">F450-G450-O450</f>
        <v>1795.3</v>
      </c>
      <c r="Q450" s="18" t="n">
        <f aca="false">Q449+P450</f>
        <v>-28793.7</v>
      </c>
      <c r="R450" s="18" t="n">
        <f aca="false">MAX(R449,Q450)</f>
        <v>2129.14</v>
      </c>
      <c r="S450" s="18" t="n">
        <f aca="false">R450-Q450</f>
        <v>30922.84</v>
      </c>
      <c r="T450" s="18" t="n">
        <f aca="false">E450*Desain_Kolam!$B$34/1000</f>
        <v>1406.16</v>
      </c>
      <c r="U450" s="18" t="n">
        <f aca="false">F450-G450-T450</f>
        <v>998.32</v>
      </c>
      <c r="V450" s="18" t="n">
        <f aca="false">V449+U450</f>
        <v>-104506.8</v>
      </c>
      <c r="W450" s="18" t="n">
        <f aca="false">MAX(W449,V450)</f>
        <v>0</v>
      </c>
      <c r="X450" s="18" t="n">
        <f aca="false">W450-V450</f>
        <v>104506.8</v>
      </c>
    </row>
    <row r="451" customFormat="false" ht="15" hidden="false" customHeight="false" outlineLevel="0" collapsed="false">
      <c r="A451" s="6" t="n">
        <v>2019</v>
      </c>
      <c r="B451" s="6" t="n">
        <v>12</v>
      </c>
      <c r="C451" s="4" t="n">
        <v>357</v>
      </c>
      <c r="D451" s="6" t="n">
        <v>31</v>
      </c>
      <c r="E451" s="4" t="n">
        <f aca="false">INDEX(Evaporasi!$B$3:$B$14,MATCH(B451,Evaporasi!$A$3:$A$14,0))</f>
        <v>120</v>
      </c>
      <c r="F451" s="18" t="n">
        <f aca="false">Kawasan!$B$11*Kawasan!$B$9*C451/1000</f>
        <v>2970.24</v>
      </c>
      <c r="G451" s="18" t="n">
        <f aca="false">Kawasan!$B$28*D451</f>
        <v>1547.52</v>
      </c>
      <c r="H451" s="18" t="n">
        <f aca="false">E451*Desain_Kolam!$B$16/1000</f>
        <v>128.7</v>
      </c>
      <c r="I451" s="18" t="n">
        <f aca="false">F451-G451-H451</f>
        <v>1294.02</v>
      </c>
      <c r="J451" s="18" t="n">
        <f aca="false">J450+I451</f>
        <v>18145.92</v>
      </c>
      <c r="K451" s="18" t="n">
        <f aca="false">MAX(K450,J451)</f>
        <v>26841.36</v>
      </c>
      <c r="L451" s="18" t="n">
        <f aca="false">K451-J451</f>
        <v>8695.44</v>
      </c>
      <c r="M451" s="18" t="n">
        <f aca="false">MIN(Desain_Kolam!$B$21,MAX(0,M450+F451-H451-G451))</f>
        <v>6452.94</v>
      </c>
      <c r="N451" s="6" t="n">
        <f aca="false">IF(M450+F451-H451&gt;=G451,1,0)</f>
        <v>1</v>
      </c>
      <c r="O451" s="18" t="n">
        <f aca="false">E451*Desain_Kolam!$B$24/1000</f>
        <v>609.18</v>
      </c>
      <c r="P451" s="18" t="n">
        <f aca="false">F451-G451-O451</f>
        <v>813.54</v>
      </c>
      <c r="Q451" s="18" t="n">
        <f aca="false">Q450+P451</f>
        <v>-27980.16</v>
      </c>
      <c r="R451" s="18" t="n">
        <f aca="false">MAX(R450,Q451)</f>
        <v>2129.14</v>
      </c>
      <c r="S451" s="18" t="n">
        <f aca="false">R451-Q451</f>
        <v>30109.3</v>
      </c>
      <c r="T451" s="18" t="n">
        <f aca="false">E451*Desain_Kolam!$B$34/1000</f>
        <v>1406.16</v>
      </c>
      <c r="U451" s="18" t="n">
        <f aca="false">F451-G451-T451</f>
        <v>16.5599999999997</v>
      </c>
      <c r="V451" s="18" t="n">
        <f aca="false">V450+U451</f>
        <v>-104490.24</v>
      </c>
      <c r="W451" s="18" t="n">
        <f aca="false">MAX(W450,V451)</f>
        <v>0</v>
      </c>
      <c r="X451" s="18" t="n">
        <f aca="false">W451-V451</f>
        <v>104490.24</v>
      </c>
    </row>
    <row r="452" customFormat="false" ht="15" hidden="false" customHeight="false" outlineLevel="0" collapsed="false">
      <c r="A452" s="6" t="n">
        <v>2020</v>
      </c>
      <c r="B452" s="6" t="n">
        <v>1</v>
      </c>
      <c r="C452" s="4" t="n">
        <v>337</v>
      </c>
      <c r="D452" s="6" t="n">
        <v>31</v>
      </c>
      <c r="E452" s="4" t="n">
        <f aca="false">INDEX(Evaporasi!$B$3:$B$14,MATCH(B452,Evaporasi!$A$3:$A$14,0))</f>
        <v>120</v>
      </c>
      <c r="F452" s="18" t="n">
        <f aca="false">Kawasan!$B$11*Kawasan!$B$9*C452/1000</f>
        <v>2803.84</v>
      </c>
      <c r="G452" s="18" t="n">
        <f aca="false">Kawasan!$B$28*D452</f>
        <v>1547.52</v>
      </c>
      <c r="H452" s="18" t="n">
        <f aca="false">E452*Desain_Kolam!$B$16/1000</f>
        <v>128.7</v>
      </c>
      <c r="I452" s="18" t="n">
        <f aca="false">F452-G452-H452</f>
        <v>1127.62</v>
      </c>
      <c r="J452" s="18" t="n">
        <f aca="false">J451+I452</f>
        <v>19273.54</v>
      </c>
      <c r="K452" s="18" t="n">
        <f aca="false">MAX(K451,J452)</f>
        <v>26841.36</v>
      </c>
      <c r="L452" s="18" t="n">
        <f aca="false">K452-J452</f>
        <v>7567.82</v>
      </c>
      <c r="M452" s="18" t="n">
        <f aca="false">MIN(Desain_Kolam!$B$21,MAX(0,M451+F452-H452-G452))</f>
        <v>7580.56</v>
      </c>
      <c r="N452" s="6" t="n">
        <f aca="false">IF(M451+F452-H452&gt;=G452,1,0)</f>
        <v>1</v>
      </c>
      <c r="O452" s="18" t="n">
        <f aca="false">E452*Desain_Kolam!$B$24/1000</f>
        <v>609.18</v>
      </c>
      <c r="P452" s="18" t="n">
        <f aca="false">F452-G452-O452</f>
        <v>647.14</v>
      </c>
      <c r="Q452" s="18" t="n">
        <f aca="false">Q451+P452</f>
        <v>-27333.02</v>
      </c>
      <c r="R452" s="18" t="n">
        <f aca="false">MAX(R451,Q452)</f>
        <v>2129.14</v>
      </c>
      <c r="S452" s="18" t="n">
        <f aca="false">R452-Q452</f>
        <v>29462.16</v>
      </c>
      <c r="T452" s="18" t="n">
        <f aca="false">E452*Desain_Kolam!$B$34/1000</f>
        <v>1406.16</v>
      </c>
      <c r="U452" s="18" t="n">
        <f aca="false">F452-G452-T452</f>
        <v>-149.84</v>
      </c>
      <c r="V452" s="18" t="n">
        <f aca="false">V451+U452</f>
        <v>-104640.08</v>
      </c>
      <c r="W452" s="18" t="n">
        <f aca="false">MAX(W451,V452)</f>
        <v>0</v>
      </c>
      <c r="X452" s="18" t="n">
        <f aca="false">W452-V452</f>
        <v>104640.08</v>
      </c>
    </row>
    <row r="453" customFormat="false" ht="15" hidden="false" customHeight="false" outlineLevel="0" collapsed="false">
      <c r="A453" s="6" t="n">
        <v>2020</v>
      </c>
      <c r="B453" s="6" t="n">
        <v>2</v>
      </c>
      <c r="C453" s="4" t="n">
        <v>305</v>
      </c>
      <c r="D453" s="6" t="n">
        <v>29</v>
      </c>
      <c r="E453" s="4" t="n">
        <f aca="false">INDEX(Evaporasi!$B$3:$B$14,MATCH(B453,Evaporasi!$A$3:$A$14,0))</f>
        <v>120</v>
      </c>
      <c r="F453" s="18" t="n">
        <f aca="false">Kawasan!$B$11*Kawasan!$B$9*C453/1000</f>
        <v>2537.6</v>
      </c>
      <c r="G453" s="18" t="n">
        <f aca="false">Kawasan!$B$28*D453</f>
        <v>1447.68</v>
      </c>
      <c r="H453" s="18" t="n">
        <f aca="false">E453*Desain_Kolam!$B$16/1000</f>
        <v>128.7</v>
      </c>
      <c r="I453" s="18" t="n">
        <f aca="false">F453-G453-H453</f>
        <v>961.22</v>
      </c>
      <c r="J453" s="18" t="n">
        <f aca="false">J452+I453</f>
        <v>20234.76</v>
      </c>
      <c r="K453" s="18" t="n">
        <f aca="false">MAX(K452,J453)</f>
        <v>26841.36</v>
      </c>
      <c r="L453" s="18" t="n">
        <f aca="false">K453-J453</f>
        <v>6606.6</v>
      </c>
      <c r="M453" s="18" t="n">
        <f aca="false">MIN(Desain_Kolam!$B$21,MAX(0,M452+F453-H453-G453))</f>
        <v>8541.78</v>
      </c>
      <c r="N453" s="6" t="n">
        <f aca="false">IF(M452+F453-H453&gt;=G453,1,0)</f>
        <v>1</v>
      </c>
      <c r="O453" s="18" t="n">
        <f aca="false">E453*Desain_Kolam!$B$24/1000</f>
        <v>609.18</v>
      </c>
      <c r="P453" s="18" t="n">
        <f aca="false">F453-G453-O453</f>
        <v>480.74</v>
      </c>
      <c r="Q453" s="18" t="n">
        <f aca="false">Q452+P453</f>
        <v>-26852.28</v>
      </c>
      <c r="R453" s="18" t="n">
        <f aca="false">MAX(R452,Q453)</f>
        <v>2129.14</v>
      </c>
      <c r="S453" s="18" t="n">
        <f aca="false">R453-Q453</f>
        <v>28981.42</v>
      </c>
      <c r="T453" s="18" t="n">
        <f aca="false">E453*Desain_Kolam!$B$34/1000</f>
        <v>1406.16</v>
      </c>
      <c r="U453" s="18" t="n">
        <f aca="false">F453-G453-T453</f>
        <v>-316.24</v>
      </c>
      <c r="V453" s="18" t="n">
        <f aca="false">V452+U453</f>
        <v>-104956.32</v>
      </c>
      <c r="W453" s="18" t="n">
        <f aca="false">MAX(W452,V453)</f>
        <v>0</v>
      </c>
      <c r="X453" s="18" t="n">
        <f aca="false">W453-V453</f>
        <v>104956.32</v>
      </c>
    </row>
    <row r="454" customFormat="false" ht="15" hidden="false" customHeight="false" outlineLevel="0" collapsed="false">
      <c r="A454" s="6" t="n">
        <v>2020</v>
      </c>
      <c r="B454" s="6" t="n">
        <v>3</v>
      </c>
      <c r="C454" s="4" t="n">
        <v>219</v>
      </c>
      <c r="D454" s="6" t="n">
        <v>31</v>
      </c>
      <c r="E454" s="4" t="n">
        <f aca="false">INDEX(Evaporasi!$B$3:$B$14,MATCH(B454,Evaporasi!$A$3:$A$14,0))</f>
        <v>120</v>
      </c>
      <c r="F454" s="18" t="n">
        <f aca="false">Kawasan!$B$11*Kawasan!$B$9*C454/1000</f>
        <v>1822.08</v>
      </c>
      <c r="G454" s="18" t="n">
        <f aca="false">Kawasan!$B$28*D454</f>
        <v>1547.52</v>
      </c>
      <c r="H454" s="18" t="n">
        <f aca="false">E454*Desain_Kolam!$B$16/1000</f>
        <v>128.7</v>
      </c>
      <c r="I454" s="18" t="n">
        <f aca="false">F454-G454-H454</f>
        <v>145.86</v>
      </c>
      <c r="J454" s="18" t="n">
        <f aca="false">J453+I454</f>
        <v>20380.62</v>
      </c>
      <c r="K454" s="18" t="n">
        <f aca="false">MAX(K453,J454)</f>
        <v>26841.36</v>
      </c>
      <c r="L454" s="18" t="n">
        <f aca="false">K454-J454</f>
        <v>6460.74</v>
      </c>
      <c r="M454" s="18" t="n">
        <f aca="false">MIN(Desain_Kolam!$B$21,MAX(0,M453+F454-H454-G454))</f>
        <v>8687.64</v>
      </c>
      <c r="N454" s="6" t="n">
        <f aca="false">IF(M453+F454-H454&gt;=G454,1,0)</f>
        <v>1</v>
      </c>
      <c r="O454" s="18" t="n">
        <f aca="false">E454*Desain_Kolam!$B$24/1000</f>
        <v>609.18</v>
      </c>
      <c r="P454" s="18" t="n">
        <f aca="false">F454-G454-O454</f>
        <v>-334.62</v>
      </c>
      <c r="Q454" s="18" t="n">
        <f aca="false">Q453+P454</f>
        <v>-27186.9</v>
      </c>
      <c r="R454" s="18" t="n">
        <f aca="false">MAX(R453,Q454)</f>
        <v>2129.14</v>
      </c>
      <c r="S454" s="18" t="n">
        <f aca="false">R454-Q454</f>
        <v>29316.04</v>
      </c>
      <c r="T454" s="18" t="n">
        <f aca="false">E454*Desain_Kolam!$B$34/1000</f>
        <v>1406.16</v>
      </c>
      <c r="U454" s="18" t="n">
        <f aca="false">F454-G454-T454</f>
        <v>-1131.6</v>
      </c>
      <c r="V454" s="18" t="n">
        <f aca="false">V453+U454</f>
        <v>-106087.92</v>
      </c>
      <c r="W454" s="18" t="n">
        <f aca="false">MAX(W453,V454)</f>
        <v>0</v>
      </c>
      <c r="X454" s="18" t="n">
        <f aca="false">W454-V454</f>
        <v>106087.92</v>
      </c>
    </row>
    <row r="455" customFormat="false" ht="15" hidden="false" customHeight="false" outlineLevel="0" collapsed="false">
      <c r="A455" s="6" t="n">
        <v>2020</v>
      </c>
      <c r="B455" s="6" t="n">
        <v>4</v>
      </c>
      <c r="C455" s="4" t="n">
        <v>358</v>
      </c>
      <c r="D455" s="6" t="n">
        <v>30</v>
      </c>
      <c r="E455" s="4" t="n">
        <f aca="false">INDEX(Evaporasi!$B$3:$B$14,MATCH(B455,Evaporasi!$A$3:$A$14,0))</f>
        <v>120</v>
      </c>
      <c r="F455" s="18" t="n">
        <f aca="false">Kawasan!$B$11*Kawasan!$B$9*C455/1000</f>
        <v>2978.56</v>
      </c>
      <c r="G455" s="18" t="n">
        <f aca="false">Kawasan!$B$28*D455</f>
        <v>1497.6</v>
      </c>
      <c r="H455" s="18" t="n">
        <f aca="false">E455*Desain_Kolam!$B$16/1000</f>
        <v>128.7</v>
      </c>
      <c r="I455" s="18" t="n">
        <f aca="false">F455-G455-H455</f>
        <v>1352.26</v>
      </c>
      <c r="J455" s="18" t="n">
        <f aca="false">J454+I455</f>
        <v>21732.88</v>
      </c>
      <c r="K455" s="18" t="n">
        <f aca="false">MAX(K454,J455)</f>
        <v>26841.36</v>
      </c>
      <c r="L455" s="18" t="n">
        <f aca="false">K455-J455</f>
        <v>5108.48</v>
      </c>
      <c r="M455" s="18" t="n">
        <f aca="false">MIN(Desain_Kolam!$B$21,MAX(0,M454+F455-H455-G455))</f>
        <v>10039.9</v>
      </c>
      <c r="N455" s="6" t="n">
        <f aca="false">IF(M454+F455-H455&gt;=G455,1,0)</f>
        <v>1</v>
      </c>
      <c r="O455" s="18" t="n">
        <f aca="false">E455*Desain_Kolam!$B$24/1000</f>
        <v>609.18</v>
      </c>
      <c r="P455" s="18" t="n">
        <f aca="false">F455-G455-O455</f>
        <v>871.78</v>
      </c>
      <c r="Q455" s="18" t="n">
        <f aca="false">Q454+P455</f>
        <v>-26315.12</v>
      </c>
      <c r="R455" s="18" t="n">
        <f aca="false">MAX(R454,Q455)</f>
        <v>2129.14</v>
      </c>
      <c r="S455" s="18" t="n">
        <f aca="false">R455-Q455</f>
        <v>28444.26</v>
      </c>
      <c r="T455" s="18" t="n">
        <f aca="false">E455*Desain_Kolam!$B$34/1000</f>
        <v>1406.16</v>
      </c>
      <c r="U455" s="18" t="n">
        <f aca="false">F455-G455-T455</f>
        <v>74.7999999999997</v>
      </c>
      <c r="V455" s="18" t="n">
        <f aca="false">V454+U455</f>
        <v>-106013.12</v>
      </c>
      <c r="W455" s="18" t="n">
        <f aca="false">MAX(W454,V455)</f>
        <v>0</v>
      </c>
      <c r="X455" s="18" t="n">
        <f aca="false">W455-V455</f>
        <v>106013.12</v>
      </c>
    </row>
    <row r="456" customFormat="false" ht="15" hidden="false" customHeight="false" outlineLevel="0" collapsed="false">
      <c r="A456" s="6" t="n">
        <v>2020</v>
      </c>
      <c r="B456" s="6" t="n">
        <v>5</v>
      </c>
      <c r="C456" s="4" t="n">
        <v>305</v>
      </c>
      <c r="D456" s="6" t="n">
        <v>31</v>
      </c>
      <c r="E456" s="4" t="n">
        <f aca="false">INDEX(Evaporasi!$B$3:$B$14,MATCH(B456,Evaporasi!$A$3:$A$14,0))</f>
        <v>120</v>
      </c>
      <c r="F456" s="18" t="n">
        <f aca="false">Kawasan!$B$11*Kawasan!$B$9*C456/1000</f>
        <v>2537.6</v>
      </c>
      <c r="G456" s="18" t="n">
        <f aca="false">Kawasan!$B$28*D456</f>
        <v>1547.52</v>
      </c>
      <c r="H456" s="18" t="n">
        <f aca="false">E456*Desain_Kolam!$B$16/1000</f>
        <v>128.7</v>
      </c>
      <c r="I456" s="18" t="n">
        <f aca="false">F456-G456-H456</f>
        <v>861.38</v>
      </c>
      <c r="J456" s="18" t="n">
        <f aca="false">J455+I456</f>
        <v>22594.26</v>
      </c>
      <c r="K456" s="18" t="n">
        <f aca="false">MAX(K455,J456)</f>
        <v>26841.36</v>
      </c>
      <c r="L456" s="18" t="n">
        <f aca="false">K456-J456</f>
        <v>4247.1</v>
      </c>
      <c r="M456" s="18" t="n">
        <f aca="false">MIN(Desain_Kolam!$B$21,MAX(0,M455+F456-H456-G456))</f>
        <v>10901.28</v>
      </c>
      <c r="N456" s="6" t="n">
        <f aca="false">IF(M455+F456-H456&gt;=G456,1,0)</f>
        <v>1</v>
      </c>
      <c r="O456" s="18" t="n">
        <f aca="false">E456*Desain_Kolam!$B$24/1000</f>
        <v>609.18</v>
      </c>
      <c r="P456" s="18" t="n">
        <f aca="false">F456-G456-O456</f>
        <v>380.9</v>
      </c>
      <c r="Q456" s="18" t="n">
        <f aca="false">Q455+P456</f>
        <v>-25934.22</v>
      </c>
      <c r="R456" s="18" t="n">
        <f aca="false">MAX(R455,Q456)</f>
        <v>2129.14</v>
      </c>
      <c r="S456" s="18" t="n">
        <f aca="false">R456-Q456</f>
        <v>28063.36</v>
      </c>
      <c r="T456" s="18" t="n">
        <f aca="false">E456*Desain_Kolam!$B$34/1000</f>
        <v>1406.16</v>
      </c>
      <c r="U456" s="18" t="n">
        <f aca="false">F456-G456-T456</f>
        <v>-416.08</v>
      </c>
      <c r="V456" s="18" t="n">
        <f aca="false">V455+U456</f>
        <v>-106429.2</v>
      </c>
      <c r="W456" s="18" t="n">
        <f aca="false">MAX(W455,V456)</f>
        <v>0</v>
      </c>
      <c r="X456" s="18" t="n">
        <f aca="false">W456-V456</f>
        <v>106429.2</v>
      </c>
    </row>
    <row r="457" customFormat="false" ht="15" hidden="false" customHeight="false" outlineLevel="0" collapsed="false">
      <c r="A457" s="6" t="n">
        <v>2020</v>
      </c>
      <c r="B457" s="6" t="n">
        <v>6</v>
      </c>
      <c r="C457" s="4" t="n">
        <v>388</v>
      </c>
      <c r="D457" s="6" t="n">
        <v>30</v>
      </c>
      <c r="E457" s="4" t="n">
        <f aca="false">INDEX(Evaporasi!$B$3:$B$14,MATCH(B457,Evaporasi!$A$3:$A$14,0))</f>
        <v>120</v>
      </c>
      <c r="F457" s="18" t="n">
        <f aca="false">Kawasan!$B$11*Kawasan!$B$9*C457/1000</f>
        <v>3228.16</v>
      </c>
      <c r="G457" s="18" t="n">
        <f aca="false">Kawasan!$B$28*D457</f>
        <v>1497.6</v>
      </c>
      <c r="H457" s="18" t="n">
        <f aca="false">E457*Desain_Kolam!$B$16/1000</f>
        <v>128.7</v>
      </c>
      <c r="I457" s="18" t="n">
        <f aca="false">F457-G457-H457</f>
        <v>1601.86</v>
      </c>
      <c r="J457" s="18" t="n">
        <f aca="false">J456+I457</f>
        <v>24196.12</v>
      </c>
      <c r="K457" s="18" t="n">
        <f aca="false">MAX(K456,J457)</f>
        <v>26841.36</v>
      </c>
      <c r="L457" s="18" t="n">
        <f aca="false">K457-J457</f>
        <v>2645.24</v>
      </c>
      <c r="M457" s="18" t="n">
        <f aca="false">MIN(Desain_Kolam!$B$21,MAX(0,M456+F457-H457-G457))</f>
        <v>12503.14</v>
      </c>
      <c r="N457" s="6" t="n">
        <f aca="false">IF(M456+F457-H457&gt;=G457,1,0)</f>
        <v>1</v>
      </c>
      <c r="O457" s="18" t="n">
        <f aca="false">E457*Desain_Kolam!$B$24/1000</f>
        <v>609.18</v>
      </c>
      <c r="P457" s="18" t="n">
        <f aca="false">F457-G457-O457</f>
        <v>1121.38</v>
      </c>
      <c r="Q457" s="18" t="n">
        <f aca="false">Q456+P457</f>
        <v>-24812.84</v>
      </c>
      <c r="R457" s="18" t="n">
        <f aca="false">MAX(R456,Q457)</f>
        <v>2129.14</v>
      </c>
      <c r="S457" s="18" t="n">
        <f aca="false">R457-Q457</f>
        <v>26941.98</v>
      </c>
      <c r="T457" s="18" t="n">
        <f aca="false">E457*Desain_Kolam!$B$34/1000</f>
        <v>1406.16</v>
      </c>
      <c r="U457" s="18" t="n">
        <f aca="false">F457-G457-T457</f>
        <v>324.4</v>
      </c>
      <c r="V457" s="18" t="n">
        <f aca="false">V456+U457</f>
        <v>-106104.8</v>
      </c>
      <c r="W457" s="18" t="n">
        <f aca="false">MAX(W456,V457)</f>
        <v>0</v>
      </c>
      <c r="X457" s="18" t="n">
        <f aca="false">W457-V457</f>
        <v>106104.8</v>
      </c>
    </row>
    <row r="458" customFormat="false" ht="15" hidden="false" customHeight="false" outlineLevel="0" collapsed="false">
      <c r="A458" s="6" t="n">
        <v>2020</v>
      </c>
      <c r="B458" s="6" t="n">
        <v>7</v>
      </c>
      <c r="C458" s="4" t="n">
        <v>507</v>
      </c>
      <c r="D458" s="6" t="n">
        <v>31</v>
      </c>
      <c r="E458" s="4" t="n">
        <f aca="false">INDEX(Evaporasi!$B$3:$B$14,MATCH(B458,Evaporasi!$A$3:$A$14,0))</f>
        <v>120</v>
      </c>
      <c r="F458" s="18" t="n">
        <f aca="false">Kawasan!$B$11*Kawasan!$B$9*C458/1000</f>
        <v>4218.24</v>
      </c>
      <c r="G458" s="18" t="n">
        <f aca="false">Kawasan!$B$28*D458</f>
        <v>1547.52</v>
      </c>
      <c r="H458" s="18" t="n">
        <f aca="false">E458*Desain_Kolam!$B$16/1000</f>
        <v>128.7</v>
      </c>
      <c r="I458" s="18" t="n">
        <f aca="false">F458-G458-H458</f>
        <v>2542.02</v>
      </c>
      <c r="J458" s="18" t="n">
        <f aca="false">J457+I458</f>
        <v>26738.14</v>
      </c>
      <c r="K458" s="18" t="n">
        <f aca="false">MAX(K457,J458)</f>
        <v>26841.36</v>
      </c>
      <c r="L458" s="18" t="n">
        <f aca="false">K458-J458</f>
        <v>103.220000000001</v>
      </c>
      <c r="M458" s="18" t="n">
        <f aca="false">MIN(Desain_Kolam!$B$21,MAX(0,M457+F458-H458-G458))</f>
        <v>15045.16</v>
      </c>
      <c r="N458" s="6" t="n">
        <f aca="false">IF(M457+F458-H458&gt;=G458,1,0)</f>
        <v>1</v>
      </c>
      <c r="O458" s="18" t="n">
        <f aca="false">E458*Desain_Kolam!$B$24/1000</f>
        <v>609.18</v>
      </c>
      <c r="P458" s="18" t="n">
        <f aca="false">F458-G458-O458</f>
        <v>2061.54</v>
      </c>
      <c r="Q458" s="18" t="n">
        <f aca="false">Q457+P458</f>
        <v>-22751.3</v>
      </c>
      <c r="R458" s="18" t="n">
        <f aca="false">MAX(R457,Q458)</f>
        <v>2129.14</v>
      </c>
      <c r="S458" s="18" t="n">
        <f aca="false">R458-Q458</f>
        <v>24880.44</v>
      </c>
      <c r="T458" s="18" t="n">
        <f aca="false">E458*Desain_Kolam!$B$34/1000</f>
        <v>1406.16</v>
      </c>
      <c r="U458" s="18" t="n">
        <f aca="false">F458-G458-T458</f>
        <v>1264.56</v>
      </c>
      <c r="V458" s="18" t="n">
        <f aca="false">V457+U458</f>
        <v>-104840.24</v>
      </c>
      <c r="W458" s="18" t="n">
        <f aca="false">MAX(W457,V458)</f>
        <v>0</v>
      </c>
      <c r="X458" s="18" t="n">
        <f aca="false">W458-V458</f>
        <v>104840.24</v>
      </c>
    </row>
    <row r="459" customFormat="false" ht="15" hidden="false" customHeight="false" outlineLevel="0" collapsed="false">
      <c r="A459" s="6" t="n">
        <v>2020</v>
      </c>
      <c r="B459" s="6" t="n">
        <v>8</v>
      </c>
      <c r="C459" s="4" t="n">
        <v>212</v>
      </c>
      <c r="D459" s="6" t="n">
        <v>31</v>
      </c>
      <c r="E459" s="4" t="n">
        <f aca="false">INDEX(Evaporasi!$B$3:$B$14,MATCH(B459,Evaporasi!$A$3:$A$14,0))</f>
        <v>120</v>
      </c>
      <c r="F459" s="18" t="n">
        <f aca="false">Kawasan!$B$11*Kawasan!$B$9*C459/1000</f>
        <v>1763.84</v>
      </c>
      <c r="G459" s="18" t="n">
        <f aca="false">Kawasan!$B$28*D459</f>
        <v>1547.52</v>
      </c>
      <c r="H459" s="18" t="n">
        <f aca="false">E459*Desain_Kolam!$B$16/1000</f>
        <v>128.7</v>
      </c>
      <c r="I459" s="18" t="n">
        <f aca="false">F459-G459-H459</f>
        <v>87.62</v>
      </c>
      <c r="J459" s="18" t="n">
        <f aca="false">J458+I459</f>
        <v>26825.76</v>
      </c>
      <c r="K459" s="18" t="n">
        <f aca="false">MAX(K458,J459)</f>
        <v>26841.36</v>
      </c>
      <c r="L459" s="18" t="n">
        <f aca="false">K459-J459</f>
        <v>15.6000000000022</v>
      </c>
      <c r="M459" s="18" t="n">
        <f aca="false">MIN(Desain_Kolam!$B$21,MAX(0,M458+F459-H459-G459))</f>
        <v>15132.78</v>
      </c>
      <c r="N459" s="6" t="n">
        <f aca="false">IF(M458+F459-H459&gt;=G459,1,0)</f>
        <v>1</v>
      </c>
      <c r="O459" s="18" t="n">
        <f aca="false">E459*Desain_Kolam!$B$24/1000</f>
        <v>609.18</v>
      </c>
      <c r="P459" s="18" t="n">
        <f aca="false">F459-G459-O459</f>
        <v>-392.86</v>
      </c>
      <c r="Q459" s="18" t="n">
        <f aca="false">Q458+P459</f>
        <v>-23144.16</v>
      </c>
      <c r="R459" s="18" t="n">
        <f aca="false">MAX(R458,Q459)</f>
        <v>2129.14</v>
      </c>
      <c r="S459" s="18" t="n">
        <f aca="false">R459-Q459</f>
        <v>25273.3</v>
      </c>
      <c r="T459" s="18" t="n">
        <f aca="false">E459*Desain_Kolam!$B$34/1000</f>
        <v>1406.16</v>
      </c>
      <c r="U459" s="18" t="n">
        <f aca="false">F459-G459-T459</f>
        <v>-1189.84</v>
      </c>
      <c r="V459" s="18" t="n">
        <f aca="false">V458+U459</f>
        <v>-106030.08</v>
      </c>
      <c r="W459" s="18" t="n">
        <f aca="false">MAX(W458,V459)</f>
        <v>0</v>
      </c>
      <c r="X459" s="18" t="n">
        <f aca="false">W459-V459</f>
        <v>106030.08</v>
      </c>
    </row>
    <row r="460" customFormat="false" ht="15" hidden="false" customHeight="false" outlineLevel="0" collapsed="false">
      <c r="A460" s="6" t="n">
        <v>2020</v>
      </c>
      <c r="B460" s="6" t="n">
        <v>9</v>
      </c>
      <c r="C460" s="4" t="n">
        <v>460</v>
      </c>
      <c r="D460" s="6" t="n">
        <v>30</v>
      </c>
      <c r="E460" s="4" t="n">
        <f aca="false">INDEX(Evaporasi!$B$3:$B$14,MATCH(B460,Evaporasi!$A$3:$A$14,0))</f>
        <v>120</v>
      </c>
      <c r="F460" s="18" t="n">
        <f aca="false">Kawasan!$B$11*Kawasan!$B$9*C460/1000</f>
        <v>3827.2</v>
      </c>
      <c r="G460" s="18" t="n">
        <f aca="false">Kawasan!$B$28*D460</f>
        <v>1497.6</v>
      </c>
      <c r="H460" s="18" t="n">
        <f aca="false">E460*Desain_Kolam!$B$16/1000</f>
        <v>128.7</v>
      </c>
      <c r="I460" s="18" t="n">
        <f aca="false">F460-G460-H460</f>
        <v>2200.9</v>
      </c>
      <c r="J460" s="18" t="n">
        <f aca="false">J459+I460</f>
        <v>29026.66</v>
      </c>
      <c r="K460" s="18" t="n">
        <f aca="false">MAX(K459,J460)</f>
        <v>29026.66</v>
      </c>
      <c r="L460" s="18" t="n">
        <f aca="false">K460-J460</f>
        <v>0</v>
      </c>
      <c r="M460" s="18" t="n">
        <f aca="false">MIN(Desain_Kolam!$B$21,MAX(0,M459+F460-H460-G460))</f>
        <v>15148.38</v>
      </c>
      <c r="N460" s="6" t="n">
        <f aca="false">IF(M459+F460-H460&gt;=G460,1,0)</f>
        <v>1</v>
      </c>
      <c r="O460" s="18" t="n">
        <f aca="false">E460*Desain_Kolam!$B$24/1000</f>
        <v>609.18</v>
      </c>
      <c r="P460" s="18" t="n">
        <f aca="false">F460-G460-O460</f>
        <v>1720.42</v>
      </c>
      <c r="Q460" s="18" t="n">
        <f aca="false">Q459+P460</f>
        <v>-21423.74</v>
      </c>
      <c r="R460" s="18" t="n">
        <f aca="false">MAX(R459,Q460)</f>
        <v>2129.14</v>
      </c>
      <c r="S460" s="18" t="n">
        <f aca="false">R460-Q460</f>
        <v>23552.88</v>
      </c>
      <c r="T460" s="18" t="n">
        <f aca="false">E460*Desain_Kolam!$B$34/1000</f>
        <v>1406.16</v>
      </c>
      <c r="U460" s="18" t="n">
        <f aca="false">F460-G460-T460</f>
        <v>923.439999999999</v>
      </c>
      <c r="V460" s="18" t="n">
        <f aca="false">V459+U460</f>
        <v>-105106.64</v>
      </c>
      <c r="W460" s="18" t="n">
        <f aca="false">MAX(W459,V460)</f>
        <v>0</v>
      </c>
      <c r="X460" s="18" t="n">
        <f aca="false">W460-V460</f>
        <v>105106.64</v>
      </c>
    </row>
    <row r="461" customFormat="false" ht="15" hidden="false" customHeight="false" outlineLevel="0" collapsed="false">
      <c r="A461" s="6" t="n">
        <v>2020</v>
      </c>
      <c r="B461" s="6" t="n">
        <v>10</v>
      </c>
      <c r="C461" s="4" t="n">
        <v>256</v>
      </c>
      <c r="D461" s="6" t="n">
        <v>31</v>
      </c>
      <c r="E461" s="4" t="n">
        <f aca="false">INDEX(Evaporasi!$B$3:$B$14,MATCH(B461,Evaporasi!$A$3:$A$14,0))</f>
        <v>120</v>
      </c>
      <c r="F461" s="18" t="n">
        <f aca="false">Kawasan!$B$11*Kawasan!$B$9*C461/1000</f>
        <v>2129.92</v>
      </c>
      <c r="G461" s="18" t="n">
        <f aca="false">Kawasan!$B$28*D461</f>
        <v>1547.52</v>
      </c>
      <c r="H461" s="18" t="n">
        <f aca="false">E461*Desain_Kolam!$B$16/1000</f>
        <v>128.7</v>
      </c>
      <c r="I461" s="18" t="n">
        <f aca="false">F461-G461-H461</f>
        <v>453.7</v>
      </c>
      <c r="J461" s="18" t="n">
        <f aca="false">J460+I461</f>
        <v>29480.36</v>
      </c>
      <c r="K461" s="18" t="n">
        <f aca="false">MAX(K460,J461)</f>
        <v>29480.36</v>
      </c>
      <c r="L461" s="18" t="n">
        <f aca="false">K461-J461</f>
        <v>0</v>
      </c>
      <c r="M461" s="18" t="n">
        <f aca="false">MIN(Desain_Kolam!$B$21,MAX(0,M460+F461-H461-G461))</f>
        <v>15148.38</v>
      </c>
      <c r="N461" s="6" t="n">
        <f aca="false">IF(M460+F461-H461&gt;=G461,1,0)</f>
        <v>1</v>
      </c>
      <c r="O461" s="18" t="n">
        <f aca="false">E461*Desain_Kolam!$B$24/1000</f>
        <v>609.18</v>
      </c>
      <c r="P461" s="18" t="n">
        <f aca="false">F461-G461-O461</f>
        <v>-26.7799999999999</v>
      </c>
      <c r="Q461" s="18" t="n">
        <f aca="false">Q460+P461</f>
        <v>-21450.52</v>
      </c>
      <c r="R461" s="18" t="n">
        <f aca="false">MAX(R460,Q461)</f>
        <v>2129.14</v>
      </c>
      <c r="S461" s="18" t="n">
        <f aca="false">R461-Q461</f>
        <v>23579.66</v>
      </c>
      <c r="T461" s="18" t="n">
        <f aca="false">E461*Desain_Kolam!$B$34/1000</f>
        <v>1406.16</v>
      </c>
      <c r="U461" s="18" t="n">
        <f aca="false">F461-G461-T461</f>
        <v>-823.76</v>
      </c>
      <c r="V461" s="18" t="n">
        <f aca="false">V460+U461</f>
        <v>-105930.4</v>
      </c>
      <c r="W461" s="18" t="n">
        <f aca="false">MAX(W460,V461)</f>
        <v>0</v>
      </c>
      <c r="X461" s="18" t="n">
        <f aca="false">W461-V461</f>
        <v>105930.4</v>
      </c>
    </row>
    <row r="462" customFormat="false" ht="15" hidden="false" customHeight="false" outlineLevel="0" collapsed="false">
      <c r="A462" s="6" t="n">
        <v>2020</v>
      </c>
      <c r="B462" s="6" t="n">
        <v>11</v>
      </c>
      <c r="C462" s="4" t="n">
        <v>568</v>
      </c>
      <c r="D462" s="6" t="n">
        <v>30</v>
      </c>
      <c r="E462" s="4" t="n">
        <f aca="false">INDEX(Evaporasi!$B$3:$B$14,MATCH(B462,Evaporasi!$A$3:$A$14,0))</f>
        <v>120</v>
      </c>
      <c r="F462" s="18" t="n">
        <f aca="false">Kawasan!$B$11*Kawasan!$B$9*C462/1000</f>
        <v>4725.76</v>
      </c>
      <c r="G462" s="18" t="n">
        <f aca="false">Kawasan!$B$28*D462</f>
        <v>1497.6</v>
      </c>
      <c r="H462" s="18" t="n">
        <f aca="false">E462*Desain_Kolam!$B$16/1000</f>
        <v>128.7</v>
      </c>
      <c r="I462" s="18" t="n">
        <f aca="false">F462-G462-H462</f>
        <v>3099.46</v>
      </c>
      <c r="J462" s="18" t="n">
        <f aca="false">J461+I462</f>
        <v>32579.82</v>
      </c>
      <c r="K462" s="18" t="n">
        <f aca="false">MAX(K461,J462)</f>
        <v>32579.82</v>
      </c>
      <c r="L462" s="18" t="n">
        <f aca="false">K462-J462</f>
        <v>0</v>
      </c>
      <c r="M462" s="18" t="n">
        <f aca="false">MIN(Desain_Kolam!$B$21,MAX(0,M461+F462-H462-G462))</f>
        <v>15148.38</v>
      </c>
      <c r="N462" s="6" t="n">
        <f aca="false">IF(M461+F462-H462&gt;=G462,1,0)</f>
        <v>1</v>
      </c>
      <c r="O462" s="18" t="n">
        <f aca="false">E462*Desain_Kolam!$B$24/1000</f>
        <v>609.18</v>
      </c>
      <c r="P462" s="18" t="n">
        <f aca="false">F462-G462-O462</f>
        <v>2618.98</v>
      </c>
      <c r="Q462" s="18" t="n">
        <f aca="false">Q461+P462</f>
        <v>-18831.54</v>
      </c>
      <c r="R462" s="18" t="n">
        <f aca="false">MAX(R461,Q462)</f>
        <v>2129.14</v>
      </c>
      <c r="S462" s="18" t="n">
        <f aca="false">R462-Q462</f>
        <v>20960.68</v>
      </c>
      <c r="T462" s="18" t="n">
        <f aca="false">E462*Desain_Kolam!$B$34/1000</f>
        <v>1406.16</v>
      </c>
      <c r="U462" s="18" t="n">
        <f aca="false">F462-G462-T462</f>
        <v>1822</v>
      </c>
      <c r="V462" s="18" t="n">
        <f aca="false">V461+U462</f>
        <v>-104108.4</v>
      </c>
      <c r="W462" s="18" t="n">
        <f aca="false">MAX(W461,V462)</f>
        <v>0</v>
      </c>
      <c r="X462" s="18" t="n">
        <f aca="false">W462-V462</f>
        <v>104108.4</v>
      </c>
    </row>
    <row r="463" customFormat="false" ht="15" hidden="false" customHeight="false" outlineLevel="0" collapsed="false">
      <c r="A463" s="6" t="n">
        <v>2020</v>
      </c>
      <c r="B463" s="6" t="n">
        <v>12</v>
      </c>
      <c r="C463" s="4" t="n">
        <v>274</v>
      </c>
      <c r="D463" s="6" t="n">
        <v>31</v>
      </c>
      <c r="E463" s="4" t="n">
        <f aca="false">INDEX(Evaporasi!$B$3:$B$14,MATCH(B463,Evaporasi!$A$3:$A$14,0))</f>
        <v>120</v>
      </c>
      <c r="F463" s="18" t="n">
        <f aca="false">Kawasan!$B$11*Kawasan!$B$9*C463/1000</f>
        <v>2279.68</v>
      </c>
      <c r="G463" s="18" t="n">
        <f aca="false">Kawasan!$B$28*D463</f>
        <v>1547.52</v>
      </c>
      <c r="H463" s="18" t="n">
        <f aca="false">E463*Desain_Kolam!$B$16/1000</f>
        <v>128.7</v>
      </c>
      <c r="I463" s="18" t="n">
        <f aca="false">F463-G463-H463</f>
        <v>603.46</v>
      </c>
      <c r="J463" s="18" t="n">
        <f aca="false">J462+I463</f>
        <v>33183.28</v>
      </c>
      <c r="K463" s="18" t="n">
        <f aca="false">MAX(K462,J463)</f>
        <v>33183.28</v>
      </c>
      <c r="L463" s="18" t="n">
        <f aca="false">K463-J463</f>
        <v>0</v>
      </c>
      <c r="M463" s="18" t="n">
        <f aca="false">MIN(Desain_Kolam!$B$21,MAX(0,M462+F463-H463-G463))</f>
        <v>15148.38</v>
      </c>
      <c r="N463" s="6" t="n">
        <f aca="false">IF(M462+F463-H463&gt;=G463,1,0)</f>
        <v>1</v>
      </c>
      <c r="O463" s="18" t="n">
        <f aca="false">E463*Desain_Kolam!$B$24/1000</f>
        <v>609.18</v>
      </c>
      <c r="P463" s="18" t="n">
        <f aca="false">F463-G463-O463</f>
        <v>122.98</v>
      </c>
      <c r="Q463" s="18" t="n">
        <f aca="false">Q462+P463</f>
        <v>-18708.56</v>
      </c>
      <c r="R463" s="18" t="n">
        <f aca="false">MAX(R462,Q463)</f>
        <v>2129.14</v>
      </c>
      <c r="S463" s="18" t="n">
        <f aca="false">R463-Q463</f>
        <v>20837.7</v>
      </c>
      <c r="T463" s="18" t="n">
        <f aca="false">E463*Desain_Kolam!$B$34/1000</f>
        <v>1406.16</v>
      </c>
      <c r="U463" s="18" t="n">
        <f aca="false">F463-G463-T463</f>
        <v>-674</v>
      </c>
      <c r="V463" s="18" t="n">
        <f aca="false">V462+U463</f>
        <v>-104782.4</v>
      </c>
      <c r="W463" s="18" t="n">
        <f aca="false">MAX(W462,V463)</f>
        <v>0</v>
      </c>
      <c r="X463" s="18" t="n">
        <f aca="false">W463-V463</f>
        <v>104782.4</v>
      </c>
    </row>
    <row r="464" customFormat="false" ht="15" hidden="false" customHeight="false" outlineLevel="0" collapsed="false">
      <c r="A464" s="6" t="n">
        <v>2021</v>
      </c>
      <c r="B464" s="6" t="n">
        <v>1</v>
      </c>
      <c r="C464" s="4" t="n">
        <v>310</v>
      </c>
      <c r="D464" s="6" t="n">
        <v>31</v>
      </c>
      <c r="E464" s="4" t="n">
        <f aca="false">INDEX(Evaporasi!$B$3:$B$14,MATCH(B464,Evaporasi!$A$3:$A$14,0))</f>
        <v>120</v>
      </c>
      <c r="F464" s="18" t="n">
        <f aca="false">Kawasan!$B$11*Kawasan!$B$9*C464/1000</f>
        <v>2579.2</v>
      </c>
      <c r="G464" s="18" t="n">
        <f aca="false">Kawasan!$B$28*D464</f>
        <v>1547.52</v>
      </c>
      <c r="H464" s="18" t="n">
        <f aca="false">E464*Desain_Kolam!$B$16/1000</f>
        <v>128.7</v>
      </c>
      <c r="I464" s="18" t="n">
        <f aca="false">F464-G464-H464</f>
        <v>902.98</v>
      </c>
      <c r="J464" s="18" t="n">
        <f aca="false">J463+I464</f>
        <v>34086.26</v>
      </c>
      <c r="K464" s="18" t="n">
        <f aca="false">MAX(K463,J464)</f>
        <v>34086.26</v>
      </c>
      <c r="L464" s="18" t="n">
        <f aca="false">K464-J464</f>
        <v>0</v>
      </c>
      <c r="M464" s="18" t="n">
        <f aca="false">MIN(Desain_Kolam!$B$21,MAX(0,M463+F464-H464-G464))</f>
        <v>15148.38</v>
      </c>
      <c r="N464" s="6" t="n">
        <f aca="false">IF(M463+F464-H464&gt;=G464,1,0)</f>
        <v>1</v>
      </c>
      <c r="O464" s="18" t="n">
        <f aca="false">E464*Desain_Kolam!$B$24/1000</f>
        <v>609.18</v>
      </c>
      <c r="P464" s="18" t="n">
        <f aca="false">F464-G464-O464</f>
        <v>422.5</v>
      </c>
      <c r="Q464" s="18" t="n">
        <f aca="false">Q463+P464</f>
        <v>-18286.06</v>
      </c>
      <c r="R464" s="18" t="n">
        <f aca="false">MAX(R463,Q464)</f>
        <v>2129.14</v>
      </c>
      <c r="S464" s="18" t="n">
        <f aca="false">R464-Q464</f>
        <v>20415.2</v>
      </c>
      <c r="T464" s="18" t="n">
        <f aca="false">E464*Desain_Kolam!$B$34/1000</f>
        <v>1406.16</v>
      </c>
      <c r="U464" s="18" t="n">
        <f aca="false">F464-G464-T464</f>
        <v>-374.48</v>
      </c>
      <c r="V464" s="18" t="n">
        <f aca="false">V463+U464</f>
        <v>-105156.88</v>
      </c>
      <c r="W464" s="18" t="n">
        <f aca="false">MAX(W463,V464)</f>
        <v>0</v>
      </c>
      <c r="X464" s="18" t="n">
        <f aca="false">W464-V464</f>
        <v>105156.88</v>
      </c>
    </row>
    <row r="465" customFormat="false" ht="15" hidden="false" customHeight="false" outlineLevel="0" collapsed="false">
      <c r="A465" s="6" t="n">
        <v>2021</v>
      </c>
      <c r="B465" s="6" t="n">
        <v>2</v>
      </c>
      <c r="C465" s="4" t="n">
        <v>50</v>
      </c>
      <c r="D465" s="6" t="n">
        <v>28</v>
      </c>
      <c r="E465" s="4" t="n">
        <f aca="false">INDEX(Evaporasi!$B$3:$B$14,MATCH(B465,Evaporasi!$A$3:$A$14,0))</f>
        <v>120</v>
      </c>
      <c r="F465" s="18" t="n">
        <f aca="false">Kawasan!$B$11*Kawasan!$B$9*C465/1000</f>
        <v>416</v>
      </c>
      <c r="G465" s="18" t="n">
        <f aca="false">Kawasan!$B$28*D465</f>
        <v>1397.76</v>
      </c>
      <c r="H465" s="18" t="n">
        <f aca="false">E465*Desain_Kolam!$B$16/1000</f>
        <v>128.7</v>
      </c>
      <c r="I465" s="18" t="n">
        <f aca="false">F465-G465-H465</f>
        <v>-1110.46</v>
      </c>
      <c r="J465" s="18" t="n">
        <f aca="false">J464+I465</f>
        <v>32975.8</v>
      </c>
      <c r="K465" s="18" t="n">
        <f aca="false">MAX(K464,J465)</f>
        <v>34086.26</v>
      </c>
      <c r="L465" s="18" t="n">
        <f aca="false">K465-J465</f>
        <v>1110.46</v>
      </c>
      <c r="M465" s="18" t="n">
        <f aca="false">MIN(Desain_Kolam!$B$21,MAX(0,M464+F465-H465-G465))</f>
        <v>14037.92</v>
      </c>
      <c r="N465" s="6" t="n">
        <f aca="false">IF(M464+F465-H465&gt;=G465,1,0)</f>
        <v>1</v>
      </c>
      <c r="O465" s="18" t="n">
        <f aca="false">E465*Desain_Kolam!$B$24/1000</f>
        <v>609.18</v>
      </c>
      <c r="P465" s="18" t="n">
        <f aca="false">F465-G465-O465</f>
        <v>-1590.94</v>
      </c>
      <c r="Q465" s="18" t="n">
        <f aca="false">Q464+P465</f>
        <v>-19877</v>
      </c>
      <c r="R465" s="18" t="n">
        <f aca="false">MAX(R464,Q465)</f>
        <v>2129.14</v>
      </c>
      <c r="S465" s="18" t="n">
        <f aca="false">R465-Q465</f>
        <v>22006.14</v>
      </c>
      <c r="T465" s="18" t="n">
        <f aca="false">E465*Desain_Kolam!$B$34/1000</f>
        <v>1406.16</v>
      </c>
      <c r="U465" s="18" t="n">
        <f aca="false">F465-G465-T465</f>
        <v>-2387.92</v>
      </c>
      <c r="V465" s="18" t="n">
        <f aca="false">V464+U465</f>
        <v>-107544.8</v>
      </c>
      <c r="W465" s="18" t="n">
        <f aca="false">MAX(W464,V465)</f>
        <v>0</v>
      </c>
      <c r="X465" s="18" t="n">
        <f aca="false">W465-V465</f>
        <v>107544.8</v>
      </c>
    </row>
    <row r="466" customFormat="false" ht="15" hidden="false" customHeight="false" outlineLevel="0" collapsed="false">
      <c r="A466" s="6" t="n">
        <v>2021</v>
      </c>
      <c r="B466" s="6" t="n">
        <v>3</v>
      </c>
      <c r="C466" s="4" t="n">
        <v>263</v>
      </c>
      <c r="D466" s="6" t="n">
        <v>31</v>
      </c>
      <c r="E466" s="4" t="n">
        <f aca="false">INDEX(Evaporasi!$B$3:$B$14,MATCH(B466,Evaporasi!$A$3:$A$14,0))</f>
        <v>120</v>
      </c>
      <c r="F466" s="18" t="n">
        <f aca="false">Kawasan!$B$11*Kawasan!$B$9*C466/1000</f>
        <v>2188.16</v>
      </c>
      <c r="G466" s="18" t="n">
        <f aca="false">Kawasan!$B$28*D466</f>
        <v>1547.52</v>
      </c>
      <c r="H466" s="18" t="n">
        <f aca="false">E466*Desain_Kolam!$B$16/1000</f>
        <v>128.7</v>
      </c>
      <c r="I466" s="18" t="n">
        <f aca="false">F466-G466-H466</f>
        <v>511.94</v>
      </c>
      <c r="J466" s="18" t="n">
        <f aca="false">J465+I466</f>
        <v>33487.74</v>
      </c>
      <c r="K466" s="18" t="n">
        <f aca="false">MAX(K465,J466)</f>
        <v>34086.26</v>
      </c>
      <c r="L466" s="18" t="n">
        <f aca="false">K466-J466</f>
        <v>598.519999999997</v>
      </c>
      <c r="M466" s="18" t="n">
        <f aca="false">MIN(Desain_Kolam!$B$21,MAX(0,M465+F466-H466-G466))</f>
        <v>14549.86</v>
      </c>
      <c r="N466" s="6" t="n">
        <f aca="false">IF(M465+F466-H466&gt;=G466,1,0)</f>
        <v>1</v>
      </c>
      <c r="O466" s="18" t="n">
        <f aca="false">E466*Desain_Kolam!$B$24/1000</f>
        <v>609.18</v>
      </c>
      <c r="P466" s="18" t="n">
        <f aca="false">F466-G466-O466</f>
        <v>31.4599999999999</v>
      </c>
      <c r="Q466" s="18" t="n">
        <f aca="false">Q465+P466</f>
        <v>-19845.54</v>
      </c>
      <c r="R466" s="18" t="n">
        <f aca="false">MAX(R465,Q466)</f>
        <v>2129.14</v>
      </c>
      <c r="S466" s="18" t="n">
        <f aca="false">R466-Q466</f>
        <v>21974.68</v>
      </c>
      <c r="T466" s="18" t="n">
        <f aca="false">E466*Desain_Kolam!$B$34/1000</f>
        <v>1406.16</v>
      </c>
      <c r="U466" s="18" t="n">
        <f aca="false">F466-G466-T466</f>
        <v>-765.52</v>
      </c>
      <c r="V466" s="18" t="n">
        <f aca="false">V465+U466</f>
        <v>-108310.32</v>
      </c>
      <c r="W466" s="18" t="n">
        <f aca="false">MAX(W465,V466)</f>
        <v>0</v>
      </c>
      <c r="X466" s="18" t="n">
        <f aca="false">W466-V466</f>
        <v>108310.32</v>
      </c>
    </row>
    <row r="467" customFormat="false" ht="15" hidden="false" customHeight="false" outlineLevel="0" collapsed="false">
      <c r="A467" s="6" t="n">
        <v>2021</v>
      </c>
      <c r="B467" s="6" t="n">
        <v>4</v>
      </c>
      <c r="C467" s="4" t="n">
        <v>240</v>
      </c>
      <c r="D467" s="6" t="n">
        <v>30</v>
      </c>
      <c r="E467" s="4" t="n">
        <f aca="false">INDEX(Evaporasi!$B$3:$B$14,MATCH(B467,Evaporasi!$A$3:$A$14,0))</f>
        <v>120</v>
      </c>
      <c r="F467" s="18" t="n">
        <f aca="false">Kawasan!$B$11*Kawasan!$B$9*C467/1000</f>
        <v>1996.8</v>
      </c>
      <c r="G467" s="18" t="n">
        <f aca="false">Kawasan!$B$28*D467</f>
        <v>1497.6</v>
      </c>
      <c r="H467" s="18" t="n">
        <f aca="false">E467*Desain_Kolam!$B$16/1000</f>
        <v>128.7</v>
      </c>
      <c r="I467" s="18" t="n">
        <f aca="false">F467-G467-H467</f>
        <v>370.5</v>
      </c>
      <c r="J467" s="18" t="n">
        <f aca="false">J466+I467</f>
        <v>33858.24</v>
      </c>
      <c r="K467" s="18" t="n">
        <f aca="false">MAX(K466,J467)</f>
        <v>34086.26</v>
      </c>
      <c r="L467" s="18" t="n">
        <f aca="false">K467-J467</f>
        <v>228.019999999997</v>
      </c>
      <c r="M467" s="18" t="n">
        <f aca="false">MIN(Desain_Kolam!$B$21,MAX(0,M466+F467-H467-G467))</f>
        <v>14920.36</v>
      </c>
      <c r="N467" s="6" t="n">
        <f aca="false">IF(M466+F467-H467&gt;=G467,1,0)</f>
        <v>1</v>
      </c>
      <c r="O467" s="18" t="n">
        <f aca="false">E467*Desain_Kolam!$B$24/1000</f>
        <v>609.18</v>
      </c>
      <c r="P467" s="18" t="n">
        <f aca="false">F467-G467-O467</f>
        <v>-109.98</v>
      </c>
      <c r="Q467" s="18" t="n">
        <f aca="false">Q466+P467</f>
        <v>-19955.52</v>
      </c>
      <c r="R467" s="18" t="n">
        <f aca="false">MAX(R466,Q467)</f>
        <v>2129.14</v>
      </c>
      <c r="S467" s="18" t="n">
        <f aca="false">R467-Q467</f>
        <v>22084.66</v>
      </c>
      <c r="T467" s="18" t="n">
        <f aca="false">E467*Desain_Kolam!$B$34/1000</f>
        <v>1406.16</v>
      </c>
      <c r="U467" s="18" t="n">
        <f aca="false">F467-G467-T467</f>
        <v>-906.96</v>
      </c>
      <c r="V467" s="18" t="n">
        <f aca="false">V466+U467</f>
        <v>-109217.28</v>
      </c>
      <c r="W467" s="18" t="n">
        <f aca="false">MAX(W466,V467)</f>
        <v>0</v>
      </c>
      <c r="X467" s="18" t="n">
        <f aca="false">W467-V467</f>
        <v>109217.28</v>
      </c>
    </row>
    <row r="468" customFormat="false" ht="15" hidden="false" customHeight="false" outlineLevel="0" collapsed="false">
      <c r="A468" s="6" t="n">
        <v>2021</v>
      </c>
      <c r="B468" s="6" t="n">
        <v>5</v>
      </c>
      <c r="C468" s="4" t="n">
        <v>465</v>
      </c>
      <c r="D468" s="6" t="n">
        <v>31</v>
      </c>
      <c r="E468" s="4" t="n">
        <f aca="false">INDEX(Evaporasi!$B$3:$B$14,MATCH(B468,Evaporasi!$A$3:$A$14,0))</f>
        <v>120</v>
      </c>
      <c r="F468" s="18" t="n">
        <f aca="false">Kawasan!$B$11*Kawasan!$B$9*C468/1000</f>
        <v>3868.8</v>
      </c>
      <c r="G468" s="18" t="n">
        <f aca="false">Kawasan!$B$28*D468</f>
        <v>1547.52</v>
      </c>
      <c r="H468" s="18" t="n">
        <f aca="false">E468*Desain_Kolam!$B$16/1000</f>
        <v>128.7</v>
      </c>
      <c r="I468" s="18" t="n">
        <f aca="false">F468-G468-H468</f>
        <v>2192.58</v>
      </c>
      <c r="J468" s="18" t="n">
        <f aca="false">J467+I468</f>
        <v>36050.82</v>
      </c>
      <c r="K468" s="18" t="n">
        <f aca="false">MAX(K467,J468)</f>
        <v>36050.82</v>
      </c>
      <c r="L468" s="18" t="n">
        <f aca="false">K468-J468</f>
        <v>0</v>
      </c>
      <c r="M468" s="18" t="n">
        <f aca="false">MIN(Desain_Kolam!$B$21,MAX(0,M467+F468-H468-G468))</f>
        <v>15148.38</v>
      </c>
      <c r="N468" s="6" t="n">
        <f aca="false">IF(M467+F468-H468&gt;=G468,1,0)</f>
        <v>1</v>
      </c>
      <c r="O468" s="18" t="n">
        <f aca="false">E468*Desain_Kolam!$B$24/1000</f>
        <v>609.18</v>
      </c>
      <c r="P468" s="18" t="n">
        <f aca="false">F468-G468-O468</f>
        <v>1712.1</v>
      </c>
      <c r="Q468" s="18" t="n">
        <f aca="false">Q467+P468</f>
        <v>-18243.42</v>
      </c>
      <c r="R468" s="18" t="n">
        <f aca="false">MAX(R467,Q468)</f>
        <v>2129.14</v>
      </c>
      <c r="S468" s="18" t="n">
        <f aca="false">R468-Q468</f>
        <v>20372.56</v>
      </c>
      <c r="T468" s="18" t="n">
        <f aca="false">E468*Desain_Kolam!$B$34/1000</f>
        <v>1406.16</v>
      </c>
      <c r="U468" s="18" t="n">
        <f aca="false">F468-G468-T468</f>
        <v>915.12</v>
      </c>
      <c r="V468" s="18" t="n">
        <f aca="false">V467+U468</f>
        <v>-108302.16</v>
      </c>
      <c r="W468" s="18" t="n">
        <f aca="false">MAX(W467,V468)</f>
        <v>0</v>
      </c>
      <c r="X468" s="18" t="n">
        <f aca="false">W468-V468</f>
        <v>108302.16</v>
      </c>
    </row>
    <row r="469" customFormat="false" ht="15" hidden="false" customHeight="false" outlineLevel="0" collapsed="false">
      <c r="A469" s="6" t="n">
        <v>2021</v>
      </c>
      <c r="B469" s="6" t="n">
        <v>6</v>
      </c>
      <c r="C469" s="4" t="n">
        <v>390</v>
      </c>
      <c r="D469" s="6" t="n">
        <v>30</v>
      </c>
      <c r="E469" s="4" t="n">
        <f aca="false">INDEX(Evaporasi!$B$3:$B$14,MATCH(B469,Evaporasi!$A$3:$A$14,0))</f>
        <v>120</v>
      </c>
      <c r="F469" s="18" t="n">
        <f aca="false">Kawasan!$B$11*Kawasan!$B$9*C469/1000</f>
        <v>3244.8</v>
      </c>
      <c r="G469" s="18" t="n">
        <f aca="false">Kawasan!$B$28*D469</f>
        <v>1497.6</v>
      </c>
      <c r="H469" s="18" t="n">
        <f aca="false">E469*Desain_Kolam!$B$16/1000</f>
        <v>128.7</v>
      </c>
      <c r="I469" s="18" t="n">
        <f aca="false">F469-G469-H469</f>
        <v>1618.5</v>
      </c>
      <c r="J469" s="18" t="n">
        <f aca="false">J468+I469</f>
        <v>37669.32</v>
      </c>
      <c r="K469" s="18" t="n">
        <f aca="false">MAX(K468,J469)</f>
        <v>37669.32</v>
      </c>
      <c r="L469" s="18" t="n">
        <f aca="false">K469-J469</f>
        <v>0</v>
      </c>
      <c r="M469" s="18" t="n">
        <f aca="false">MIN(Desain_Kolam!$B$21,MAX(0,M468+F469-H469-G469))</f>
        <v>15148.38</v>
      </c>
      <c r="N469" s="6" t="n">
        <f aca="false">IF(M468+F469-H469&gt;=G469,1,0)</f>
        <v>1</v>
      </c>
      <c r="O469" s="18" t="n">
        <f aca="false">E469*Desain_Kolam!$B$24/1000</f>
        <v>609.18</v>
      </c>
      <c r="P469" s="18" t="n">
        <f aca="false">F469-G469-O469</f>
        <v>1138.02</v>
      </c>
      <c r="Q469" s="18" t="n">
        <f aca="false">Q468+P469</f>
        <v>-17105.4</v>
      </c>
      <c r="R469" s="18" t="n">
        <f aca="false">MAX(R468,Q469)</f>
        <v>2129.14</v>
      </c>
      <c r="S469" s="18" t="n">
        <f aca="false">R469-Q469</f>
        <v>19234.54</v>
      </c>
      <c r="T469" s="18" t="n">
        <f aca="false">E469*Desain_Kolam!$B$34/1000</f>
        <v>1406.16</v>
      </c>
      <c r="U469" s="18" t="n">
        <f aca="false">F469-G469-T469</f>
        <v>341.04</v>
      </c>
      <c r="V469" s="18" t="n">
        <f aca="false">V468+U469</f>
        <v>-107961.12</v>
      </c>
      <c r="W469" s="18" t="n">
        <f aca="false">MAX(W468,V469)</f>
        <v>0</v>
      </c>
      <c r="X469" s="18" t="n">
        <f aca="false">W469-V469</f>
        <v>107961.12</v>
      </c>
    </row>
    <row r="470" customFormat="false" ht="15" hidden="false" customHeight="false" outlineLevel="0" collapsed="false">
      <c r="A470" s="6" t="n">
        <v>2021</v>
      </c>
      <c r="B470" s="6" t="n">
        <v>7</v>
      </c>
      <c r="C470" s="4" t="n">
        <v>211</v>
      </c>
      <c r="D470" s="6" t="n">
        <v>31</v>
      </c>
      <c r="E470" s="4" t="n">
        <f aca="false">INDEX(Evaporasi!$B$3:$B$14,MATCH(B470,Evaporasi!$A$3:$A$14,0))</f>
        <v>120</v>
      </c>
      <c r="F470" s="18" t="n">
        <f aca="false">Kawasan!$B$11*Kawasan!$B$9*C470/1000</f>
        <v>1755.52</v>
      </c>
      <c r="G470" s="18" t="n">
        <f aca="false">Kawasan!$B$28*D470</f>
        <v>1547.52</v>
      </c>
      <c r="H470" s="18" t="n">
        <f aca="false">E470*Desain_Kolam!$B$16/1000</f>
        <v>128.7</v>
      </c>
      <c r="I470" s="18" t="n">
        <f aca="false">F470-G470-H470</f>
        <v>79.3</v>
      </c>
      <c r="J470" s="18" t="n">
        <f aca="false">J469+I470</f>
        <v>37748.62</v>
      </c>
      <c r="K470" s="18" t="n">
        <f aca="false">MAX(K469,J470)</f>
        <v>37748.62</v>
      </c>
      <c r="L470" s="18" t="n">
        <f aca="false">K470-J470</f>
        <v>0</v>
      </c>
      <c r="M470" s="18" t="n">
        <f aca="false">MIN(Desain_Kolam!$B$21,MAX(0,M469+F470-H470-G470))</f>
        <v>15148.38</v>
      </c>
      <c r="N470" s="6" t="n">
        <f aca="false">IF(M469+F470-H470&gt;=G470,1,0)</f>
        <v>1</v>
      </c>
      <c r="O470" s="18" t="n">
        <f aca="false">E470*Desain_Kolam!$B$24/1000</f>
        <v>609.18</v>
      </c>
      <c r="P470" s="18" t="n">
        <f aca="false">F470-G470-O470</f>
        <v>-401.18</v>
      </c>
      <c r="Q470" s="18" t="n">
        <f aca="false">Q469+P470</f>
        <v>-17506.58</v>
      </c>
      <c r="R470" s="18" t="n">
        <f aca="false">MAX(R469,Q470)</f>
        <v>2129.14</v>
      </c>
      <c r="S470" s="18" t="n">
        <f aca="false">R470-Q470</f>
        <v>19635.72</v>
      </c>
      <c r="T470" s="18" t="n">
        <f aca="false">E470*Desain_Kolam!$B$34/1000</f>
        <v>1406.16</v>
      </c>
      <c r="U470" s="18" t="n">
        <f aca="false">F470-G470-T470</f>
        <v>-1198.16</v>
      </c>
      <c r="V470" s="18" t="n">
        <f aca="false">V469+U470</f>
        <v>-109159.28</v>
      </c>
      <c r="W470" s="18" t="n">
        <f aca="false">MAX(W469,V470)</f>
        <v>0</v>
      </c>
      <c r="X470" s="18" t="n">
        <f aca="false">W470-V470</f>
        <v>109159.28</v>
      </c>
    </row>
    <row r="471" customFormat="false" ht="15" hidden="false" customHeight="false" outlineLevel="0" collapsed="false">
      <c r="A471" s="6" t="n">
        <v>2021</v>
      </c>
      <c r="B471" s="6" t="n">
        <v>8</v>
      </c>
      <c r="C471" s="4" t="n">
        <v>587</v>
      </c>
      <c r="D471" s="6" t="n">
        <v>31</v>
      </c>
      <c r="E471" s="4" t="n">
        <f aca="false">INDEX(Evaporasi!$B$3:$B$14,MATCH(B471,Evaporasi!$A$3:$A$14,0))</f>
        <v>120</v>
      </c>
      <c r="F471" s="18" t="n">
        <f aca="false">Kawasan!$B$11*Kawasan!$B$9*C471/1000</f>
        <v>4883.84</v>
      </c>
      <c r="G471" s="18" t="n">
        <f aca="false">Kawasan!$B$28*D471</f>
        <v>1547.52</v>
      </c>
      <c r="H471" s="18" t="n">
        <f aca="false">E471*Desain_Kolam!$B$16/1000</f>
        <v>128.7</v>
      </c>
      <c r="I471" s="18" t="n">
        <f aca="false">F471-G471-H471</f>
        <v>3207.62</v>
      </c>
      <c r="J471" s="18" t="n">
        <f aca="false">J470+I471</f>
        <v>40956.24</v>
      </c>
      <c r="K471" s="18" t="n">
        <f aca="false">MAX(K470,J471)</f>
        <v>40956.24</v>
      </c>
      <c r="L471" s="18" t="n">
        <f aca="false">K471-J471</f>
        <v>0</v>
      </c>
      <c r="M471" s="18" t="n">
        <f aca="false">MIN(Desain_Kolam!$B$21,MAX(0,M470+F471-H471-G471))</f>
        <v>15148.38</v>
      </c>
      <c r="N471" s="6" t="n">
        <f aca="false">IF(M470+F471-H471&gt;=G471,1,0)</f>
        <v>1</v>
      </c>
      <c r="O471" s="18" t="n">
        <f aca="false">E471*Desain_Kolam!$B$24/1000</f>
        <v>609.18</v>
      </c>
      <c r="P471" s="18" t="n">
        <f aca="false">F471-G471-O471</f>
        <v>2727.14</v>
      </c>
      <c r="Q471" s="18" t="n">
        <f aca="false">Q470+P471</f>
        <v>-14779.44</v>
      </c>
      <c r="R471" s="18" t="n">
        <f aca="false">MAX(R470,Q471)</f>
        <v>2129.14</v>
      </c>
      <c r="S471" s="18" t="n">
        <f aca="false">R471-Q471</f>
        <v>16908.58</v>
      </c>
      <c r="T471" s="18" t="n">
        <f aca="false">E471*Desain_Kolam!$B$34/1000</f>
        <v>1406.16</v>
      </c>
      <c r="U471" s="18" t="n">
        <f aca="false">F471-G471-T471</f>
        <v>1930.16</v>
      </c>
      <c r="V471" s="18" t="n">
        <f aca="false">V470+U471</f>
        <v>-107229.12</v>
      </c>
      <c r="W471" s="18" t="n">
        <f aca="false">MAX(W470,V471)</f>
        <v>0</v>
      </c>
      <c r="X471" s="18" t="n">
        <f aca="false">W471-V471</f>
        <v>107229.12</v>
      </c>
    </row>
    <row r="472" customFormat="false" ht="15" hidden="false" customHeight="false" outlineLevel="0" collapsed="false">
      <c r="A472" s="6" t="n">
        <v>2021</v>
      </c>
      <c r="B472" s="6" t="n">
        <v>9</v>
      </c>
      <c r="C472" s="4" t="n">
        <v>524</v>
      </c>
      <c r="D472" s="6" t="n">
        <v>30</v>
      </c>
      <c r="E472" s="4" t="n">
        <f aca="false">INDEX(Evaporasi!$B$3:$B$14,MATCH(B472,Evaporasi!$A$3:$A$14,0))</f>
        <v>120</v>
      </c>
      <c r="F472" s="18" t="n">
        <f aca="false">Kawasan!$B$11*Kawasan!$B$9*C472/1000</f>
        <v>4359.68</v>
      </c>
      <c r="G472" s="18" t="n">
        <f aca="false">Kawasan!$B$28*D472</f>
        <v>1497.6</v>
      </c>
      <c r="H472" s="18" t="n">
        <f aca="false">E472*Desain_Kolam!$B$16/1000</f>
        <v>128.7</v>
      </c>
      <c r="I472" s="18" t="n">
        <f aca="false">F472-G472-H472</f>
        <v>2733.38</v>
      </c>
      <c r="J472" s="18" t="n">
        <f aca="false">J471+I472</f>
        <v>43689.62</v>
      </c>
      <c r="K472" s="18" t="n">
        <f aca="false">MAX(K471,J472)</f>
        <v>43689.62</v>
      </c>
      <c r="L472" s="18" t="n">
        <f aca="false">K472-J472</f>
        <v>0</v>
      </c>
      <c r="M472" s="18" t="n">
        <f aca="false">MIN(Desain_Kolam!$B$21,MAX(0,M471+F472-H472-G472))</f>
        <v>15148.38</v>
      </c>
      <c r="N472" s="6" t="n">
        <f aca="false">IF(M471+F472-H472&gt;=G472,1,0)</f>
        <v>1</v>
      </c>
      <c r="O472" s="18" t="n">
        <f aca="false">E472*Desain_Kolam!$B$24/1000</f>
        <v>609.18</v>
      </c>
      <c r="P472" s="18" t="n">
        <f aca="false">F472-G472-O472</f>
        <v>2252.9</v>
      </c>
      <c r="Q472" s="18" t="n">
        <f aca="false">Q471+P472</f>
        <v>-12526.54</v>
      </c>
      <c r="R472" s="18" t="n">
        <f aca="false">MAX(R471,Q472)</f>
        <v>2129.14</v>
      </c>
      <c r="S472" s="18" t="n">
        <f aca="false">R472-Q472</f>
        <v>14655.68</v>
      </c>
      <c r="T472" s="18" t="n">
        <f aca="false">E472*Desain_Kolam!$B$34/1000</f>
        <v>1406.16</v>
      </c>
      <c r="U472" s="18" t="n">
        <f aca="false">F472-G472-T472</f>
        <v>1455.92</v>
      </c>
      <c r="V472" s="18" t="n">
        <f aca="false">V471+U472</f>
        <v>-105773.2</v>
      </c>
      <c r="W472" s="18" t="n">
        <f aca="false">MAX(W471,V472)</f>
        <v>0</v>
      </c>
      <c r="X472" s="18" t="n">
        <f aca="false">W472-V472</f>
        <v>105773.2</v>
      </c>
    </row>
    <row r="473" customFormat="false" ht="15" hidden="false" customHeight="false" outlineLevel="0" collapsed="false">
      <c r="A473" s="6" t="n">
        <v>2021</v>
      </c>
      <c r="B473" s="6" t="n">
        <v>10</v>
      </c>
      <c r="C473" s="4" t="n">
        <v>252</v>
      </c>
      <c r="D473" s="6" t="n">
        <v>31</v>
      </c>
      <c r="E473" s="4" t="n">
        <f aca="false">INDEX(Evaporasi!$B$3:$B$14,MATCH(B473,Evaporasi!$A$3:$A$14,0))</f>
        <v>120</v>
      </c>
      <c r="F473" s="18" t="n">
        <f aca="false">Kawasan!$B$11*Kawasan!$B$9*C473/1000</f>
        <v>2096.64</v>
      </c>
      <c r="G473" s="18" t="n">
        <f aca="false">Kawasan!$B$28*D473</f>
        <v>1547.52</v>
      </c>
      <c r="H473" s="18" t="n">
        <f aca="false">E473*Desain_Kolam!$B$16/1000</f>
        <v>128.7</v>
      </c>
      <c r="I473" s="18" t="n">
        <f aca="false">F473-G473-H473</f>
        <v>420.42</v>
      </c>
      <c r="J473" s="18" t="n">
        <f aca="false">J472+I473</f>
        <v>44110.04</v>
      </c>
      <c r="K473" s="18" t="n">
        <f aca="false">MAX(K472,J473)</f>
        <v>44110.04</v>
      </c>
      <c r="L473" s="18" t="n">
        <f aca="false">K473-J473</f>
        <v>0</v>
      </c>
      <c r="M473" s="18" t="n">
        <f aca="false">MIN(Desain_Kolam!$B$21,MAX(0,M472+F473-H473-G473))</f>
        <v>15148.38</v>
      </c>
      <c r="N473" s="6" t="n">
        <f aca="false">IF(M472+F473-H473&gt;=G473,1,0)</f>
        <v>1</v>
      </c>
      <c r="O473" s="18" t="n">
        <f aca="false">E473*Desain_Kolam!$B$24/1000</f>
        <v>609.18</v>
      </c>
      <c r="P473" s="18" t="n">
        <f aca="false">F473-G473-O473</f>
        <v>-60.0600000000001</v>
      </c>
      <c r="Q473" s="18" t="n">
        <f aca="false">Q472+P473</f>
        <v>-12586.6</v>
      </c>
      <c r="R473" s="18" t="n">
        <f aca="false">MAX(R472,Q473)</f>
        <v>2129.14</v>
      </c>
      <c r="S473" s="18" t="n">
        <f aca="false">R473-Q473</f>
        <v>14715.74</v>
      </c>
      <c r="T473" s="18" t="n">
        <f aca="false">E473*Desain_Kolam!$B$34/1000</f>
        <v>1406.16</v>
      </c>
      <c r="U473" s="18" t="n">
        <f aca="false">F473-G473-T473</f>
        <v>-857.04</v>
      </c>
      <c r="V473" s="18" t="n">
        <f aca="false">V472+U473</f>
        <v>-106630.24</v>
      </c>
      <c r="W473" s="18" t="n">
        <f aca="false">MAX(W472,V473)</f>
        <v>0</v>
      </c>
      <c r="X473" s="18" t="n">
        <f aca="false">W473-V473</f>
        <v>106630.24</v>
      </c>
    </row>
    <row r="474" customFormat="false" ht="15" hidden="false" customHeight="false" outlineLevel="0" collapsed="false">
      <c r="A474" s="6" t="n">
        <v>2021</v>
      </c>
      <c r="B474" s="6" t="n">
        <v>11</v>
      </c>
      <c r="C474" s="4" t="n">
        <v>252</v>
      </c>
      <c r="D474" s="6" t="n">
        <v>30</v>
      </c>
      <c r="E474" s="4" t="n">
        <f aca="false">INDEX(Evaporasi!$B$3:$B$14,MATCH(B474,Evaporasi!$A$3:$A$14,0))</f>
        <v>120</v>
      </c>
      <c r="F474" s="18" t="n">
        <f aca="false">Kawasan!$B$11*Kawasan!$B$9*C474/1000</f>
        <v>2096.64</v>
      </c>
      <c r="G474" s="18" t="n">
        <f aca="false">Kawasan!$B$28*D474</f>
        <v>1497.6</v>
      </c>
      <c r="H474" s="18" t="n">
        <f aca="false">E474*Desain_Kolam!$B$16/1000</f>
        <v>128.7</v>
      </c>
      <c r="I474" s="18" t="n">
        <f aca="false">F474-G474-H474</f>
        <v>470.34</v>
      </c>
      <c r="J474" s="18" t="n">
        <f aca="false">J473+I474</f>
        <v>44580.38</v>
      </c>
      <c r="K474" s="18" t="n">
        <f aca="false">MAX(K473,J474)</f>
        <v>44580.38</v>
      </c>
      <c r="L474" s="18" t="n">
        <f aca="false">K474-J474</f>
        <v>0</v>
      </c>
      <c r="M474" s="18" t="n">
        <f aca="false">MIN(Desain_Kolam!$B$21,MAX(0,M473+F474-H474-G474))</f>
        <v>15148.38</v>
      </c>
      <c r="N474" s="6" t="n">
        <f aca="false">IF(M473+F474-H474&gt;=G474,1,0)</f>
        <v>1</v>
      </c>
      <c r="O474" s="18" t="n">
        <f aca="false">E474*Desain_Kolam!$B$24/1000</f>
        <v>609.18</v>
      </c>
      <c r="P474" s="18" t="n">
        <f aca="false">F474-G474-O474</f>
        <v>-10.1400000000002</v>
      </c>
      <c r="Q474" s="18" t="n">
        <f aca="false">Q473+P474</f>
        <v>-12596.74</v>
      </c>
      <c r="R474" s="18" t="n">
        <f aca="false">MAX(R473,Q474)</f>
        <v>2129.14</v>
      </c>
      <c r="S474" s="18" t="n">
        <f aca="false">R474-Q474</f>
        <v>14725.88</v>
      </c>
      <c r="T474" s="18" t="n">
        <f aca="false">E474*Desain_Kolam!$B$34/1000</f>
        <v>1406.16</v>
      </c>
      <c r="U474" s="18" t="n">
        <f aca="false">F474-G474-T474</f>
        <v>-807.12</v>
      </c>
      <c r="V474" s="18" t="n">
        <f aca="false">V473+U474</f>
        <v>-107437.36</v>
      </c>
      <c r="W474" s="18" t="n">
        <f aca="false">MAX(W473,V474)</f>
        <v>0</v>
      </c>
      <c r="X474" s="18" t="n">
        <f aca="false">W474-V474</f>
        <v>107437.36</v>
      </c>
    </row>
    <row r="475" customFormat="false" ht="15" hidden="false" customHeight="false" outlineLevel="0" collapsed="false">
      <c r="A475" s="6" t="n">
        <v>2021</v>
      </c>
      <c r="B475" s="6" t="n">
        <v>12</v>
      </c>
      <c r="C475" s="4" t="n">
        <v>152</v>
      </c>
      <c r="D475" s="6" t="n">
        <v>31</v>
      </c>
      <c r="E475" s="4" t="n">
        <f aca="false">INDEX(Evaporasi!$B$3:$B$14,MATCH(B475,Evaporasi!$A$3:$A$14,0))</f>
        <v>120</v>
      </c>
      <c r="F475" s="18" t="n">
        <f aca="false">Kawasan!$B$11*Kawasan!$B$9*C475/1000</f>
        <v>1264.64</v>
      </c>
      <c r="G475" s="18" t="n">
        <f aca="false">Kawasan!$B$28*D475</f>
        <v>1547.52</v>
      </c>
      <c r="H475" s="18" t="n">
        <f aca="false">E475*Desain_Kolam!$B$16/1000</f>
        <v>128.7</v>
      </c>
      <c r="I475" s="18" t="n">
        <f aca="false">F475-G475-H475</f>
        <v>-411.58</v>
      </c>
      <c r="J475" s="18" t="n">
        <f aca="false">J474+I475</f>
        <v>44168.8</v>
      </c>
      <c r="K475" s="18" t="n">
        <f aca="false">MAX(K474,J475)</f>
        <v>44580.38</v>
      </c>
      <c r="L475" s="18" t="n">
        <f aca="false">K475-J475</f>
        <v>411.580000000002</v>
      </c>
      <c r="M475" s="18" t="n">
        <f aca="false">MIN(Desain_Kolam!$B$21,MAX(0,M474+F475-H475-G475))</f>
        <v>14736.8</v>
      </c>
      <c r="N475" s="6" t="n">
        <f aca="false">IF(M474+F475-H475&gt;=G475,1,0)</f>
        <v>1</v>
      </c>
      <c r="O475" s="18" t="n">
        <f aca="false">E475*Desain_Kolam!$B$24/1000</f>
        <v>609.18</v>
      </c>
      <c r="P475" s="18" t="n">
        <f aca="false">F475-G475-O475</f>
        <v>-892.06</v>
      </c>
      <c r="Q475" s="18" t="n">
        <f aca="false">Q474+P475</f>
        <v>-13488.8</v>
      </c>
      <c r="R475" s="18" t="n">
        <f aca="false">MAX(R474,Q475)</f>
        <v>2129.14</v>
      </c>
      <c r="S475" s="18" t="n">
        <f aca="false">R475-Q475</f>
        <v>15617.94</v>
      </c>
      <c r="T475" s="18" t="n">
        <f aca="false">E475*Desain_Kolam!$B$34/1000</f>
        <v>1406.16</v>
      </c>
      <c r="U475" s="18" t="n">
        <f aca="false">F475-G475-T475</f>
        <v>-1689.04</v>
      </c>
      <c r="V475" s="18" t="n">
        <f aca="false">V474+U475</f>
        <v>-109126.4</v>
      </c>
      <c r="W475" s="18" t="n">
        <f aca="false">MAX(W474,V475)</f>
        <v>0</v>
      </c>
      <c r="X475" s="18" t="n">
        <f aca="false">W475-V475</f>
        <v>109126.4</v>
      </c>
    </row>
    <row r="476" customFormat="false" ht="15" hidden="false" customHeight="false" outlineLevel="0" collapsed="false">
      <c r="A476" s="6" t="n">
        <v>2022</v>
      </c>
      <c r="B476" s="6" t="n">
        <v>1</v>
      </c>
      <c r="C476" s="4" t="n">
        <v>145</v>
      </c>
      <c r="D476" s="6" t="n">
        <v>31</v>
      </c>
      <c r="E476" s="4" t="n">
        <f aca="false">INDEX(Evaporasi!$B$3:$B$14,MATCH(B476,Evaporasi!$A$3:$A$14,0))</f>
        <v>120</v>
      </c>
      <c r="F476" s="18" t="n">
        <f aca="false">Kawasan!$B$11*Kawasan!$B$9*C476/1000</f>
        <v>1206.4</v>
      </c>
      <c r="G476" s="18" t="n">
        <f aca="false">Kawasan!$B$28*D476</f>
        <v>1547.52</v>
      </c>
      <c r="H476" s="18" t="n">
        <f aca="false">E476*Desain_Kolam!$B$16/1000</f>
        <v>128.7</v>
      </c>
      <c r="I476" s="18" t="n">
        <f aca="false">F476-G476-H476</f>
        <v>-469.82</v>
      </c>
      <c r="J476" s="18" t="n">
        <f aca="false">J475+I476</f>
        <v>43698.98</v>
      </c>
      <c r="K476" s="18" t="n">
        <f aca="false">MAX(K475,J476)</f>
        <v>44580.38</v>
      </c>
      <c r="L476" s="18" t="n">
        <f aca="false">K476-J476</f>
        <v>881.400000000002</v>
      </c>
      <c r="M476" s="18" t="n">
        <f aca="false">MIN(Desain_Kolam!$B$21,MAX(0,M475+F476-H476-G476))</f>
        <v>14266.98</v>
      </c>
      <c r="N476" s="6" t="n">
        <f aca="false">IF(M475+F476-H476&gt;=G476,1,0)</f>
        <v>1</v>
      </c>
      <c r="O476" s="18" t="n">
        <f aca="false">E476*Desain_Kolam!$B$24/1000</f>
        <v>609.18</v>
      </c>
      <c r="P476" s="18" t="n">
        <f aca="false">F476-G476-O476</f>
        <v>-950.3</v>
      </c>
      <c r="Q476" s="18" t="n">
        <f aca="false">Q475+P476</f>
        <v>-14439.1</v>
      </c>
      <c r="R476" s="18" t="n">
        <f aca="false">MAX(R475,Q476)</f>
        <v>2129.14</v>
      </c>
      <c r="S476" s="18" t="n">
        <f aca="false">R476-Q476</f>
        <v>16568.24</v>
      </c>
      <c r="T476" s="18" t="n">
        <f aca="false">E476*Desain_Kolam!$B$34/1000</f>
        <v>1406.16</v>
      </c>
      <c r="U476" s="18" t="n">
        <f aca="false">F476-G476-T476</f>
        <v>-1747.28</v>
      </c>
      <c r="V476" s="18" t="n">
        <f aca="false">V475+U476</f>
        <v>-110873.68</v>
      </c>
      <c r="W476" s="18" t="n">
        <f aca="false">MAX(W475,V476)</f>
        <v>0</v>
      </c>
      <c r="X476" s="18" t="n">
        <f aca="false">W476-V476</f>
        <v>110873.68</v>
      </c>
    </row>
    <row r="477" customFormat="false" ht="15" hidden="false" customHeight="false" outlineLevel="0" collapsed="false">
      <c r="A477" s="6" t="n">
        <v>2022</v>
      </c>
      <c r="B477" s="6" t="n">
        <v>2</v>
      </c>
      <c r="C477" s="4" t="n">
        <v>106</v>
      </c>
      <c r="D477" s="6" t="n">
        <v>28</v>
      </c>
      <c r="E477" s="4" t="n">
        <f aca="false">INDEX(Evaporasi!$B$3:$B$14,MATCH(B477,Evaporasi!$A$3:$A$14,0))</f>
        <v>120</v>
      </c>
      <c r="F477" s="18" t="n">
        <f aca="false">Kawasan!$B$11*Kawasan!$B$9*C477/1000</f>
        <v>881.92</v>
      </c>
      <c r="G477" s="18" t="n">
        <f aca="false">Kawasan!$B$28*D477</f>
        <v>1397.76</v>
      </c>
      <c r="H477" s="18" t="n">
        <f aca="false">E477*Desain_Kolam!$B$16/1000</f>
        <v>128.7</v>
      </c>
      <c r="I477" s="18" t="n">
        <f aca="false">F477-G477-H477</f>
        <v>-644.54</v>
      </c>
      <c r="J477" s="18" t="n">
        <f aca="false">J476+I477</f>
        <v>43054.44</v>
      </c>
      <c r="K477" s="18" t="n">
        <f aca="false">MAX(K476,J477)</f>
        <v>44580.38</v>
      </c>
      <c r="L477" s="18" t="n">
        <f aca="false">K477-J477</f>
        <v>1525.94</v>
      </c>
      <c r="M477" s="18" t="n">
        <f aca="false">MIN(Desain_Kolam!$B$21,MAX(0,M476+F477-H477-G477))</f>
        <v>13622.44</v>
      </c>
      <c r="N477" s="6" t="n">
        <f aca="false">IF(M476+F477-H477&gt;=G477,1,0)</f>
        <v>1</v>
      </c>
      <c r="O477" s="18" t="n">
        <f aca="false">E477*Desain_Kolam!$B$24/1000</f>
        <v>609.18</v>
      </c>
      <c r="P477" s="18" t="n">
        <f aca="false">F477-G477-O477</f>
        <v>-1125.02</v>
      </c>
      <c r="Q477" s="18" t="n">
        <f aca="false">Q476+P477</f>
        <v>-15564.12</v>
      </c>
      <c r="R477" s="18" t="n">
        <f aca="false">MAX(R476,Q477)</f>
        <v>2129.14</v>
      </c>
      <c r="S477" s="18" t="n">
        <f aca="false">R477-Q477</f>
        <v>17693.26</v>
      </c>
      <c r="T477" s="18" t="n">
        <f aca="false">E477*Desain_Kolam!$B$34/1000</f>
        <v>1406.16</v>
      </c>
      <c r="U477" s="18" t="n">
        <f aca="false">F477-G477-T477</f>
        <v>-1922</v>
      </c>
      <c r="V477" s="18" t="n">
        <f aca="false">V476+U477</f>
        <v>-112795.68</v>
      </c>
      <c r="W477" s="18" t="n">
        <f aca="false">MAX(W476,V477)</f>
        <v>0</v>
      </c>
      <c r="X477" s="18" t="n">
        <f aca="false">W477-V477</f>
        <v>112795.68</v>
      </c>
    </row>
    <row r="478" customFormat="false" ht="15" hidden="false" customHeight="false" outlineLevel="0" collapsed="false">
      <c r="A478" s="6" t="n">
        <v>2022</v>
      </c>
      <c r="B478" s="6" t="n">
        <v>3</v>
      </c>
      <c r="C478" s="4" t="n">
        <v>104</v>
      </c>
      <c r="D478" s="6" t="n">
        <v>31</v>
      </c>
      <c r="E478" s="4" t="n">
        <f aca="false">INDEX(Evaporasi!$B$3:$B$14,MATCH(B478,Evaporasi!$A$3:$A$14,0))</f>
        <v>120</v>
      </c>
      <c r="F478" s="18" t="n">
        <f aca="false">Kawasan!$B$11*Kawasan!$B$9*C478/1000</f>
        <v>865.28</v>
      </c>
      <c r="G478" s="18" t="n">
        <f aca="false">Kawasan!$B$28*D478</f>
        <v>1547.52</v>
      </c>
      <c r="H478" s="18" t="n">
        <f aca="false">E478*Desain_Kolam!$B$16/1000</f>
        <v>128.7</v>
      </c>
      <c r="I478" s="18" t="n">
        <f aca="false">F478-G478-H478</f>
        <v>-810.94</v>
      </c>
      <c r="J478" s="18" t="n">
        <f aca="false">J477+I478</f>
        <v>42243.5</v>
      </c>
      <c r="K478" s="18" t="n">
        <f aca="false">MAX(K477,J478)</f>
        <v>44580.38</v>
      </c>
      <c r="L478" s="18" t="n">
        <f aca="false">K478-J478</f>
        <v>2336.88</v>
      </c>
      <c r="M478" s="18" t="n">
        <f aca="false">MIN(Desain_Kolam!$B$21,MAX(0,M477+F478-H478-G478))</f>
        <v>12811.5</v>
      </c>
      <c r="N478" s="6" t="n">
        <f aca="false">IF(M477+F478-H478&gt;=G478,1,0)</f>
        <v>1</v>
      </c>
      <c r="O478" s="18" t="n">
        <f aca="false">E478*Desain_Kolam!$B$24/1000</f>
        <v>609.18</v>
      </c>
      <c r="P478" s="18" t="n">
        <f aca="false">F478-G478-O478</f>
        <v>-1291.42</v>
      </c>
      <c r="Q478" s="18" t="n">
        <f aca="false">Q477+P478</f>
        <v>-16855.54</v>
      </c>
      <c r="R478" s="18" t="n">
        <f aca="false">MAX(R477,Q478)</f>
        <v>2129.14</v>
      </c>
      <c r="S478" s="18" t="n">
        <f aca="false">R478-Q478</f>
        <v>18984.68</v>
      </c>
      <c r="T478" s="18" t="n">
        <f aca="false">E478*Desain_Kolam!$B$34/1000</f>
        <v>1406.16</v>
      </c>
      <c r="U478" s="18" t="n">
        <f aca="false">F478-G478-T478</f>
        <v>-2088.4</v>
      </c>
      <c r="V478" s="18" t="n">
        <f aca="false">V477+U478</f>
        <v>-114884.08</v>
      </c>
      <c r="W478" s="18" t="n">
        <f aca="false">MAX(W477,V478)</f>
        <v>0</v>
      </c>
      <c r="X478" s="18" t="n">
        <f aca="false">W478-V478</f>
        <v>114884.08</v>
      </c>
    </row>
    <row r="479" customFormat="false" ht="15" hidden="false" customHeight="false" outlineLevel="0" collapsed="false">
      <c r="A479" s="6" t="n">
        <v>2022</v>
      </c>
      <c r="B479" s="6" t="n">
        <v>4</v>
      </c>
      <c r="C479" s="4" t="n">
        <v>301</v>
      </c>
      <c r="D479" s="6" t="n">
        <v>30</v>
      </c>
      <c r="E479" s="4" t="n">
        <f aca="false">INDEX(Evaporasi!$B$3:$B$14,MATCH(B479,Evaporasi!$A$3:$A$14,0))</f>
        <v>120</v>
      </c>
      <c r="F479" s="18" t="n">
        <f aca="false">Kawasan!$B$11*Kawasan!$B$9*C479/1000</f>
        <v>2504.32</v>
      </c>
      <c r="G479" s="18" t="n">
        <f aca="false">Kawasan!$B$28*D479</f>
        <v>1497.6</v>
      </c>
      <c r="H479" s="18" t="n">
        <f aca="false">E479*Desain_Kolam!$B$16/1000</f>
        <v>128.7</v>
      </c>
      <c r="I479" s="18" t="n">
        <f aca="false">F479-G479-H479</f>
        <v>878.02</v>
      </c>
      <c r="J479" s="18" t="n">
        <f aca="false">J478+I479</f>
        <v>43121.52</v>
      </c>
      <c r="K479" s="18" t="n">
        <f aca="false">MAX(K478,J479)</f>
        <v>44580.38</v>
      </c>
      <c r="L479" s="18" t="n">
        <f aca="false">K479-J479</f>
        <v>1458.86000000001</v>
      </c>
      <c r="M479" s="18" t="n">
        <f aca="false">MIN(Desain_Kolam!$B$21,MAX(0,M478+F479-H479-G479))</f>
        <v>13689.52</v>
      </c>
      <c r="N479" s="6" t="n">
        <f aca="false">IF(M478+F479-H479&gt;=G479,1,0)</f>
        <v>1</v>
      </c>
      <c r="O479" s="18" t="n">
        <f aca="false">E479*Desain_Kolam!$B$24/1000</f>
        <v>609.18</v>
      </c>
      <c r="P479" s="18" t="n">
        <f aca="false">F479-G479-O479</f>
        <v>397.54</v>
      </c>
      <c r="Q479" s="18" t="n">
        <f aca="false">Q478+P479</f>
        <v>-16458</v>
      </c>
      <c r="R479" s="18" t="n">
        <f aca="false">MAX(R478,Q479)</f>
        <v>2129.14</v>
      </c>
      <c r="S479" s="18" t="n">
        <f aca="false">R479-Q479</f>
        <v>18587.14</v>
      </c>
      <c r="T479" s="18" t="n">
        <f aca="false">E479*Desain_Kolam!$B$34/1000</f>
        <v>1406.16</v>
      </c>
      <c r="U479" s="18" t="n">
        <f aca="false">F479-G479-T479</f>
        <v>-399.44</v>
      </c>
      <c r="V479" s="18" t="n">
        <f aca="false">V478+U479</f>
        <v>-115283.52</v>
      </c>
      <c r="W479" s="18" t="n">
        <f aca="false">MAX(W478,V479)</f>
        <v>0</v>
      </c>
      <c r="X479" s="18" t="n">
        <f aca="false">W479-V479</f>
        <v>115283.52</v>
      </c>
    </row>
    <row r="480" customFormat="false" ht="15" hidden="false" customHeight="false" outlineLevel="0" collapsed="false">
      <c r="A480" s="6" t="n">
        <v>2022</v>
      </c>
      <c r="B480" s="6" t="n">
        <v>5</v>
      </c>
      <c r="C480" s="4" t="n">
        <v>201</v>
      </c>
      <c r="D480" s="6" t="n">
        <v>31</v>
      </c>
      <c r="E480" s="4" t="n">
        <f aca="false">INDEX(Evaporasi!$B$3:$B$14,MATCH(B480,Evaporasi!$A$3:$A$14,0))</f>
        <v>120</v>
      </c>
      <c r="F480" s="18" t="n">
        <f aca="false">Kawasan!$B$11*Kawasan!$B$9*C480/1000</f>
        <v>1672.32</v>
      </c>
      <c r="G480" s="18" t="n">
        <f aca="false">Kawasan!$B$28*D480</f>
        <v>1547.52</v>
      </c>
      <c r="H480" s="18" t="n">
        <f aca="false">E480*Desain_Kolam!$B$16/1000</f>
        <v>128.7</v>
      </c>
      <c r="I480" s="18" t="n">
        <f aca="false">F480-G480-H480</f>
        <v>-3.90000000000003</v>
      </c>
      <c r="J480" s="18" t="n">
        <f aca="false">J479+I480</f>
        <v>43117.62</v>
      </c>
      <c r="K480" s="18" t="n">
        <f aca="false">MAX(K479,J480)</f>
        <v>44580.38</v>
      </c>
      <c r="L480" s="18" t="n">
        <f aca="false">K480-J480</f>
        <v>1462.76000000001</v>
      </c>
      <c r="M480" s="18" t="n">
        <f aca="false">MIN(Desain_Kolam!$B$21,MAX(0,M479+F480-H480-G480))</f>
        <v>13685.62</v>
      </c>
      <c r="N480" s="6" t="n">
        <f aca="false">IF(M479+F480-H480&gt;=G480,1,0)</f>
        <v>1</v>
      </c>
      <c r="O480" s="18" t="n">
        <f aca="false">E480*Desain_Kolam!$B$24/1000</f>
        <v>609.18</v>
      </c>
      <c r="P480" s="18" t="n">
        <f aca="false">F480-G480-O480</f>
        <v>-484.38</v>
      </c>
      <c r="Q480" s="18" t="n">
        <f aca="false">Q479+P480</f>
        <v>-16942.38</v>
      </c>
      <c r="R480" s="18" t="n">
        <f aca="false">MAX(R479,Q480)</f>
        <v>2129.14</v>
      </c>
      <c r="S480" s="18" t="n">
        <f aca="false">R480-Q480</f>
        <v>19071.52</v>
      </c>
      <c r="T480" s="18" t="n">
        <f aca="false">E480*Desain_Kolam!$B$34/1000</f>
        <v>1406.16</v>
      </c>
      <c r="U480" s="18" t="n">
        <f aca="false">F480-G480-T480</f>
        <v>-1281.36</v>
      </c>
      <c r="V480" s="18" t="n">
        <f aca="false">V479+U480</f>
        <v>-116564.88</v>
      </c>
      <c r="W480" s="18" t="n">
        <f aca="false">MAX(W479,V480)</f>
        <v>0</v>
      </c>
      <c r="X480" s="18" t="n">
        <f aca="false">W480-V480</f>
        <v>116564.88</v>
      </c>
    </row>
    <row r="481" customFormat="false" ht="15" hidden="false" customHeight="false" outlineLevel="0" collapsed="false">
      <c r="A481" s="6" t="n">
        <v>2022</v>
      </c>
      <c r="B481" s="6" t="n">
        <v>6</v>
      </c>
      <c r="C481" s="4" t="n">
        <v>293</v>
      </c>
      <c r="D481" s="6" t="n">
        <v>30</v>
      </c>
      <c r="E481" s="4" t="n">
        <f aca="false">INDEX(Evaporasi!$B$3:$B$14,MATCH(B481,Evaporasi!$A$3:$A$14,0))</f>
        <v>120</v>
      </c>
      <c r="F481" s="18" t="n">
        <f aca="false">Kawasan!$B$11*Kawasan!$B$9*C481/1000</f>
        <v>2437.76</v>
      </c>
      <c r="G481" s="18" t="n">
        <f aca="false">Kawasan!$B$28*D481</f>
        <v>1497.6</v>
      </c>
      <c r="H481" s="18" t="n">
        <f aca="false">E481*Desain_Kolam!$B$16/1000</f>
        <v>128.7</v>
      </c>
      <c r="I481" s="18" t="n">
        <f aca="false">F481-G481-H481</f>
        <v>811.46</v>
      </c>
      <c r="J481" s="18" t="n">
        <f aca="false">J480+I481</f>
        <v>43929.08</v>
      </c>
      <c r="K481" s="18" t="n">
        <f aca="false">MAX(K480,J481)</f>
        <v>44580.38</v>
      </c>
      <c r="L481" s="18" t="n">
        <f aca="false">K481-J481</f>
        <v>651.30000000001</v>
      </c>
      <c r="M481" s="18" t="n">
        <f aca="false">MIN(Desain_Kolam!$B$21,MAX(0,M480+F481-H481-G481))</f>
        <v>14497.08</v>
      </c>
      <c r="N481" s="6" t="n">
        <f aca="false">IF(M480+F481-H481&gt;=G481,1,0)</f>
        <v>1</v>
      </c>
      <c r="O481" s="18" t="n">
        <f aca="false">E481*Desain_Kolam!$B$24/1000</f>
        <v>609.18</v>
      </c>
      <c r="P481" s="18" t="n">
        <f aca="false">F481-G481-O481</f>
        <v>330.98</v>
      </c>
      <c r="Q481" s="18" t="n">
        <f aca="false">Q480+P481</f>
        <v>-16611.4</v>
      </c>
      <c r="R481" s="18" t="n">
        <f aca="false">MAX(R480,Q481)</f>
        <v>2129.14</v>
      </c>
      <c r="S481" s="18" t="n">
        <f aca="false">R481-Q481</f>
        <v>18740.54</v>
      </c>
      <c r="T481" s="18" t="n">
        <f aca="false">E481*Desain_Kolam!$B$34/1000</f>
        <v>1406.16</v>
      </c>
      <c r="U481" s="18" t="n">
        <f aca="false">F481-G481-T481</f>
        <v>-466</v>
      </c>
      <c r="V481" s="18" t="n">
        <f aca="false">V480+U481</f>
        <v>-117030.88</v>
      </c>
      <c r="W481" s="18" t="n">
        <f aca="false">MAX(W480,V481)</f>
        <v>0</v>
      </c>
      <c r="X481" s="18" t="n">
        <f aca="false">W481-V481</f>
        <v>117030.88</v>
      </c>
    </row>
    <row r="482" customFormat="false" ht="15" hidden="false" customHeight="false" outlineLevel="0" collapsed="false">
      <c r="A482" s="6" t="n">
        <v>2022</v>
      </c>
      <c r="B482" s="6" t="n">
        <v>7</v>
      </c>
      <c r="C482" s="4" t="n">
        <v>272</v>
      </c>
      <c r="D482" s="6" t="n">
        <v>31</v>
      </c>
      <c r="E482" s="4" t="n">
        <f aca="false">INDEX(Evaporasi!$B$3:$B$14,MATCH(B482,Evaporasi!$A$3:$A$14,0))</f>
        <v>120</v>
      </c>
      <c r="F482" s="18" t="n">
        <f aca="false">Kawasan!$B$11*Kawasan!$B$9*C482/1000</f>
        <v>2263.04</v>
      </c>
      <c r="G482" s="18" t="n">
        <f aca="false">Kawasan!$B$28*D482</f>
        <v>1547.52</v>
      </c>
      <c r="H482" s="18" t="n">
        <f aca="false">E482*Desain_Kolam!$B$16/1000</f>
        <v>128.7</v>
      </c>
      <c r="I482" s="18" t="n">
        <f aca="false">F482-G482-H482</f>
        <v>586.82</v>
      </c>
      <c r="J482" s="18" t="n">
        <f aca="false">J481+I482</f>
        <v>44515.9</v>
      </c>
      <c r="K482" s="18" t="n">
        <f aca="false">MAX(K481,J482)</f>
        <v>44580.38</v>
      </c>
      <c r="L482" s="18" t="n">
        <f aca="false">K482-J482</f>
        <v>64.4800000000105</v>
      </c>
      <c r="M482" s="18" t="n">
        <f aca="false">MIN(Desain_Kolam!$B$21,MAX(0,M481+F482-H482-G482))</f>
        <v>15083.9</v>
      </c>
      <c r="N482" s="6" t="n">
        <f aca="false">IF(M481+F482-H482&gt;=G482,1,0)</f>
        <v>1</v>
      </c>
      <c r="O482" s="18" t="n">
        <f aca="false">E482*Desain_Kolam!$B$24/1000</f>
        <v>609.18</v>
      </c>
      <c r="P482" s="18" t="n">
        <f aca="false">F482-G482-O482</f>
        <v>106.34</v>
      </c>
      <c r="Q482" s="18" t="n">
        <f aca="false">Q481+P482</f>
        <v>-16505.06</v>
      </c>
      <c r="R482" s="18" t="n">
        <f aca="false">MAX(R481,Q482)</f>
        <v>2129.14</v>
      </c>
      <c r="S482" s="18" t="n">
        <f aca="false">R482-Q482</f>
        <v>18634.2</v>
      </c>
      <c r="T482" s="18" t="n">
        <f aca="false">E482*Desain_Kolam!$B$34/1000</f>
        <v>1406.16</v>
      </c>
      <c r="U482" s="18" t="n">
        <f aca="false">F482-G482-T482</f>
        <v>-690.64</v>
      </c>
      <c r="V482" s="18" t="n">
        <f aca="false">V481+U482</f>
        <v>-117721.52</v>
      </c>
      <c r="W482" s="18" t="n">
        <f aca="false">MAX(W481,V482)</f>
        <v>0</v>
      </c>
      <c r="X482" s="18" t="n">
        <f aca="false">W482-V482</f>
        <v>117721.52</v>
      </c>
    </row>
    <row r="483" customFormat="false" ht="15" hidden="false" customHeight="false" outlineLevel="0" collapsed="false">
      <c r="A483" s="6" t="n">
        <v>2022</v>
      </c>
      <c r="B483" s="6" t="n">
        <v>8</v>
      </c>
      <c r="C483" s="4" t="n">
        <v>354</v>
      </c>
      <c r="D483" s="6" t="n">
        <v>31</v>
      </c>
      <c r="E483" s="4" t="n">
        <f aca="false">INDEX(Evaporasi!$B$3:$B$14,MATCH(B483,Evaporasi!$A$3:$A$14,0))</f>
        <v>120</v>
      </c>
      <c r="F483" s="18" t="n">
        <f aca="false">Kawasan!$B$11*Kawasan!$B$9*C483/1000</f>
        <v>2945.28</v>
      </c>
      <c r="G483" s="18" t="n">
        <f aca="false">Kawasan!$B$28*D483</f>
        <v>1547.52</v>
      </c>
      <c r="H483" s="18" t="n">
        <f aca="false">E483*Desain_Kolam!$B$16/1000</f>
        <v>128.7</v>
      </c>
      <c r="I483" s="18" t="n">
        <f aca="false">F483-G483-H483</f>
        <v>1269.06</v>
      </c>
      <c r="J483" s="18" t="n">
        <f aca="false">J482+I483</f>
        <v>45784.96</v>
      </c>
      <c r="K483" s="18" t="n">
        <f aca="false">MAX(K482,J483)</f>
        <v>45784.96</v>
      </c>
      <c r="L483" s="18" t="n">
        <f aca="false">K483-J483</f>
        <v>0</v>
      </c>
      <c r="M483" s="18" t="n">
        <f aca="false">MIN(Desain_Kolam!$B$21,MAX(0,M482+F483-H483-G483))</f>
        <v>15148.38</v>
      </c>
      <c r="N483" s="6" t="n">
        <f aca="false">IF(M482+F483-H483&gt;=G483,1,0)</f>
        <v>1</v>
      </c>
      <c r="O483" s="18" t="n">
        <f aca="false">E483*Desain_Kolam!$B$24/1000</f>
        <v>609.18</v>
      </c>
      <c r="P483" s="18" t="n">
        <f aca="false">F483-G483-O483</f>
        <v>788.58</v>
      </c>
      <c r="Q483" s="18" t="n">
        <f aca="false">Q482+P483</f>
        <v>-15716.48</v>
      </c>
      <c r="R483" s="18" t="n">
        <f aca="false">MAX(R482,Q483)</f>
        <v>2129.14</v>
      </c>
      <c r="S483" s="18" t="n">
        <f aca="false">R483-Q483</f>
        <v>17845.62</v>
      </c>
      <c r="T483" s="18" t="n">
        <f aca="false">E483*Desain_Kolam!$B$34/1000</f>
        <v>1406.16</v>
      </c>
      <c r="U483" s="18" t="n">
        <f aca="false">F483-G483-T483</f>
        <v>-8.39999999999986</v>
      </c>
      <c r="V483" s="18" t="n">
        <f aca="false">V482+U483</f>
        <v>-117729.92</v>
      </c>
      <c r="W483" s="18" t="n">
        <f aca="false">MAX(W482,V483)</f>
        <v>0</v>
      </c>
      <c r="X483" s="18" t="n">
        <f aca="false">W483-V483</f>
        <v>117729.92</v>
      </c>
    </row>
    <row r="484" customFormat="false" ht="15" hidden="false" customHeight="false" outlineLevel="0" collapsed="false">
      <c r="A484" s="6" t="n">
        <v>2022</v>
      </c>
      <c r="B484" s="6" t="n">
        <v>9</v>
      </c>
      <c r="C484" s="4" t="n">
        <v>275</v>
      </c>
      <c r="D484" s="6" t="n">
        <v>30</v>
      </c>
      <c r="E484" s="4" t="n">
        <f aca="false">INDEX(Evaporasi!$B$3:$B$14,MATCH(B484,Evaporasi!$A$3:$A$14,0))</f>
        <v>120</v>
      </c>
      <c r="F484" s="18" t="n">
        <f aca="false">Kawasan!$B$11*Kawasan!$B$9*C484/1000</f>
        <v>2288</v>
      </c>
      <c r="G484" s="18" t="n">
        <f aca="false">Kawasan!$B$28*D484</f>
        <v>1497.6</v>
      </c>
      <c r="H484" s="18" t="n">
        <f aca="false">E484*Desain_Kolam!$B$16/1000</f>
        <v>128.7</v>
      </c>
      <c r="I484" s="18" t="n">
        <f aca="false">F484-G484-H484</f>
        <v>661.7</v>
      </c>
      <c r="J484" s="18" t="n">
        <f aca="false">J483+I484</f>
        <v>46446.66</v>
      </c>
      <c r="K484" s="18" t="n">
        <f aca="false">MAX(K483,J484)</f>
        <v>46446.66</v>
      </c>
      <c r="L484" s="18" t="n">
        <f aca="false">K484-J484</f>
        <v>0</v>
      </c>
      <c r="M484" s="18" t="n">
        <f aca="false">MIN(Desain_Kolam!$B$21,MAX(0,M483+F484-H484-G484))</f>
        <v>15148.38</v>
      </c>
      <c r="N484" s="6" t="n">
        <f aca="false">IF(M483+F484-H484&gt;=G484,1,0)</f>
        <v>1</v>
      </c>
      <c r="O484" s="18" t="n">
        <f aca="false">E484*Desain_Kolam!$B$24/1000</f>
        <v>609.18</v>
      </c>
      <c r="P484" s="18" t="n">
        <f aca="false">F484-G484-O484</f>
        <v>181.22</v>
      </c>
      <c r="Q484" s="18" t="n">
        <f aca="false">Q483+P484</f>
        <v>-15535.26</v>
      </c>
      <c r="R484" s="18" t="n">
        <f aca="false">MAX(R483,Q484)</f>
        <v>2129.14</v>
      </c>
      <c r="S484" s="18" t="n">
        <f aca="false">R484-Q484</f>
        <v>17664.4</v>
      </c>
      <c r="T484" s="18" t="n">
        <f aca="false">E484*Desain_Kolam!$B$34/1000</f>
        <v>1406.16</v>
      </c>
      <c r="U484" s="18" t="n">
        <f aca="false">F484-G484-T484</f>
        <v>-615.76</v>
      </c>
      <c r="V484" s="18" t="n">
        <f aca="false">V483+U484</f>
        <v>-118345.68</v>
      </c>
      <c r="W484" s="18" t="n">
        <f aca="false">MAX(W483,V484)</f>
        <v>0</v>
      </c>
      <c r="X484" s="18" t="n">
        <f aca="false">W484-V484</f>
        <v>118345.68</v>
      </c>
    </row>
    <row r="485" customFormat="false" ht="15" hidden="false" customHeight="false" outlineLevel="0" collapsed="false">
      <c r="A485" s="6" t="n">
        <v>2022</v>
      </c>
      <c r="B485" s="6" t="n">
        <v>10</v>
      </c>
      <c r="C485" s="4" t="n">
        <v>423</v>
      </c>
      <c r="D485" s="6" t="n">
        <v>31</v>
      </c>
      <c r="E485" s="4" t="n">
        <f aca="false">INDEX(Evaporasi!$B$3:$B$14,MATCH(B485,Evaporasi!$A$3:$A$14,0))</f>
        <v>120</v>
      </c>
      <c r="F485" s="18" t="n">
        <f aca="false">Kawasan!$B$11*Kawasan!$B$9*C485/1000</f>
        <v>3519.36</v>
      </c>
      <c r="G485" s="18" t="n">
        <f aca="false">Kawasan!$B$28*D485</f>
        <v>1547.52</v>
      </c>
      <c r="H485" s="18" t="n">
        <f aca="false">E485*Desain_Kolam!$B$16/1000</f>
        <v>128.7</v>
      </c>
      <c r="I485" s="18" t="n">
        <f aca="false">F485-G485-H485</f>
        <v>1843.14</v>
      </c>
      <c r="J485" s="18" t="n">
        <f aca="false">J484+I485</f>
        <v>48289.8</v>
      </c>
      <c r="K485" s="18" t="n">
        <f aca="false">MAX(K484,J485)</f>
        <v>48289.8</v>
      </c>
      <c r="L485" s="18" t="n">
        <f aca="false">K485-J485</f>
        <v>0</v>
      </c>
      <c r="M485" s="18" t="n">
        <f aca="false">MIN(Desain_Kolam!$B$21,MAX(0,M484+F485-H485-G485))</f>
        <v>15148.38</v>
      </c>
      <c r="N485" s="6" t="n">
        <f aca="false">IF(M484+F485-H485&gt;=G485,1,0)</f>
        <v>1</v>
      </c>
      <c r="O485" s="18" t="n">
        <f aca="false">E485*Desain_Kolam!$B$24/1000</f>
        <v>609.18</v>
      </c>
      <c r="P485" s="18" t="n">
        <f aca="false">F485-G485-O485</f>
        <v>1362.66</v>
      </c>
      <c r="Q485" s="18" t="n">
        <f aca="false">Q484+P485</f>
        <v>-14172.6</v>
      </c>
      <c r="R485" s="18" t="n">
        <f aca="false">MAX(R484,Q485)</f>
        <v>2129.14</v>
      </c>
      <c r="S485" s="18" t="n">
        <f aca="false">R485-Q485</f>
        <v>16301.74</v>
      </c>
      <c r="T485" s="18" t="n">
        <f aca="false">E485*Desain_Kolam!$B$34/1000</f>
        <v>1406.16</v>
      </c>
      <c r="U485" s="18" t="n">
        <f aca="false">F485-G485-T485</f>
        <v>565.68</v>
      </c>
      <c r="V485" s="18" t="n">
        <f aca="false">V484+U485</f>
        <v>-117780</v>
      </c>
      <c r="W485" s="18" t="n">
        <f aca="false">MAX(W484,V485)</f>
        <v>0</v>
      </c>
      <c r="X485" s="18" t="n">
        <f aca="false">W485-V485</f>
        <v>117780</v>
      </c>
    </row>
    <row r="486" customFormat="false" ht="15" hidden="false" customHeight="false" outlineLevel="0" collapsed="false">
      <c r="A486" s="6" t="n">
        <v>2022</v>
      </c>
      <c r="B486" s="6" t="n">
        <v>11</v>
      </c>
      <c r="C486" s="4" t="n">
        <v>237</v>
      </c>
      <c r="D486" s="6" t="n">
        <v>30</v>
      </c>
      <c r="E486" s="4" t="n">
        <f aca="false">INDEX(Evaporasi!$B$3:$B$14,MATCH(B486,Evaporasi!$A$3:$A$14,0))</f>
        <v>120</v>
      </c>
      <c r="F486" s="18" t="n">
        <f aca="false">Kawasan!$B$11*Kawasan!$B$9*C486/1000</f>
        <v>1971.84</v>
      </c>
      <c r="G486" s="18" t="n">
        <f aca="false">Kawasan!$B$28*D486</f>
        <v>1497.6</v>
      </c>
      <c r="H486" s="18" t="n">
        <f aca="false">E486*Desain_Kolam!$B$16/1000</f>
        <v>128.7</v>
      </c>
      <c r="I486" s="18" t="n">
        <f aca="false">F486-G486-H486</f>
        <v>345.54</v>
      </c>
      <c r="J486" s="18" t="n">
        <f aca="false">J485+I486</f>
        <v>48635.34</v>
      </c>
      <c r="K486" s="18" t="n">
        <f aca="false">MAX(K485,J486)</f>
        <v>48635.34</v>
      </c>
      <c r="L486" s="18" t="n">
        <f aca="false">K486-J486</f>
        <v>0</v>
      </c>
      <c r="M486" s="18" t="n">
        <f aca="false">MIN(Desain_Kolam!$B$21,MAX(0,M485+F486-H486-G486))</f>
        <v>15148.38</v>
      </c>
      <c r="N486" s="6" t="n">
        <f aca="false">IF(M485+F486-H486&gt;=G486,1,0)</f>
        <v>1</v>
      </c>
      <c r="O486" s="18" t="n">
        <f aca="false">E486*Desain_Kolam!$B$24/1000</f>
        <v>609.18</v>
      </c>
      <c r="P486" s="18" t="n">
        <f aca="false">F486-G486-O486</f>
        <v>-134.94</v>
      </c>
      <c r="Q486" s="18" t="n">
        <f aca="false">Q485+P486</f>
        <v>-14307.54</v>
      </c>
      <c r="R486" s="18" t="n">
        <f aca="false">MAX(R485,Q486)</f>
        <v>2129.14</v>
      </c>
      <c r="S486" s="18" t="n">
        <f aca="false">R486-Q486</f>
        <v>16436.68</v>
      </c>
      <c r="T486" s="18" t="n">
        <f aca="false">E486*Desain_Kolam!$B$34/1000</f>
        <v>1406.16</v>
      </c>
      <c r="U486" s="18" t="n">
        <f aca="false">F486-G486-T486</f>
        <v>-931.92</v>
      </c>
      <c r="V486" s="18" t="n">
        <f aca="false">V485+U486</f>
        <v>-118711.92</v>
      </c>
      <c r="W486" s="18" t="n">
        <f aca="false">MAX(W485,V486)</f>
        <v>0</v>
      </c>
      <c r="X486" s="18" t="n">
        <f aca="false">W486-V486</f>
        <v>118711.92</v>
      </c>
    </row>
    <row r="487" customFormat="false" ht="15" hidden="false" customHeight="false" outlineLevel="0" collapsed="false">
      <c r="A487" s="6" t="n">
        <v>2022</v>
      </c>
      <c r="B487" s="6" t="n">
        <v>12</v>
      </c>
      <c r="C487" s="4" t="n">
        <v>215</v>
      </c>
      <c r="D487" s="6" t="n">
        <v>31</v>
      </c>
      <c r="E487" s="4" t="n">
        <f aca="false">INDEX(Evaporasi!$B$3:$B$14,MATCH(B487,Evaporasi!$A$3:$A$14,0))</f>
        <v>120</v>
      </c>
      <c r="F487" s="18" t="n">
        <f aca="false">Kawasan!$B$11*Kawasan!$B$9*C487/1000</f>
        <v>1788.8</v>
      </c>
      <c r="G487" s="18" t="n">
        <f aca="false">Kawasan!$B$28*D487</f>
        <v>1547.52</v>
      </c>
      <c r="H487" s="18" t="n">
        <f aca="false">E487*Desain_Kolam!$B$16/1000</f>
        <v>128.7</v>
      </c>
      <c r="I487" s="18" t="n">
        <f aca="false">F487-G487-H487</f>
        <v>112.58</v>
      </c>
      <c r="J487" s="18" t="n">
        <f aca="false">J486+I487</f>
        <v>48747.92</v>
      </c>
      <c r="K487" s="18" t="n">
        <f aca="false">MAX(K486,J487)</f>
        <v>48747.92</v>
      </c>
      <c r="L487" s="18" t="n">
        <f aca="false">K487-J487</f>
        <v>0</v>
      </c>
      <c r="M487" s="18" t="n">
        <f aca="false">MIN(Desain_Kolam!$B$21,MAX(0,M486+F487-H487-G487))</f>
        <v>15148.38</v>
      </c>
      <c r="N487" s="6" t="n">
        <f aca="false">IF(M486+F487-H487&gt;=G487,1,0)</f>
        <v>1</v>
      </c>
      <c r="O487" s="18" t="n">
        <f aca="false">E487*Desain_Kolam!$B$24/1000</f>
        <v>609.18</v>
      </c>
      <c r="P487" s="18" t="n">
        <f aca="false">F487-G487-O487</f>
        <v>-367.9</v>
      </c>
      <c r="Q487" s="18" t="n">
        <f aca="false">Q486+P487</f>
        <v>-14675.44</v>
      </c>
      <c r="R487" s="18" t="n">
        <f aca="false">MAX(R486,Q487)</f>
        <v>2129.14</v>
      </c>
      <c r="S487" s="18" t="n">
        <f aca="false">R487-Q487</f>
        <v>16804.58</v>
      </c>
      <c r="T487" s="18" t="n">
        <f aca="false">E487*Desain_Kolam!$B$34/1000</f>
        <v>1406.16</v>
      </c>
      <c r="U487" s="18" t="n">
        <f aca="false">F487-G487-T487</f>
        <v>-1164.88</v>
      </c>
      <c r="V487" s="18" t="n">
        <f aca="false">V486+U487</f>
        <v>-119876.8</v>
      </c>
      <c r="W487" s="18" t="n">
        <f aca="false">MAX(W486,V487)</f>
        <v>0</v>
      </c>
      <c r="X487" s="18" t="n">
        <f aca="false">W487-V487</f>
        <v>119876.8</v>
      </c>
    </row>
    <row r="488" customFormat="false" ht="15" hidden="false" customHeight="false" outlineLevel="0" collapsed="false">
      <c r="A488" s="6" t="n">
        <v>2023</v>
      </c>
      <c r="B488" s="6" t="n">
        <v>1</v>
      </c>
      <c r="C488" s="4" t="n">
        <v>258</v>
      </c>
      <c r="D488" s="6" t="n">
        <v>31</v>
      </c>
      <c r="E488" s="4" t="n">
        <f aca="false">INDEX(Evaporasi!$B$3:$B$14,MATCH(B488,Evaporasi!$A$3:$A$14,0))</f>
        <v>120</v>
      </c>
      <c r="F488" s="18" t="n">
        <f aca="false">Kawasan!$B$11*Kawasan!$B$9*C488/1000</f>
        <v>2146.56</v>
      </c>
      <c r="G488" s="18" t="n">
        <f aca="false">Kawasan!$B$28*D488</f>
        <v>1547.52</v>
      </c>
      <c r="H488" s="18" t="n">
        <f aca="false">E488*Desain_Kolam!$B$16/1000</f>
        <v>128.7</v>
      </c>
      <c r="I488" s="18" t="n">
        <f aca="false">F488-G488-H488</f>
        <v>470.34</v>
      </c>
      <c r="J488" s="18" t="n">
        <f aca="false">J487+I488</f>
        <v>49218.26</v>
      </c>
      <c r="K488" s="18" t="n">
        <f aca="false">MAX(K487,J488)</f>
        <v>49218.26</v>
      </c>
      <c r="L488" s="18" t="n">
        <f aca="false">K488-J488</f>
        <v>0</v>
      </c>
      <c r="M488" s="18" t="n">
        <f aca="false">MIN(Desain_Kolam!$B$21,MAX(0,M487+F488-H488-G488))</f>
        <v>15148.38</v>
      </c>
      <c r="N488" s="6" t="n">
        <f aca="false">IF(M487+F488-H488&gt;=G488,1,0)</f>
        <v>1</v>
      </c>
      <c r="O488" s="18" t="n">
        <f aca="false">E488*Desain_Kolam!$B$24/1000</f>
        <v>609.18</v>
      </c>
      <c r="P488" s="18" t="n">
        <f aca="false">F488-G488-O488</f>
        <v>-10.14</v>
      </c>
      <c r="Q488" s="18" t="n">
        <f aca="false">Q487+P488</f>
        <v>-14685.58</v>
      </c>
      <c r="R488" s="18" t="n">
        <f aca="false">MAX(R487,Q488)</f>
        <v>2129.14</v>
      </c>
      <c r="S488" s="18" t="n">
        <f aca="false">R488-Q488</f>
        <v>16814.72</v>
      </c>
      <c r="T488" s="18" t="n">
        <f aca="false">E488*Desain_Kolam!$B$34/1000</f>
        <v>1406.16</v>
      </c>
      <c r="U488" s="18" t="n">
        <f aca="false">F488-G488-T488</f>
        <v>-807.12</v>
      </c>
      <c r="V488" s="18" t="n">
        <f aca="false">V487+U488</f>
        <v>-120683.92</v>
      </c>
      <c r="W488" s="18" t="n">
        <f aca="false">MAX(W487,V488)</f>
        <v>0</v>
      </c>
      <c r="X488" s="18" t="n">
        <f aca="false">W488-V488</f>
        <v>120683.92</v>
      </c>
    </row>
    <row r="489" customFormat="false" ht="15" hidden="false" customHeight="false" outlineLevel="0" collapsed="false">
      <c r="A489" s="6" t="n">
        <v>2023</v>
      </c>
      <c r="B489" s="6" t="n">
        <v>2</v>
      </c>
      <c r="C489" s="4" t="n">
        <v>185</v>
      </c>
      <c r="D489" s="6" t="n">
        <v>28</v>
      </c>
      <c r="E489" s="4" t="n">
        <f aca="false">INDEX(Evaporasi!$B$3:$B$14,MATCH(B489,Evaporasi!$A$3:$A$14,0))</f>
        <v>120</v>
      </c>
      <c r="F489" s="18" t="n">
        <f aca="false">Kawasan!$B$11*Kawasan!$B$9*C489/1000</f>
        <v>1539.2</v>
      </c>
      <c r="G489" s="18" t="n">
        <f aca="false">Kawasan!$B$28*D489</f>
        <v>1397.76</v>
      </c>
      <c r="H489" s="18" t="n">
        <f aca="false">E489*Desain_Kolam!$B$16/1000</f>
        <v>128.7</v>
      </c>
      <c r="I489" s="18" t="n">
        <f aca="false">F489-G489-H489</f>
        <v>12.7400000000001</v>
      </c>
      <c r="J489" s="18" t="n">
        <f aca="false">J488+I489</f>
        <v>49231</v>
      </c>
      <c r="K489" s="18" t="n">
        <f aca="false">MAX(K488,J489)</f>
        <v>49231</v>
      </c>
      <c r="L489" s="18" t="n">
        <f aca="false">K489-J489</f>
        <v>0</v>
      </c>
      <c r="M489" s="18" t="n">
        <f aca="false">MIN(Desain_Kolam!$B$21,MAX(0,M488+F489-H489-G489))</f>
        <v>15148.38</v>
      </c>
      <c r="N489" s="6" t="n">
        <f aca="false">IF(M488+F489-H489&gt;=G489,1,0)</f>
        <v>1</v>
      </c>
      <c r="O489" s="18" t="n">
        <f aca="false">E489*Desain_Kolam!$B$24/1000</f>
        <v>609.18</v>
      </c>
      <c r="P489" s="18" t="n">
        <f aca="false">F489-G489-O489</f>
        <v>-467.74</v>
      </c>
      <c r="Q489" s="18" t="n">
        <f aca="false">Q488+P489</f>
        <v>-15153.32</v>
      </c>
      <c r="R489" s="18" t="n">
        <f aca="false">MAX(R488,Q489)</f>
        <v>2129.14</v>
      </c>
      <c r="S489" s="18" t="n">
        <f aca="false">R489-Q489</f>
        <v>17282.46</v>
      </c>
      <c r="T489" s="18" t="n">
        <f aca="false">E489*Desain_Kolam!$B$34/1000</f>
        <v>1406.16</v>
      </c>
      <c r="U489" s="18" t="n">
        <f aca="false">F489-G489-T489</f>
        <v>-1264.72</v>
      </c>
      <c r="V489" s="18" t="n">
        <f aca="false">V488+U489</f>
        <v>-121948.64</v>
      </c>
      <c r="W489" s="18" t="n">
        <f aca="false">MAX(W488,V489)</f>
        <v>0</v>
      </c>
      <c r="X489" s="18" t="n">
        <f aca="false">W489-V489</f>
        <v>121948.64</v>
      </c>
    </row>
    <row r="490" customFormat="false" ht="15" hidden="false" customHeight="false" outlineLevel="0" collapsed="false">
      <c r="A490" s="6" t="n">
        <v>2023</v>
      </c>
      <c r="B490" s="6" t="n">
        <v>3</v>
      </c>
      <c r="C490" s="4" t="n">
        <v>309</v>
      </c>
      <c r="D490" s="6" t="n">
        <v>31</v>
      </c>
      <c r="E490" s="4" t="n">
        <f aca="false">INDEX(Evaporasi!$B$3:$B$14,MATCH(B490,Evaporasi!$A$3:$A$14,0))</f>
        <v>120</v>
      </c>
      <c r="F490" s="18" t="n">
        <f aca="false">Kawasan!$B$11*Kawasan!$B$9*C490/1000</f>
        <v>2570.88</v>
      </c>
      <c r="G490" s="18" t="n">
        <f aca="false">Kawasan!$B$28*D490</f>
        <v>1547.52</v>
      </c>
      <c r="H490" s="18" t="n">
        <f aca="false">E490*Desain_Kolam!$B$16/1000</f>
        <v>128.7</v>
      </c>
      <c r="I490" s="18" t="n">
        <f aca="false">F490-G490-H490</f>
        <v>894.66</v>
      </c>
      <c r="J490" s="18" t="n">
        <f aca="false">J489+I490</f>
        <v>50125.66</v>
      </c>
      <c r="K490" s="18" t="n">
        <f aca="false">MAX(K489,J490)</f>
        <v>50125.66</v>
      </c>
      <c r="L490" s="18" t="n">
        <f aca="false">K490-J490</f>
        <v>0</v>
      </c>
      <c r="M490" s="18" t="n">
        <f aca="false">MIN(Desain_Kolam!$B$21,MAX(0,M489+F490-H490-G490))</f>
        <v>15148.38</v>
      </c>
      <c r="N490" s="6" t="n">
        <f aca="false">IF(M489+F490-H490&gt;=G490,1,0)</f>
        <v>1</v>
      </c>
      <c r="O490" s="18" t="n">
        <f aca="false">E490*Desain_Kolam!$B$24/1000</f>
        <v>609.18</v>
      </c>
      <c r="P490" s="18" t="n">
        <f aca="false">F490-G490-O490</f>
        <v>414.18</v>
      </c>
      <c r="Q490" s="18" t="n">
        <f aca="false">Q489+P490</f>
        <v>-14739.14</v>
      </c>
      <c r="R490" s="18" t="n">
        <f aca="false">MAX(R489,Q490)</f>
        <v>2129.14</v>
      </c>
      <c r="S490" s="18" t="n">
        <f aca="false">R490-Q490</f>
        <v>16868.28</v>
      </c>
      <c r="T490" s="18" t="n">
        <f aca="false">E490*Desain_Kolam!$B$34/1000</f>
        <v>1406.16</v>
      </c>
      <c r="U490" s="18" t="n">
        <f aca="false">F490-G490-T490</f>
        <v>-382.8</v>
      </c>
      <c r="V490" s="18" t="n">
        <f aca="false">V489+U490</f>
        <v>-122331.44</v>
      </c>
      <c r="W490" s="18" t="n">
        <f aca="false">MAX(W489,V490)</f>
        <v>0</v>
      </c>
      <c r="X490" s="18" t="n">
        <f aca="false">W490-V490</f>
        <v>122331.44</v>
      </c>
    </row>
    <row r="491" customFormat="false" ht="15" hidden="false" customHeight="false" outlineLevel="0" collapsed="false">
      <c r="A491" s="6" t="n">
        <v>2023</v>
      </c>
      <c r="B491" s="6" t="n">
        <v>4</v>
      </c>
      <c r="C491" s="4" t="n">
        <v>189</v>
      </c>
      <c r="D491" s="6" t="n">
        <v>30</v>
      </c>
      <c r="E491" s="4" t="n">
        <f aca="false">INDEX(Evaporasi!$B$3:$B$14,MATCH(B491,Evaporasi!$A$3:$A$14,0))</f>
        <v>120</v>
      </c>
      <c r="F491" s="18" t="n">
        <f aca="false">Kawasan!$B$11*Kawasan!$B$9*C491/1000</f>
        <v>1572.48</v>
      </c>
      <c r="G491" s="18" t="n">
        <f aca="false">Kawasan!$B$28*D491</f>
        <v>1497.6</v>
      </c>
      <c r="H491" s="18" t="n">
        <f aca="false">E491*Desain_Kolam!$B$16/1000</f>
        <v>128.7</v>
      </c>
      <c r="I491" s="18" t="n">
        <f aca="false">F491-G491-H491</f>
        <v>-53.8200000000001</v>
      </c>
      <c r="J491" s="18" t="n">
        <f aca="false">J490+I491</f>
        <v>50071.84</v>
      </c>
      <c r="K491" s="18" t="n">
        <f aca="false">MAX(K490,J491)</f>
        <v>50125.66</v>
      </c>
      <c r="L491" s="18" t="n">
        <f aca="false">K491-J491</f>
        <v>53.8199999999997</v>
      </c>
      <c r="M491" s="18" t="n">
        <f aca="false">MIN(Desain_Kolam!$B$21,MAX(0,M490+F491-H491-G491))</f>
        <v>15094.56</v>
      </c>
      <c r="N491" s="6" t="n">
        <f aca="false">IF(M490+F491-H491&gt;=G491,1,0)</f>
        <v>1</v>
      </c>
      <c r="O491" s="18" t="n">
        <f aca="false">E491*Desain_Kolam!$B$24/1000</f>
        <v>609.18</v>
      </c>
      <c r="P491" s="18" t="n">
        <f aca="false">F491-G491-O491</f>
        <v>-534.3</v>
      </c>
      <c r="Q491" s="18" t="n">
        <f aca="false">Q490+P491</f>
        <v>-15273.44</v>
      </c>
      <c r="R491" s="18" t="n">
        <f aca="false">MAX(R490,Q491)</f>
        <v>2129.14</v>
      </c>
      <c r="S491" s="18" t="n">
        <f aca="false">R491-Q491</f>
        <v>17402.58</v>
      </c>
      <c r="T491" s="18" t="n">
        <f aca="false">E491*Desain_Kolam!$B$34/1000</f>
        <v>1406.16</v>
      </c>
      <c r="U491" s="18" t="n">
        <f aca="false">F491-G491-T491</f>
        <v>-1331.28</v>
      </c>
      <c r="V491" s="18" t="n">
        <f aca="false">V490+U491</f>
        <v>-123662.72</v>
      </c>
      <c r="W491" s="18" t="n">
        <f aca="false">MAX(W490,V491)</f>
        <v>0</v>
      </c>
      <c r="X491" s="18" t="n">
        <f aca="false">W491-V491</f>
        <v>123662.72</v>
      </c>
    </row>
    <row r="492" customFormat="false" ht="15" hidden="false" customHeight="false" outlineLevel="0" collapsed="false">
      <c r="A492" s="6" t="n">
        <v>2023</v>
      </c>
      <c r="B492" s="6" t="n">
        <v>5</v>
      </c>
      <c r="C492" s="4" t="n">
        <v>333</v>
      </c>
      <c r="D492" s="6" t="n">
        <v>31</v>
      </c>
      <c r="E492" s="4" t="n">
        <f aca="false">INDEX(Evaporasi!$B$3:$B$14,MATCH(B492,Evaporasi!$A$3:$A$14,0))</f>
        <v>120</v>
      </c>
      <c r="F492" s="18" t="n">
        <f aca="false">Kawasan!$B$11*Kawasan!$B$9*C492/1000</f>
        <v>2770.56</v>
      </c>
      <c r="G492" s="18" t="n">
        <f aca="false">Kawasan!$B$28*D492</f>
        <v>1547.52</v>
      </c>
      <c r="H492" s="18" t="n">
        <f aca="false">E492*Desain_Kolam!$B$16/1000</f>
        <v>128.7</v>
      </c>
      <c r="I492" s="18" t="n">
        <f aca="false">F492-G492-H492</f>
        <v>1094.34</v>
      </c>
      <c r="J492" s="18" t="n">
        <f aca="false">J491+I492</f>
        <v>51166.18</v>
      </c>
      <c r="K492" s="18" t="n">
        <f aca="false">MAX(K491,J492)</f>
        <v>51166.18</v>
      </c>
      <c r="L492" s="18" t="n">
        <f aca="false">K492-J492</f>
        <v>0</v>
      </c>
      <c r="M492" s="18" t="n">
        <f aca="false">MIN(Desain_Kolam!$B$21,MAX(0,M491+F492-H492-G492))</f>
        <v>15148.38</v>
      </c>
      <c r="N492" s="6" t="n">
        <f aca="false">IF(M491+F492-H492&gt;=G492,1,0)</f>
        <v>1</v>
      </c>
      <c r="O492" s="18" t="n">
        <f aca="false">E492*Desain_Kolam!$B$24/1000</f>
        <v>609.18</v>
      </c>
      <c r="P492" s="18" t="n">
        <f aca="false">F492-G492-O492</f>
        <v>613.86</v>
      </c>
      <c r="Q492" s="18" t="n">
        <f aca="false">Q491+P492</f>
        <v>-14659.58</v>
      </c>
      <c r="R492" s="18" t="n">
        <f aca="false">MAX(R491,Q492)</f>
        <v>2129.14</v>
      </c>
      <c r="S492" s="18" t="n">
        <f aca="false">R492-Q492</f>
        <v>16788.72</v>
      </c>
      <c r="T492" s="18" t="n">
        <f aca="false">E492*Desain_Kolam!$B$34/1000</f>
        <v>1406.16</v>
      </c>
      <c r="U492" s="18" t="n">
        <f aca="false">F492-G492-T492</f>
        <v>-183.12</v>
      </c>
      <c r="V492" s="18" t="n">
        <f aca="false">V491+U492</f>
        <v>-123845.84</v>
      </c>
      <c r="W492" s="18" t="n">
        <f aca="false">MAX(W491,V492)</f>
        <v>0</v>
      </c>
      <c r="X492" s="18" t="n">
        <f aca="false">W492-V492</f>
        <v>123845.84</v>
      </c>
    </row>
    <row r="493" customFormat="false" ht="15" hidden="false" customHeight="false" outlineLevel="0" collapsed="false">
      <c r="A493" s="6" t="n">
        <v>2023</v>
      </c>
      <c r="B493" s="6" t="n">
        <v>6</v>
      </c>
      <c r="C493" s="4" t="n">
        <v>263</v>
      </c>
      <c r="D493" s="6" t="n">
        <v>30</v>
      </c>
      <c r="E493" s="4" t="n">
        <f aca="false">INDEX(Evaporasi!$B$3:$B$14,MATCH(B493,Evaporasi!$A$3:$A$14,0))</f>
        <v>120</v>
      </c>
      <c r="F493" s="18" t="n">
        <f aca="false">Kawasan!$B$11*Kawasan!$B$9*C493/1000</f>
        <v>2188.16</v>
      </c>
      <c r="G493" s="18" t="n">
        <f aca="false">Kawasan!$B$28*D493</f>
        <v>1497.6</v>
      </c>
      <c r="H493" s="18" t="n">
        <f aca="false">E493*Desain_Kolam!$B$16/1000</f>
        <v>128.7</v>
      </c>
      <c r="I493" s="18" t="n">
        <f aca="false">F493-G493-H493</f>
        <v>561.86</v>
      </c>
      <c r="J493" s="18" t="n">
        <f aca="false">J492+I493</f>
        <v>51728.04</v>
      </c>
      <c r="K493" s="18" t="n">
        <f aca="false">MAX(K492,J493)</f>
        <v>51728.04</v>
      </c>
      <c r="L493" s="18" t="n">
        <f aca="false">K493-J493</f>
        <v>0</v>
      </c>
      <c r="M493" s="18" t="n">
        <f aca="false">MIN(Desain_Kolam!$B$21,MAX(0,M492+F493-H493-G493))</f>
        <v>15148.38</v>
      </c>
      <c r="N493" s="6" t="n">
        <f aca="false">IF(M492+F493-H493&gt;=G493,1,0)</f>
        <v>1</v>
      </c>
      <c r="O493" s="18" t="n">
        <f aca="false">E493*Desain_Kolam!$B$24/1000</f>
        <v>609.18</v>
      </c>
      <c r="P493" s="18" t="n">
        <f aca="false">F493-G493-O493</f>
        <v>81.3799999999998</v>
      </c>
      <c r="Q493" s="18" t="n">
        <f aca="false">Q492+P493</f>
        <v>-14578.2</v>
      </c>
      <c r="R493" s="18" t="n">
        <f aca="false">MAX(R492,Q493)</f>
        <v>2129.14</v>
      </c>
      <c r="S493" s="18" t="n">
        <f aca="false">R493-Q493</f>
        <v>16707.34</v>
      </c>
      <c r="T493" s="18" t="n">
        <f aca="false">E493*Desain_Kolam!$B$34/1000</f>
        <v>1406.16</v>
      </c>
      <c r="U493" s="18" t="n">
        <f aca="false">F493-G493-T493</f>
        <v>-715.6</v>
      </c>
      <c r="V493" s="18" t="n">
        <f aca="false">V492+U493</f>
        <v>-124561.44</v>
      </c>
      <c r="W493" s="18" t="n">
        <f aca="false">MAX(W492,V493)</f>
        <v>0</v>
      </c>
      <c r="X493" s="18" t="n">
        <f aca="false">W493-V493</f>
        <v>124561.44</v>
      </c>
    </row>
    <row r="494" customFormat="false" ht="15" hidden="false" customHeight="false" outlineLevel="0" collapsed="false">
      <c r="A494" s="6" t="n">
        <v>2023</v>
      </c>
      <c r="B494" s="6" t="n">
        <v>7</v>
      </c>
      <c r="C494" s="4" t="n">
        <v>405</v>
      </c>
      <c r="D494" s="6" t="n">
        <v>31</v>
      </c>
      <c r="E494" s="4" t="n">
        <f aca="false">INDEX(Evaporasi!$B$3:$B$14,MATCH(B494,Evaporasi!$A$3:$A$14,0))</f>
        <v>120</v>
      </c>
      <c r="F494" s="18" t="n">
        <f aca="false">Kawasan!$B$11*Kawasan!$B$9*C494/1000</f>
        <v>3369.6</v>
      </c>
      <c r="G494" s="18" t="n">
        <f aca="false">Kawasan!$B$28*D494</f>
        <v>1547.52</v>
      </c>
      <c r="H494" s="18" t="n">
        <f aca="false">E494*Desain_Kolam!$B$16/1000</f>
        <v>128.7</v>
      </c>
      <c r="I494" s="18" t="n">
        <f aca="false">F494-G494-H494</f>
        <v>1693.38</v>
      </c>
      <c r="J494" s="18" t="n">
        <f aca="false">J493+I494</f>
        <v>53421.42</v>
      </c>
      <c r="K494" s="18" t="n">
        <f aca="false">MAX(K493,J494)</f>
        <v>53421.42</v>
      </c>
      <c r="L494" s="18" t="n">
        <f aca="false">K494-J494</f>
        <v>0</v>
      </c>
      <c r="M494" s="18" t="n">
        <f aca="false">MIN(Desain_Kolam!$B$21,MAX(0,M493+F494-H494-G494))</f>
        <v>15148.38</v>
      </c>
      <c r="N494" s="6" t="n">
        <f aca="false">IF(M493+F494-H494&gt;=G494,1,0)</f>
        <v>1</v>
      </c>
      <c r="O494" s="18" t="n">
        <f aca="false">E494*Desain_Kolam!$B$24/1000</f>
        <v>609.18</v>
      </c>
      <c r="P494" s="18" t="n">
        <f aca="false">F494-G494-O494</f>
        <v>1212.9</v>
      </c>
      <c r="Q494" s="18" t="n">
        <f aca="false">Q493+P494</f>
        <v>-13365.3</v>
      </c>
      <c r="R494" s="18" t="n">
        <f aca="false">MAX(R493,Q494)</f>
        <v>2129.14</v>
      </c>
      <c r="S494" s="18" t="n">
        <f aca="false">R494-Q494</f>
        <v>15494.44</v>
      </c>
      <c r="T494" s="18" t="n">
        <f aca="false">E494*Desain_Kolam!$B$34/1000</f>
        <v>1406.16</v>
      </c>
      <c r="U494" s="18" t="n">
        <f aca="false">F494-G494-T494</f>
        <v>415.92</v>
      </c>
      <c r="V494" s="18" t="n">
        <f aca="false">V493+U494</f>
        <v>-124145.52</v>
      </c>
      <c r="W494" s="18" t="n">
        <f aca="false">MAX(W493,V494)</f>
        <v>0</v>
      </c>
      <c r="X494" s="18" t="n">
        <f aca="false">W494-V494</f>
        <v>124145.52</v>
      </c>
    </row>
    <row r="495" customFormat="false" ht="15" hidden="false" customHeight="false" outlineLevel="0" collapsed="false">
      <c r="A495" s="6" t="n">
        <v>2023</v>
      </c>
      <c r="B495" s="6" t="n">
        <v>8</v>
      </c>
      <c r="C495" s="4" t="n">
        <v>164</v>
      </c>
      <c r="D495" s="6" t="n">
        <v>31</v>
      </c>
      <c r="E495" s="4" t="n">
        <f aca="false">INDEX(Evaporasi!$B$3:$B$14,MATCH(B495,Evaporasi!$A$3:$A$14,0))</f>
        <v>120</v>
      </c>
      <c r="F495" s="18" t="n">
        <f aca="false">Kawasan!$B$11*Kawasan!$B$9*C495/1000</f>
        <v>1364.48</v>
      </c>
      <c r="G495" s="18" t="n">
        <f aca="false">Kawasan!$B$28*D495</f>
        <v>1547.52</v>
      </c>
      <c r="H495" s="18" t="n">
        <f aca="false">E495*Desain_Kolam!$B$16/1000</f>
        <v>128.7</v>
      </c>
      <c r="I495" s="18" t="n">
        <f aca="false">F495-G495-H495</f>
        <v>-311.74</v>
      </c>
      <c r="J495" s="18" t="n">
        <f aca="false">J494+I495</f>
        <v>53109.68</v>
      </c>
      <c r="K495" s="18" t="n">
        <f aca="false">MAX(K494,J495)</f>
        <v>53421.42</v>
      </c>
      <c r="L495" s="18" t="n">
        <f aca="false">K495-J495</f>
        <v>311.739999999998</v>
      </c>
      <c r="M495" s="18" t="n">
        <f aca="false">MIN(Desain_Kolam!$B$21,MAX(0,M494+F495-H495-G495))</f>
        <v>14836.64</v>
      </c>
      <c r="N495" s="6" t="n">
        <f aca="false">IF(M494+F495-H495&gt;=G495,1,0)</f>
        <v>1</v>
      </c>
      <c r="O495" s="18" t="n">
        <f aca="false">E495*Desain_Kolam!$B$24/1000</f>
        <v>609.18</v>
      </c>
      <c r="P495" s="18" t="n">
        <f aca="false">F495-G495-O495</f>
        <v>-792.22</v>
      </c>
      <c r="Q495" s="18" t="n">
        <f aca="false">Q494+P495</f>
        <v>-14157.52</v>
      </c>
      <c r="R495" s="18" t="n">
        <f aca="false">MAX(R494,Q495)</f>
        <v>2129.14</v>
      </c>
      <c r="S495" s="18" t="n">
        <f aca="false">R495-Q495</f>
        <v>16286.66</v>
      </c>
      <c r="T495" s="18" t="n">
        <f aca="false">E495*Desain_Kolam!$B$34/1000</f>
        <v>1406.16</v>
      </c>
      <c r="U495" s="18" t="n">
        <f aca="false">F495-G495-T495</f>
        <v>-1589.2</v>
      </c>
      <c r="V495" s="18" t="n">
        <f aca="false">V494+U495</f>
        <v>-125734.72</v>
      </c>
      <c r="W495" s="18" t="n">
        <f aca="false">MAX(W494,V495)</f>
        <v>0</v>
      </c>
      <c r="X495" s="18" t="n">
        <f aca="false">W495-V495</f>
        <v>125734.72</v>
      </c>
    </row>
    <row r="496" customFormat="false" ht="15" hidden="false" customHeight="false" outlineLevel="0" collapsed="false">
      <c r="A496" s="6" t="n">
        <v>2023</v>
      </c>
      <c r="B496" s="6" t="n">
        <v>9</v>
      </c>
      <c r="C496" s="4" t="n">
        <v>218</v>
      </c>
      <c r="D496" s="6" t="n">
        <v>30</v>
      </c>
      <c r="E496" s="4" t="n">
        <f aca="false">INDEX(Evaporasi!$B$3:$B$14,MATCH(B496,Evaporasi!$A$3:$A$14,0))</f>
        <v>120</v>
      </c>
      <c r="F496" s="18" t="n">
        <f aca="false">Kawasan!$B$11*Kawasan!$B$9*C496/1000</f>
        <v>1813.76</v>
      </c>
      <c r="G496" s="18" t="n">
        <f aca="false">Kawasan!$B$28*D496</f>
        <v>1497.6</v>
      </c>
      <c r="H496" s="18" t="n">
        <f aca="false">E496*Desain_Kolam!$B$16/1000</f>
        <v>128.7</v>
      </c>
      <c r="I496" s="18" t="n">
        <f aca="false">F496-G496-H496</f>
        <v>187.46</v>
      </c>
      <c r="J496" s="18" t="n">
        <f aca="false">J495+I496</f>
        <v>53297.14</v>
      </c>
      <c r="K496" s="18" t="n">
        <f aca="false">MAX(K495,J496)</f>
        <v>53421.42</v>
      </c>
      <c r="L496" s="18" t="n">
        <f aca="false">K496-J496</f>
        <v>124.279999999999</v>
      </c>
      <c r="M496" s="18" t="n">
        <f aca="false">MIN(Desain_Kolam!$B$21,MAX(0,M495+F496-H496-G496))</f>
        <v>15024.1</v>
      </c>
      <c r="N496" s="6" t="n">
        <f aca="false">IF(M495+F496-H496&gt;=G496,1,0)</f>
        <v>1</v>
      </c>
      <c r="O496" s="18" t="n">
        <f aca="false">E496*Desain_Kolam!$B$24/1000</f>
        <v>609.18</v>
      </c>
      <c r="P496" s="18" t="n">
        <f aca="false">F496-G496-O496</f>
        <v>-293.02</v>
      </c>
      <c r="Q496" s="18" t="n">
        <f aca="false">Q495+P496</f>
        <v>-14450.54</v>
      </c>
      <c r="R496" s="18" t="n">
        <f aca="false">MAX(R495,Q496)</f>
        <v>2129.14</v>
      </c>
      <c r="S496" s="18" t="n">
        <f aca="false">R496-Q496</f>
        <v>16579.68</v>
      </c>
      <c r="T496" s="18" t="n">
        <f aca="false">E496*Desain_Kolam!$B$34/1000</f>
        <v>1406.16</v>
      </c>
      <c r="U496" s="18" t="n">
        <f aca="false">F496-G496-T496</f>
        <v>-1090</v>
      </c>
      <c r="V496" s="18" t="n">
        <f aca="false">V495+U496</f>
        <v>-126824.72</v>
      </c>
      <c r="W496" s="18" t="n">
        <f aca="false">MAX(W495,V496)</f>
        <v>0</v>
      </c>
      <c r="X496" s="18" t="n">
        <f aca="false">W496-V496</f>
        <v>126824.72</v>
      </c>
    </row>
    <row r="497" customFormat="false" ht="15" hidden="false" customHeight="false" outlineLevel="0" collapsed="false">
      <c r="A497" s="6" t="n">
        <v>2023</v>
      </c>
      <c r="B497" s="6" t="n">
        <v>10</v>
      </c>
      <c r="C497" s="4" t="n">
        <v>250</v>
      </c>
      <c r="D497" s="6" t="n">
        <v>31</v>
      </c>
      <c r="E497" s="4" t="n">
        <f aca="false">INDEX(Evaporasi!$B$3:$B$14,MATCH(B497,Evaporasi!$A$3:$A$14,0))</f>
        <v>120</v>
      </c>
      <c r="F497" s="18" t="n">
        <f aca="false">Kawasan!$B$11*Kawasan!$B$9*C497/1000</f>
        <v>2080</v>
      </c>
      <c r="G497" s="18" t="n">
        <f aca="false">Kawasan!$B$28*D497</f>
        <v>1547.52</v>
      </c>
      <c r="H497" s="18" t="n">
        <f aca="false">E497*Desain_Kolam!$B$16/1000</f>
        <v>128.7</v>
      </c>
      <c r="I497" s="18" t="n">
        <f aca="false">F497-G497-H497</f>
        <v>403.78</v>
      </c>
      <c r="J497" s="18" t="n">
        <f aca="false">J496+I497</f>
        <v>53700.92</v>
      </c>
      <c r="K497" s="18" t="n">
        <f aca="false">MAX(K496,J497)</f>
        <v>53700.92</v>
      </c>
      <c r="L497" s="18" t="n">
        <f aca="false">K497-J497</f>
        <v>0</v>
      </c>
      <c r="M497" s="18" t="n">
        <f aca="false">MIN(Desain_Kolam!$B$21,MAX(0,M496+F497-H497-G497))</f>
        <v>15148.38</v>
      </c>
      <c r="N497" s="6" t="n">
        <f aca="false">IF(M496+F497-H497&gt;=G497,1,0)</f>
        <v>1</v>
      </c>
      <c r="O497" s="18" t="n">
        <f aca="false">E497*Desain_Kolam!$B$24/1000</f>
        <v>609.18</v>
      </c>
      <c r="P497" s="18" t="n">
        <f aca="false">F497-G497-O497</f>
        <v>-76.6999999999999</v>
      </c>
      <c r="Q497" s="18" t="n">
        <f aca="false">Q496+P497</f>
        <v>-14527.24</v>
      </c>
      <c r="R497" s="18" t="n">
        <f aca="false">MAX(R496,Q497)</f>
        <v>2129.14</v>
      </c>
      <c r="S497" s="18" t="n">
        <f aca="false">R497-Q497</f>
        <v>16656.38</v>
      </c>
      <c r="T497" s="18" t="n">
        <f aca="false">E497*Desain_Kolam!$B$34/1000</f>
        <v>1406.16</v>
      </c>
      <c r="U497" s="18" t="n">
        <f aca="false">F497-G497-T497</f>
        <v>-873.68</v>
      </c>
      <c r="V497" s="18" t="n">
        <f aca="false">V496+U497</f>
        <v>-127698.4</v>
      </c>
      <c r="W497" s="18" t="n">
        <f aca="false">MAX(W496,V497)</f>
        <v>0</v>
      </c>
      <c r="X497" s="18" t="n">
        <f aca="false">W497-V497</f>
        <v>127698.4</v>
      </c>
    </row>
    <row r="498" customFormat="false" ht="15" hidden="false" customHeight="false" outlineLevel="0" collapsed="false">
      <c r="A498" s="6" t="n">
        <v>2023</v>
      </c>
      <c r="B498" s="6" t="n">
        <v>11</v>
      </c>
      <c r="C498" s="4" t="n">
        <v>265</v>
      </c>
      <c r="D498" s="6" t="n">
        <v>30</v>
      </c>
      <c r="E498" s="4" t="n">
        <f aca="false">INDEX(Evaporasi!$B$3:$B$14,MATCH(B498,Evaporasi!$A$3:$A$14,0))</f>
        <v>120</v>
      </c>
      <c r="F498" s="18" t="n">
        <f aca="false">Kawasan!$B$11*Kawasan!$B$9*C498/1000</f>
        <v>2204.8</v>
      </c>
      <c r="G498" s="18" t="n">
        <f aca="false">Kawasan!$B$28*D498</f>
        <v>1497.6</v>
      </c>
      <c r="H498" s="18" t="n">
        <f aca="false">E498*Desain_Kolam!$B$16/1000</f>
        <v>128.7</v>
      </c>
      <c r="I498" s="18" t="n">
        <f aca="false">F498-G498-H498</f>
        <v>578.5</v>
      </c>
      <c r="J498" s="18" t="n">
        <f aca="false">J497+I498</f>
        <v>54279.42</v>
      </c>
      <c r="K498" s="18" t="n">
        <f aca="false">MAX(K497,J498)</f>
        <v>54279.42</v>
      </c>
      <c r="L498" s="18" t="n">
        <f aca="false">K498-J498</f>
        <v>0</v>
      </c>
      <c r="M498" s="18" t="n">
        <f aca="false">MIN(Desain_Kolam!$B$21,MAX(0,M497+F498-H498-G498))</f>
        <v>15148.38</v>
      </c>
      <c r="N498" s="6" t="n">
        <f aca="false">IF(M497+F498-H498&gt;=G498,1,0)</f>
        <v>1</v>
      </c>
      <c r="O498" s="18" t="n">
        <f aca="false">E498*Desain_Kolam!$B$24/1000</f>
        <v>609.18</v>
      </c>
      <c r="P498" s="18" t="n">
        <f aca="false">F498-G498-O498</f>
        <v>98.0200000000001</v>
      </c>
      <c r="Q498" s="18" t="n">
        <f aca="false">Q497+P498</f>
        <v>-14429.22</v>
      </c>
      <c r="R498" s="18" t="n">
        <f aca="false">MAX(R497,Q498)</f>
        <v>2129.14</v>
      </c>
      <c r="S498" s="18" t="n">
        <f aca="false">R498-Q498</f>
        <v>16558.36</v>
      </c>
      <c r="T498" s="18" t="n">
        <f aca="false">E498*Desain_Kolam!$B$34/1000</f>
        <v>1406.16</v>
      </c>
      <c r="U498" s="18" t="n">
        <f aca="false">F498-G498-T498</f>
        <v>-698.96</v>
      </c>
      <c r="V498" s="18" t="n">
        <f aca="false">V497+U498</f>
        <v>-128397.36</v>
      </c>
      <c r="W498" s="18" t="n">
        <f aca="false">MAX(W497,V498)</f>
        <v>0</v>
      </c>
      <c r="X498" s="18" t="n">
        <f aca="false">W498-V498</f>
        <v>128397.36</v>
      </c>
    </row>
    <row r="499" customFormat="false" ht="15" hidden="false" customHeight="false" outlineLevel="0" collapsed="false">
      <c r="A499" s="6" t="n">
        <v>2023</v>
      </c>
      <c r="B499" s="6" t="n">
        <v>12</v>
      </c>
      <c r="C499" s="4" t="n">
        <v>421</v>
      </c>
      <c r="D499" s="6" t="n">
        <v>31</v>
      </c>
      <c r="E499" s="4" t="n">
        <f aca="false">INDEX(Evaporasi!$B$3:$B$14,MATCH(B499,Evaporasi!$A$3:$A$14,0))</f>
        <v>120</v>
      </c>
      <c r="F499" s="18" t="n">
        <f aca="false">Kawasan!$B$11*Kawasan!$B$9*C499/1000</f>
        <v>3502.72</v>
      </c>
      <c r="G499" s="18" t="n">
        <f aca="false">Kawasan!$B$28*D499</f>
        <v>1547.52</v>
      </c>
      <c r="H499" s="18" t="n">
        <f aca="false">E499*Desain_Kolam!$B$16/1000</f>
        <v>128.7</v>
      </c>
      <c r="I499" s="18" t="n">
        <f aca="false">F499-G499-H499</f>
        <v>1826.5</v>
      </c>
      <c r="J499" s="18" t="n">
        <f aca="false">J498+I499</f>
        <v>56105.92</v>
      </c>
      <c r="K499" s="18" t="n">
        <f aca="false">MAX(K498,J499)</f>
        <v>56105.92</v>
      </c>
      <c r="L499" s="18" t="n">
        <f aca="false">K499-J499</f>
        <v>0</v>
      </c>
      <c r="M499" s="18" t="n">
        <f aca="false">MIN(Desain_Kolam!$B$21,MAX(0,M498+F499-H499-G499))</f>
        <v>15148.38</v>
      </c>
      <c r="N499" s="6" t="n">
        <f aca="false">IF(M498+F499-H499&gt;=G499,1,0)</f>
        <v>1</v>
      </c>
      <c r="O499" s="18" t="n">
        <f aca="false">E499*Desain_Kolam!$B$24/1000</f>
        <v>609.18</v>
      </c>
      <c r="P499" s="18" t="n">
        <f aca="false">F499-G499-O499</f>
        <v>1346.02</v>
      </c>
      <c r="Q499" s="18" t="n">
        <f aca="false">Q498+P499</f>
        <v>-13083.2</v>
      </c>
      <c r="R499" s="18" t="n">
        <f aca="false">MAX(R498,Q499)</f>
        <v>2129.14</v>
      </c>
      <c r="S499" s="18" t="n">
        <f aca="false">R499-Q499</f>
        <v>15212.34</v>
      </c>
      <c r="T499" s="18" t="n">
        <f aca="false">E499*Desain_Kolam!$B$34/1000</f>
        <v>1406.16</v>
      </c>
      <c r="U499" s="18" t="n">
        <f aca="false">F499-G499-T499</f>
        <v>549.04</v>
      </c>
      <c r="V499" s="18" t="n">
        <f aca="false">V498+U499</f>
        <v>-127848.32</v>
      </c>
      <c r="W499" s="18" t="n">
        <f aca="false">MAX(W498,V499)</f>
        <v>0</v>
      </c>
      <c r="X499" s="18" t="n">
        <f aca="false">W499-V499</f>
        <v>127848.32</v>
      </c>
    </row>
    <row r="500" customFormat="false" ht="15" hidden="false" customHeight="false" outlineLevel="0" collapsed="false">
      <c r="A500" s="6" t="n">
        <v>2024</v>
      </c>
      <c r="B500" s="6" t="n">
        <v>1</v>
      </c>
      <c r="C500" s="4" t="n">
        <v>379</v>
      </c>
      <c r="D500" s="6" t="n">
        <v>31</v>
      </c>
      <c r="E500" s="4" t="n">
        <f aca="false">INDEX(Evaporasi!$B$3:$B$14,MATCH(B500,Evaporasi!$A$3:$A$14,0))</f>
        <v>120</v>
      </c>
      <c r="F500" s="18" t="n">
        <f aca="false">Kawasan!$B$11*Kawasan!$B$9*C500/1000</f>
        <v>3153.28</v>
      </c>
      <c r="G500" s="18" t="n">
        <f aca="false">Kawasan!$B$28*D500</f>
        <v>1547.52</v>
      </c>
      <c r="H500" s="18" t="n">
        <f aca="false">E500*Desain_Kolam!$B$16/1000</f>
        <v>128.7</v>
      </c>
      <c r="I500" s="18" t="n">
        <f aca="false">F500-G500-H500</f>
        <v>1477.06</v>
      </c>
      <c r="J500" s="18" t="n">
        <f aca="false">J499+I500</f>
        <v>57582.98</v>
      </c>
      <c r="K500" s="18" t="n">
        <f aca="false">MAX(K499,J500)</f>
        <v>57582.98</v>
      </c>
      <c r="L500" s="18" t="n">
        <f aca="false">K500-J500</f>
        <v>0</v>
      </c>
      <c r="M500" s="18" t="n">
        <f aca="false">MIN(Desain_Kolam!$B$21,MAX(0,M499+F500-H500-G500))</f>
        <v>15148.38</v>
      </c>
      <c r="N500" s="6" t="n">
        <f aca="false">IF(M499+F500-H500&gt;=G500,1,0)</f>
        <v>1</v>
      </c>
      <c r="O500" s="18" t="n">
        <f aca="false">E500*Desain_Kolam!$B$24/1000</f>
        <v>609.18</v>
      </c>
      <c r="P500" s="18" t="n">
        <f aca="false">F500-G500-O500</f>
        <v>996.58</v>
      </c>
      <c r="Q500" s="18" t="n">
        <f aca="false">Q499+P500</f>
        <v>-12086.62</v>
      </c>
      <c r="R500" s="18" t="n">
        <f aca="false">MAX(R499,Q500)</f>
        <v>2129.14</v>
      </c>
      <c r="S500" s="18" t="n">
        <f aca="false">R500-Q500</f>
        <v>14215.76</v>
      </c>
      <c r="T500" s="18" t="n">
        <f aca="false">E500*Desain_Kolam!$B$34/1000</f>
        <v>1406.16</v>
      </c>
      <c r="U500" s="18" t="n">
        <f aca="false">F500-G500-T500</f>
        <v>199.6</v>
      </c>
      <c r="V500" s="18" t="n">
        <f aca="false">V499+U500</f>
        <v>-127648.72</v>
      </c>
      <c r="W500" s="18" t="n">
        <f aca="false">MAX(W499,V500)</f>
        <v>0</v>
      </c>
      <c r="X500" s="18" t="n">
        <f aca="false">W500-V500</f>
        <v>127648.72</v>
      </c>
    </row>
    <row r="501" customFormat="false" ht="15" hidden="false" customHeight="false" outlineLevel="0" collapsed="false">
      <c r="A501" s="6" t="n">
        <v>2024</v>
      </c>
      <c r="B501" s="6" t="n">
        <v>2</v>
      </c>
      <c r="C501" s="4" t="n">
        <v>300</v>
      </c>
      <c r="D501" s="6" t="n">
        <v>29</v>
      </c>
      <c r="E501" s="4" t="n">
        <f aca="false">INDEX(Evaporasi!$B$3:$B$14,MATCH(B501,Evaporasi!$A$3:$A$14,0))</f>
        <v>120</v>
      </c>
      <c r="F501" s="18" t="n">
        <f aca="false">Kawasan!$B$11*Kawasan!$B$9*C501/1000</f>
        <v>2496</v>
      </c>
      <c r="G501" s="18" t="n">
        <f aca="false">Kawasan!$B$28*D501</f>
        <v>1447.68</v>
      </c>
      <c r="H501" s="18" t="n">
        <f aca="false">E501*Desain_Kolam!$B$16/1000</f>
        <v>128.7</v>
      </c>
      <c r="I501" s="18" t="n">
        <f aca="false">F501-G501-H501</f>
        <v>919.62</v>
      </c>
      <c r="J501" s="18" t="n">
        <f aca="false">J500+I501</f>
        <v>58502.6</v>
      </c>
      <c r="K501" s="18" t="n">
        <f aca="false">MAX(K500,J501)</f>
        <v>58502.6</v>
      </c>
      <c r="L501" s="18" t="n">
        <f aca="false">K501-J501</f>
        <v>0</v>
      </c>
      <c r="M501" s="18" t="n">
        <f aca="false">MIN(Desain_Kolam!$B$21,MAX(0,M500+F501-H501-G501))</f>
        <v>15148.38</v>
      </c>
      <c r="N501" s="6" t="n">
        <f aca="false">IF(M500+F501-H501&gt;=G501,1,0)</f>
        <v>1</v>
      </c>
      <c r="O501" s="18" t="n">
        <f aca="false">E501*Desain_Kolam!$B$24/1000</f>
        <v>609.18</v>
      </c>
      <c r="P501" s="18" t="n">
        <f aca="false">F501-G501-O501</f>
        <v>439.14</v>
      </c>
      <c r="Q501" s="18" t="n">
        <f aca="false">Q500+P501</f>
        <v>-11647.48</v>
      </c>
      <c r="R501" s="18" t="n">
        <f aca="false">MAX(R500,Q501)</f>
        <v>2129.14</v>
      </c>
      <c r="S501" s="18" t="n">
        <f aca="false">R501-Q501</f>
        <v>13776.62</v>
      </c>
      <c r="T501" s="18" t="n">
        <f aca="false">E501*Desain_Kolam!$B$34/1000</f>
        <v>1406.16</v>
      </c>
      <c r="U501" s="18" t="n">
        <f aca="false">F501-G501-T501</f>
        <v>-357.84</v>
      </c>
      <c r="V501" s="18" t="n">
        <f aca="false">V500+U501</f>
        <v>-128006.56</v>
      </c>
      <c r="W501" s="18" t="n">
        <f aca="false">MAX(W500,V501)</f>
        <v>0</v>
      </c>
      <c r="X501" s="18" t="n">
        <f aca="false">W501-V501</f>
        <v>128006.56</v>
      </c>
    </row>
    <row r="502" customFormat="false" ht="15" hidden="false" customHeight="false" outlineLevel="0" collapsed="false">
      <c r="A502" s="6" t="n">
        <v>2024</v>
      </c>
      <c r="B502" s="6" t="n">
        <v>3</v>
      </c>
      <c r="C502" s="4" t="n">
        <v>512</v>
      </c>
      <c r="D502" s="6" t="n">
        <v>31</v>
      </c>
      <c r="E502" s="4" t="n">
        <f aca="false">INDEX(Evaporasi!$B$3:$B$14,MATCH(B502,Evaporasi!$A$3:$A$14,0))</f>
        <v>120</v>
      </c>
      <c r="F502" s="18" t="n">
        <f aca="false">Kawasan!$B$11*Kawasan!$B$9*C502/1000</f>
        <v>4259.84</v>
      </c>
      <c r="G502" s="18" t="n">
        <f aca="false">Kawasan!$B$28*D502</f>
        <v>1547.52</v>
      </c>
      <c r="H502" s="18" t="n">
        <f aca="false">E502*Desain_Kolam!$B$16/1000</f>
        <v>128.7</v>
      </c>
      <c r="I502" s="18" t="n">
        <f aca="false">F502-G502-H502</f>
        <v>2583.62</v>
      </c>
      <c r="J502" s="18" t="n">
        <f aca="false">J501+I502</f>
        <v>61086.22</v>
      </c>
      <c r="K502" s="18" t="n">
        <f aca="false">MAX(K501,J502)</f>
        <v>61086.22</v>
      </c>
      <c r="L502" s="18" t="n">
        <f aca="false">K502-J502</f>
        <v>0</v>
      </c>
      <c r="M502" s="18" t="n">
        <f aca="false">MIN(Desain_Kolam!$B$21,MAX(0,M501+F502-H502-G502))</f>
        <v>15148.38</v>
      </c>
      <c r="N502" s="6" t="n">
        <f aca="false">IF(M501+F502-H502&gt;=G502,1,0)</f>
        <v>1</v>
      </c>
      <c r="O502" s="18" t="n">
        <f aca="false">E502*Desain_Kolam!$B$24/1000</f>
        <v>609.18</v>
      </c>
      <c r="P502" s="18" t="n">
        <f aca="false">F502-G502-O502</f>
        <v>2103.14</v>
      </c>
      <c r="Q502" s="18" t="n">
        <f aca="false">Q501+P502</f>
        <v>-9544.33999999999</v>
      </c>
      <c r="R502" s="18" t="n">
        <f aca="false">MAX(R501,Q502)</f>
        <v>2129.14</v>
      </c>
      <c r="S502" s="18" t="n">
        <f aca="false">R502-Q502</f>
        <v>11673.48</v>
      </c>
      <c r="T502" s="18" t="n">
        <f aca="false">E502*Desain_Kolam!$B$34/1000</f>
        <v>1406.16</v>
      </c>
      <c r="U502" s="18" t="n">
        <f aca="false">F502-G502-T502</f>
        <v>1306.16</v>
      </c>
      <c r="V502" s="18" t="n">
        <f aca="false">V501+U502</f>
        <v>-126700.4</v>
      </c>
      <c r="W502" s="18" t="n">
        <f aca="false">MAX(W501,V502)</f>
        <v>0</v>
      </c>
      <c r="X502" s="18" t="n">
        <f aca="false">W502-V502</f>
        <v>126700.4</v>
      </c>
    </row>
    <row r="503" customFormat="false" ht="15" hidden="false" customHeight="false" outlineLevel="0" collapsed="false">
      <c r="A503" s="6" t="n">
        <v>2024</v>
      </c>
      <c r="B503" s="6" t="n">
        <v>4</v>
      </c>
      <c r="C503" s="4" t="n">
        <v>327</v>
      </c>
      <c r="D503" s="6" t="n">
        <v>30</v>
      </c>
      <c r="E503" s="4" t="n">
        <f aca="false">INDEX(Evaporasi!$B$3:$B$14,MATCH(B503,Evaporasi!$A$3:$A$14,0))</f>
        <v>120</v>
      </c>
      <c r="F503" s="18" t="n">
        <f aca="false">Kawasan!$B$11*Kawasan!$B$9*C503/1000</f>
        <v>2720.64</v>
      </c>
      <c r="G503" s="18" t="n">
        <f aca="false">Kawasan!$B$28*D503</f>
        <v>1497.6</v>
      </c>
      <c r="H503" s="18" t="n">
        <f aca="false">E503*Desain_Kolam!$B$16/1000</f>
        <v>128.7</v>
      </c>
      <c r="I503" s="18" t="n">
        <f aca="false">F503-G503-H503</f>
        <v>1094.34</v>
      </c>
      <c r="J503" s="18" t="n">
        <f aca="false">J502+I503</f>
        <v>62180.56</v>
      </c>
      <c r="K503" s="18" t="n">
        <f aca="false">MAX(K502,J503)</f>
        <v>62180.56</v>
      </c>
      <c r="L503" s="18" t="n">
        <f aca="false">K503-J503</f>
        <v>0</v>
      </c>
      <c r="M503" s="18" t="n">
        <f aca="false">MIN(Desain_Kolam!$B$21,MAX(0,M502+F503-H503-G503))</f>
        <v>15148.38</v>
      </c>
      <c r="N503" s="6" t="n">
        <f aca="false">IF(M502+F503-H503&gt;=G503,1,0)</f>
        <v>1</v>
      </c>
      <c r="O503" s="18" t="n">
        <f aca="false">E503*Desain_Kolam!$B$24/1000</f>
        <v>609.18</v>
      </c>
      <c r="P503" s="18" t="n">
        <f aca="false">F503-G503-O503</f>
        <v>613.86</v>
      </c>
      <c r="Q503" s="18" t="n">
        <f aca="false">Q502+P503</f>
        <v>-8930.47999999999</v>
      </c>
      <c r="R503" s="18" t="n">
        <f aca="false">MAX(R502,Q503)</f>
        <v>2129.14</v>
      </c>
      <c r="S503" s="18" t="n">
        <f aca="false">R503-Q503</f>
        <v>11059.62</v>
      </c>
      <c r="T503" s="18" t="n">
        <f aca="false">E503*Desain_Kolam!$B$34/1000</f>
        <v>1406.16</v>
      </c>
      <c r="U503" s="18" t="n">
        <f aca="false">F503-G503-T503</f>
        <v>-183.12</v>
      </c>
      <c r="V503" s="18" t="n">
        <f aca="false">V502+U503</f>
        <v>-126883.52</v>
      </c>
      <c r="W503" s="18" t="n">
        <f aca="false">MAX(W502,V503)</f>
        <v>0</v>
      </c>
      <c r="X503" s="18" t="n">
        <f aca="false">W503-V503</f>
        <v>126883.52</v>
      </c>
    </row>
    <row r="504" customFormat="false" ht="15" hidden="false" customHeight="false" outlineLevel="0" collapsed="false">
      <c r="A504" s="6" t="n">
        <v>2024</v>
      </c>
      <c r="B504" s="6" t="n">
        <v>5</v>
      </c>
      <c r="C504" s="4" t="n">
        <v>406</v>
      </c>
      <c r="D504" s="6" t="n">
        <v>31</v>
      </c>
      <c r="E504" s="4" t="n">
        <f aca="false">INDEX(Evaporasi!$B$3:$B$14,MATCH(B504,Evaporasi!$A$3:$A$14,0))</f>
        <v>120</v>
      </c>
      <c r="F504" s="18" t="n">
        <f aca="false">Kawasan!$B$11*Kawasan!$B$9*C504/1000</f>
        <v>3377.92</v>
      </c>
      <c r="G504" s="18" t="n">
        <f aca="false">Kawasan!$B$28*D504</f>
        <v>1547.52</v>
      </c>
      <c r="H504" s="18" t="n">
        <f aca="false">E504*Desain_Kolam!$B$16/1000</f>
        <v>128.7</v>
      </c>
      <c r="I504" s="18" t="n">
        <f aca="false">F504-G504-H504</f>
        <v>1701.7</v>
      </c>
      <c r="J504" s="18" t="n">
        <f aca="false">J503+I504</f>
        <v>63882.26</v>
      </c>
      <c r="K504" s="18" t="n">
        <f aca="false">MAX(K503,J504)</f>
        <v>63882.26</v>
      </c>
      <c r="L504" s="18" t="n">
        <f aca="false">K504-J504</f>
        <v>0</v>
      </c>
      <c r="M504" s="18" t="n">
        <f aca="false">MIN(Desain_Kolam!$B$21,MAX(0,M503+F504-H504-G504))</f>
        <v>15148.38</v>
      </c>
      <c r="N504" s="6" t="n">
        <f aca="false">IF(M503+F504-H504&gt;=G504,1,0)</f>
        <v>1</v>
      </c>
      <c r="O504" s="18" t="n">
        <f aca="false">E504*Desain_Kolam!$B$24/1000</f>
        <v>609.18</v>
      </c>
      <c r="P504" s="18" t="n">
        <f aca="false">F504-G504-O504</f>
        <v>1221.22</v>
      </c>
      <c r="Q504" s="18" t="n">
        <f aca="false">Q503+P504</f>
        <v>-7709.25999999999</v>
      </c>
      <c r="R504" s="18" t="n">
        <f aca="false">MAX(R503,Q504)</f>
        <v>2129.14</v>
      </c>
      <c r="S504" s="18" t="n">
        <f aca="false">R504-Q504</f>
        <v>9838.39999999999</v>
      </c>
      <c r="T504" s="18" t="n">
        <f aca="false">E504*Desain_Kolam!$B$34/1000</f>
        <v>1406.16</v>
      </c>
      <c r="U504" s="18" t="n">
        <f aca="false">F504-G504-T504</f>
        <v>424.24</v>
      </c>
      <c r="V504" s="18" t="n">
        <f aca="false">V503+U504</f>
        <v>-126459.28</v>
      </c>
      <c r="W504" s="18" t="n">
        <f aca="false">MAX(W503,V504)</f>
        <v>0</v>
      </c>
      <c r="X504" s="18" t="n">
        <f aca="false">W504-V504</f>
        <v>126459.28</v>
      </c>
    </row>
    <row r="505" customFormat="false" ht="15" hidden="false" customHeight="false" outlineLevel="0" collapsed="false">
      <c r="A505" s="6" t="n">
        <v>2024</v>
      </c>
      <c r="B505" s="6" t="n">
        <v>6</v>
      </c>
      <c r="C505" s="4" t="n">
        <v>166</v>
      </c>
      <c r="D505" s="6" t="n">
        <v>30</v>
      </c>
      <c r="E505" s="4" t="n">
        <f aca="false">INDEX(Evaporasi!$B$3:$B$14,MATCH(B505,Evaporasi!$A$3:$A$14,0))</f>
        <v>120</v>
      </c>
      <c r="F505" s="18" t="n">
        <f aca="false">Kawasan!$B$11*Kawasan!$B$9*C505/1000</f>
        <v>1381.12</v>
      </c>
      <c r="G505" s="18" t="n">
        <f aca="false">Kawasan!$B$28*D505</f>
        <v>1497.6</v>
      </c>
      <c r="H505" s="18" t="n">
        <f aca="false">E505*Desain_Kolam!$B$16/1000</f>
        <v>128.7</v>
      </c>
      <c r="I505" s="18" t="n">
        <f aca="false">F505-G505-H505</f>
        <v>-245.18</v>
      </c>
      <c r="J505" s="18" t="n">
        <f aca="false">J504+I505</f>
        <v>63637.08</v>
      </c>
      <c r="K505" s="18" t="n">
        <f aca="false">MAX(K504,J505)</f>
        <v>63882.26</v>
      </c>
      <c r="L505" s="18" t="n">
        <f aca="false">K505-J505</f>
        <v>245.18</v>
      </c>
      <c r="M505" s="18" t="n">
        <f aca="false">MIN(Desain_Kolam!$B$21,MAX(0,M504+F505-H505-G505))</f>
        <v>14903.2</v>
      </c>
      <c r="N505" s="6" t="n">
        <f aca="false">IF(M504+F505-H505&gt;=G505,1,0)</f>
        <v>1</v>
      </c>
      <c r="O505" s="18" t="n">
        <f aca="false">E505*Desain_Kolam!$B$24/1000</f>
        <v>609.18</v>
      </c>
      <c r="P505" s="18" t="n">
        <f aca="false">F505-G505-O505</f>
        <v>-725.66</v>
      </c>
      <c r="Q505" s="18" t="n">
        <f aca="false">Q504+P505</f>
        <v>-8434.91999999999</v>
      </c>
      <c r="R505" s="18" t="n">
        <f aca="false">MAX(R504,Q505)</f>
        <v>2129.14</v>
      </c>
      <c r="S505" s="18" t="n">
        <f aca="false">R505-Q505</f>
        <v>10564.06</v>
      </c>
      <c r="T505" s="18" t="n">
        <f aca="false">E505*Desain_Kolam!$B$34/1000</f>
        <v>1406.16</v>
      </c>
      <c r="U505" s="18" t="n">
        <f aca="false">F505-G505-T505</f>
        <v>-1522.64</v>
      </c>
      <c r="V505" s="18" t="n">
        <f aca="false">V504+U505</f>
        <v>-127981.92</v>
      </c>
      <c r="W505" s="18" t="n">
        <f aca="false">MAX(W504,V505)</f>
        <v>0</v>
      </c>
      <c r="X505" s="18" t="n">
        <f aca="false">W505-V505</f>
        <v>127981.92</v>
      </c>
    </row>
    <row r="506" customFormat="false" ht="15" hidden="false" customHeight="false" outlineLevel="0" collapsed="false">
      <c r="A506" s="6" t="n">
        <v>2024</v>
      </c>
      <c r="B506" s="6" t="n">
        <v>7</v>
      </c>
      <c r="C506" s="4" t="n">
        <v>114</v>
      </c>
      <c r="D506" s="6" t="n">
        <v>31</v>
      </c>
      <c r="E506" s="4" t="n">
        <f aca="false">INDEX(Evaporasi!$B$3:$B$14,MATCH(B506,Evaporasi!$A$3:$A$14,0))</f>
        <v>120</v>
      </c>
      <c r="F506" s="18" t="n">
        <f aca="false">Kawasan!$B$11*Kawasan!$B$9*C506/1000</f>
        <v>948.48</v>
      </c>
      <c r="G506" s="18" t="n">
        <f aca="false">Kawasan!$B$28*D506</f>
        <v>1547.52</v>
      </c>
      <c r="H506" s="18" t="n">
        <f aca="false">E506*Desain_Kolam!$B$16/1000</f>
        <v>128.7</v>
      </c>
      <c r="I506" s="18" t="n">
        <f aca="false">F506-G506-H506</f>
        <v>-727.74</v>
      </c>
      <c r="J506" s="18" t="n">
        <f aca="false">J505+I506</f>
        <v>62909.34</v>
      </c>
      <c r="K506" s="18" t="n">
        <f aca="false">MAX(K505,J506)</f>
        <v>63882.26</v>
      </c>
      <c r="L506" s="18" t="n">
        <f aca="false">K506-J506</f>
        <v>972.919999999998</v>
      </c>
      <c r="M506" s="18" t="n">
        <f aca="false">MIN(Desain_Kolam!$B$21,MAX(0,M505+F506-H506-G506))</f>
        <v>14175.46</v>
      </c>
      <c r="N506" s="6" t="n">
        <f aca="false">IF(M505+F506-H506&gt;=G506,1,0)</f>
        <v>1</v>
      </c>
      <c r="O506" s="18" t="n">
        <f aca="false">E506*Desain_Kolam!$B$24/1000</f>
        <v>609.18</v>
      </c>
      <c r="P506" s="18" t="n">
        <f aca="false">F506-G506-O506</f>
        <v>-1208.22</v>
      </c>
      <c r="Q506" s="18" t="n">
        <f aca="false">Q505+P506</f>
        <v>-9643.13999999999</v>
      </c>
      <c r="R506" s="18" t="n">
        <f aca="false">MAX(R505,Q506)</f>
        <v>2129.14</v>
      </c>
      <c r="S506" s="18" t="n">
        <f aca="false">R506-Q506</f>
        <v>11772.28</v>
      </c>
      <c r="T506" s="18" t="n">
        <f aca="false">E506*Desain_Kolam!$B$34/1000</f>
        <v>1406.16</v>
      </c>
      <c r="U506" s="18" t="n">
        <f aca="false">F506-G506-T506</f>
        <v>-2005.2</v>
      </c>
      <c r="V506" s="18" t="n">
        <f aca="false">V505+U506</f>
        <v>-129987.12</v>
      </c>
      <c r="W506" s="18" t="n">
        <f aca="false">MAX(W505,V506)</f>
        <v>0</v>
      </c>
      <c r="X506" s="18" t="n">
        <f aca="false">W506-V506</f>
        <v>129987.12</v>
      </c>
    </row>
    <row r="507" customFormat="false" ht="15" hidden="false" customHeight="false" outlineLevel="0" collapsed="false">
      <c r="A507" s="6" t="n">
        <v>2024</v>
      </c>
      <c r="B507" s="6" t="n">
        <v>8</v>
      </c>
      <c r="C507" s="4" t="n">
        <v>350</v>
      </c>
      <c r="D507" s="6" t="n">
        <v>31</v>
      </c>
      <c r="E507" s="4" t="n">
        <f aca="false">INDEX(Evaporasi!$B$3:$B$14,MATCH(B507,Evaporasi!$A$3:$A$14,0))</f>
        <v>120</v>
      </c>
      <c r="F507" s="18" t="n">
        <f aca="false">Kawasan!$B$11*Kawasan!$B$9*C507/1000</f>
        <v>2912</v>
      </c>
      <c r="G507" s="18" t="n">
        <f aca="false">Kawasan!$B$28*D507</f>
        <v>1547.52</v>
      </c>
      <c r="H507" s="18" t="n">
        <f aca="false">E507*Desain_Kolam!$B$16/1000</f>
        <v>128.7</v>
      </c>
      <c r="I507" s="18" t="n">
        <f aca="false">F507-G507-H507</f>
        <v>1235.78</v>
      </c>
      <c r="J507" s="18" t="n">
        <f aca="false">J506+I507</f>
        <v>64145.12</v>
      </c>
      <c r="K507" s="18" t="n">
        <f aca="false">MAX(K506,J507)</f>
        <v>64145.12</v>
      </c>
      <c r="L507" s="18" t="n">
        <f aca="false">K507-J507</f>
        <v>0</v>
      </c>
      <c r="M507" s="18" t="n">
        <f aca="false">MIN(Desain_Kolam!$B$21,MAX(0,M506+F507-H507-G507))</f>
        <v>15148.38</v>
      </c>
      <c r="N507" s="6" t="n">
        <f aca="false">IF(M506+F507-H507&gt;=G507,1,0)</f>
        <v>1</v>
      </c>
      <c r="O507" s="18" t="n">
        <f aca="false">E507*Desain_Kolam!$B$24/1000</f>
        <v>609.18</v>
      </c>
      <c r="P507" s="18" t="n">
        <f aca="false">F507-G507-O507</f>
        <v>755.3</v>
      </c>
      <c r="Q507" s="18" t="n">
        <f aca="false">Q506+P507</f>
        <v>-8887.83999999999</v>
      </c>
      <c r="R507" s="18" t="n">
        <f aca="false">MAX(R506,Q507)</f>
        <v>2129.14</v>
      </c>
      <c r="S507" s="18" t="n">
        <f aca="false">R507-Q507</f>
        <v>11016.98</v>
      </c>
      <c r="T507" s="18" t="n">
        <f aca="false">E507*Desain_Kolam!$B$34/1000</f>
        <v>1406.16</v>
      </c>
      <c r="U507" s="18" t="n">
        <f aca="false">F507-G507-T507</f>
        <v>-41.6800000000001</v>
      </c>
      <c r="V507" s="18" t="n">
        <f aca="false">V506+U507</f>
        <v>-130028.8</v>
      </c>
      <c r="W507" s="18" t="n">
        <f aca="false">MAX(W506,V507)</f>
        <v>0</v>
      </c>
      <c r="X507" s="18" t="n">
        <f aca="false">W507-V507</f>
        <v>130028.8</v>
      </c>
    </row>
    <row r="508" customFormat="false" ht="15" hidden="false" customHeight="false" outlineLevel="0" collapsed="false">
      <c r="A508" s="6" t="n">
        <v>2024</v>
      </c>
      <c r="B508" s="6" t="n">
        <v>9</v>
      </c>
      <c r="C508" s="4" t="n">
        <v>197</v>
      </c>
      <c r="D508" s="6" t="n">
        <v>30</v>
      </c>
      <c r="E508" s="4" t="n">
        <f aca="false">INDEX(Evaporasi!$B$3:$B$14,MATCH(B508,Evaporasi!$A$3:$A$14,0))</f>
        <v>120</v>
      </c>
      <c r="F508" s="18" t="n">
        <f aca="false">Kawasan!$B$11*Kawasan!$B$9*C508/1000</f>
        <v>1639.04</v>
      </c>
      <c r="G508" s="18" t="n">
        <f aca="false">Kawasan!$B$28*D508</f>
        <v>1497.6</v>
      </c>
      <c r="H508" s="18" t="n">
        <f aca="false">E508*Desain_Kolam!$B$16/1000</f>
        <v>128.7</v>
      </c>
      <c r="I508" s="18" t="n">
        <f aca="false">F508-G508-H508</f>
        <v>12.7399999999998</v>
      </c>
      <c r="J508" s="18" t="n">
        <f aca="false">J507+I508</f>
        <v>64157.86</v>
      </c>
      <c r="K508" s="18" t="n">
        <f aca="false">MAX(K507,J508)</f>
        <v>64157.86</v>
      </c>
      <c r="L508" s="18" t="n">
        <f aca="false">K508-J508</f>
        <v>0</v>
      </c>
      <c r="M508" s="18" t="n">
        <f aca="false">MIN(Desain_Kolam!$B$21,MAX(0,M507+F508-H508-G508))</f>
        <v>15148.38</v>
      </c>
      <c r="N508" s="6" t="n">
        <f aca="false">IF(M507+F508-H508&gt;=G508,1,0)</f>
        <v>1</v>
      </c>
      <c r="O508" s="18" t="n">
        <f aca="false">E508*Desain_Kolam!$B$24/1000</f>
        <v>609.18</v>
      </c>
      <c r="P508" s="18" t="n">
        <f aca="false">F508-G508-O508</f>
        <v>-467.74</v>
      </c>
      <c r="Q508" s="18" t="n">
        <f aca="false">Q507+P508</f>
        <v>-9355.57999999999</v>
      </c>
      <c r="R508" s="18" t="n">
        <f aca="false">MAX(R507,Q508)</f>
        <v>2129.14</v>
      </c>
      <c r="S508" s="18" t="n">
        <f aca="false">R508-Q508</f>
        <v>11484.72</v>
      </c>
      <c r="T508" s="18" t="n">
        <f aca="false">E508*Desain_Kolam!$B$34/1000</f>
        <v>1406.16</v>
      </c>
      <c r="U508" s="18" t="n">
        <f aca="false">F508-G508-T508</f>
        <v>-1264.72</v>
      </c>
      <c r="V508" s="18" t="n">
        <f aca="false">V507+U508</f>
        <v>-131293.52</v>
      </c>
      <c r="W508" s="18" t="n">
        <f aca="false">MAX(W507,V508)</f>
        <v>0</v>
      </c>
      <c r="X508" s="18" t="n">
        <f aca="false">W508-V508</f>
        <v>131293.52</v>
      </c>
    </row>
    <row r="509" customFormat="false" ht="15" hidden="false" customHeight="false" outlineLevel="0" collapsed="false">
      <c r="A509" s="6" t="n">
        <v>2024</v>
      </c>
      <c r="B509" s="6" t="n">
        <v>10</v>
      </c>
      <c r="C509" s="4" t="n">
        <v>327</v>
      </c>
      <c r="D509" s="6" t="n">
        <v>31</v>
      </c>
      <c r="E509" s="4" t="n">
        <f aca="false">INDEX(Evaporasi!$B$3:$B$14,MATCH(B509,Evaporasi!$A$3:$A$14,0))</f>
        <v>120</v>
      </c>
      <c r="F509" s="18" t="n">
        <f aca="false">Kawasan!$B$11*Kawasan!$B$9*C509/1000</f>
        <v>2720.64</v>
      </c>
      <c r="G509" s="18" t="n">
        <f aca="false">Kawasan!$B$28*D509</f>
        <v>1547.52</v>
      </c>
      <c r="H509" s="18" t="n">
        <f aca="false">E509*Desain_Kolam!$B$16/1000</f>
        <v>128.7</v>
      </c>
      <c r="I509" s="18" t="n">
        <f aca="false">F509-G509-H509</f>
        <v>1044.42</v>
      </c>
      <c r="J509" s="18" t="n">
        <f aca="false">J508+I509</f>
        <v>65202.28</v>
      </c>
      <c r="K509" s="18" t="n">
        <f aca="false">MAX(K508,J509)</f>
        <v>65202.28</v>
      </c>
      <c r="L509" s="18" t="n">
        <f aca="false">K509-J509</f>
        <v>0</v>
      </c>
      <c r="M509" s="18" t="n">
        <f aca="false">MIN(Desain_Kolam!$B$21,MAX(0,M508+F509-H509-G509))</f>
        <v>15148.38</v>
      </c>
      <c r="N509" s="6" t="n">
        <f aca="false">IF(M508+F509-H509&gt;=G509,1,0)</f>
        <v>1</v>
      </c>
      <c r="O509" s="18" t="n">
        <f aca="false">E509*Desain_Kolam!$B$24/1000</f>
        <v>609.18</v>
      </c>
      <c r="P509" s="18" t="n">
        <f aca="false">F509-G509-O509</f>
        <v>563.94</v>
      </c>
      <c r="Q509" s="18" t="n">
        <f aca="false">Q508+P509</f>
        <v>-8791.63999999999</v>
      </c>
      <c r="R509" s="18" t="n">
        <f aca="false">MAX(R508,Q509)</f>
        <v>2129.14</v>
      </c>
      <c r="S509" s="18" t="n">
        <f aca="false">R509-Q509</f>
        <v>10920.78</v>
      </c>
      <c r="T509" s="18" t="n">
        <f aca="false">E509*Desain_Kolam!$B$34/1000</f>
        <v>1406.16</v>
      </c>
      <c r="U509" s="18" t="n">
        <f aca="false">F509-G509-T509</f>
        <v>-233.04</v>
      </c>
      <c r="V509" s="18" t="n">
        <f aca="false">V508+U509</f>
        <v>-131526.56</v>
      </c>
      <c r="W509" s="18" t="n">
        <f aca="false">MAX(W508,V509)</f>
        <v>0</v>
      </c>
      <c r="X509" s="18" t="n">
        <f aca="false">W509-V509</f>
        <v>131526.56</v>
      </c>
    </row>
    <row r="510" customFormat="false" ht="15" hidden="false" customHeight="false" outlineLevel="0" collapsed="false">
      <c r="A510" s="6" t="n">
        <v>2024</v>
      </c>
      <c r="B510" s="6" t="n">
        <v>11</v>
      </c>
      <c r="C510" s="4" t="n">
        <v>419</v>
      </c>
      <c r="D510" s="6" t="n">
        <v>30</v>
      </c>
      <c r="E510" s="4" t="n">
        <f aca="false">INDEX(Evaporasi!$B$3:$B$14,MATCH(B510,Evaporasi!$A$3:$A$14,0))</f>
        <v>120</v>
      </c>
      <c r="F510" s="18" t="n">
        <f aca="false">Kawasan!$B$11*Kawasan!$B$9*C510/1000</f>
        <v>3486.08</v>
      </c>
      <c r="G510" s="18" t="n">
        <f aca="false">Kawasan!$B$28*D510</f>
        <v>1497.6</v>
      </c>
      <c r="H510" s="18" t="n">
        <f aca="false">E510*Desain_Kolam!$B$16/1000</f>
        <v>128.7</v>
      </c>
      <c r="I510" s="18" t="n">
        <f aca="false">F510-G510-H510</f>
        <v>1859.78</v>
      </c>
      <c r="J510" s="18" t="n">
        <f aca="false">J509+I510</f>
        <v>67062.06</v>
      </c>
      <c r="K510" s="18" t="n">
        <f aca="false">MAX(K509,J510)</f>
        <v>67062.06</v>
      </c>
      <c r="L510" s="18" t="n">
        <f aca="false">K510-J510</f>
        <v>0</v>
      </c>
      <c r="M510" s="18" t="n">
        <f aca="false">MIN(Desain_Kolam!$B$21,MAX(0,M509+F510-H510-G510))</f>
        <v>15148.38</v>
      </c>
      <c r="N510" s="6" t="n">
        <f aca="false">IF(M509+F510-H510&gt;=G510,1,0)</f>
        <v>1</v>
      </c>
      <c r="O510" s="18" t="n">
        <f aca="false">E510*Desain_Kolam!$B$24/1000</f>
        <v>609.18</v>
      </c>
      <c r="P510" s="18" t="n">
        <f aca="false">F510-G510-O510</f>
        <v>1379.3</v>
      </c>
      <c r="Q510" s="18" t="n">
        <f aca="false">Q509+P510</f>
        <v>-7412.33999999999</v>
      </c>
      <c r="R510" s="18" t="n">
        <f aca="false">MAX(R509,Q510)</f>
        <v>2129.14</v>
      </c>
      <c r="S510" s="18" t="n">
        <f aca="false">R510-Q510</f>
        <v>9541.47999999999</v>
      </c>
      <c r="T510" s="18" t="n">
        <f aca="false">E510*Desain_Kolam!$B$34/1000</f>
        <v>1406.16</v>
      </c>
      <c r="U510" s="18" t="n">
        <f aca="false">F510-G510-T510</f>
        <v>582.32</v>
      </c>
      <c r="V510" s="18" t="n">
        <f aca="false">V509+U510</f>
        <v>-130944.24</v>
      </c>
      <c r="W510" s="18" t="n">
        <f aca="false">MAX(W509,V510)</f>
        <v>0</v>
      </c>
      <c r="X510" s="18" t="n">
        <f aca="false">W510-V510</f>
        <v>130944.24</v>
      </c>
    </row>
    <row r="511" customFormat="false" ht="15" hidden="false" customHeight="false" outlineLevel="0" collapsed="false">
      <c r="A511" s="6" t="n">
        <v>2024</v>
      </c>
      <c r="B511" s="6" t="n">
        <v>12</v>
      </c>
      <c r="C511" s="4" t="n">
        <v>214</v>
      </c>
      <c r="D511" s="6" t="n">
        <v>31</v>
      </c>
      <c r="E511" s="4" t="n">
        <f aca="false">INDEX(Evaporasi!$B$3:$B$14,MATCH(B511,Evaporasi!$A$3:$A$14,0))</f>
        <v>120</v>
      </c>
      <c r="F511" s="18" t="n">
        <f aca="false">Kawasan!$B$11*Kawasan!$B$9*C511/1000</f>
        <v>1780.48</v>
      </c>
      <c r="G511" s="18" t="n">
        <f aca="false">Kawasan!$B$28*D511</f>
        <v>1547.52</v>
      </c>
      <c r="H511" s="18" t="n">
        <f aca="false">E511*Desain_Kolam!$B$16/1000</f>
        <v>128.7</v>
      </c>
      <c r="I511" s="18" t="n">
        <f aca="false">F511-G511-H511</f>
        <v>104.26</v>
      </c>
      <c r="J511" s="18" t="n">
        <f aca="false">J510+I511</f>
        <v>67166.32</v>
      </c>
      <c r="K511" s="18" t="n">
        <f aca="false">MAX(K510,J511)</f>
        <v>67166.32</v>
      </c>
      <c r="L511" s="18" t="n">
        <f aca="false">K511-J511</f>
        <v>0</v>
      </c>
      <c r="M511" s="18" t="n">
        <f aca="false">MIN(Desain_Kolam!$B$21,MAX(0,M510+F511-H511-G511))</f>
        <v>15148.38</v>
      </c>
      <c r="N511" s="6" t="n">
        <f aca="false">IF(M510+F511-H511&gt;=G511,1,0)</f>
        <v>1</v>
      </c>
      <c r="O511" s="18" t="n">
        <f aca="false">E511*Desain_Kolam!$B$24/1000</f>
        <v>609.18</v>
      </c>
      <c r="P511" s="18" t="n">
        <f aca="false">F511-G511-O511</f>
        <v>-376.22</v>
      </c>
      <c r="Q511" s="18" t="n">
        <f aca="false">Q510+P511</f>
        <v>-7788.55999999999</v>
      </c>
      <c r="R511" s="18" t="n">
        <f aca="false">MAX(R510,Q511)</f>
        <v>2129.14</v>
      </c>
      <c r="S511" s="18" t="n">
        <f aca="false">R511-Q511</f>
        <v>9917.69999999999</v>
      </c>
      <c r="T511" s="18" t="n">
        <f aca="false">E511*Desain_Kolam!$B$34/1000</f>
        <v>1406.16</v>
      </c>
      <c r="U511" s="18" t="n">
        <f aca="false">F511-G511-T511</f>
        <v>-1173.2</v>
      </c>
      <c r="V511" s="18" t="n">
        <f aca="false">V510+U511</f>
        <v>-132117.44</v>
      </c>
      <c r="W511" s="18" t="n">
        <f aca="false">MAX(W510,V511)</f>
        <v>0</v>
      </c>
      <c r="X511" s="18" t="n">
        <f aca="false">W511-V511</f>
        <v>132117.44</v>
      </c>
    </row>
    <row r="512" customFormat="false" ht="15" hidden="false" customHeight="false" outlineLevel="0" collapsed="false">
      <c r="A512" s="6" t="n">
        <v>2025</v>
      </c>
      <c r="B512" s="6" t="n">
        <v>1</v>
      </c>
      <c r="C512" s="4" t="n">
        <v>400</v>
      </c>
      <c r="D512" s="6" t="n">
        <v>31</v>
      </c>
      <c r="E512" s="4" t="n">
        <f aca="false">INDEX(Evaporasi!$B$3:$B$14,MATCH(B512,Evaporasi!$A$3:$A$14,0))</f>
        <v>120</v>
      </c>
      <c r="F512" s="18" t="n">
        <f aca="false">Kawasan!$B$11*Kawasan!$B$9*C512/1000</f>
        <v>3328</v>
      </c>
      <c r="G512" s="18" t="n">
        <f aca="false">Kawasan!$B$28*D512</f>
        <v>1547.52</v>
      </c>
      <c r="H512" s="18" t="n">
        <f aca="false">E512*Desain_Kolam!$B$16/1000</f>
        <v>128.7</v>
      </c>
      <c r="I512" s="18" t="n">
        <f aca="false">F512-G512-H512</f>
        <v>1651.78</v>
      </c>
      <c r="J512" s="18" t="n">
        <f aca="false">J511+I512</f>
        <v>68818.1</v>
      </c>
      <c r="K512" s="18" t="n">
        <f aca="false">MAX(K511,J512)</f>
        <v>68818.1</v>
      </c>
      <c r="L512" s="18" t="n">
        <f aca="false">K512-J512</f>
        <v>0</v>
      </c>
      <c r="M512" s="18" t="n">
        <f aca="false">MIN(Desain_Kolam!$B$21,MAX(0,M511+F512-H512-G512))</f>
        <v>15148.38</v>
      </c>
      <c r="N512" s="6" t="n">
        <f aca="false">IF(M511+F512-H512&gt;=G512,1,0)</f>
        <v>1</v>
      </c>
      <c r="O512" s="18" t="n">
        <f aca="false">E512*Desain_Kolam!$B$24/1000</f>
        <v>609.18</v>
      </c>
      <c r="P512" s="18" t="n">
        <f aca="false">F512-G512-O512</f>
        <v>1171.3</v>
      </c>
      <c r="Q512" s="18" t="n">
        <f aca="false">Q511+P512</f>
        <v>-6617.25999999999</v>
      </c>
      <c r="R512" s="18" t="n">
        <f aca="false">MAX(R511,Q512)</f>
        <v>2129.14</v>
      </c>
      <c r="S512" s="18" t="n">
        <f aca="false">R512-Q512</f>
        <v>8746.39999999999</v>
      </c>
      <c r="T512" s="18" t="n">
        <f aca="false">E512*Desain_Kolam!$B$34/1000</f>
        <v>1406.16</v>
      </c>
      <c r="U512" s="18" t="n">
        <f aca="false">F512-G512-T512</f>
        <v>374.32</v>
      </c>
      <c r="V512" s="18" t="n">
        <f aca="false">V511+U512</f>
        <v>-131743.12</v>
      </c>
      <c r="W512" s="18" t="n">
        <f aca="false">MAX(W511,V512)</f>
        <v>0</v>
      </c>
      <c r="X512" s="18" t="n">
        <f aca="false">W512-V512</f>
        <v>131743.12</v>
      </c>
    </row>
    <row r="513" customFormat="false" ht="15" hidden="false" customHeight="false" outlineLevel="0" collapsed="false">
      <c r="A513" s="6" t="n">
        <v>2025</v>
      </c>
      <c r="B513" s="6" t="n">
        <v>2</v>
      </c>
      <c r="C513" s="4" t="n">
        <v>210</v>
      </c>
      <c r="D513" s="6" t="n">
        <v>28</v>
      </c>
      <c r="E513" s="4" t="n">
        <f aca="false">INDEX(Evaporasi!$B$3:$B$14,MATCH(B513,Evaporasi!$A$3:$A$14,0))</f>
        <v>120</v>
      </c>
      <c r="F513" s="18" t="n">
        <f aca="false">Kawasan!$B$11*Kawasan!$B$9*C513/1000</f>
        <v>1747.2</v>
      </c>
      <c r="G513" s="18" t="n">
        <f aca="false">Kawasan!$B$28*D513</f>
        <v>1397.76</v>
      </c>
      <c r="H513" s="18" t="n">
        <f aca="false">E513*Desain_Kolam!$B$16/1000</f>
        <v>128.7</v>
      </c>
      <c r="I513" s="18" t="n">
        <f aca="false">F513-G513-H513</f>
        <v>220.74</v>
      </c>
      <c r="J513" s="18" t="n">
        <f aca="false">J512+I513</f>
        <v>69038.84</v>
      </c>
      <c r="K513" s="18" t="n">
        <f aca="false">MAX(K512,J513)</f>
        <v>69038.84</v>
      </c>
      <c r="L513" s="18" t="n">
        <f aca="false">K513-J513</f>
        <v>0</v>
      </c>
      <c r="M513" s="18" t="n">
        <f aca="false">MIN(Desain_Kolam!$B$21,MAX(0,M512+F513-H513-G513))</f>
        <v>15148.38</v>
      </c>
      <c r="N513" s="6" t="n">
        <f aca="false">IF(M512+F513-H513&gt;=G513,1,0)</f>
        <v>1</v>
      </c>
      <c r="O513" s="18" t="n">
        <f aca="false">E513*Desain_Kolam!$B$24/1000</f>
        <v>609.18</v>
      </c>
      <c r="P513" s="18" t="n">
        <f aca="false">F513-G513-O513</f>
        <v>-259.74</v>
      </c>
      <c r="Q513" s="18" t="n">
        <f aca="false">Q512+P513</f>
        <v>-6876.99999999999</v>
      </c>
      <c r="R513" s="18" t="n">
        <f aca="false">MAX(R512,Q513)</f>
        <v>2129.14</v>
      </c>
      <c r="S513" s="18" t="n">
        <f aca="false">R513-Q513</f>
        <v>9006.13999999999</v>
      </c>
      <c r="T513" s="18" t="n">
        <f aca="false">E513*Desain_Kolam!$B$34/1000</f>
        <v>1406.16</v>
      </c>
      <c r="U513" s="18" t="n">
        <f aca="false">F513-G513-T513</f>
        <v>-1056.72</v>
      </c>
      <c r="V513" s="18" t="n">
        <f aca="false">V512+U513</f>
        <v>-132799.84</v>
      </c>
      <c r="W513" s="18" t="n">
        <f aca="false">MAX(W512,V513)</f>
        <v>0</v>
      </c>
      <c r="X513" s="18" t="n">
        <f aca="false">W513-V513</f>
        <v>132799.84</v>
      </c>
    </row>
    <row r="514" customFormat="false" ht="15" hidden="false" customHeight="false" outlineLevel="0" collapsed="false">
      <c r="A514" s="6" t="n">
        <v>2025</v>
      </c>
      <c r="B514" s="6" t="n">
        <v>3</v>
      </c>
      <c r="C514" s="4" t="n">
        <v>302</v>
      </c>
      <c r="D514" s="6" t="n">
        <v>31</v>
      </c>
      <c r="E514" s="4" t="n">
        <f aca="false">INDEX(Evaporasi!$B$3:$B$14,MATCH(B514,Evaporasi!$A$3:$A$14,0))</f>
        <v>120</v>
      </c>
      <c r="F514" s="18" t="n">
        <f aca="false">Kawasan!$B$11*Kawasan!$B$9*C514/1000</f>
        <v>2512.64</v>
      </c>
      <c r="G514" s="18" t="n">
        <f aca="false">Kawasan!$B$28*D514</f>
        <v>1547.52</v>
      </c>
      <c r="H514" s="18" t="n">
        <f aca="false">E514*Desain_Kolam!$B$16/1000</f>
        <v>128.7</v>
      </c>
      <c r="I514" s="18" t="n">
        <f aca="false">F514-G514-H514</f>
        <v>836.42</v>
      </c>
      <c r="J514" s="18" t="n">
        <f aca="false">J513+I514</f>
        <v>69875.26</v>
      </c>
      <c r="K514" s="18" t="n">
        <f aca="false">MAX(K513,J514)</f>
        <v>69875.26</v>
      </c>
      <c r="L514" s="18" t="n">
        <f aca="false">K514-J514</f>
        <v>0</v>
      </c>
      <c r="M514" s="18" t="n">
        <f aca="false">MIN(Desain_Kolam!$B$21,MAX(0,M513+F514-H514-G514))</f>
        <v>15148.38</v>
      </c>
      <c r="N514" s="6" t="n">
        <f aca="false">IF(M513+F514-H514&gt;=G514,1,0)</f>
        <v>1</v>
      </c>
      <c r="O514" s="18" t="n">
        <f aca="false">E514*Desain_Kolam!$B$24/1000</f>
        <v>609.18</v>
      </c>
      <c r="P514" s="18" t="n">
        <f aca="false">F514-G514-O514</f>
        <v>355.94</v>
      </c>
      <c r="Q514" s="18" t="n">
        <f aca="false">Q513+P514</f>
        <v>-6521.05999999999</v>
      </c>
      <c r="R514" s="18" t="n">
        <f aca="false">MAX(R513,Q514)</f>
        <v>2129.14</v>
      </c>
      <c r="S514" s="18" t="n">
        <f aca="false">R514-Q514</f>
        <v>8650.19999999999</v>
      </c>
      <c r="T514" s="18" t="n">
        <f aca="false">E514*Desain_Kolam!$B$34/1000</f>
        <v>1406.16</v>
      </c>
      <c r="U514" s="18" t="n">
        <f aca="false">F514-G514-T514</f>
        <v>-441.04</v>
      </c>
      <c r="V514" s="18" t="n">
        <f aca="false">V513+U514</f>
        <v>-133240.88</v>
      </c>
      <c r="W514" s="18" t="n">
        <f aca="false">MAX(W513,V514)</f>
        <v>0</v>
      </c>
      <c r="X514" s="18" t="n">
        <f aca="false">W514-V514</f>
        <v>133240.88</v>
      </c>
    </row>
    <row r="515" customFormat="false" ht="15" hidden="false" customHeight="false" outlineLevel="0" collapsed="false">
      <c r="A515" s="6" t="n">
        <v>2025</v>
      </c>
      <c r="B515" s="6" t="n">
        <v>4</v>
      </c>
      <c r="C515" s="4" t="n">
        <v>231</v>
      </c>
      <c r="D515" s="6" t="n">
        <v>30</v>
      </c>
      <c r="E515" s="4" t="n">
        <f aca="false">INDEX(Evaporasi!$B$3:$B$14,MATCH(B515,Evaporasi!$A$3:$A$14,0))</f>
        <v>120</v>
      </c>
      <c r="F515" s="18" t="n">
        <f aca="false">Kawasan!$B$11*Kawasan!$B$9*C515/1000</f>
        <v>1921.92</v>
      </c>
      <c r="G515" s="18" t="n">
        <f aca="false">Kawasan!$B$28*D515</f>
        <v>1497.6</v>
      </c>
      <c r="H515" s="18" t="n">
        <f aca="false">E515*Desain_Kolam!$B$16/1000</f>
        <v>128.7</v>
      </c>
      <c r="I515" s="18" t="n">
        <f aca="false">F515-G515-H515</f>
        <v>295.62</v>
      </c>
      <c r="J515" s="18" t="n">
        <f aca="false">J514+I515</f>
        <v>70170.88</v>
      </c>
      <c r="K515" s="18" t="n">
        <f aca="false">MAX(K514,J515)</f>
        <v>70170.88</v>
      </c>
      <c r="L515" s="18" t="n">
        <f aca="false">K515-J515</f>
        <v>0</v>
      </c>
      <c r="M515" s="18" t="n">
        <f aca="false">MIN(Desain_Kolam!$B$21,MAX(0,M514+F515-H515-G515))</f>
        <v>15148.38</v>
      </c>
      <c r="N515" s="6" t="n">
        <f aca="false">IF(M514+F515-H515&gt;=G515,1,0)</f>
        <v>1</v>
      </c>
      <c r="O515" s="18" t="n">
        <f aca="false">E515*Desain_Kolam!$B$24/1000</f>
        <v>609.18</v>
      </c>
      <c r="P515" s="18" t="n">
        <f aca="false">F515-G515-O515</f>
        <v>-184.86</v>
      </c>
      <c r="Q515" s="18" t="n">
        <f aca="false">Q514+P515</f>
        <v>-6705.91999999999</v>
      </c>
      <c r="R515" s="18" t="n">
        <f aca="false">MAX(R514,Q515)</f>
        <v>2129.14</v>
      </c>
      <c r="S515" s="18" t="n">
        <f aca="false">R515-Q515</f>
        <v>8835.05999999999</v>
      </c>
      <c r="T515" s="18" t="n">
        <f aca="false">E515*Desain_Kolam!$B$34/1000</f>
        <v>1406.16</v>
      </c>
      <c r="U515" s="18" t="n">
        <f aca="false">F515-G515-T515</f>
        <v>-981.84</v>
      </c>
      <c r="V515" s="18" t="n">
        <f aca="false">V514+U515</f>
        <v>-134222.72</v>
      </c>
      <c r="W515" s="18" t="n">
        <f aca="false">MAX(W514,V515)</f>
        <v>0</v>
      </c>
      <c r="X515" s="18" t="n">
        <f aca="false">W515-V515</f>
        <v>134222.72</v>
      </c>
    </row>
    <row r="516" customFormat="false" ht="15" hidden="false" customHeight="false" outlineLevel="0" collapsed="false">
      <c r="A516" s="6" t="n">
        <v>2025</v>
      </c>
      <c r="B516" s="6" t="n">
        <v>5</v>
      </c>
      <c r="C516" s="4" t="n">
        <v>231</v>
      </c>
      <c r="D516" s="6" t="n">
        <v>31</v>
      </c>
      <c r="E516" s="4" t="n">
        <f aca="false">INDEX(Evaporasi!$B$3:$B$14,MATCH(B516,Evaporasi!$A$3:$A$14,0))</f>
        <v>120</v>
      </c>
      <c r="F516" s="18" t="n">
        <f aca="false">Kawasan!$B$11*Kawasan!$B$9*C516/1000</f>
        <v>1921.92</v>
      </c>
      <c r="G516" s="18" t="n">
        <f aca="false">Kawasan!$B$28*D516</f>
        <v>1547.52</v>
      </c>
      <c r="H516" s="18" t="n">
        <f aca="false">E516*Desain_Kolam!$B$16/1000</f>
        <v>128.7</v>
      </c>
      <c r="I516" s="18" t="n">
        <f aca="false">F516-G516-H516</f>
        <v>245.7</v>
      </c>
      <c r="J516" s="18" t="n">
        <f aca="false">J515+I516</f>
        <v>70416.58</v>
      </c>
      <c r="K516" s="18" t="n">
        <f aca="false">MAX(K515,J516)</f>
        <v>70416.58</v>
      </c>
      <c r="L516" s="18" t="n">
        <f aca="false">K516-J516</f>
        <v>0</v>
      </c>
      <c r="M516" s="18" t="n">
        <f aca="false">MIN(Desain_Kolam!$B$21,MAX(0,M515+F516-H516-G516))</f>
        <v>15148.38</v>
      </c>
      <c r="N516" s="6" t="n">
        <f aca="false">IF(M515+F516-H516&gt;=G516,1,0)</f>
        <v>1</v>
      </c>
      <c r="O516" s="18" t="n">
        <f aca="false">E516*Desain_Kolam!$B$24/1000</f>
        <v>609.18</v>
      </c>
      <c r="P516" s="18" t="n">
        <f aca="false">F516-G516-O516</f>
        <v>-234.78</v>
      </c>
      <c r="Q516" s="18" t="n">
        <f aca="false">Q515+P516</f>
        <v>-6940.69999999999</v>
      </c>
      <c r="R516" s="18" t="n">
        <f aca="false">MAX(R515,Q516)</f>
        <v>2129.14</v>
      </c>
      <c r="S516" s="18" t="n">
        <f aca="false">R516-Q516</f>
        <v>9069.83999999999</v>
      </c>
      <c r="T516" s="18" t="n">
        <f aca="false">E516*Desain_Kolam!$B$34/1000</f>
        <v>1406.16</v>
      </c>
      <c r="U516" s="18" t="n">
        <f aca="false">F516-G516-T516</f>
        <v>-1031.76</v>
      </c>
      <c r="V516" s="18" t="n">
        <f aca="false">V515+U516</f>
        <v>-135254.48</v>
      </c>
      <c r="W516" s="18" t="n">
        <f aca="false">MAX(W515,V516)</f>
        <v>0</v>
      </c>
      <c r="X516" s="18" t="n">
        <f aca="false">W516-V516</f>
        <v>135254.48</v>
      </c>
    </row>
    <row r="517" customFormat="false" ht="15" hidden="false" customHeight="false" outlineLevel="0" collapsed="false">
      <c r="A517" s="6" t="n">
        <v>2025</v>
      </c>
      <c r="B517" s="6" t="n">
        <v>6</v>
      </c>
      <c r="C517" s="4" t="n">
        <v>167</v>
      </c>
      <c r="D517" s="6" t="n">
        <v>30</v>
      </c>
      <c r="E517" s="4" t="n">
        <f aca="false">INDEX(Evaporasi!$B$3:$B$14,MATCH(B517,Evaporasi!$A$3:$A$14,0))</f>
        <v>120</v>
      </c>
      <c r="F517" s="18" t="n">
        <f aca="false">Kawasan!$B$11*Kawasan!$B$9*C517/1000</f>
        <v>1389.44</v>
      </c>
      <c r="G517" s="18" t="n">
        <f aca="false">Kawasan!$B$28*D517</f>
        <v>1497.6</v>
      </c>
      <c r="H517" s="18" t="n">
        <f aca="false">E517*Desain_Kolam!$B$16/1000</f>
        <v>128.7</v>
      </c>
      <c r="I517" s="18" t="n">
        <f aca="false">F517-G517-H517</f>
        <v>-236.86</v>
      </c>
      <c r="J517" s="18" t="n">
        <f aca="false">J516+I517</f>
        <v>70179.72</v>
      </c>
      <c r="K517" s="18" t="n">
        <f aca="false">MAX(K516,J517)</f>
        <v>70416.58</v>
      </c>
      <c r="L517" s="18" t="n">
        <f aca="false">K517-J517</f>
        <v>236.860000000001</v>
      </c>
      <c r="M517" s="18" t="n">
        <f aca="false">MIN(Desain_Kolam!$B$21,MAX(0,M516+F517-H517-G517))</f>
        <v>14911.52</v>
      </c>
      <c r="N517" s="6" t="n">
        <f aca="false">IF(M516+F517-H517&gt;=G517,1,0)</f>
        <v>1</v>
      </c>
      <c r="O517" s="18" t="n">
        <f aca="false">E517*Desain_Kolam!$B$24/1000</f>
        <v>609.18</v>
      </c>
      <c r="P517" s="18" t="n">
        <f aca="false">F517-G517-O517</f>
        <v>-717.34</v>
      </c>
      <c r="Q517" s="18" t="n">
        <f aca="false">Q516+P517</f>
        <v>-7658.03999999999</v>
      </c>
      <c r="R517" s="18" t="n">
        <f aca="false">MAX(R516,Q517)</f>
        <v>2129.14</v>
      </c>
      <c r="S517" s="18" t="n">
        <f aca="false">R517-Q517</f>
        <v>9787.17999999999</v>
      </c>
      <c r="T517" s="18" t="n">
        <f aca="false">E517*Desain_Kolam!$B$34/1000</f>
        <v>1406.16</v>
      </c>
      <c r="U517" s="18" t="n">
        <f aca="false">F517-G517-T517</f>
        <v>-1514.32</v>
      </c>
      <c r="V517" s="18" t="n">
        <f aca="false">V516+U517</f>
        <v>-136768.8</v>
      </c>
      <c r="W517" s="18" t="n">
        <f aca="false">MAX(W516,V517)</f>
        <v>0</v>
      </c>
      <c r="X517" s="18" t="n">
        <f aca="false">W517-V517</f>
        <v>136768.8</v>
      </c>
    </row>
    <row r="518" customFormat="false" ht="15" hidden="false" customHeight="false" outlineLevel="0" collapsed="false">
      <c r="A518" s="6" t="n">
        <v>2025</v>
      </c>
      <c r="B518" s="6" t="n">
        <v>7</v>
      </c>
      <c r="C518" s="4" t="n">
        <v>159</v>
      </c>
      <c r="D518" s="6" t="n">
        <v>31</v>
      </c>
      <c r="E518" s="4" t="n">
        <f aca="false">INDEX(Evaporasi!$B$3:$B$14,MATCH(B518,Evaporasi!$A$3:$A$14,0))</f>
        <v>120</v>
      </c>
      <c r="F518" s="18" t="n">
        <f aca="false">Kawasan!$B$11*Kawasan!$B$9*C518/1000</f>
        <v>1322.88</v>
      </c>
      <c r="G518" s="18" t="n">
        <f aca="false">Kawasan!$B$28*D518</f>
        <v>1547.52</v>
      </c>
      <c r="H518" s="18" t="n">
        <f aca="false">E518*Desain_Kolam!$B$16/1000</f>
        <v>128.7</v>
      </c>
      <c r="I518" s="18" t="n">
        <f aca="false">F518-G518-H518</f>
        <v>-353.34</v>
      </c>
      <c r="J518" s="18" t="n">
        <f aca="false">J517+I518</f>
        <v>69826.38</v>
      </c>
      <c r="K518" s="18" t="n">
        <f aca="false">MAX(K517,J518)</f>
        <v>70416.58</v>
      </c>
      <c r="L518" s="18" t="n">
        <f aca="false">K518-J518</f>
        <v>590.199999999997</v>
      </c>
      <c r="M518" s="18" t="n">
        <f aca="false">MIN(Desain_Kolam!$B$21,MAX(0,M517+F518-H518-G518))</f>
        <v>14558.18</v>
      </c>
      <c r="N518" s="6" t="n">
        <f aca="false">IF(M517+F518-H518&gt;=G518,1,0)</f>
        <v>1</v>
      </c>
      <c r="O518" s="18" t="n">
        <f aca="false">E518*Desain_Kolam!$B$24/1000</f>
        <v>609.18</v>
      </c>
      <c r="P518" s="18" t="n">
        <f aca="false">F518-G518-O518</f>
        <v>-833.82</v>
      </c>
      <c r="Q518" s="18" t="n">
        <f aca="false">Q517+P518</f>
        <v>-8491.85999999999</v>
      </c>
      <c r="R518" s="18" t="n">
        <f aca="false">MAX(R517,Q518)</f>
        <v>2129.14</v>
      </c>
      <c r="S518" s="18" t="n">
        <f aca="false">R518-Q518</f>
        <v>10621</v>
      </c>
      <c r="T518" s="18" t="n">
        <f aca="false">E518*Desain_Kolam!$B$34/1000</f>
        <v>1406.16</v>
      </c>
      <c r="U518" s="18" t="n">
        <f aca="false">F518-G518-T518</f>
        <v>-1630.8</v>
      </c>
      <c r="V518" s="18" t="n">
        <f aca="false">V517+U518</f>
        <v>-138399.6</v>
      </c>
      <c r="W518" s="18" t="n">
        <f aca="false">MAX(W517,V518)</f>
        <v>0</v>
      </c>
      <c r="X518" s="18" t="n">
        <f aca="false">W518-V518</f>
        <v>138399.6</v>
      </c>
    </row>
    <row r="519" customFormat="false" ht="15" hidden="false" customHeight="false" outlineLevel="0" collapsed="false">
      <c r="A519" s="6" t="n">
        <v>2025</v>
      </c>
      <c r="B519" s="6" t="n">
        <v>8</v>
      </c>
      <c r="C519" s="4" t="n">
        <v>392</v>
      </c>
      <c r="D519" s="6" t="n">
        <v>31</v>
      </c>
      <c r="E519" s="4" t="n">
        <f aca="false">INDEX(Evaporasi!$B$3:$B$14,MATCH(B519,Evaporasi!$A$3:$A$14,0))</f>
        <v>120</v>
      </c>
      <c r="F519" s="18" t="n">
        <f aca="false">Kawasan!$B$11*Kawasan!$B$9*C519/1000</f>
        <v>3261.44</v>
      </c>
      <c r="G519" s="18" t="n">
        <f aca="false">Kawasan!$B$28*D519</f>
        <v>1547.52</v>
      </c>
      <c r="H519" s="18" t="n">
        <f aca="false">E519*Desain_Kolam!$B$16/1000</f>
        <v>128.7</v>
      </c>
      <c r="I519" s="18" t="n">
        <f aca="false">F519-G519-H519</f>
        <v>1585.22</v>
      </c>
      <c r="J519" s="18" t="n">
        <f aca="false">J518+I519</f>
        <v>71411.6</v>
      </c>
      <c r="K519" s="18" t="n">
        <f aca="false">MAX(K518,J519)</f>
        <v>71411.6</v>
      </c>
      <c r="L519" s="18" t="n">
        <f aca="false">K519-J519</f>
        <v>0</v>
      </c>
      <c r="M519" s="18" t="n">
        <f aca="false">MIN(Desain_Kolam!$B$21,MAX(0,M518+F519-H519-G519))</f>
        <v>15148.38</v>
      </c>
      <c r="N519" s="6" t="n">
        <f aca="false">IF(M518+F519-H519&gt;=G519,1,0)</f>
        <v>1</v>
      </c>
      <c r="O519" s="18" t="n">
        <f aca="false">E519*Desain_Kolam!$B$24/1000</f>
        <v>609.18</v>
      </c>
      <c r="P519" s="18" t="n">
        <f aca="false">F519-G519-O519</f>
        <v>1104.74</v>
      </c>
      <c r="Q519" s="18" t="n">
        <f aca="false">Q518+P519</f>
        <v>-7387.11999999999</v>
      </c>
      <c r="R519" s="18" t="n">
        <f aca="false">MAX(R518,Q519)</f>
        <v>2129.14</v>
      </c>
      <c r="S519" s="18" t="n">
        <f aca="false">R519-Q519</f>
        <v>9516.25999999999</v>
      </c>
      <c r="T519" s="18" t="n">
        <f aca="false">E519*Desain_Kolam!$B$34/1000</f>
        <v>1406.16</v>
      </c>
      <c r="U519" s="18" t="n">
        <f aca="false">F519-G519-T519</f>
        <v>307.76</v>
      </c>
      <c r="V519" s="18" t="n">
        <f aca="false">V518+U519</f>
        <v>-138091.84</v>
      </c>
      <c r="W519" s="18" t="n">
        <f aca="false">MAX(W518,V519)</f>
        <v>0</v>
      </c>
      <c r="X519" s="18" t="n">
        <f aca="false">W519-V519</f>
        <v>138091.84</v>
      </c>
    </row>
    <row r="520" customFormat="false" ht="15" hidden="false" customHeight="false" outlineLevel="0" collapsed="false">
      <c r="A520" s="6" t="n">
        <v>2025</v>
      </c>
      <c r="B520" s="6" t="n">
        <v>9</v>
      </c>
      <c r="C520" s="4" t="n">
        <v>360</v>
      </c>
      <c r="D520" s="6" t="n">
        <v>30</v>
      </c>
      <c r="E520" s="4" t="n">
        <f aca="false">INDEX(Evaporasi!$B$3:$B$14,MATCH(B520,Evaporasi!$A$3:$A$14,0))</f>
        <v>120</v>
      </c>
      <c r="F520" s="18" t="n">
        <f aca="false">Kawasan!$B$11*Kawasan!$B$9*C520/1000</f>
        <v>2995.2</v>
      </c>
      <c r="G520" s="18" t="n">
        <f aca="false">Kawasan!$B$28*D520</f>
        <v>1497.6</v>
      </c>
      <c r="H520" s="18" t="n">
        <f aca="false">E520*Desain_Kolam!$B$16/1000</f>
        <v>128.7</v>
      </c>
      <c r="I520" s="18" t="n">
        <f aca="false">F520-G520-H520</f>
        <v>1368.9</v>
      </c>
      <c r="J520" s="18" t="n">
        <f aca="false">J519+I520</f>
        <v>72780.5</v>
      </c>
      <c r="K520" s="18" t="n">
        <f aca="false">MAX(K519,J520)</f>
        <v>72780.5</v>
      </c>
      <c r="L520" s="18" t="n">
        <f aca="false">K520-J520</f>
        <v>0</v>
      </c>
      <c r="M520" s="18" t="n">
        <f aca="false">MIN(Desain_Kolam!$B$21,MAX(0,M519+F520-H520-G520))</f>
        <v>15148.38</v>
      </c>
      <c r="N520" s="6" t="n">
        <f aca="false">IF(M519+F520-H520&gt;=G520,1,0)</f>
        <v>1</v>
      </c>
      <c r="O520" s="18" t="n">
        <f aca="false">E520*Desain_Kolam!$B$24/1000</f>
        <v>609.18</v>
      </c>
      <c r="P520" s="18" t="n">
        <f aca="false">F520-G520-O520</f>
        <v>888.42</v>
      </c>
      <c r="Q520" s="18" t="n">
        <f aca="false">Q519+P520</f>
        <v>-6498.69999999999</v>
      </c>
      <c r="R520" s="18" t="n">
        <f aca="false">MAX(R519,Q520)</f>
        <v>2129.14</v>
      </c>
      <c r="S520" s="18" t="n">
        <f aca="false">R520-Q520</f>
        <v>8627.83999999999</v>
      </c>
      <c r="T520" s="18" t="n">
        <f aca="false">E520*Desain_Kolam!$B$34/1000</f>
        <v>1406.16</v>
      </c>
      <c r="U520" s="18" t="n">
        <f aca="false">F520-G520-T520</f>
        <v>91.4399999999996</v>
      </c>
      <c r="V520" s="18" t="n">
        <f aca="false">V519+U520</f>
        <v>-138000.4</v>
      </c>
      <c r="W520" s="18" t="n">
        <f aca="false">MAX(W519,V520)</f>
        <v>0</v>
      </c>
      <c r="X520" s="18" t="n">
        <f aca="false">W520-V520</f>
        <v>138000.4</v>
      </c>
    </row>
    <row r="521" customFormat="false" ht="15" hidden="false" customHeight="false" outlineLevel="0" collapsed="false">
      <c r="A521" s="6" t="n">
        <v>2025</v>
      </c>
      <c r="B521" s="6" t="n">
        <v>10</v>
      </c>
      <c r="C521" s="4" t="n">
        <v>391</v>
      </c>
      <c r="D521" s="6" t="n">
        <v>31</v>
      </c>
      <c r="E521" s="4" t="n">
        <f aca="false">INDEX(Evaporasi!$B$3:$B$14,MATCH(B521,Evaporasi!$A$3:$A$14,0))</f>
        <v>120</v>
      </c>
      <c r="F521" s="18" t="n">
        <f aca="false">Kawasan!$B$11*Kawasan!$B$9*C521/1000</f>
        <v>3253.12</v>
      </c>
      <c r="G521" s="18" t="n">
        <f aca="false">Kawasan!$B$28*D521</f>
        <v>1547.52</v>
      </c>
      <c r="H521" s="18" t="n">
        <f aca="false">E521*Desain_Kolam!$B$16/1000</f>
        <v>128.7</v>
      </c>
      <c r="I521" s="18" t="n">
        <f aca="false">F521-G521-H521</f>
        <v>1576.9</v>
      </c>
      <c r="J521" s="18" t="n">
        <f aca="false">J520+I521</f>
        <v>74357.4</v>
      </c>
      <c r="K521" s="18" t="n">
        <f aca="false">MAX(K520,J521)</f>
        <v>74357.4</v>
      </c>
      <c r="L521" s="18" t="n">
        <f aca="false">K521-J521</f>
        <v>0</v>
      </c>
      <c r="M521" s="18" t="n">
        <f aca="false">MIN(Desain_Kolam!$B$21,MAX(0,M520+F521-H521-G521))</f>
        <v>15148.38</v>
      </c>
      <c r="N521" s="6" t="n">
        <f aca="false">IF(M520+F521-H521&gt;=G521,1,0)</f>
        <v>1</v>
      </c>
      <c r="O521" s="18" t="n">
        <f aca="false">E521*Desain_Kolam!$B$24/1000</f>
        <v>609.18</v>
      </c>
      <c r="P521" s="18" t="n">
        <f aca="false">F521-G521-O521</f>
        <v>1096.42</v>
      </c>
      <c r="Q521" s="18" t="n">
        <f aca="false">Q520+P521</f>
        <v>-5402.27999999999</v>
      </c>
      <c r="R521" s="18" t="n">
        <f aca="false">MAX(R520,Q521)</f>
        <v>2129.14</v>
      </c>
      <c r="S521" s="18" t="n">
        <f aca="false">R521-Q521</f>
        <v>7531.41999999999</v>
      </c>
      <c r="T521" s="18" t="n">
        <f aca="false">E521*Desain_Kolam!$B$34/1000</f>
        <v>1406.16</v>
      </c>
      <c r="U521" s="18" t="n">
        <f aca="false">F521-G521-T521</f>
        <v>299.44</v>
      </c>
      <c r="V521" s="18" t="n">
        <f aca="false">V520+U521</f>
        <v>-137700.96</v>
      </c>
      <c r="W521" s="18" t="n">
        <f aca="false">MAX(W520,V521)</f>
        <v>0</v>
      </c>
      <c r="X521" s="18" t="n">
        <f aca="false">W521-V521</f>
        <v>137700.96</v>
      </c>
    </row>
    <row r="522" customFormat="false" ht="15" hidden="false" customHeight="false" outlineLevel="0" collapsed="false">
      <c r="A522" s="6" t="n">
        <v>2025</v>
      </c>
      <c r="B522" s="6" t="n">
        <v>11</v>
      </c>
      <c r="C522" s="4" t="n">
        <v>327</v>
      </c>
      <c r="D522" s="6" t="n">
        <v>30</v>
      </c>
      <c r="E522" s="4" t="n">
        <f aca="false">INDEX(Evaporasi!$B$3:$B$14,MATCH(B522,Evaporasi!$A$3:$A$14,0))</f>
        <v>120</v>
      </c>
      <c r="F522" s="18" t="n">
        <f aca="false">Kawasan!$B$11*Kawasan!$B$9*C522/1000</f>
        <v>2720.64</v>
      </c>
      <c r="G522" s="18" t="n">
        <f aca="false">Kawasan!$B$28*D522</f>
        <v>1497.6</v>
      </c>
      <c r="H522" s="18" t="n">
        <f aca="false">E522*Desain_Kolam!$B$16/1000</f>
        <v>128.7</v>
      </c>
      <c r="I522" s="18" t="n">
        <f aca="false">F522-G522-H522</f>
        <v>1094.34</v>
      </c>
      <c r="J522" s="18" t="n">
        <f aca="false">J521+I522</f>
        <v>75451.74</v>
      </c>
      <c r="K522" s="18" t="n">
        <f aca="false">MAX(K521,J522)</f>
        <v>75451.74</v>
      </c>
      <c r="L522" s="18" t="n">
        <f aca="false">K522-J522</f>
        <v>0</v>
      </c>
      <c r="M522" s="18" t="n">
        <f aca="false">MIN(Desain_Kolam!$B$21,MAX(0,M521+F522-H522-G522))</f>
        <v>15148.38</v>
      </c>
      <c r="N522" s="6" t="n">
        <f aca="false">IF(M521+F522-H522&gt;=G522,1,0)</f>
        <v>1</v>
      </c>
      <c r="O522" s="18" t="n">
        <f aca="false">E522*Desain_Kolam!$B$24/1000</f>
        <v>609.18</v>
      </c>
      <c r="P522" s="18" t="n">
        <f aca="false">F522-G522-O522</f>
        <v>613.86</v>
      </c>
      <c r="Q522" s="18" t="n">
        <f aca="false">Q521+P522</f>
        <v>-4788.41999999999</v>
      </c>
      <c r="R522" s="18" t="n">
        <f aca="false">MAX(R521,Q522)</f>
        <v>2129.14</v>
      </c>
      <c r="S522" s="18" t="n">
        <f aca="false">R522-Q522</f>
        <v>6917.55999999999</v>
      </c>
      <c r="T522" s="18" t="n">
        <f aca="false">E522*Desain_Kolam!$B$34/1000</f>
        <v>1406.16</v>
      </c>
      <c r="U522" s="18" t="n">
        <f aca="false">F522-G522-T522</f>
        <v>-183.12</v>
      </c>
      <c r="V522" s="18" t="n">
        <f aca="false">V521+U522</f>
        <v>-137884.08</v>
      </c>
      <c r="W522" s="18" t="n">
        <f aca="false">MAX(W521,V522)</f>
        <v>0</v>
      </c>
      <c r="X522" s="18" t="n">
        <f aca="false">W522-V522</f>
        <v>137884.08</v>
      </c>
    </row>
    <row r="523" customFormat="false" ht="15" hidden="false" customHeight="false" outlineLevel="0" collapsed="false">
      <c r="A523" s="6" t="n">
        <v>2025</v>
      </c>
      <c r="B523" s="6" t="n">
        <v>12</v>
      </c>
      <c r="C523" s="4" t="n">
        <v>140</v>
      </c>
      <c r="D523" s="6" t="n">
        <v>31</v>
      </c>
      <c r="E523" s="4" t="n">
        <f aca="false">INDEX(Evaporasi!$B$3:$B$14,MATCH(B523,Evaporasi!$A$3:$A$14,0))</f>
        <v>120</v>
      </c>
      <c r="F523" s="18" t="n">
        <f aca="false">Kawasan!$B$11*Kawasan!$B$9*C523/1000</f>
        <v>1164.8</v>
      </c>
      <c r="G523" s="18" t="n">
        <f aca="false">Kawasan!$B$28*D523</f>
        <v>1547.52</v>
      </c>
      <c r="H523" s="18" t="n">
        <f aca="false">E523*Desain_Kolam!$B$16/1000</f>
        <v>128.7</v>
      </c>
      <c r="I523" s="18" t="n">
        <f aca="false">F523-G523-H523</f>
        <v>-511.42</v>
      </c>
      <c r="J523" s="18" t="n">
        <f aca="false">J522+I523</f>
        <v>74940.32</v>
      </c>
      <c r="K523" s="18" t="n">
        <f aca="false">MAX(K522,J523)</f>
        <v>75451.74</v>
      </c>
      <c r="L523" s="18" t="n">
        <f aca="false">K523-J523</f>
        <v>511.419999999998</v>
      </c>
      <c r="M523" s="18" t="n">
        <f aca="false">MIN(Desain_Kolam!$B$21,MAX(0,M522+F523-H523-G523))</f>
        <v>14636.96</v>
      </c>
      <c r="N523" s="6" t="n">
        <f aca="false">IF(M522+F523-H523&gt;=G523,1,0)</f>
        <v>1</v>
      </c>
      <c r="O523" s="18" t="n">
        <f aca="false">E523*Desain_Kolam!$B$24/1000</f>
        <v>609.18</v>
      </c>
      <c r="P523" s="18" t="n">
        <f aca="false">F523-G523-O523</f>
        <v>-991.9</v>
      </c>
      <c r="Q523" s="18" t="n">
        <f aca="false">Q522+P523</f>
        <v>-5780.31999999999</v>
      </c>
      <c r="R523" s="18" t="n">
        <f aca="false">MAX(R522,Q523)</f>
        <v>2129.14</v>
      </c>
      <c r="S523" s="18" t="n">
        <f aca="false">R523-Q523</f>
        <v>7909.45999999999</v>
      </c>
      <c r="T523" s="18" t="n">
        <f aca="false">E523*Desain_Kolam!$B$34/1000</f>
        <v>1406.16</v>
      </c>
      <c r="U523" s="18" t="n">
        <f aca="false">F523-G523-T523</f>
        <v>-1788.88</v>
      </c>
      <c r="V523" s="18" t="n">
        <f aca="false">V522+U523</f>
        <v>-139672.96</v>
      </c>
      <c r="W523" s="18" t="n">
        <f aca="false">MAX(W522,V523)</f>
        <v>0</v>
      </c>
      <c r="X523" s="18" t="n">
        <f aca="false">W523-V523</f>
        <v>139672.96</v>
      </c>
    </row>
    <row r="524" customFormat="false" ht="15" hidden="false" customHeight="false" outlineLevel="0" collapsed="false">
      <c r="A524" s="27" t="s">
        <v>5448</v>
      </c>
      <c r="B524" s="27"/>
      <c r="C524" s="27"/>
      <c r="D524" s="27"/>
      <c r="E524" s="28" t="n">
        <f aca="false">MAX(L356:L523)</f>
        <v>15148.38</v>
      </c>
    </row>
    <row r="525" customFormat="false" ht="15" hidden="false" customHeight="false" outlineLevel="0" collapsed="false">
      <c r="A525" s="27" t="s">
        <v>5432</v>
      </c>
      <c r="B525" s="27"/>
      <c r="C525" s="27"/>
      <c r="D525" s="27"/>
      <c r="E525" s="29" t="n">
        <f aca="false">100*SUM(N356:N523)/COUNT(N356:N523)</f>
        <v>99.4047619047619</v>
      </c>
    </row>
    <row r="526" customFormat="false" ht="15" hidden="false" customHeight="false" outlineLevel="0" collapsed="false">
      <c r="A526" s="27" t="s">
        <v>5433</v>
      </c>
      <c r="B526" s="27"/>
      <c r="C526" s="27"/>
      <c r="D526" s="27"/>
      <c r="E526" s="30" t="n">
        <f aca="false">SUM(N356:N523)</f>
        <v>167</v>
      </c>
    </row>
    <row r="527" customFormat="false" ht="15" hidden="false" customHeight="false" outlineLevel="0" collapsed="false">
      <c r="A527" s="27" t="s">
        <v>5434</v>
      </c>
      <c r="B527" s="27"/>
      <c r="C527" s="27"/>
      <c r="D527" s="27"/>
      <c r="E527" s="28" t="n">
        <f aca="false">J523</f>
        <v>74940.32</v>
      </c>
    </row>
    <row r="528" customFormat="false" ht="15" hidden="false" customHeight="false" outlineLevel="0" collapsed="false">
      <c r="A528" s="27" t="s">
        <v>5449</v>
      </c>
      <c r="B528" s="27"/>
      <c r="C528" s="27"/>
      <c r="D528" s="27"/>
      <c r="E528" s="28" t="n">
        <f aca="false">MAX(S356:S523)</f>
        <v>35120.8</v>
      </c>
    </row>
    <row r="529" customFormat="false" ht="15" hidden="false" customHeight="false" outlineLevel="0" collapsed="false">
      <c r="A529" s="27" t="s">
        <v>5450</v>
      </c>
      <c r="B529" s="27"/>
      <c r="C529" s="27"/>
      <c r="D529" s="27"/>
      <c r="E529" s="28" t="n">
        <f aca="false">MAX(X356:X523)</f>
        <v>139672.96</v>
      </c>
    </row>
    <row r="531" customFormat="false" ht="15" hidden="false" customHeight="false" outlineLevel="0" collapsed="false">
      <c r="A531" s="7" t="s">
        <v>5451</v>
      </c>
    </row>
    <row r="532" customFormat="false" ht="23.85" hidden="false" customHeight="false" outlineLevel="0" collapsed="false">
      <c r="A532" s="1" t="s">
        <v>0</v>
      </c>
      <c r="B532" s="1" t="s">
        <v>1</v>
      </c>
      <c r="C532" s="1" t="s">
        <v>5419</v>
      </c>
      <c r="D532" s="1" t="s">
        <v>5420</v>
      </c>
      <c r="E532" s="1" t="s">
        <v>5421</v>
      </c>
      <c r="F532" s="1" t="s">
        <v>5422</v>
      </c>
      <c r="G532" s="1" t="s">
        <v>5423</v>
      </c>
      <c r="H532" s="1" t="s">
        <v>5424</v>
      </c>
      <c r="I532" s="1" t="s">
        <v>5425</v>
      </c>
      <c r="J532" s="1" t="s">
        <v>5426</v>
      </c>
      <c r="K532" s="1" t="s">
        <v>5427</v>
      </c>
      <c r="L532" s="1" t="s">
        <v>5428</v>
      </c>
      <c r="M532" s="1" t="s">
        <v>5429</v>
      </c>
      <c r="N532" s="1" t="s">
        <v>5430</v>
      </c>
    </row>
    <row r="533" customFormat="false" ht="15" hidden="false" customHeight="false" outlineLevel="0" collapsed="false">
      <c r="A533" s="6" t="n">
        <v>2012</v>
      </c>
      <c r="B533" s="6" t="n">
        <v>1</v>
      </c>
      <c r="C533" s="4" t="n">
        <v>349</v>
      </c>
      <c r="D533" s="6" t="n">
        <v>31</v>
      </c>
      <c r="E533" s="4" t="n">
        <f aca="false">INDEX(Evaporasi!$B$3:$B$14,MATCH(B533,Evaporasi!$A$3:$A$14,0))</f>
        <v>120</v>
      </c>
      <c r="F533" s="18" t="n">
        <f aca="false">Kawasan!$B$11*Kawasan!$B$9*C533/1000</f>
        <v>2903.68</v>
      </c>
      <c r="G533" s="18" t="n">
        <f aca="false">Kawasan!$B$29*D533</f>
        <v>1428.48</v>
      </c>
      <c r="H533" s="18" t="n">
        <f aca="false">E533*Desain_Kolam!$B$16/1000</f>
        <v>128.7</v>
      </c>
      <c r="I533" s="18" t="n">
        <f aca="false">F533-G533-H533</f>
        <v>1346.5</v>
      </c>
      <c r="J533" s="18" t="n">
        <f aca="false">I533</f>
        <v>1346.5</v>
      </c>
      <c r="K533" s="18" t="n">
        <f aca="false">MAX(0,J533)</f>
        <v>1346.5</v>
      </c>
      <c r="L533" s="18" t="n">
        <f aca="false">K533-J533</f>
        <v>0</v>
      </c>
      <c r="M533" s="18" t="n">
        <f aca="false">MIN(Desain_Kolam!$B$21,MAX(0,F533-H533-G533))</f>
        <v>1346.5</v>
      </c>
      <c r="N533" s="6" t="n">
        <f aca="false">IF(F533-H533&gt;=G533,1,0)</f>
        <v>1</v>
      </c>
    </row>
    <row r="534" customFormat="false" ht="15" hidden="false" customHeight="false" outlineLevel="0" collapsed="false">
      <c r="A534" s="6" t="n">
        <v>2012</v>
      </c>
      <c r="B534" s="6" t="n">
        <v>2</v>
      </c>
      <c r="C534" s="4" t="n">
        <v>340</v>
      </c>
      <c r="D534" s="6" t="n">
        <v>29</v>
      </c>
      <c r="E534" s="4" t="n">
        <f aca="false">INDEX(Evaporasi!$B$3:$B$14,MATCH(B534,Evaporasi!$A$3:$A$14,0))</f>
        <v>120</v>
      </c>
      <c r="F534" s="18" t="n">
        <f aca="false">Kawasan!$B$11*Kawasan!$B$9*C534/1000</f>
        <v>2828.8</v>
      </c>
      <c r="G534" s="18" t="n">
        <f aca="false">Kawasan!$B$29*D534</f>
        <v>1336.32</v>
      </c>
      <c r="H534" s="18" t="n">
        <f aca="false">E534*Desain_Kolam!$B$16/1000</f>
        <v>128.7</v>
      </c>
      <c r="I534" s="18" t="n">
        <f aca="false">F534-G534-H534</f>
        <v>1363.78</v>
      </c>
      <c r="J534" s="18" t="n">
        <f aca="false">J533+I534</f>
        <v>2710.28</v>
      </c>
      <c r="K534" s="18" t="n">
        <f aca="false">MAX(K533,J534)</f>
        <v>2710.28</v>
      </c>
      <c r="L534" s="18" t="n">
        <f aca="false">K534-J534</f>
        <v>0</v>
      </c>
      <c r="M534" s="18" t="n">
        <f aca="false">MIN(Desain_Kolam!$B$21,MAX(0,M533+F534-H534-G534))</f>
        <v>2710.28</v>
      </c>
      <c r="N534" s="6" t="n">
        <f aca="false">IF(M533+F534-H534&gt;=G534,1,0)</f>
        <v>1</v>
      </c>
    </row>
    <row r="535" customFormat="false" ht="15" hidden="false" customHeight="false" outlineLevel="0" collapsed="false">
      <c r="A535" s="6" t="n">
        <v>2012</v>
      </c>
      <c r="B535" s="6" t="n">
        <v>3</v>
      </c>
      <c r="C535" s="4" t="n">
        <v>244</v>
      </c>
      <c r="D535" s="6" t="n">
        <v>31</v>
      </c>
      <c r="E535" s="4" t="n">
        <f aca="false">INDEX(Evaporasi!$B$3:$B$14,MATCH(B535,Evaporasi!$A$3:$A$14,0))</f>
        <v>120</v>
      </c>
      <c r="F535" s="18" t="n">
        <f aca="false">Kawasan!$B$11*Kawasan!$B$9*C535/1000</f>
        <v>2030.08</v>
      </c>
      <c r="G535" s="18" t="n">
        <f aca="false">Kawasan!$B$29*D535</f>
        <v>1428.48</v>
      </c>
      <c r="H535" s="18" t="n">
        <f aca="false">E535*Desain_Kolam!$B$16/1000</f>
        <v>128.7</v>
      </c>
      <c r="I535" s="18" t="n">
        <f aca="false">F535-G535-H535</f>
        <v>472.9</v>
      </c>
      <c r="J535" s="18" t="n">
        <f aca="false">J534+I535</f>
        <v>3183.18</v>
      </c>
      <c r="K535" s="18" t="n">
        <f aca="false">MAX(K534,J535)</f>
        <v>3183.18</v>
      </c>
      <c r="L535" s="18" t="n">
        <f aca="false">K535-J535</f>
        <v>0</v>
      </c>
      <c r="M535" s="18" t="n">
        <f aca="false">MIN(Desain_Kolam!$B$21,MAX(0,M534+F535-H535-G535))</f>
        <v>3183.18</v>
      </c>
      <c r="N535" s="6" t="n">
        <f aca="false">IF(M534+F535-H535&gt;=G535,1,0)</f>
        <v>1</v>
      </c>
    </row>
    <row r="536" customFormat="false" ht="15" hidden="false" customHeight="false" outlineLevel="0" collapsed="false">
      <c r="A536" s="6" t="n">
        <v>2012</v>
      </c>
      <c r="B536" s="6" t="n">
        <v>4</v>
      </c>
      <c r="C536" s="4" t="n">
        <v>282</v>
      </c>
      <c r="D536" s="6" t="n">
        <v>30</v>
      </c>
      <c r="E536" s="4" t="n">
        <f aca="false">INDEX(Evaporasi!$B$3:$B$14,MATCH(B536,Evaporasi!$A$3:$A$14,0))</f>
        <v>120</v>
      </c>
      <c r="F536" s="18" t="n">
        <f aca="false">Kawasan!$B$11*Kawasan!$B$9*C536/1000</f>
        <v>2346.24</v>
      </c>
      <c r="G536" s="18" t="n">
        <f aca="false">Kawasan!$B$29*D536</f>
        <v>1382.4</v>
      </c>
      <c r="H536" s="18" t="n">
        <f aca="false">E536*Desain_Kolam!$B$16/1000</f>
        <v>128.7</v>
      </c>
      <c r="I536" s="18" t="n">
        <f aca="false">F536-G536-H536</f>
        <v>835.14</v>
      </c>
      <c r="J536" s="18" t="n">
        <f aca="false">J535+I536</f>
        <v>4018.32</v>
      </c>
      <c r="K536" s="18" t="n">
        <f aca="false">MAX(K535,J536)</f>
        <v>4018.32</v>
      </c>
      <c r="L536" s="18" t="n">
        <f aca="false">K536-J536</f>
        <v>0</v>
      </c>
      <c r="M536" s="18" t="n">
        <f aca="false">MIN(Desain_Kolam!$B$21,MAX(0,M535+F536-H536-G536))</f>
        <v>4018.32</v>
      </c>
      <c r="N536" s="6" t="n">
        <f aca="false">IF(M535+F536-H536&gt;=G536,1,0)</f>
        <v>1</v>
      </c>
    </row>
    <row r="537" customFormat="false" ht="15" hidden="false" customHeight="false" outlineLevel="0" collapsed="false">
      <c r="A537" s="6" t="n">
        <v>2012</v>
      </c>
      <c r="B537" s="6" t="n">
        <v>5</v>
      </c>
      <c r="C537" s="4" t="n">
        <v>319</v>
      </c>
      <c r="D537" s="6" t="n">
        <v>31</v>
      </c>
      <c r="E537" s="4" t="n">
        <f aca="false">INDEX(Evaporasi!$B$3:$B$14,MATCH(B537,Evaporasi!$A$3:$A$14,0))</f>
        <v>120</v>
      </c>
      <c r="F537" s="18" t="n">
        <f aca="false">Kawasan!$B$11*Kawasan!$B$9*C537/1000</f>
        <v>2654.08</v>
      </c>
      <c r="G537" s="18" t="n">
        <f aca="false">Kawasan!$B$29*D537</f>
        <v>1428.48</v>
      </c>
      <c r="H537" s="18" t="n">
        <f aca="false">E537*Desain_Kolam!$B$16/1000</f>
        <v>128.7</v>
      </c>
      <c r="I537" s="18" t="n">
        <f aca="false">F537-G537-H537</f>
        <v>1096.9</v>
      </c>
      <c r="J537" s="18" t="n">
        <f aca="false">J536+I537</f>
        <v>5115.22</v>
      </c>
      <c r="K537" s="18" t="n">
        <f aca="false">MAX(K536,J537)</f>
        <v>5115.22</v>
      </c>
      <c r="L537" s="18" t="n">
        <f aca="false">K537-J537</f>
        <v>0</v>
      </c>
      <c r="M537" s="18" t="n">
        <f aca="false">MIN(Desain_Kolam!$B$21,MAX(0,M536+F537-H537-G537))</f>
        <v>5115.22</v>
      </c>
      <c r="N537" s="6" t="n">
        <f aca="false">IF(M536+F537-H537&gt;=G537,1,0)</f>
        <v>1</v>
      </c>
    </row>
    <row r="538" customFormat="false" ht="15" hidden="false" customHeight="false" outlineLevel="0" collapsed="false">
      <c r="A538" s="6" t="n">
        <v>2012</v>
      </c>
      <c r="B538" s="6" t="n">
        <v>6</v>
      </c>
      <c r="C538" s="4" t="n">
        <v>107</v>
      </c>
      <c r="D538" s="6" t="n">
        <v>30</v>
      </c>
      <c r="E538" s="4" t="n">
        <f aca="false">INDEX(Evaporasi!$B$3:$B$14,MATCH(B538,Evaporasi!$A$3:$A$14,0))</f>
        <v>120</v>
      </c>
      <c r="F538" s="18" t="n">
        <f aca="false">Kawasan!$B$11*Kawasan!$B$9*C538/1000</f>
        <v>890.24</v>
      </c>
      <c r="G538" s="18" t="n">
        <f aca="false">Kawasan!$B$29*D538</f>
        <v>1382.4</v>
      </c>
      <c r="H538" s="18" t="n">
        <f aca="false">E538*Desain_Kolam!$B$16/1000</f>
        <v>128.7</v>
      </c>
      <c r="I538" s="18" t="n">
        <f aca="false">F538-G538-H538</f>
        <v>-620.86</v>
      </c>
      <c r="J538" s="18" t="n">
        <f aca="false">J537+I538</f>
        <v>4494.36</v>
      </c>
      <c r="K538" s="18" t="n">
        <f aca="false">MAX(K537,J538)</f>
        <v>5115.22</v>
      </c>
      <c r="L538" s="18" t="n">
        <f aca="false">K538-J538</f>
        <v>620.86</v>
      </c>
      <c r="M538" s="18" t="n">
        <f aca="false">MIN(Desain_Kolam!$B$21,MAX(0,M537+F538-H538-G538))</f>
        <v>4494.36</v>
      </c>
      <c r="N538" s="6" t="n">
        <f aca="false">IF(M537+F538-H538&gt;=G538,1,0)</f>
        <v>1</v>
      </c>
    </row>
    <row r="539" customFormat="false" ht="15" hidden="false" customHeight="false" outlineLevel="0" collapsed="false">
      <c r="A539" s="6" t="n">
        <v>2012</v>
      </c>
      <c r="B539" s="6" t="n">
        <v>7</v>
      </c>
      <c r="C539" s="4" t="n">
        <v>133</v>
      </c>
      <c r="D539" s="6" t="n">
        <v>31</v>
      </c>
      <c r="E539" s="4" t="n">
        <f aca="false">INDEX(Evaporasi!$B$3:$B$14,MATCH(B539,Evaporasi!$A$3:$A$14,0))</f>
        <v>120</v>
      </c>
      <c r="F539" s="18" t="n">
        <f aca="false">Kawasan!$B$11*Kawasan!$B$9*C539/1000</f>
        <v>1106.56</v>
      </c>
      <c r="G539" s="18" t="n">
        <f aca="false">Kawasan!$B$29*D539</f>
        <v>1428.48</v>
      </c>
      <c r="H539" s="18" t="n">
        <f aca="false">E539*Desain_Kolam!$B$16/1000</f>
        <v>128.7</v>
      </c>
      <c r="I539" s="18" t="n">
        <f aca="false">F539-G539-H539</f>
        <v>-450.62</v>
      </c>
      <c r="J539" s="18" t="n">
        <f aca="false">J538+I539</f>
        <v>4043.74</v>
      </c>
      <c r="K539" s="18" t="n">
        <f aca="false">MAX(K538,J539)</f>
        <v>5115.22</v>
      </c>
      <c r="L539" s="18" t="n">
        <f aca="false">K539-J539</f>
        <v>1071.48</v>
      </c>
      <c r="M539" s="18" t="n">
        <f aca="false">MIN(Desain_Kolam!$B$21,MAX(0,M538+F539-H539-G539))</f>
        <v>4043.74</v>
      </c>
      <c r="N539" s="6" t="n">
        <f aca="false">IF(M538+F539-H539&gt;=G539,1,0)</f>
        <v>1</v>
      </c>
    </row>
    <row r="540" customFormat="false" ht="15" hidden="false" customHeight="false" outlineLevel="0" collapsed="false">
      <c r="A540" s="6" t="n">
        <v>2012</v>
      </c>
      <c r="B540" s="6" t="n">
        <v>8</v>
      </c>
      <c r="C540" s="4" t="n">
        <v>105</v>
      </c>
      <c r="D540" s="6" t="n">
        <v>31</v>
      </c>
      <c r="E540" s="4" t="n">
        <f aca="false">INDEX(Evaporasi!$B$3:$B$14,MATCH(B540,Evaporasi!$A$3:$A$14,0))</f>
        <v>120</v>
      </c>
      <c r="F540" s="18" t="n">
        <f aca="false">Kawasan!$B$11*Kawasan!$B$9*C540/1000</f>
        <v>873.6</v>
      </c>
      <c r="G540" s="18" t="n">
        <f aca="false">Kawasan!$B$29*D540</f>
        <v>1428.48</v>
      </c>
      <c r="H540" s="18" t="n">
        <f aca="false">E540*Desain_Kolam!$B$16/1000</f>
        <v>128.7</v>
      </c>
      <c r="I540" s="18" t="n">
        <f aca="false">F540-G540-H540</f>
        <v>-683.58</v>
      </c>
      <c r="J540" s="18" t="n">
        <f aca="false">J539+I540</f>
        <v>3360.16</v>
      </c>
      <c r="K540" s="18" t="n">
        <f aca="false">MAX(K539,J540)</f>
        <v>5115.22</v>
      </c>
      <c r="L540" s="18" t="n">
        <f aca="false">K540-J540</f>
        <v>1755.06</v>
      </c>
      <c r="M540" s="18" t="n">
        <f aca="false">MIN(Desain_Kolam!$B$21,MAX(0,M539+F540-H540-G540))</f>
        <v>3360.16</v>
      </c>
      <c r="N540" s="6" t="n">
        <f aca="false">IF(M539+F540-H540&gt;=G540,1,0)</f>
        <v>1</v>
      </c>
    </row>
    <row r="541" customFormat="false" ht="15" hidden="false" customHeight="false" outlineLevel="0" collapsed="false">
      <c r="A541" s="6" t="n">
        <v>2012</v>
      </c>
      <c r="B541" s="6" t="n">
        <v>9</v>
      </c>
      <c r="C541" s="4" t="n">
        <v>174</v>
      </c>
      <c r="D541" s="6" t="n">
        <v>30</v>
      </c>
      <c r="E541" s="4" t="n">
        <f aca="false">INDEX(Evaporasi!$B$3:$B$14,MATCH(B541,Evaporasi!$A$3:$A$14,0))</f>
        <v>120</v>
      </c>
      <c r="F541" s="18" t="n">
        <f aca="false">Kawasan!$B$11*Kawasan!$B$9*C541/1000</f>
        <v>1447.68</v>
      </c>
      <c r="G541" s="18" t="n">
        <f aca="false">Kawasan!$B$29*D541</f>
        <v>1382.4</v>
      </c>
      <c r="H541" s="18" t="n">
        <f aca="false">E541*Desain_Kolam!$B$16/1000</f>
        <v>128.7</v>
      </c>
      <c r="I541" s="18" t="n">
        <f aca="false">F541-G541-H541</f>
        <v>-63.4199999999998</v>
      </c>
      <c r="J541" s="18" t="n">
        <f aca="false">J540+I541</f>
        <v>3296.74</v>
      </c>
      <c r="K541" s="18" t="n">
        <f aca="false">MAX(K540,J541)</f>
        <v>5115.22</v>
      </c>
      <c r="L541" s="18" t="n">
        <f aca="false">K541-J541</f>
        <v>1818.48</v>
      </c>
      <c r="M541" s="18" t="n">
        <f aca="false">MIN(Desain_Kolam!$B$21,MAX(0,M540+F541-H541-G541))</f>
        <v>3296.74</v>
      </c>
      <c r="N541" s="6" t="n">
        <f aca="false">IF(M540+F541-H541&gt;=G541,1,0)</f>
        <v>1</v>
      </c>
    </row>
    <row r="542" customFormat="false" ht="15" hidden="false" customHeight="false" outlineLevel="0" collapsed="false">
      <c r="A542" s="6" t="n">
        <v>2012</v>
      </c>
      <c r="B542" s="6" t="n">
        <v>10</v>
      </c>
      <c r="C542" s="4" t="n">
        <v>436</v>
      </c>
      <c r="D542" s="6" t="n">
        <v>31</v>
      </c>
      <c r="E542" s="4" t="n">
        <f aca="false">INDEX(Evaporasi!$B$3:$B$14,MATCH(B542,Evaporasi!$A$3:$A$14,0))</f>
        <v>120</v>
      </c>
      <c r="F542" s="18" t="n">
        <f aca="false">Kawasan!$B$11*Kawasan!$B$9*C542/1000</f>
        <v>3627.52</v>
      </c>
      <c r="G542" s="18" t="n">
        <f aca="false">Kawasan!$B$29*D542</f>
        <v>1428.48</v>
      </c>
      <c r="H542" s="18" t="n">
        <f aca="false">E542*Desain_Kolam!$B$16/1000</f>
        <v>128.7</v>
      </c>
      <c r="I542" s="18" t="n">
        <f aca="false">F542-G542-H542</f>
        <v>2070.34</v>
      </c>
      <c r="J542" s="18" t="n">
        <f aca="false">J541+I542</f>
        <v>5367.08</v>
      </c>
      <c r="K542" s="18" t="n">
        <f aca="false">MAX(K541,J542)</f>
        <v>5367.08</v>
      </c>
      <c r="L542" s="18" t="n">
        <f aca="false">K542-J542</f>
        <v>0</v>
      </c>
      <c r="M542" s="18" t="n">
        <f aca="false">MIN(Desain_Kolam!$B$21,MAX(0,M541+F542-H542-G542))</f>
        <v>5367.08</v>
      </c>
      <c r="N542" s="6" t="n">
        <f aca="false">IF(M541+F542-H542&gt;=G542,1,0)</f>
        <v>1</v>
      </c>
    </row>
    <row r="543" customFormat="false" ht="15" hidden="false" customHeight="false" outlineLevel="0" collapsed="false">
      <c r="A543" s="6" t="n">
        <v>2012</v>
      </c>
      <c r="B543" s="6" t="n">
        <v>11</v>
      </c>
      <c r="C543" s="4" t="n">
        <v>323</v>
      </c>
      <c r="D543" s="6" t="n">
        <v>30</v>
      </c>
      <c r="E543" s="4" t="n">
        <f aca="false">INDEX(Evaporasi!$B$3:$B$14,MATCH(B543,Evaporasi!$A$3:$A$14,0))</f>
        <v>120</v>
      </c>
      <c r="F543" s="18" t="n">
        <f aca="false">Kawasan!$B$11*Kawasan!$B$9*C543/1000</f>
        <v>2687.36</v>
      </c>
      <c r="G543" s="18" t="n">
        <f aca="false">Kawasan!$B$29*D543</f>
        <v>1382.4</v>
      </c>
      <c r="H543" s="18" t="n">
        <f aca="false">E543*Desain_Kolam!$B$16/1000</f>
        <v>128.7</v>
      </c>
      <c r="I543" s="18" t="n">
        <f aca="false">F543-G543-H543</f>
        <v>1176.26</v>
      </c>
      <c r="J543" s="18" t="n">
        <f aca="false">J542+I543</f>
        <v>6543.34</v>
      </c>
      <c r="K543" s="18" t="n">
        <f aca="false">MAX(K542,J543)</f>
        <v>6543.34</v>
      </c>
      <c r="L543" s="18" t="n">
        <f aca="false">K543-J543</f>
        <v>0</v>
      </c>
      <c r="M543" s="18" t="n">
        <f aca="false">MIN(Desain_Kolam!$B$21,MAX(0,M542+F543-H543-G543))</f>
        <v>6543.34</v>
      </c>
      <c r="N543" s="6" t="n">
        <f aca="false">IF(M542+F543-H543&gt;=G543,1,0)</f>
        <v>1</v>
      </c>
    </row>
    <row r="544" customFormat="false" ht="15" hidden="false" customHeight="false" outlineLevel="0" collapsed="false">
      <c r="A544" s="6" t="n">
        <v>2012</v>
      </c>
      <c r="B544" s="6" t="n">
        <v>12</v>
      </c>
      <c r="C544" s="4" t="n">
        <v>297</v>
      </c>
      <c r="D544" s="6" t="n">
        <v>31</v>
      </c>
      <c r="E544" s="4" t="n">
        <f aca="false">INDEX(Evaporasi!$B$3:$B$14,MATCH(B544,Evaporasi!$A$3:$A$14,0))</f>
        <v>120</v>
      </c>
      <c r="F544" s="18" t="n">
        <f aca="false">Kawasan!$B$11*Kawasan!$B$9*C544/1000</f>
        <v>2471.04</v>
      </c>
      <c r="G544" s="18" t="n">
        <f aca="false">Kawasan!$B$29*D544</f>
        <v>1428.48</v>
      </c>
      <c r="H544" s="18" t="n">
        <f aca="false">E544*Desain_Kolam!$B$16/1000</f>
        <v>128.7</v>
      </c>
      <c r="I544" s="18" t="n">
        <f aca="false">F544-G544-H544</f>
        <v>913.86</v>
      </c>
      <c r="J544" s="18" t="n">
        <f aca="false">J543+I544</f>
        <v>7457.2</v>
      </c>
      <c r="K544" s="18" t="n">
        <f aca="false">MAX(K543,J544)</f>
        <v>7457.2</v>
      </c>
      <c r="L544" s="18" t="n">
        <f aca="false">K544-J544</f>
        <v>0</v>
      </c>
      <c r="M544" s="18" t="n">
        <f aca="false">MIN(Desain_Kolam!$B$21,MAX(0,M543+F544-H544-G544))</f>
        <v>7457.2</v>
      </c>
      <c r="N544" s="6" t="n">
        <f aca="false">IF(M543+F544-H544&gt;=G544,1,0)</f>
        <v>1</v>
      </c>
    </row>
    <row r="545" customFormat="false" ht="15" hidden="false" customHeight="false" outlineLevel="0" collapsed="false">
      <c r="A545" s="6" t="n">
        <v>2013</v>
      </c>
      <c r="B545" s="6" t="n">
        <v>1</v>
      </c>
      <c r="C545" s="4" t="n">
        <v>141</v>
      </c>
      <c r="D545" s="6" t="n">
        <v>31</v>
      </c>
      <c r="E545" s="4" t="n">
        <f aca="false">INDEX(Evaporasi!$B$3:$B$14,MATCH(B545,Evaporasi!$A$3:$A$14,0))</f>
        <v>120</v>
      </c>
      <c r="F545" s="18" t="n">
        <f aca="false">Kawasan!$B$11*Kawasan!$B$9*C545/1000</f>
        <v>1173.12</v>
      </c>
      <c r="G545" s="18" t="n">
        <f aca="false">Kawasan!$B$29*D545</f>
        <v>1428.48</v>
      </c>
      <c r="H545" s="18" t="n">
        <f aca="false">E545*Desain_Kolam!$B$16/1000</f>
        <v>128.7</v>
      </c>
      <c r="I545" s="18" t="n">
        <f aca="false">F545-G545-H545</f>
        <v>-384.06</v>
      </c>
      <c r="J545" s="18" t="n">
        <f aca="false">J544+I545</f>
        <v>7073.14</v>
      </c>
      <c r="K545" s="18" t="n">
        <f aca="false">MAX(K544,J545)</f>
        <v>7457.2</v>
      </c>
      <c r="L545" s="18" t="n">
        <f aca="false">K545-J545</f>
        <v>384.06</v>
      </c>
      <c r="M545" s="18" t="n">
        <f aca="false">MIN(Desain_Kolam!$B$21,MAX(0,M544+F545-H545-G545))</f>
        <v>7073.14</v>
      </c>
      <c r="N545" s="6" t="n">
        <f aca="false">IF(M544+F545-H545&gt;=G545,1,0)</f>
        <v>1</v>
      </c>
    </row>
    <row r="546" customFormat="false" ht="15" hidden="false" customHeight="false" outlineLevel="0" collapsed="false">
      <c r="A546" s="6" t="n">
        <v>2013</v>
      </c>
      <c r="B546" s="6" t="n">
        <v>2</v>
      </c>
      <c r="C546" s="4" t="n">
        <v>291</v>
      </c>
      <c r="D546" s="6" t="n">
        <v>28</v>
      </c>
      <c r="E546" s="4" t="n">
        <f aca="false">INDEX(Evaporasi!$B$3:$B$14,MATCH(B546,Evaporasi!$A$3:$A$14,0))</f>
        <v>120</v>
      </c>
      <c r="F546" s="18" t="n">
        <f aca="false">Kawasan!$B$11*Kawasan!$B$9*C546/1000</f>
        <v>2421.12</v>
      </c>
      <c r="G546" s="18" t="n">
        <f aca="false">Kawasan!$B$29*D546</f>
        <v>1290.24</v>
      </c>
      <c r="H546" s="18" t="n">
        <f aca="false">E546*Desain_Kolam!$B$16/1000</f>
        <v>128.7</v>
      </c>
      <c r="I546" s="18" t="n">
        <f aca="false">F546-G546-H546</f>
        <v>1002.18</v>
      </c>
      <c r="J546" s="18" t="n">
        <f aca="false">J545+I546</f>
        <v>8075.32</v>
      </c>
      <c r="K546" s="18" t="n">
        <f aca="false">MAX(K545,J546)</f>
        <v>8075.32</v>
      </c>
      <c r="L546" s="18" t="n">
        <f aca="false">K546-J546</f>
        <v>0</v>
      </c>
      <c r="M546" s="18" t="n">
        <f aca="false">MIN(Desain_Kolam!$B$21,MAX(0,M545+F546-H546-G546))</f>
        <v>8075.32</v>
      </c>
      <c r="N546" s="6" t="n">
        <f aca="false">IF(M545+F546-H546&gt;=G546,1,0)</f>
        <v>1</v>
      </c>
    </row>
    <row r="547" customFormat="false" ht="15" hidden="false" customHeight="false" outlineLevel="0" collapsed="false">
      <c r="A547" s="6" t="n">
        <v>2013</v>
      </c>
      <c r="B547" s="6" t="n">
        <v>3</v>
      </c>
      <c r="C547" s="4" t="n">
        <v>152</v>
      </c>
      <c r="D547" s="6" t="n">
        <v>31</v>
      </c>
      <c r="E547" s="4" t="n">
        <f aca="false">INDEX(Evaporasi!$B$3:$B$14,MATCH(B547,Evaporasi!$A$3:$A$14,0))</f>
        <v>120</v>
      </c>
      <c r="F547" s="18" t="n">
        <f aca="false">Kawasan!$B$11*Kawasan!$B$9*C547/1000</f>
        <v>1264.64</v>
      </c>
      <c r="G547" s="18" t="n">
        <f aca="false">Kawasan!$B$29*D547</f>
        <v>1428.48</v>
      </c>
      <c r="H547" s="18" t="n">
        <f aca="false">E547*Desain_Kolam!$B$16/1000</f>
        <v>128.7</v>
      </c>
      <c r="I547" s="18" t="n">
        <f aca="false">F547-G547-H547</f>
        <v>-292.54</v>
      </c>
      <c r="J547" s="18" t="n">
        <f aca="false">J546+I547</f>
        <v>7782.78</v>
      </c>
      <c r="K547" s="18" t="n">
        <f aca="false">MAX(K546,J547)</f>
        <v>8075.32</v>
      </c>
      <c r="L547" s="18" t="n">
        <f aca="false">K547-J547</f>
        <v>292.54</v>
      </c>
      <c r="M547" s="18" t="n">
        <f aca="false">MIN(Desain_Kolam!$B$21,MAX(0,M546+F547-H547-G547))</f>
        <v>7782.78</v>
      </c>
      <c r="N547" s="6" t="n">
        <f aca="false">IF(M546+F547-H547&gt;=G547,1,0)</f>
        <v>1</v>
      </c>
    </row>
    <row r="548" customFormat="false" ht="15" hidden="false" customHeight="false" outlineLevel="0" collapsed="false">
      <c r="A548" s="6" t="n">
        <v>2013</v>
      </c>
      <c r="B548" s="6" t="n">
        <v>4</v>
      </c>
      <c r="C548" s="4" t="n">
        <v>435</v>
      </c>
      <c r="D548" s="6" t="n">
        <v>30</v>
      </c>
      <c r="E548" s="4" t="n">
        <f aca="false">INDEX(Evaporasi!$B$3:$B$14,MATCH(B548,Evaporasi!$A$3:$A$14,0))</f>
        <v>120</v>
      </c>
      <c r="F548" s="18" t="n">
        <f aca="false">Kawasan!$B$11*Kawasan!$B$9*C548/1000</f>
        <v>3619.2</v>
      </c>
      <c r="G548" s="18" t="n">
        <f aca="false">Kawasan!$B$29*D548</f>
        <v>1382.4</v>
      </c>
      <c r="H548" s="18" t="n">
        <f aca="false">E548*Desain_Kolam!$B$16/1000</f>
        <v>128.7</v>
      </c>
      <c r="I548" s="18" t="n">
        <f aca="false">F548-G548-H548</f>
        <v>2108.1</v>
      </c>
      <c r="J548" s="18" t="n">
        <f aca="false">J547+I548</f>
        <v>9890.88</v>
      </c>
      <c r="K548" s="18" t="n">
        <f aca="false">MAX(K547,J548)</f>
        <v>9890.88</v>
      </c>
      <c r="L548" s="18" t="n">
        <f aca="false">K548-J548</f>
        <v>0</v>
      </c>
      <c r="M548" s="18" t="n">
        <f aca="false">MIN(Desain_Kolam!$B$21,MAX(0,M547+F548-H548-G548))</f>
        <v>9890.88</v>
      </c>
      <c r="N548" s="6" t="n">
        <f aca="false">IF(M547+F548-H548&gt;=G548,1,0)</f>
        <v>1</v>
      </c>
    </row>
    <row r="549" customFormat="false" ht="15" hidden="false" customHeight="false" outlineLevel="0" collapsed="false">
      <c r="A549" s="6" t="n">
        <v>2013</v>
      </c>
      <c r="B549" s="6" t="n">
        <v>5</v>
      </c>
      <c r="C549" s="4" t="n">
        <v>358</v>
      </c>
      <c r="D549" s="6" t="n">
        <v>31</v>
      </c>
      <c r="E549" s="4" t="n">
        <f aca="false">INDEX(Evaporasi!$B$3:$B$14,MATCH(B549,Evaporasi!$A$3:$A$14,0))</f>
        <v>120</v>
      </c>
      <c r="F549" s="18" t="n">
        <f aca="false">Kawasan!$B$11*Kawasan!$B$9*C549/1000</f>
        <v>2978.56</v>
      </c>
      <c r="G549" s="18" t="n">
        <f aca="false">Kawasan!$B$29*D549</f>
        <v>1428.48</v>
      </c>
      <c r="H549" s="18" t="n">
        <f aca="false">E549*Desain_Kolam!$B$16/1000</f>
        <v>128.7</v>
      </c>
      <c r="I549" s="18" t="n">
        <f aca="false">F549-G549-H549</f>
        <v>1421.38</v>
      </c>
      <c r="J549" s="18" t="n">
        <f aca="false">J548+I549</f>
        <v>11312.26</v>
      </c>
      <c r="K549" s="18" t="n">
        <f aca="false">MAX(K548,J549)</f>
        <v>11312.26</v>
      </c>
      <c r="L549" s="18" t="n">
        <f aca="false">K549-J549</f>
        <v>0</v>
      </c>
      <c r="M549" s="18" t="n">
        <f aca="false">MIN(Desain_Kolam!$B$21,MAX(0,M548+F549-H549-G549))</f>
        <v>11312.26</v>
      </c>
      <c r="N549" s="6" t="n">
        <f aca="false">IF(M548+F549-H549&gt;=G549,1,0)</f>
        <v>1</v>
      </c>
    </row>
    <row r="550" customFormat="false" ht="15" hidden="false" customHeight="false" outlineLevel="0" collapsed="false">
      <c r="A550" s="6" t="n">
        <v>2013</v>
      </c>
      <c r="B550" s="6" t="n">
        <v>6</v>
      </c>
      <c r="C550" s="4" t="n">
        <v>212</v>
      </c>
      <c r="D550" s="6" t="n">
        <v>30</v>
      </c>
      <c r="E550" s="4" t="n">
        <f aca="false">INDEX(Evaporasi!$B$3:$B$14,MATCH(B550,Evaporasi!$A$3:$A$14,0))</f>
        <v>120</v>
      </c>
      <c r="F550" s="18" t="n">
        <f aca="false">Kawasan!$B$11*Kawasan!$B$9*C550/1000</f>
        <v>1763.84</v>
      </c>
      <c r="G550" s="18" t="n">
        <f aca="false">Kawasan!$B$29*D550</f>
        <v>1382.4</v>
      </c>
      <c r="H550" s="18" t="n">
        <f aca="false">E550*Desain_Kolam!$B$16/1000</f>
        <v>128.7</v>
      </c>
      <c r="I550" s="18" t="n">
        <f aca="false">F550-G550-H550</f>
        <v>252.74</v>
      </c>
      <c r="J550" s="18" t="n">
        <f aca="false">J549+I550</f>
        <v>11565</v>
      </c>
      <c r="K550" s="18" t="n">
        <f aca="false">MAX(K549,J550)</f>
        <v>11565</v>
      </c>
      <c r="L550" s="18" t="n">
        <f aca="false">K550-J550</f>
        <v>0</v>
      </c>
      <c r="M550" s="18" t="n">
        <f aca="false">MIN(Desain_Kolam!$B$21,MAX(0,M549+F550-H550-G550))</f>
        <v>11565</v>
      </c>
      <c r="N550" s="6" t="n">
        <f aca="false">IF(M549+F550-H550&gt;=G550,1,0)</f>
        <v>1</v>
      </c>
    </row>
    <row r="551" customFormat="false" ht="15" hidden="false" customHeight="false" outlineLevel="0" collapsed="false">
      <c r="A551" s="6" t="n">
        <v>2013</v>
      </c>
      <c r="B551" s="6" t="n">
        <v>7</v>
      </c>
      <c r="C551" s="4" t="n">
        <v>320</v>
      </c>
      <c r="D551" s="6" t="n">
        <v>31</v>
      </c>
      <c r="E551" s="4" t="n">
        <f aca="false">INDEX(Evaporasi!$B$3:$B$14,MATCH(B551,Evaporasi!$A$3:$A$14,0))</f>
        <v>120</v>
      </c>
      <c r="F551" s="18" t="n">
        <f aca="false">Kawasan!$B$11*Kawasan!$B$9*C551/1000</f>
        <v>2662.4</v>
      </c>
      <c r="G551" s="18" t="n">
        <f aca="false">Kawasan!$B$29*D551</f>
        <v>1428.48</v>
      </c>
      <c r="H551" s="18" t="n">
        <f aca="false">E551*Desain_Kolam!$B$16/1000</f>
        <v>128.7</v>
      </c>
      <c r="I551" s="18" t="n">
        <f aca="false">F551-G551-H551</f>
        <v>1105.22</v>
      </c>
      <c r="J551" s="18" t="n">
        <f aca="false">J550+I551</f>
        <v>12670.22</v>
      </c>
      <c r="K551" s="18" t="n">
        <f aca="false">MAX(K550,J551)</f>
        <v>12670.22</v>
      </c>
      <c r="L551" s="18" t="n">
        <f aca="false">K551-J551</f>
        <v>0</v>
      </c>
      <c r="M551" s="18" t="n">
        <f aca="false">MIN(Desain_Kolam!$B$21,MAX(0,M550+F551-H551-G551))</f>
        <v>12670.22</v>
      </c>
      <c r="N551" s="6" t="n">
        <f aca="false">IF(M550+F551-H551&gt;=G551,1,0)</f>
        <v>1</v>
      </c>
    </row>
    <row r="552" customFormat="false" ht="15" hidden="false" customHeight="false" outlineLevel="0" collapsed="false">
      <c r="A552" s="6" t="n">
        <v>2013</v>
      </c>
      <c r="B552" s="6" t="n">
        <v>8</v>
      </c>
      <c r="C552" s="4" t="n">
        <v>167</v>
      </c>
      <c r="D552" s="6" t="n">
        <v>31</v>
      </c>
      <c r="E552" s="4" t="n">
        <f aca="false">INDEX(Evaporasi!$B$3:$B$14,MATCH(B552,Evaporasi!$A$3:$A$14,0))</f>
        <v>120</v>
      </c>
      <c r="F552" s="18" t="n">
        <f aca="false">Kawasan!$B$11*Kawasan!$B$9*C552/1000</f>
        <v>1389.44</v>
      </c>
      <c r="G552" s="18" t="n">
        <f aca="false">Kawasan!$B$29*D552</f>
        <v>1428.48</v>
      </c>
      <c r="H552" s="18" t="n">
        <f aca="false">E552*Desain_Kolam!$B$16/1000</f>
        <v>128.7</v>
      </c>
      <c r="I552" s="18" t="n">
        <f aca="false">F552-G552-H552</f>
        <v>-167.74</v>
      </c>
      <c r="J552" s="18" t="n">
        <f aca="false">J551+I552</f>
        <v>12502.48</v>
      </c>
      <c r="K552" s="18" t="n">
        <f aca="false">MAX(K551,J552)</f>
        <v>12670.22</v>
      </c>
      <c r="L552" s="18" t="n">
        <f aca="false">K552-J552</f>
        <v>167.74</v>
      </c>
      <c r="M552" s="18" t="n">
        <f aca="false">MIN(Desain_Kolam!$B$21,MAX(0,M551+F552-H552-G552))</f>
        <v>12502.48</v>
      </c>
      <c r="N552" s="6" t="n">
        <f aca="false">IF(M551+F552-H552&gt;=G552,1,0)</f>
        <v>1</v>
      </c>
    </row>
    <row r="553" customFormat="false" ht="15" hidden="false" customHeight="false" outlineLevel="0" collapsed="false">
      <c r="A553" s="6" t="n">
        <v>2013</v>
      </c>
      <c r="B553" s="6" t="n">
        <v>9</v>
      </c>
      <c r="C553" s="4" t="n">
        <v>129</v>
      </c>
      <c r="D553" s="6" t="n">
        <v>30</v>
      </c>
      <c r="E553" s="4" t="n">
        <f aca="false">INDEX(Evaporasi!$B$3:$B$14,MATCH(B553,Evaporasi!$A$3:$A$14,0))</f>
        <v>120</v>
      </c>
      <c r="F553" s="18" t="n">
        <f aca="false">Kawasan!$B$11*Kawasan!$B$9*C553/1000</f>
        <v>1073.28</v>
      </c>
      <c r="G553" s="18" t="n">
        <f aca="false">Kawasan!$B$29*D553</f>
        <v>1382.4</v>
      </c>
      <c r="H553" s="18" t="n">
        <f aca="false">E553*Desain_Kolam!$B$16/1000</f>
        <v>128.7</v>
      </c>
      <c r="I553" s="18" t="n">
        <f aca="false">F553-G553-H553</f>
        <v>-437.82</v>
      </c>
      <c r="J553" s="18" t="n">
        <f aca="false">J552+I553</f>
        <v>12064.66</v>
      </c>
      <c r="K553" s="18" t="n">
        <f aca="false">MAX(K552,J553)</f>
        <v>12670.22</v>
      </c>
      <c r="L553" s="18" t="n">
        <f aca="false">K553-J553</f>
        <v>605.56</v>
      </c>
      <c r="M553" s="18" t="n">
        <f aca="false">MIN(Desain_Kolam!$B$21,MAX(0,M552+F553-H553-G553))</f>
        <v>12064.66</v>
      </c>
      <c r="N553" s="6" t="n">
        <f aca="false">IF(M552+F553-H553&gt;=G553,1,0)</f>
        <v>1</v>
      </c>
    </row>
    <row r="554" customFormat="false" ht="15" hidden="false" customHeight="false" outlineLevel="0" collapsed="false">
      <c r="A554" s="6" t="n">
        <v>2013</v>
      </c>
      <c r="B554" s="6" t="n">
        <v>10</v>
      </c>
      <c r="C554" s="4" t="n">
        <v>151</v>
      </c>
      <c r="D554" s="6" t="n">
        <v>31</v>
      </c>
      <c r="E554" s="4" t="n">
        <f aca="false">INDEX(Evaporasi!$B$3:$B$14,MATCH(B554,Evaporasi!$A$3:$A$14,0))</f>
        <v>120</v>
      </c>
      <c r="F554" s="18" t="n">
        <f aca="false">Kawasan!$B$11*Kawasan!$B$9*C554/1000</f>
        <v>1256.32</v>
      </c>
      <c r="G554" s="18" t="n">
        <f aca="false">Kawasan!$B$29*D554</f>
        <v>1428.48</v>
      </c>
      <c r="H554" s="18" t="n">
        <f aca="false">E554*Desain_Kolam!$B$16/1000</f>
        <v>128.7</v>
      </c>
      <c r="I554" s="18" t="n">
        <f aca="false">F554-G554-H554</f>
        <v>-300.86</v>
      </c>
      <c r="J554" s="18" t="n">
        <f aca="false">J553+I554</f>
        <v>11763.8</v>
      </c>
      <c r="K554" s="18" t="n">
        <f aca="false">MAX(K553,J554)</f>
        <v>12670.22</v>
      </c>
      <c r="L554" s="18" t="n">
        <f aca="false">K554-J554</f>
        <v>906.42</v>
      </c>
      <c r="M554" s="18" t="n">
        <f aca="false">MIN(Desain_Kolam!$B$21,MAX(0,M553+F554-H554-G554))</f>
        <v>11763.8</v>
      </c>
      <c r="N554" s="6" t="n">
        <f aca="false">IF(M553+F554-H554&gt;=G554,1,0)</f>
        <v>1</v>
      </c>
    </row>
    <row r="555" customFormat="false" ht="15" hidden="false" customHeight="false" outlineLevel="0" collapsed="false">
      <c r="A555" s="6" t="n">
        <v>2013</v>
      </c>
      <c r="B555" s="6" t="n">
        <v>11</v>
      </c>
      <c r="C555" s="4" t="n">
        <v>280</v>
      </c>
      <c r="D555" s="6" t="n">
        <v>30</v>
      </c>
      <c r="E555" s="4" t="n">
        <f aca="false">INDEX(Evaporasi!$B$3:$B$14,MATCH(B555,Evaporasi!$A$3:$A$14,0))</f>
        <v>120</v>
      </c>
      <c r="F555" s="18" t="n">
        <f aca="false">Kawasan!$B$11*Kawasan!$B$9*C555/1000</f>
        <v>2329.6</v>
      </c>
      <c r="G555" s="18" t="n">
        <f aca="false">Kawasan!$B$29*D555</f>
        <v>1382.4</v>
      </c>
      <c r="H555" s="18" t="n">
        <f aca="false">E555*Desain_Kolam!$B$16/1000</f>
        <v>128.7</v>
      </c>
      <c r="I555" s="18" t="n">
        <f aca="false">F555-G555-H555</f>
        <v>818.5</v>
      </c>
      <c r="J555" s="18" t="n">
        <f aca="false">J554+I555</f>
        <v>12582.3</v>
      </c>
      <c r="K555" s="18" t="n">
        <f aca="false">MAX(K554,J555)</f>
        <v>12670.22</v>
      </c>
      <c r="L555" s="18" t="n">
        <f aca="false">K555-J555</f>
        <v>87.9200000000001</v>
      </c>
      <c r="M555" s="18" t="n">
        <f aca="false">MIN(Desain_Kolam!$B$21,MAX(0,M554+F555-H555-G555))</f>
        <v>12582.3</v>
      </c>
      <c r="N555" s="6" t="n">
        <f aca="false">IF(M554+F555-H555&gt;=G555,1,0)</f>
        <v>1</v>
      </c>
    </row>
    <row r="556" customFormat="false" ht="15" hidden="false" customHeight="false" outlineLevel="0" collapsed="false">
      <c r="A556" s="6" t="n">
        <v>2013</v>
      </c>
      <c r="B556" s="6" t="n">
        <v>12</v>
      </c>
      <c r="C556" s="4" t="n">
        <v>280</v>
      </c>
      <c r="D556" s="6" t="n">
        <v>31</v>
      </c>
      <c r="E556" s="4" t="n">
        <f aca="false">INDEX(Evaporasi!$B$3:$B$14,MATCH(B556,Evaporasi!$A$3:$A$14,0))</f>
        <v>120</v>
      </c>
      <c r="F556" s="18" t="n">
        <f aca="false">Kawasan!$B$11*Kawasan!$B$9*C556/1000</f>
        <v>2329.6</v>
      </c>
      <c r="G556" s="18" t="n">
        <f aca="false">Kawasan!$B$29*D556</f>
        <v>1428.48</v>
      </c>
      <c r="H556" s="18" t="n">
        <f aca="false">E556*Desain_Kolam!$B$16/1000</f>
        <v>128.7</v>
      </c>
      <c r="I556" s="18" t="n">
        <f aca="false">F556-G556-H556</f>
        <v>772.42</v>
      </c>
      <c r="J556" s="18" t="n">
        <f aca="false">J555+I556</f>
        <v>13354.72</v>
      </c>
      <c r="K556" s="18" t="n">
        <f aca="false">MAX(K555,J556)</f>
        <v>13354.72</v>
      </c>
      <c r="L556" s="18" t="n">
        <f aca="false">K556-J556</f>
        <v>0</v>
      </c>
      <c r="M556" s="18" t="n">
        <f aca="false">MIN(Desain_Kolam!$B$21,MAX(0,M555+F556-H556-G556))</f>
        <v>13354.72</v>
      </c>
      <c r="N556" s="6" t="n">
        <f aca="false">IF(M555+F556-H556&gt;=G556,1,0)</f>
        <v>1</v>
      </c>
    </row>
    <row r="557" customFormat="false" ht="15" hidden="false" customHeight="false" outlineLevel="0" collapsed="false">
      <c r="A557" s="6" t="n">
        <v>2014</v>
      </c>
      <c r="B557" s="6" t="n">
        <v>1</v>
      </c>
      <c r="C557" s="4" t="n">
        <v>66</v>
      </c>
      <c r="D557" s="6" t="n">
        <v>31</v>
      </c>
      <c r="E557" s="4" t="n">
        <f aca="false">INDEX(Evaporasi!$B$3:$B$14,MATCH(B557,Evaporasi!$A$3:$A$14,0))</f>
        <v>120</v>
      </c>
      <c r="F557" s="18" t="n">
        <f aca="false">Kawasan!$B$11*Kawasan!$B$9*C557/1000</f>
        <v>549.12</v>
      </c>
      <c r="G557" s="18" t="n">
        <f aca="false">Kawasan!$B$29*D557</f>
        <v>1428.48</v>
      </c>
      <c r="H557" s="18" t="n">
        <f aca="false">E557*Desain_Kolam!$B$16/1000</f>
        <v>128.7</v>
      </c>
      <c r="I557" s="18" t="n">
        <f aca="false">F557-G557-H557</f>
        <v>-1008.06</v>
      </c>
      <c r="J557" s="18" t="n">
        <f aca="false">J556+I557</f>
        <v>12346.66</v>
      </c>
      <c r="K557" s="18" t="n">
        <f aca="false">MAX(K556,J557)</f>
        <v>13354.72</v>
      </c>
      <c r="L557" s="18" t="n">
        <f aca="false">K557-J557</f>
        <v>1008.06</v>
      </c>
      <c r="M557" s="18" t="n">
        <f aca="false">MIN(Desain_Kolam!$B$21,MAX(0,M556+F557-H557-G557))</f>
        <v>12346.66</v>
      </c>
      <c r="N557" s="6" t="n">
        <f aca="false">IF(M556+F557-H557&gt;=G557,1,0)</f>
        <v>1</v>
      </c>
    </row>
    <row r="558" customFormat="false" ht="15" hidden="false" customHeight="false" outlineLevel="0" collapsed="false">
      <c r="A558" s="6" t="n">
        <v>2014</v>
      </c>
      <c r="B558" s="6" t="n">
        <v>2</v>
      </c>
      <c r="C558" s="4" t="n">
        <v>24</v>
      </c>
      <c r="D558" s="6" t="n">
        <v>28</v>
      </c>
      <c r="E558" s="4" t="n">
        <f aca="false">INDEX(Evaporasi!$B$3:$B$14,MATCH(B558,Evaporasi!$A$3:$A$14,0))</f>
        <v>120</v>
      </c>
      <c r="F558" s="18" t="n">
        <f aca="false">Kawasan!$B$11*Kawasan!$B$9*C558/1000</f>
        <v>199.68</v>
      </c>
      <c r="G558" s="18" t="n">
        <f aca="false">Kawasan!$B$29*D558</f>
        <v>1290.24</v>
      </c>
      <c r="H558" s="18" t="n">
        <f aca="false">E558*Desain_Kolam!$B$16/1000</f>
        <v>128.7</v>
      </c>
      <c r="I558" s="18" t="n">
        <f aca="false">F558-G558-H558</f>
        <v>-1219.26</v>
      </c>
      <c r="J558" s="18" t="n">
        <f aca="false">J557+I558</f>
        <v>11127.4</v>
      </c>
      <c r="K558" s="18" t="n">
        <f aca="false">MAX(K557,J558)</f>
        <v>13354.72</v>
      </c>
      <c r="L558" s="18" t="n">
        <f aca="false">K558-J558</f>
        <v>2227.32</v>
      </c>
      <c r="M558" s="18" t="n">
        <f aca="false">MIN(Desain_Kolam!$B$21,MAX(0,M557+F558-H558-G558))</f>
        <v>11127.4</v>
      </c>
      <c r="N558" s="6" t="n">
        <f aca="false">IF(M557+F558-H558&gt;=G558,1,0)</f>
        <v>1</v>
      </c>
    </row>
    <row r="559" customFormat="false" ht="15" hidden="false" customHeight="false" outlineLevel="0" collapsed="false">
      <c r="A559" s="6" t="n">
        <v>2014</v>
      </c>
      <c r="B559" s="6" t="n">
        <v>3</v>
      </c>
      <c r="C559" s="4" t="n">
        <v>141</v>
      </c>
      <c r="D559" s="6" t="n">
        <v>31</v>
      </c>
      <c r="E559" s="4" t="n">
        <f aca="false">INDEX(Evaporasi!$B$3:$B$14,MATCH(B559,Evaporasi!$A$3:$A$14,0))</f>
        <v>120</v>
      </c>
      <c r="F559" s="18" t="n">
        <f aca="false">Kawasan!$B$11*Kawasan!$B$9*C559/1000</f>
        <v>1173.12</v>
      </c>
      <c r="G559" s="18" t="n">
        <f aca="false">Kawasan!$B$29*D559</f>
        <v>1428.48</v>
      </c>
      <c r="H559" s="18" t="n">
        <f aca="false">E559*Desain_Kolam!$B$16/1000</f>
        <v>128.7</v>
      </c>
      <c r="I559" s="18" t="n">
        <f aca="false">F559-G559-H559</f>
        <v>-384.06</v>
      </c>
      <c r="J559" s="18" t="n">
        <f aca="false">J558+I559</f>
        <v>10743.34</v>
      </c>
      <c r="K559" s="18" t="n">
        <f aca="false">MAX(K558,J559)</f>
        <v>13354.72</v>
      </c>
      <c r="L559" s="18" t="n">
        <f aca="false">K559-J559</f>
        <v>2611.38</v>
      </c>
      <c r="M559" s="18" t="n">
        <f aca="false">MIN(Desain_Kolam!$B$21,MAX(0,M558+F559-H559-G559))</f>
        <v>10743.34</v>
      </c>
      <c r="N559" s="6" t="n">
        <f aca="false">IF(M558+F559-H559&gt;=G559,1,0)</f>
        <v>1</v>
      </c>
    </row>
    <row r="560" customFormat="false" ht="15" hidden="false" customHeight="false" outlineLevel="0" collapsed="false">
      <c r="A560" s="6" t="n">
        <v>2014</v>
      </c>
      <c r="B560" s="6" t="n">
        <v>4</v>
      </c>
      <c r="C560" s="4" t="n">
        <v>129</v>
      </c>
      <c r="D560" s="6" t="n">
        <v>30</v>
      </c>
      <c r="E560" s="4" t="n">
        <f aca="false">INDEX(Evaporasi!$B$3:$B$14,MATCH(B560,Evaporasi!$A$3:$A$14,0))</f>
        <v>120</v>
      </c>
      <c r="F560" s="18" t="n">
        <f aca="false">Kawasan!$B$11*Kawasan!$B$9*C560/1000</f>
        <v>1073.28</v>
      </c>
      <c r="G560" s="18" t="n">
        <f aca="false">Kawasan!$B$29*D560</f>
        <v>1382.4</v>
      </c>
      <c r="H560" s="18" t="n">
        <f aca="false">E560*Desain_Kolam!$B$16/1000</f>
        <v>128.7</v>
      </c>
      <c r="I560" s="18" t="n">
        <f aca="false">F560-G560-H560</f>
        <v>-437.82</v>
      </c>
      <c r="J560" s="18" t="n">
        <f aca="false">J559+I560</f>
        <v>10305.52</v>
      </c>
      <c r="K560" s="18" t="n">
        <f aca="false">MAX(K559,J560)</f>
        <v>13354.72</v>
      </c>
      <c r="L560" s="18" t="n">
        <f aca="false">K560-J560</f>
        <v>3049.2</v>
      </c>
      <c r="M560" s="18" t="n">
        <f aca="false">MIN(Desain_Kolam!$B$21,MAX(0,M559+F560-H560-G560))</f>
        <v>10305.52</v>
      </c>
      <c r="N560" s="6" t="n">
        <f aca="false">IF(M559+F560-H560&gt;=G560,1,0)</f>
        <v>1</v>
      </c>
    </row>
    <row r="561" customFormat="false" ht="15" hidden="false" customHeight="false" outlineLevel="0" collapsed="false">
      <c r="A561" s="6" t="n">
        <v>2014</v>
      </c>
      <c r="B561" s="6" t="n">
        <v>5</v>
      </c>
      <c r="C561" s="4" t="n">
        <v>279</v>
      </c>
      <c r="D561" s="6" t="n">
        <v>31</v>
      </c>
      <c r="E561" s="4" t="n">
        <f aca="false">INDEX(Evaporasi!$B$3:$B$14,MATCH(B561,Evaporasi!$A$3:$A$14,0))</f>
        <v>120</v>
      </c>
      <c r="F561" s="18" t="n">
        <f aca="false">Kawasan!$B$11*Kawasan!$B$9*C561/1000</f>
        <v>2321.28</v>
      </c>
      <c r="G561" s="18" t="n">
        <f aca="false">Kawasan!$B$29*D561</f>
        <v>1428.48</v>
      </c>
      <c r="H561" s="18" t="n">
        <f aca="false">E561*Desain_Kolam!$B$16/1000</f>
        <v>128.7</v>
      </c>
      <c r="I561" s="18" t="n">
        <f aca="false">F561-G561-H561</f>
        <v>764.1</v>
      </c>
      <c r="J561" s="18" t="n">
        <f aca="false">J560+I561</f>
        <v>11069.62</v>
      </c>
      <c r="K561" s="18" t="n">
        <f aca="false">MAX(K560,J561)</f>
        <v>13354.72</v>
      </c>
      <c r="L561" s="18" t="n">
        <f aca="false">K561-J561</f>
        <v>2285.1</v>
      </c>
      <c r="M561" s="18" t="n">
        <f aca="false">MIN(Desain_Kolam!$B$21,MAX(0,M560+F561-H561-G561))</f>
        <v>11069.62</v>
      </c>
      <c r="N561" s="6" t="n">
        <f aca="false">IF(M560+F561-H561&gt;=G561,1,0)</f>
        <v>1</v>
      </c>
    </row>
    <row r="562" customFormat="false" ht="15" hidden="false" customHeight="false" outlineLevel="0" collapsed="false">
      <c r="A562" s="6" t="n">
        <v>2014</v>
      </c>
      <c r="B562" s="6" t="n">
        <v>6</v>
      </c>
      <c r="C562" s="4" t="n">
        <v>231</v>
      </c>
      <c r="D562" s="6" t="n">
        <v>30</v>
      </c>
      <c r="E562" s="4" t="n">
        <f aca="false">INDEX(Evaporasi!$B$3:$B$14,MATCH(B562,Evaporasi!$A$3:$A$14,0))</f>
        <v>120</v>
      </c>
      <c r="F562" s="18" t="n">
        <f aca="false">Kawasan!$B$11*Kawasan!$B$9*C562/1000</f>
        <v>1921.92</v>
      </c>
      <c r="G562" s="18" t="n">
        <f aca="false">Kawasan!$B$29*D562</f>
        <v>1382.4</v>
      </c>
      <c r="H562" s="18" t="n">
        <f aca="false">E562*Desain_Kolam!$B$16/1000</f>
        <v>128.7</v>
      </c>
      <c r="I562" s="18" t="n">
        <f aca="false">F562-G562-H562</f>
        <v>410.82</v>
      </c>
      <c r="J562" s="18" t="n">
        <f aca="false">J561+I562</f>
        <v>11480.44</v>
      </c>
      <c r="K562" s="18" t="n">
        <f aca="false">MAX(K561,J562)</f>
        <v>13354.72</v>
      </c>
      <c r="L562" s="18" t="n">
        <f aca="false">K562-J562</f>
        <v>1874.28</v>
      </c>
      <c r="M562" s="18" t="n">
        <f aca="false">MIN(Desain_Kolam!$B$21,MAX(0,M561+F562-H562-G562))</f>
        <v>11480.44</v>
      </c>
      <c r="N562" s="6" t="n">
        <f aca="false">IF(M561+F562-H562&gt;=G562,1,0)</f>
        <v>1</v>
      </c>
    </row>
    <row r="563" customFormat="false" ht="15" hidden="false" customHeight="false" outlineLevel="0" collapsed="false">
      <c r="A563" s="6" t="n">
        <v>2014</v>
      </c>
      <c r="B563" s="6" t="n">
        <v>7</v>
      </c>
      <c r="C563" s="4" t="n">
        <v>93</v>
      </c>
      <c r="D563" s="6" t="n">
        <v>31</v>
      </c>
      <c r="E563" s="4" t="n">
        <f aca="false">INDEX(Evaporasi!$B$3:$B$14,MATCH(B563,Evaporasi!$A$3:$A$14,0))</f>
        <v>120</v>
      </c>
      <c r="F563" s="18" t="n">
        <f aca="false">Kawasan!$B$11*Kawasan!$B$9*C563/1000</f>
        <v>773.76</v>
      </c>
      <c r="G563" s="18" t="n">
        <f aca="false">Kawasan!$B$29*D563</f>
        <v>1428.48</v>
      </c>
      <c r="H563" s="18" t="n">
        <f aca="false">E563*Desain_Kolam!$B$16/1000</f>
        <v>128.7</v>
      </c>
      <c r="I563" s="18" t="n">
        <f aca="false">F563-G563-H563</f>
        <v>-783.42</v>
      </c>
      <c r="J563" s="18" t="n">
        <f aca="false">J562+I563</f>
        <v>10697.02</v>
      </c>
      <c r="K563" s="18" t="n">
        <f aca="false">MAX(K562,J563)</f>
        <v>13354.72</v>
      </c>
      <c r="L563" s="18" t="n">
        <f aca="false">K563-J563</f>
        <v>2657.7</v>
      </c>
      <c r="M563" s="18" t="n">
        <f aca="false">MIN(Desain_Kolam!$B$21,MAX(0,M562+F563-H563-G563))</f>
        <v>10697.02</v>
      </c>
      <c r="N563" s="6" t="n">
        <f aca="false">IF(M562+F563-H563&gt;=G563,1,0)</f>
        <v>1</v>
      </c>
    </row>
    <row r="564" customFormat="false" ht="15" hidden="false" customHeight="false" outlineLevel="0" collapsed="false">
      <c r="A564" s="6" t="n">
        <v>2014</v>
      </c>
      <c r="B564" s="6" t="n">
        <v>8</v>
      </c>
      <c r="C564" s="4" t="n">
        <v>303</v>
      </c>
      <c r="D564" s="6" t="n">
        <v>31</v>
      </c>
      <c r="E564" s="4" t="n">
        <f aca="false">INDEX(Evaporasi!$B$3:$B$14,MATCH(B564,Evaporasi!$A$3:$A$14,0))</f>
        <v>120</v>
      </c>
      <c r="F564" s="18" t="n">
        <f aca="false">Kawasan!$B$11*Kawasan!$B$9*C564/1000</f>
        <v>2520.96</v>
      </c>
      <c r="G564" s="18" t="n">
        <f aca="false">Kawasan!$B$29*D564</f>
        <v>1428.48</v>
      </c>
      <c r="H564" s="18" t="n">
        <f aca="false">E564*Desain_Kolam!$B$16/1000</f>
        <v>128.7</v>
      </c>
      <c r="I564" s="18" t="n">
        <f aca="false">F564-G564-H564</f>
        <v>963.78</v>
      </c>
      <c r="J564" s="18" t="n">
        <f aca="false">J563+I564</f>
        <v>11660.8</v>
      </c>
      <c r="K564" s="18" t="n">
        <f aca="false">MAX(K563,J564)</f>
        <v>13354.72</v>
      </c>
      <c r="L564" s="18" t="n">
        <f aca="false">K564-J564</f>
        <v>1693.92</v>
      </c>
      <c r="M564" s="18" t="n">
        <f aca="false">MIN(Desain_Kolam!$B$21,MAX(0,M563+F564-H564-G564))</f>
        <v>11660.8</v>
      </c>
      <c r="N564" s="6" t="n">
        <f aca="false">IF(M563+F564-H564&gt;=G564,1,0)</f>
        <v>1</v>
      </c>
    </row>
    <row r="565" customFormat="false" ht="15" hidden="false" customHeight="false" outlineLevel="0" collapsed="false">
      <c r="A565" s="6" t="n">
        <v>2014</v>
      </c>
      <c r="B565" s="6" t="n">
        <v>9</v>
      </c>
      <c r="C565" s="4" t="n">
        <v>156</v>
      </c>
      <c r="D565" s="6" t="n">
        <v>30</v>
      </c>
      <c r="E565" s="4" t="n">
        <f aca="false">INDEX(Evaporasi!$B$3:$B$14,MATCH(B565,Evaporasi!$A$3:$A$14,0))</f>
        <v>120</v>
      </c>
      <c r="F565" s="18" t="n">
        <f aca="false">Kawasan!$B$11*Kawasan!$B$9*C565/1000</f>
        <v>1297.92</v>
      </c>
      <c r="G565" s="18" t="n">
        <f aca="false">Kawasan!$B$29*D565</f>
        <v>1382.4</v>
      </c>
      <c r="H565" s="18" t="n">
        <f aca="false">E565*Desain_Kolam!$B$16/1000</f>
        <v>128.7</v>
      </c>
      <c r="I565" s="18" t="n">
        <f aca="false">F565-G565-H565</f>
        <v>-213.18</v>
      </c>
      <c r="J565" s="18" t="n">
        <f aca="false">J564+I565</f>
        <v>11447.62</v>
      </c>
      <c r="K565" s="18" t="n">
        <f aca="false">MAX(K564,J565)</f>
        <v>13354.72</v>
      </c>
      <c r="L565" s="18" t="n">
        <f aca="false">K565-J565</f>
        <v>1907.1</v>
      </c>
      <c r="M565" s="18" t="n">
        <f aca="false">MIN(Desain_Kolam!$B$21,MAX(0,M564+F565-H565-G565))</f>
        <v>11447.62</v>
      </c>
      <c r="N565" s="6" t="n">
        <f aca="false">IF(M564+F565-H565&gt;=G565,1,0)</f>
        <v>1</v>
      </c>
    </row>
    <row r="566" customFormat="false" ht="15" hidden="false" customHeight="false" outlineLevel="0" collapsed="false">
      <c r="A566" s="6" t="n">
        <v>2014</v>
      </c>
      <c r="B566" s="6" t="n">
        <v>10</v>
      </c>
      <c r="C566" s="4" t="n">
        <v>226</v>
      </c>
      <c r="D566" s="6" t="n">
        <v>31</v>
      </c>
      <c r="E566" s="4" t="n">
        <f aca="false">INDEX(Evaporasi!$B$3:$B$14,MATCH(B566,Evaporasi!$A$3:$A$14,0))</f>
        <v>120</v>
      </c>
      <c r="F566" s="18" t="n">
        <f aca="false">Kawasan!$B$11*Kawasan!$B$9*C566/1000</f>
        <v>1880.32</v>
      </c>
      <c r="G566" s="18" t="n">
        <f aca="false">Kawasan!$B$29*D566</f>
        <v>1428.48</v>
      </c>
      <c r="H566" s="18" t="n">
        <f aca="false">E566*Desain_Kolam!$B$16/1000</f>
        <v>128.7</v>
      </c>
      <c r="I566" s="18" t="n">
        <f aca="false">F566-G566-H566</f>
        <v>323.14</v>
      </c>
      <c r="J566" s="18" t="n">
        <f aca="false">J565+I566</f>
        <v>11770.76</v>
      </c>
      <c r="K566" s="18" t="n">
        <f aca="false">MAX(K565,J566)</f>
        <v>13354.72</v>
      </c>
      <c r="L566" s="18" t="n">
        <f aca="false">K566-J566</f>
        <v>1583.96</v>
      </c>
      <c r="M566" s="18" t="n">
        <f aca="false">MIN(Desain_Kolam!$B$21,MAX(0,M565+F566-H566-G566))</f>
        <v>11770.76</v>
      </c>
      <c r="N566" s="6" t="n">
        <f aca="false">IF(M565+F566-H566&gt;=G566,1,0)</f>
        <v>1</v>
      </c>
    </row>
    <row r="567" customFormat="false" ht="15" hidden="false" customHeight="false" outlineLevel="0" collapsed="false">
      <c r="A567" s="6" t="n">
        <v>2014</v>
      </c>
      <c r="B567" s="6" t="n">
        <v>11</v>
      </c>
      <c r="C567" s="4" t="n">
        <v>290</v>
      </c>
      <c r="D567" s="6" t="n">
        <v>30</v>
      </c>
      <c r="E567" s="4" t="n">
        <f aca="false">INDEX(Evaporasi!$B$3:$B$14,MATCH(B567,Evaporasi!$A$3:$A$14,0))</f>
        <v>120</v>
      </c>
      <c r="F567" s="18" t="n">
        <f aca="false">Kawasan!$B$11*Kawasan!$B$9*C567/1000</f>
        <v>2412.8</v>
      </c>
      <c r="G567" s="18" t="n">
        <f aca="false">Kawasan!$B$29*D567</f>
        <v>1382.4</v>
      </c>
      <c r="H567" s="18" t="n">
        <f aca="false">E567*Desain_Kolam!$B$16/1000</f>
        <v>128.7</v>
      </c>
      <c r="I567" s="18" t="n">
        <f aca="false">F567-G567-H567</f>
        <v>901.7</v>
      </c>
      <c r="J567" s="18" t="n">
        <f aca="false">J566+I567</f>
        <v>12672.46</v>
      </c>
      <c r="K567" s="18" t="n">
        <f aca="false">MAX(K566,J567)</f>
        <v>13354.72</v>
      </c>
      <c r="L567" s="18" t="n">
        <f aca="false">K567-J567</f>
        <v>682.259999999998</v>
      </c>
      <c r="M567" s="18" t="n">
        <f aca="false">MIN(Desain_Kolam!$B$21,MAX(0,M566+F567-H567-G567))</f>
        <v>12672.46</v>
      </c>
      <c r="N567" s="6" t="n">
        <f aca="false">IF(M566+F567-H567&gt;=G567,1,0)</f>
        <v>1</v>
      </c>
    </row>
    <row r="568" customFormat="false" ht="15" hidden="false" customHeight="false" outlineLevel="0" collapsed="false">
      <c r="A568" s="6" t="n">
        <v>2014</v>
      </c>
      <c r="B568" s="6" t="n">
        <v>12</v>
      </c>
      <c r="C568" s="4" t="n">
        <v>448</v>
      </c>
      <c r="D568" s="6" t="n">
        <v>31</v>
      </c>
      <c r="E568" s="4" t="n">
        <f aca="false">INDEX(Evaporasi!$B$3:$B$14,MATCH(B568,Evaporasi!$A$3:$A$14,0))</f>
        <v>120</v>
      </c>
      <c r="F568" s="18" t="n">
        <f aca="false">Kawasan!$B$11*Kawasan!$B$9*C568/1000</f>
        <v>3727.36</v>
      </c>
      <c r="G568" s="18" t="n">
        <f aca="false">Kawasan!$B$29*D568</f>
        <v>1428.48</v>
      </c>
      <c r="H568" s="18" t="n">
        <f aca="false">E568*Desain_Kolam!$B$16/1000</f>
        <v>128.7</v>
      </c>
      <c r="I568" s="18" t="n">
        <f aca="false">F568-G568-H568</f>
        <v>2170.18</v>
      </c>
      <c r="J568" s="18" t="n">
        <f aca="false">J567+I568</f>
        <v>14842.64</v>
      </c>
      <c r="K568" s="18" t="n">
        <f aca="false">MAX(K567,J568)</f>
        <v>14842.64</v>
      </c>
      <c r="L568" s="18" t="n">
        <f aca="false">K568-J568</f>
        <v>0</v>
      </c>
      <c r="M568" s="18" t="n">
        <f aca="false">MIN(Desain_Kolam!$B$21,MAX(0,M567+F568-H568-G568))</f>
        <v>14842.64</v>
      </c>
      <c r="N568" s="6" t="n">
        <f aca="false">IF(M567+F568-H568&gt;=G568,1,0)</f>
        <v>1</v>
      </c>
    </row>
    <row r="569" customFormat="false" ht="15" hidden="false" customHeight="false" outlineLevel="0" collapsed="false">
      <c r="A569" s="6" t="n">
        <v>2015</v>
      </c>
      <c r="B569" s="6" t="n">
        <v>1</v>
      </c>
      <c r="C569" s="4" t="n">
        <v>266</v>
      </c>
      <c r="D569" s="6" t="n">
        <v>31</v>
      </c>
      <c r="E569" s="4" t="n">
        <f aca="false">INDEX(Evaporasi!$B$3:$B$14,MATCH(B569,Evaporasi!$A$3:$A$14,0))</f>
        <v>120</v>
      </c>
      <c r="F569" s="18" t="n">
        <f aca="false">Kawasan!$B$11*Kawasan!$B$9*C569/1000</f>
        <v>2213.12</v>
      </c>
      <c r="G569" s="18" t="n">
        <f aca="false">Kawasan!$B$29*D569</f>
        <v>1428.48</v>
      </c>
      <c r="H569" s="18" t="n">
        <f aca="false">E569*Desain_Kolam!$B$16/1000</f>
        <v>128.7</v>
      </c>
      <c r="I569" s="18" t="n">
        <f aca="false">F569-G569-H569</f>
        <v>655.94</v>
      </c>
      <c r="J569" s="18" t="n">
        <f aca="false">J568+I569</f>
        <v>15498.58</v>
      </c>
      <c r="K569" s="18" t="n">
        <f aca="false">MAX(K568,J569)</f>
        <v>15498.58</v>
      </c>
      <c r="L569" s="18" t="n">
        <f aca="false">K569-J569</f>
        <v>0</v>
      </c>
      <c r="M569" s="18" t="n">
        <f aca="false">MIN(Desain_Kolam!$B$21,MAX(0,M568+F569-H569-G569))</f>
        <v>15148.38</v>
      </c>
      <c r="N569" s="6" t="n">
        <f aca="false">IF(M568+F569-H569&gt;=G569,1,0)</f>
        <v>1</v>
      </c>
    </row>
    <row r="570" customFormat="false" ht="15" hidden="false" customHeight="false" outlineLevel="0" collapsed="false">
      <c r="A570" s="6" t="n">
        <v>2015</v>
      </c>
      <c r="B570" s="6" t="n">
        <v>2</v>
      </c>
      <c r="C570" s="4" t="n">
        <v>351</v>
      </c>
      <c r="D570" s="6" t="n">
        <v>28</v>
      </c>
      <c r="E570" s="4" t="n">
        <f aca="false">INDEX(Evaporasi!$B$3:$B$14,MATCH(B570,Evaporasi!$A$3:$A$14,0))</f>
        <v>120</v>
      </c>
      <c r="F570" s="18" t="n">
        <f aca="false">Kawasan!$B$11*Kawasan!$B$9*C570/1000</f>
        <v>2920.32</v>
      </c>
      <c r="G570" s="18" t="n">
        <f aca="false">Kawasan!$B$29*D570</f>
        <v>1290.24</v>
      </c>
      <c r="H570" s="18" t="n">
        <f aca="false">E570*Desain_Kolam!$B$16/1000</f>
        <v>128.7</v>
      </c>
      <c r="I570" s="18" t="n">
        <f aca="false">F570-G570-H570</f>
        <v>1501.38</v>
      </c>
      <c r="J570" s="18" t="n">
        <f aca="false">J569+I570</f>
        <v>16999.96</v>
      </c>
      <c r="K570" s="18" t="n">
        <f aca="false">MAX(K569,J570)</f>
        <v>16999.96</v>
      </c>
      <c r="L570" s="18" t="n">
        <f aca="false">K570-J570</f>
        <v>0</v>
      </c>
      <c r="M570" s="18" t="n">
        <f aca="false">MIN(Desain_Kolam!$B$21,MAX(0,M569+F570-H570-G570))</f>
        <v>15148.38</v>
      </c>
      <c r="N570" s="6" t="n">
        <f aca="false">IF(M569+F570-H570&gt;=G570,1,0)</f>
        <v>1</v>
      </c>
    </row>
    <row r="571" customFormat="false" ht="15" hidden="false" customHeight="false" outlineLevel="0" collapsed="false">
      <c r="A571" s="6" t="n">
        <v>2015</v>
      </c>
      <c r="B571" s="6" t="n">
        <v>3</v>
      </c>
      <c r="C571" s="4" t="n">
        <v>222</v>
      </c>
      <c r="D571" s="6" t="n">
        <v>31</v>
      </c>
      <c r="E571" s="4" t="n">
        <f aca="false">INDEX(Evaporasi!$B$3:$B$14,MATCH(B571,Evaporasi!$A$3:$A$14,0))</f>
        <v>120</v>
      </c>
      <c r="F571" s="18" t="n">
        <f aca="false">Kawasan!$B$11*Kawasan!$B$9*C571/1000</f>
        <v>1847.04</v>
      </c>
      <c r="G571" s="18" t="n">
        <f aca="false">Kawasan!$B$29*D571</f>
        <v>1428.48</v>
      </c>
      <c r="H571" s="18" t="n">
        <f aca="false">E571*Desain_Kolam!$B$16/1000</f>
        <v>128.7</v>
      </c>
      <c r="I571" s="18" t="n">
        <f aca="false">F571-G571-H571</f>
        <v>289.86</v>
      </c>
      <c r="J571" s="18" t="n">
        <f aca="false">J570+I571</f>
        <v>17289.82</v>
      </c>
      <c r="K571" s="18" t="n">
        <f aca="false">MAX(K570,J571)</f>
        <v>17289.82</v>
      </c>
      <c r="L571" s="18" t="n">
        <f aca="false">K571-J571</f>
        <v>0</v>
      </c>
      <c r="M571" s="18" t="n">
        <f aca="false">MIN(Desain_Kolam!$B$21,MAX(0,M570+F571-H571-G571))</f>
        <v>15148.38</v>
      </c>
      <c r="N571" s="6" t="n">
        <f aca="false">IF(M570+F571-H571&gt;=G571,1,0)</f>
        <v>1</v>
      </c>
    </row>
    <row r="572" customFormat="false" ht="15" hidden="false" customHeight="false" outlineLevel="0" collapsed="false">
      <c r="A572" s="6" t="n">
        <v>2015</v>
      </c>
      <c r="B572" s="6" t="n">
        <v>4</v>
      </c>
      <c r="C572" s="4" t="n">
        <v>202</v>
      </c>
      <c r="D572" s="6" t="n">
        <v>30</v>
      </c>
      <c r="E572" s="4" t="n">
        <f aca="false">INDEX(Evaporasi!$B$3:$B$14,MATCH(B572,Evaporasi!$A$3:$A$14,0))</f>
        <v>120</v>
      </c>
      <c r="F572" s="18" t="n">
        <f aca="false">Kawasan!$B$11*Kawasan!$B$9*C572/1000</f>
        <v>1680.64</v>
      </c>
      <c r="G572" s="18" t="n">
        <f aca="false">Kawasan!$B$29*D572</f>
        <v>1382.4</v>
      </c>
      <c r="H572" s="18" t="n">
        <f aca="false">E572*Desain_Kolam!$B$16/1000</f>
        <v>128.7</v>
      </c>
      <c r="I572" s="18" t="n">
        <f aca="false">F572-G572-H572</f>
        <v>169.54</v>
      </c>
      <c r="J572" s="18" t="n">
        <f aca="false">J571+I572</f>
        <v>17459.36</v>
      </c>
      <c r="K572" s="18" t="n">
        <f aca="false">MAX(K571,J572)</f>
        <v>17459.36</v>
      </c>
      <c r="L572" s="18" t="n">
        <f aca="false">K572-J572</f>
        <v>0</v>
      </c>
      <c r="M572" s="18" t="n">
        <f aca="false">MIN(Desain_Kolam!$B$21,MAX(0,M571+F572-H572-G572))</f>
        <v>15148.38</v>
      </c>
      <c r="N572" s="6" t="n">
        <f aca="false">IF(M571+F572-H572&gt;=G572,1,0)</f>
        <v>1</v>
      </c>
    </row>
    <row r="573" customFormat="false" ht="15" hidden="false" customHeight="false" outlineLevel="0" collapsed="false">
      <c r="A573" s="6" t="n">
        <v>2015</v>
      </c>
      <c r="B573" s="6" t="n">
        <v>5</v>
      </c>
      <c r="C573" s="4" t="n">
        <v>341</v>
      </c>
      <c r="D573" s="6" t="n">
        <v>31</v>
      </c>
      <c r="E573" s="4" t="n">
        <f aca="false">INDEX(Evaporasi!$B$3:$B$14,MATCH(B573,Evaporasi!$A$3:$A$14,0))</f>
        <v>120</v>
      </c>
      <c r="F573" s="18" t="n">
        <f aca="false">Kawasan!$B$11*Kawasan!$B$9*C573/1000</f>
        <v>2837.12</v>
      </c>
      <c r="G573" s="18" t="n">
        <f aca="false">Kawasan!$B$29*D573</f>
        <v>1428.48</v>
      </c>
      <c r="H573" s="18" t="n">
        <f aca="false">E573*Desain_Kolam!$B$16/1000</f>
        <v>128.7</v>
      </c>
      <c r="I573" s="18" t="n">
        <f aca="false">F573-G573-H573</f>
        <v>1279.94</v>
      </c>
      <c r="J573" s="18" t="n">
        <f aca="false">J572+I573</f>
        <v>18739.3</v>
      </c>
      <c r="K573" s="18" t="n">
        <f aca="false">MAX(K572,J573)</f>
        <v>18739.3</v>
      </c>
      <c r="L573" s="18" t="n">
        <f aca="false">K573-J573</f>
        <v>0</v>
      </c>
      <c r="M573" s="18" t="n">
        <f aca="false">MIN(Desain_Kolam!$B$21,MAX(0,M572+F573-H573-G573))</f>
        <v>15148.38</v>
      </c>
      <c r="N573" s="6" t="n">
        <f aca="false">IF(M572+F573-H573&gt;=G573,1,0)</f>
        <v>1</v>
      </c>
    </row>
    <row r="574" customFormat="false" ht="15" hidden="false" customHeight="false" outlineLevel="0" collapsed="false">
      <c r="A574" s="6" t="n">
        <v>2015</v>
      </c>
      <c r="B574" s="6" t="n">
        <v>6</v>
      </c>
      <c r="C574" s="4" t="n">
        <v>284</v>
      </c>
      <c r="D574" s="6" t="n">
        <v>30</v>
      </c>
      <c r="E574" s="4" t="n">
        <f aca="false">INDEX(Evaporasi!$B$3:$B$14,MATCH(B574,Evaporasi!$A$3:$A$14,0))</f>
        <v>120</v>
      </c>
      <c r="F574" s="18" t="n">
        <f aca="false">Kawasan!$B$11*Kawasan!$B$9*C574/1000</f>
        <v>2362.88</v>
      </c>
      <c r="G574" s="18" t="n">
        <f aca="false">Kawasan!$B$29*D574</f>
        <v>1382.4</v>
      </c>
      <c r="H574" s="18" t="n">
        <f aca="false">E574*Desain_Kolam!$B$16/1000</f>
        <v>128.7</v>
      </c>
      <c r="I574" s="18" t="n">
        <f aca="false">F574-G574-H574</f>
        <v>851.78</v>
      </c>
      <c r="J574" s="18" t="n">
        <f aca="false">J573+I574</f>
        <v>19591.08</v>
      </c>
      <c r="K574" s="18" t="n">
        <f aca="false">MAX(K573,J574)</f>
        <v>19591.08</v>
      </c>
      <c r="L574" s="18" t="n">
        <f aca="false">K574-J574</f>
        <v>0</v>
      </c>
      <c r="M574" s="18" t="n">
        <f aca="false">MIN(Desain_Kolam!$B$21,MAX(0,M573+F574-H574-G574))</f>
        <v>15148.38</v>
      </c>
      <c r="N574" s="6" t="n">
        <f aca="false">IF(M573+F574-H574&gt;=G574,1,0)</f>
        <v>1</v>
      </c>
    </row>
    <row r="575" customFormat="false" ht="15" hidden="false" customHeight="false" outlineLevel="0" collapsed="false">
      <c r="A575" s="6" t="n">
        <v>2015</v>
      </c>
      <c r="B575" s="6" t="n">
        <v>7</v>
      </c>
      <c r="C575" s="4" t="n">
        <v>290</v>
      </c>
      <c r="D575" s="6" t="n">
        <v>31</v>
      </c>
      <c r="E575" s="4" t="n">
        <f aca="false">INDEX(Evaporasi!$B$3:$B$14,MATCH(B575,Evaporasi!$A$3:$A$14,0))</f>
        <v>120</v>
      </c>
      <c r="F575" s="18" t="n">
        <f aca="false">Kawasan!$B$11*Kawasan!$B$9*C575/1000</f>
        <v>2412.8</v>
      </c>
      <c r="G575" s="18" t="n">
        <f aca="false">Kawasan!$B$29*D575</f>
        <v>1428.48</v>
      </c>
      <c r="H575" s="18" t="n">
        <f aca="false">E575*Desain_Kolam!$B$16/1000</f>
        <v>128.7</v>
      </c>
      <c r="I575" s="18" t="n">
        <f aca="false">F575-G575-H575</f>
        <v>855.62</v>
      </c>
      <c r="J575" s="18" t="n">
        <f aca="false">J574+I575</f>
        <v>20446.7</v>
      </c>
      <c r="K575" s="18" t="n">
        <f aca="false">MAX(K574,J575)</f>
        <v>20446.7</v>
      </c>
      <c r="L575" s="18" t="n">
        <f aca="false">K575-J575</f>
        <v>0</v>
      </c>
      <c r="M575" s="18" t="n">
        <f aca="false">MIN(Desain_Kolam!$B$21,MAX(0,M574+F575-H575-G575))</f>
        <v>15148.38</v>
      </c>
      <c r="N575" s="6" t="n">
        <f aca="false">IF(M574+F575-H575&gt;=G575,1,0)</f>
        <v>1</v>
      </c>
    </row>
    <row r="576" customFormat="false" ht="15" hidden="false" customHeight="false" outlineLevel="0" collapsed="false">
      <c r="A576" s="6" t="n">
        <v>2015</v>
      </c>
      <c r="B576" s="6" t="n">
        <v>8</v>
      </c>
      <c r="C576" s="4" t="n">
        <v>86</v>
      </c>
      <c r="D576" s="6" t="n">
        <v>31</v>
      </c>
      <c r="E576" s="4" t="n">
        <f aca="false">INDEX(Evaporasi!$B$3:$B$14,MATCH(B576,Evaporasi!$A$3:$A$14,0))</f>
        <v>120</v>
      </c>
      <c r="F576" s="18" t="n">
        <f aca="false">Kawasan!$B$11*Kawasan!$B$9*C576/1000</f>
        <v>715.52</v>
      </c>
      <c r="G576" s="18" t="n">
        <f aca="false">Kawasan!$B$29*D576</f>
        <v>1428.48</v>
      </c>
      <c r="H576" s="18" t="n">
        <f aca="false">E576*Desain_Kolam!$B$16/1000</f>
        <v>128.7</v>
      </c>
      <c r="I576" s="18" t="n">
        <f aca="false">F576-G576-H576</f>
        <v>-841.66</v>
      </c>
      <c r="J576" s="18" t="n">
        <f aca="false">J575+I576</f>
        <v>19605.04</v>
      </c>
      <c r="K576" s="18" t="n">
        <f aca="false">MAX(K575,J576)</f>
        <v>20446.7</v>
      </c>
      <c r="L576" s="18" t="n">
        <f aca="false">K576-J576</f>
        <v>841.66</v>
      </c>
      <c r="M576" s="18" t="n">
        <f aca="false">MIN(Desain_Kolam!$B$21,MAX(0,M575+F576-H576-G576))</f>
        <v>14306.72</v>
      </c>
      <c r="N576" s="6" t="n">
        <f aca="false">IF(M575+F576-H576&gt;=G576,1,0)</f>
        <v>1</v>
      </c>
    </row>
    <row r="577" customFormat="false" ht="15" hidden="false" customHeight="false" outlineLevel="0" collapsed="false">
      <c r="A577" s="6" t="n">
        <v>2015</v>
      </c>
      <c r="B577" s="6" t="n">
        <v>9</v>
      </c>
      <c r="C577" s="4" t="n">
        <v>37</v>
      </c>
      <c r="D577" s="6" t="n">
        <v>30</v>
      </c>
      <c r="E577" s="4" t="n">
        <f aca="false">INDEX(Evaporasi!$B$3:$B$14,MATCH(B577,Evaporasi!$A$3:$A$14,0))</f>
        <v>120</v>
      </c>
      <c r="F577" s="18" t="n">
        <f aca="false">Kawasan!$B$11*Kawasan!$B$9*C577/1000</f>
        <v>307.84</v>
      </c>
      <c r="G577" s="18" t="n">
        <f aca="false">Kawasan!$B$29*D577</f>
        <v>1382.4</v>
      </c>
      <c r="H577" s="18" t="n">
        <f aca="false">E577*Desain_Kolam!$B$16/1000</f>
        <v>128.7</v>
      </c>
      <c r="I577" s="18" t="n">
        <f aca="false">F577-G577-H577</f>
        <v>-1203.26</v>
      </c>
      <c r="J577" s="18" t="n">
        <f aca="false">J576+I577</f>
        <v>18401.78</v>
      </c>
      <c r="K577" s="18" t="n">
        <f aca="false">MAX(K576,J577)</f>
        <v>20446.7</v>
      </c>
      <c r="L577" s="18" t="n">
        <f aca="false">K577-J577</f>
        <v>2044.92</v>
      </c>
      <c r="M577" s="18" t="n">
        <f aca="false">MIN(Desain_Kolam!$B$21,MAX(0,M576+F577-H577-G577))</f>
        <v>13103.46</v>
      </c>
      <c r="N577" s="6" t="n">
        <f aca="false">IF(M576+F577-H577&gt;=G577,1,0)</f>
        <v>1</v>
      </c>
    </row>
    <row r="578" customFormat="false" ht="15" hidden="false" customHeight="false" outlineLevel="0" collapsed="false">
      <c r="A578" s="6" t="n">
        <v>2015</v>
      </c>
      <c r="B578" s="6" t="n">
        <v>10</v>
      </c>
      <c r="C578" s="4" t="n">
        <v>159</v>
      </c>
      <c r="D578" s="6" t="n">
        <v>31</v>
      </c>
      <c r="E578" s="4" t="n">
        <f aca="false">INDEX(Evaporasi!$B$3:$B$14,MATCH(B578,Evaporasi!$A$3:$A$14,0))</f>
        <v>120</v>
      </c>
      <c r="F578" s="18" t="n">
        <f aca="false">Kawasan!$B$11*Kawasan!$B$9*C578/1000</f>
        <v>1322.88</v>
      </c>
      <c r="G578" s="18" t="n">
        <f aca="false">Kawasan!$B$29*D578</f>
        <v>1428.48</v>
      </c>
      <c r="H578" s="18" t="n">
        <f aca="false">E578*Desain_Kolam!$B$16/1000</f>
        <v>128.7</v>
      </c>
      <c r="I578" s="18" t="n">
        <f aca="false">F578-G578-H578</f>
        <v>-234.3</v>
      </c>
      <c r="J578" s="18" t="n">
        <f aca="false">J577+I578</f>
        <v>18167.48</v>
      </c>
      <c r="K578" s="18" t="n">
        <f aca="false">MAX(K577,J578)</f>
        <v>20446.7</v>
      </c>
      <c r="L578" s="18" t="n">
        <f aca="false">K578-J578</f>
        <v>2279.22</v>
      </c>
      <c r="M578" s="18" t="n">
        <f aca="false">MIN(Desain_Kolam!$B$21,MAX(0,M577+F578-H578-G578))</f>
        <v>12869.16</v>
      </c>
      <c r="N578" s="6" t="n">
        <f aca="false">IF(M577+F578-H578&gt;=G578,1,0)</f>
        <v>1</v>
      </c>
    </row>
    <row r="579" customFormat="false" ht="15" hidden="false" customHeight="false" outlineLevel="0" collapsed="false">
      <c r="A579" s="6" t="n">
        <v>2015</v>
      </c>
      <c r="B579" s="6" t="n">
        <v>11</v>
      </c>
      <c r="C579" s="4" t="n">
        <v>471</v>
      </c>
      <c r="D579" s="6" t="n">
        <v>30</v>
      </c>
      <c r="E579" s="4" t="n">
        <f aca="false">INDEX(Evaporasi!$B$3:$B$14,MATCH(B579,Evaporasi!$A$3:$A$14,0))</f>
        <v>120</v>
      </c>
      <c r="F579" s="18" t="n">
        <f aca="false">Kawasan!$B$11*Kawasan!$B$9*C579/1000</f>
        <v>3918.72</v>
      </c>
      <c r="G579" s="18" t="n">
        <f aca="false">Kawasan!$B$29*D579</f>
        <v>1382.4</v>
      </c>
      <c r="H579" s="18" t="n">
        <f aca="false">E579*Desain_Kolam!$B$16/1000</f>
        <v>128.7</v>
      </c>
      <c r="I579" s="18" t="n">
        <f aca="false">F579-G579-H579</f>
        <v>2407.62</v>
      </c>
      <c r="J579" s="18" t="n">
        <f aca="false">J578+I579</f>
        <v>20575.1</v>
      </c>
      <c r="K579" s="18" t="n">
        <f aca="false">MAX(K578,J579)</f>
        <v>20575.1</v>
      </c>
      <c r="L579" s="18" t="n">
        <f aca="false">K579-J579</f>
        <v>0</v>
      </c>
      <c r="M579" s="18" t="n">
        <f aca="false">MIN(Desain_Kolam!$B$21,MAX(0,M578+F579-H579-G579))</f>
        <v>15148.38</v>
      </c>
      <c r="N579" s="6" t="n">
        <f aca="false">IF(M578+F579-H579&gt;=G579,1,0)</f>
        <v>1</v>
      </c>
    </row>
    <row r="580" customFormat="false" ht="15" hidden="false" customHeight="false" outlineLevel="0" collapsed="false">
      <c r="A580" s="6" t="n">
        <v>2015</v>
      </c>
      <c r="B580" s="6" t="n">
        <v>12</v>
      </c>
      <c r="C580" s="4" t="n">
        <v>252</v>
      </c>
      <c r="D580" s="6" t="n">
        <v>31</v>
      </c>
      <c r="E580" s="4" t="n">
        <f aca="false">INDEX(Evaporasi!$B$3:$B$14,MATCH(B580,Evaporasi!$A$3:$A$14,0))</f>
        <v>120</v>
      </c>
      <c r="F580" s="18" t="n">
        <f aca="false">Kawasan!$B$11*Kawasan!$B$9*C580/1000</f>
        <v>2096.64</v>
      </c>
      <c r="G580" s="18" t="n">
        <f aca="false">Kawasan!$B$29*D580</f>
        <v>1428.48</v>
      </c>
      <c r="H580" s="18" t="n">
        <f aca="false">E580*Desain_Kolam!$B$16/1000</f>
        <v>128.7</v>
      </c>
      <c r="I580" s="18" t="n">
        <f aca="false">F580-G580-H580</f>
        <v>539.46</v>
      </c>
      <c r="J580" s="18" t="n">
        <f aca="false">J579+I580</f>
        <v>21114.56</v>
      </c>
      <c r="K580" s="18" t="n">
        <f aca="false">MAX(K579,J580)</f>
        <v>21114.56</v>
      </c>
      <c r="L580" s="18" t="n">
        <f aca="false">K580-J580</f>
        <v>0</v>
      </c>
      <c r="M580" s="18" t="n">
        <f aca="false">MIN(Desain_Kolam!$B$21,MAX(0,M579+F580-H580-G580))</f>
        <v>15148.38</v>
      </c>
      <c r="N580" s="6" t="n">
        <f aca="false">IF(M579+F580-H580&gt;=G580,1,0)</f>
        <v>1</v>
      </c>
    </row>
    <row r="581" customFormat="false" ht="15" hidden="false" customHeight="false" outlineLevel="0" collapsed="false">
      <c r="A581" s="6" t="n">
        <v>2016</v>
      </c>
      <c r="B581" s="6" t="n">
        <v>1</v>
      </c>
      <c r="C581" s="4" t="n">
        <v>245</v>
      </c>
      <c r="D581" s="6" t="n">
        <v>31</v>
      </c>
      <c r="E581" s="4" t="n">
        <f aca="false">INDEX(Evaporasi!$B$3:$B$14,MATCH(B581,Evaporasi!$A$3:$A$14,0))</f>
        <v>120</v>
      </c>
      <c r="F581" s="18" t="n">
        <f aca="false">Kawasan!$B$11*Kawasan!$B$9*C581/1000</f>
        <v>2038.4</v>
      </c>
      <c r="G581" s="18" t="n">
        <f aca="false">Kawasan!$B$29*D581</f>
        <v>1428.48</v>
      </c>
      <c r="H581" s="18" t="n">
        <f aca="false">E581*Desain_Kolam!$B$16/1000</f>
        <v>128.7</v>
      </c>
      <c r="I581" s="18" t="n">
        <f aca="false">F581-G581-H581</f>
        <v>481.22</v>
      </c>
      <c r="J581" s="18" t="n">
        <f aca="false">J580+I581</f>
        <v>21595.78</v>
      </c>
      <c r="K581" s="18" t="n">
        <f aca="false">MAX(K580,J581)</f>
        <v>21595.78</v>
      </c>
      <c r="L581" s="18" t="n">
        <f aca="false">K581-J581</f>
        <v>0</v>
      </c>
      <c r="M581" s="18" t="n">
        <f aca="false">MIN(Desain_Kolam!$B$21,MAX(0,M580+F581-H581-G581))</f>
        <v>15148.38</v>
      </c>
      <c r="N581" s="6" t="n">
        <f aca="false">IF(M580+F581-H581&gt;=G581,1,0)</f>
        <v>1</v>
      </c>
    </row>
    <row r="582" customFormat="false" ht="15" hidden="false" customHeight="false" outlineLevel="0" collapsed="false">
      <c r="A582" s="6" t="n">
        <v>2016</v>
      </c>
      <c r="B582" s="6" t="n">
        <v>2</v>
      </c>
      <c r="C582" s="4" t="n">
        <v>204</v>
      </c>
      <c r="D582" s="6" t="n">
        <v>29</v>
      </c>
      <c r="E582" s="4" t="n">
        <f aca="false">INDEX(Evaporasi!$B$3:$B$14,MATCH(B582,Evaporasi!$A$3:$A$14,0))</f>
        <v>120</v>
      </c>
      <c r="F582" s="18" t="n">
        <f aca="false">Kawasan!$B$11*Kawasan!$B$9*C582/1000</f>
        <v>1697.28</v>
      </c>
      <c r="G582" s="18" t="n">
        <f aca="false">Kawasan!$B$29*D582</f>
        <v>1336.32</v>
      </c>
      <c r="H582" s="18" t="n">
        <f aca="false">E582*Desain_Kolam!$B$16/1000</f>
        <v>128.7</v>
      </c>
      <c r="I582" s="18" t="n">
        <f aca="false">F582-G582-H582</f>
        <v>232.26</v>
      </c>
      <c r="J582" s="18" t="n">
        <f aca="false">J581+I582</f>
        <v>21828.04</v>
      </c>
      <c r="K582" s="18" t="n">
        <f aca="false">MAX(K581,J582)</f>
        <v>21828.04</v>
      </c>
      <c r="L582" s="18" t="n">
        <f aca="false">K582-J582</f>
        <v>0</v>
      </c>
      <c r="M582" s="18" t="n">
        <f aca="false">MIN(Desain_Kolam!$B$21,MAX(0,M581+F582-H582-G582))</f>
        <v>15148.38</v>
      </c>
      <c r="N582" s="6" t="n">
        <f aca="false">IF(M581+F582-H582&gt;=G582,1,0)</f>
        <v>1</v>
      </c>
    </row>
    <row r="583" customFormat="false" ht="15" hidden="false" customHeight="false" outlineLevel="0" collapsed="false">
      <c r="A583" s="6" t="n">
        <v>2016</v>
      </c>
      <c r="B583" s="6" t="n">
        <v>3</v>
      </c>
      <c r="C583" s="4" t="n">
        <v>381</v>
      </c>
      <c r="D583" s="6" t="n">
        <v>31</v>
      </c>
      <c r="E583" s="4" t="n">
        <f aca="false">INDEX(Evaporasi!$B$3:$B$14,MATCH(B583,Evaporasi!$A$3:$A$14,0))</f>
        <v>120</v>
      </c>
      <c r="F583" s="18" t="n">
        <f aca="false">Kawasan!$B$11*Kawasan!$B$9*C583/1000</f>
        <v>3169.92</v>
      </c>
      <c r="G583" s="18" t="n">
        <f aca="false">Kawasan!$B$29*D583</f>
        <v>1428.48</v>
      </c>
      <c r="H583" s="18" t="n">
        <f aca="false">E583*Desain_Kolam!$B$16/1000</f>
        <v>128.7</v>
      </c>
      <c r="I583" s="18" t="n">
        <f aca="false">F583-G583-H583</f>
        <v>1612.74</v>
      </c>
      <c r="J583" s="18" t="n">
        <f aca="false">J582+I583</f>
        <v>23440.78</v>
      </c>
      <c r="K583" s="18" t="n">
        <f aca="false">MAX(K582,J583)</f>
        <v>23440.78</v>
      </c>
      <c r="L583" s="18" t="n">
        <f aca="false">K583-J583</f>
        <v>0</v>
      </c>
      <c r="M583" s="18" t="n">
        <f aca="false">MIN(Desain_Kolam!$B$21,MAX(0,M582+F583-H583-G583))</f>
        <v>15148.38</v>
      </c>
      <c r="N583" s="6" t="n">
        <f aca="false">IF(M582+F583-H583&gt;=G583,1,0)</f>
        <v>1</v>
      </c>
    </row>
    <row r="584" customFormat="false" ht="15" hidden="false" customHeight="false" outlineLevel="0" collapsed="false">
      <c r="A584" s="6" t="n">
        <v>2016</v>
      </c>
      <c r="B584" s="6" t="n">
        <v>4</v>
      </c>
      <c r="C584" s="4" t="n">
        <v>274</v>
      </c>
      <c r="D584" s="6" t="n">
        <v>30</v>
      </c>
      <c r="E584" s="4" t="n">
        <f aca="false">INDEX(Evaporasi!$B$3:$B$14,MATCH(B584,Evaporasi!$A$3:$A$14,0))</f>
        <v>120</v>
      </c>
      <c r="F584" s="18" t="n">
        <f aca="false">Kawasan!$B$11*Kawasan!$B$9*C584/1000</f>
        <v>2279.68</v>
      </c>
      <c r="G584" s="18" t="n">
        <f aca="false">Kawasan!$B$29*D584</f>
        <v>1382.4</v>
      </c>
      <c r="H584" s="18" t="n">
        <f aca="false">E584*Desain_Kolam!$B$16/1000</f>
        <v>128.7</v>
      </c>
      <c r="I584" s="18" t="n">
        <f aca="false">F584-G584-H584</f>
        <v>768.58</v>
      </c>
      <c r="J584" s="18" t="n">
        <f aca="false">J583+I584</f>
        <v>24209.36</v>
      </c>
      <c r="K584" s="18" t="n">
        <f aca="false">MAX(K583,J584)</f>
        <v>24209.36</v>
      </c>
      <c r="L584" s="18" t="n">
        <f aca="false">K584-J584</f>
        <v>0</v>
      </c>
      <c r="M584" s="18" t="n">
        <f aca="false">MIN(Desain_Kolam!$B$21,MAX(0,M583+F584-H584-G584))</f>
        <v>15148.38</v>
      </c>
      <c r="N584" s="6" t="n">
        <f aca="false">IF(M583+F584-H584&gt;=G584,1,0)</f>
        <v>1</v>
      </c>
    </row>
    <row r="585" customFormat="false" ht="15" hidden="false" customHeight="false" outlineLevel="0" collapsed="false">
      <c r="A585" s="6" t="n">
        <v>2016</v>
      </c>
      <c r="B585" s="6" t="n">
        <v>5</v>
      </c>
      <c r="C585" s="4" t="n">
        <v>514</v>
      </c>
      <c r="D585" s="6" t="n">
        <v>31</v>
      </c>
      <c r="E585" s="4" t="n">
        <f aca="false">INDEX(Evaporasi!$B$3:$B$14,MATCH(B585,Evaporasi!$A$3:$A$14,0))</f>
        <v>120</v>
      </c>
      <c r="F585" s="18" t="n">
        <f aca="false">Kawasan!$B$11*Kawasan!$B$9*C585/1000</f>
        <v>4276.48</v>
      </c>
      <c r="G585" s="18" t="n">
        <f aca="false">Kawasan!$B$29*D585</f>
        <v>1428.48</v>
      </c>
      <c r="H585" s="18" t="n">
        <f aca="false">E585*Desain_Kolam!$B$16/1000</f>
        <v>128.7</v>
      </c>
      <c r="I585" s="18" t="n">
        <f aca="false">F585-G585-H585</f>
        <v>2719.3</v>
      </c>
      <c r="J585" s="18" t="n">
        <f aca="false">J584+I585</f>
        <v>26928.66</v>
      </c>
      <c r="K585" s="18" t="n">
        <f aca="false">MAX(K584,J585)</f>
        <v>26928.66</v>
      </c>
      <c r="L585" s="18" t="n">
        <f aca="false">K585-J585</f>
        <v>0</v>
      </c>
      <c r="M585" s="18" t="n">
        <f aca="false">MIN(Desain_Kolam!$B$21,MAX(0,M584+F585-H585-G585))</f>
        <v>15148.38</v>
      </c>
      <c r="N585" s="6" t="n">
        <f aca="false">IF(M584+F585-H585&gt;=G585,1,0)</f>
        <v>1</v>
      </c>
    </row>
    <row r="586" customFormat="false" ht="15" hidden="false" customHeight="false" outlineLevel="0" collapsed="false">
      <c r="A586" s="6" t="n">
        <v>2016</v>
      </c>
      <c r="B586" s="6" t="n">
        <v>6</v>
      </c>
      <c r="C586" s="4" t="n">
        <v>279</v>
      </c>
      <c r="D586" s="6" t="n">
        <v>30</v>
      </c>
      <c r="E586" s="4" t="n">
        <f aca="false">INDEX(Evaporasi!$B$3:$B$14,MATCH(B586,Evaporasi!$A$3:$A$14,0))</f>
        <v>120</v>
      </c>
      <c r="F586" s="18" t="n">
        <f aca="false">Kawasan!$B$11*Kawasan!$B$9*C586/1000</f>
        <v>2321.28</v>
      </c>
      <c r="G586" s="18" t="n">
        <f aca="false">Kawasan!$B$29*D586</f>
        <v>1382.4</v>
      </c>
      <c r="H586" s="18" t="n">
        <f aca="false">E586*Desain_Kolam!$B$16/1000</f>
        <v>128.7</v>
      </c>
      <c r="I586" s="18" t="n">
        <f aca="false">F586-G586-H586</f>
        <v>810.18</v>
      </c>
      <c r="J586" s="18" t="n">
        <f aca="false">J585+I586</f>
        <v>27738.84</v>
      </c>
      <c r="K586" s="18" t="n">
        <f aca="false">MAX(K585,J586)</f>
        <v>27738.84</v>
      </c>
      <c r="L586" s="18" t="n">
        <f aca="false">K586-J586</f>
        <v>0</v>
      </c>
      <c r="M586" s="18" t="n">
        <f aca="false">MIN(Desain_Kolam!$B$21,MAX(0,M585+F586-H586-G586))</f>
        <v>15148.38</v>
      </c>
      <c r="N586" s="6" t="n">
        <f aca="false">IF(M585+F586-H586&gt;=G586,1,0)</f>
        <v>1</v>
      </c>
    </row>
    <row r="587" customFormat="false" ht="15" hidden="false" customHeight="false" outlineLevel="0" collapsed="false">
      <c r="A587" s="6" t="n">
        <v>2016</v>
      </c>
      <c r="B587" s="6" t="n">
        <v>7</v>
      </c>
      <c r="C587" s="4" t="n">
        <v>254</v>
      </c>
      <c r="D587" s="6" t="n">
        <v>31</v>
      </c>
      <c r="E587" s="4" t="n">
        <f aca="false">INDEX(Evaporasi!$B$3:$B$14,MATCH(B587,Evaporasi!$A$3:$A$14,0))</f>
        <v>120</v>
      </c>
      <c r="F587" s="18" t="n">
        <f aca="false">Kawasan!$B$11*Kawasan!$B$9*C587/1000</f>
        <v>2113.28</v>
      </c>
      <c r="G587" s="18" t="n">
        <f aca="false">Kawasan!$B$29*D587</f>
        <v>1428.48</v>
      </c>
      <c r="H587" s="18" t="n">
        <f aca="false">E587*Desain_Kolam!$B$16/1000</f>
        <v>128.7</v>
      </c>
      <c r="I587" s="18" t="n">
        <f aca="false">F587-G587-H587</f>
        <v>556.1</v>
      </c>
      <c r="J587" s="18" t="n">
        <f aca="false">J586+I587</f>
        <v>28294.94</v>
      </c>
      <c r="K587" s="18" t="n">
        <f aca="false">MAX(K586,J587)</f>
        <v>28294.94</v>
      </c>
      <c r="L587" s="18" t="n">
        <f aca="false">K587-J587</f>
        <v>0</v>
      </c>
      <c r="M587" s="18" t="n">
        <f aca="false">MIN(Desain_Kolam!$B$21,MAX(0,M586+F587-H587-G587))</f>
        <v>15148.38</v>
      </c>
      <c r="N587" s="6" t="n">
        <f aca="false">IF(M586+F587-H587&gt;=G587,1,0)</f>
        <v>1</v>
      </c>
    </row>
    <row r="588" customFormat="false" ht="15" hidden="false" customHeight="false" outlineLevel="0" collapsed="false">
      <c r="A588" s="6" t="n">
        <v>2016</v>
      </c>
      <c r="B588" s="6" t="n">
        <v>8</v>
      </c>
      <c r="C588" s="4" t="n">
        <v>14</v>
      </c>
      <c r="D588" s="6" t="n">
        <v>31</v>
      </c>
      <c r="E588" s="4" t="n">
        <f aca="false">INDEX(Evaporasi!$B$3:$B$14,MATCH(B588,Evaporasi!$A$3:$A$14,0))</f>
        <v>120</v>
      </c>
      <c r="F588" s="18" t="n">
        <f aca="false">Kawasan!$B$11*Kawasan!$B$9*C588/1000</f>
        <v>116.48</v>
      </c>
      <c r="G588" s="18" t="n">
        <f aca="false">Kawasan!$B$29*D588</f>
        <v>1428.48</v>
      </c>
      <c r="H588" s="18" t="n">
        <f aca="false">E588*Desain_Kolam!$B$16/1000</f>
        <v>128.7</v>
      </c>
      <c r="I588" s="18" t="n">
        <f aca="false">F588-G588-H588</f>
        <v>-1440.7</v>
      </c>
      <c r="J588" s="18" t="n">
        <f aca="false">J587+I588</f>
        <v>26854.24</v>
      </c>
      <c r="K588" s="18" t="n">
        <f aca="false">MAX(K587,J588)</f>
        <v>28294.94</v>
      </c>
      <c r="L588" s="18" t="n">
        <f aca="false">K588-J588</f>
        <v>1440.7</v>
      </c>
      <c r="M588" s="18" t="n">
        <f aca="false">MIN(Desain_Kolam!$B$21,MAX(0,M587+F588-H588-G588))</f>
        <v>13707.68</v>
      </c>
      <c r="N588" s="6" t="n">
        <f aca="false">IF(M587+F588-H588&gt;=G588,1,0)</f>
        <v>1</v>
      </c>
    </row>
    <row r="589" customFormat="false" ht="15" hidden="false" customHeight="false" outlineLevel="0" collapsed="false">
      <c r="A589" s="6" t="n">
        <v>2016</v>
      </c>
      <c r="B589" s="6" t="n">
        <v>9</v>
      </c>
      <c r="C589" s="4" t="n">
        <v>200</v>
      </c>
      <c r="D589" s="6" t="n">
        <v>30</v>
      </c>
      <c r="E589" s="4" t="n">
        <f aca="false">INDEX(Evaporasi!$B$3:$B$14,MATCH(B589,Evaporasi!$A$3:$A$14,0))</f>
        <v>120</v>
      </c>
      <c r="F589" s="18" t="n">
        <f aca="false">Kawasan!$B$11*Kawasan!$B$9*C589/1000</f>
        <v>1664</v>
      </c>
      <c r="G589" s="18" t="n">
        <f aca="false">Kawasan!$B$29*D589</f>
        <v>1382.4</v>
      </c>
      <c r="H589" s="18" t="n">
        <f aca="false">E589*Desain_Kolam!$B$16/1000</f>
        <v>128.7</v>
      </c>
      <c r="I589" s="18" t="n">
        <f aca="false">F589-G589-H589</f>
        <v>152.9</v>
      </c>
      <c r="J589" s="18" t="n">
        <f aca="false">J588+I589</f>
        <v>27007.14</v>
      </c>
      <c r="K589" s="18" t="n">
        <f aca="false">MAX(K588,J589)</f>
        <v>28294.94</v>
      </c>
      <c r="L589" s="18" t="n">
        <f aca="false">K589-J589</f>
        <v>1287.8</v>
      </c>
      <c r="M589" s="18" t="n">
        <f aca="false">MIN(Desain_Kolam!$B$21,MAX(0,M588+F589-H589-G589))</f>
        <v>13860.58</v>
      </c>
      <c r="N589" s="6" t="n">
        <f aca="false">IF(M588+F589-H589&gt;=G589,1,0)</f>
        <v>1</v>
      </c>
    </row>
    <row r="590" customFormat="false" ht="15" hidden="false" customHeight="false" outlineLevel="0" collapsed="false">
      <c r="A590" s="6" t="n">
        <v>2016</v>
      </c>
      <c r="B590" s="6" t="n">
        <v>10</v>
      </c>
      <c r="C590" s="4" t="n">
        <v>302</v>
      </c>
      <c r="D590" s="6" t="n">
        <v>31</v>
      </c>
      <c r="E590" s="4" t="n">
        <f aca="false">INDEX(Evaporasi!$B$3:$B$14,MATCH(B590,Evaporasi!$A$3:$A$14,0))</f>
        <v>120</v>
      </c>
      <c r="F590" s="18" t="n">
        <f aca="false">Kawasan!$B$11*Kawasan!$B$9*C590/1000</f>
        <v>2512.64</v>
      </c>
      <c r="G590" s="18" t="n">
        <f aca="false">Kawasan!$B$29*D590</f>
        <v>1428.48</v>
      </c>
      <c r="H590" s="18" t="n">
        <f aca="false">E590*Desain_Kolam!$B$16/1000</f>
        <v>128.7</v>
      </c>
      <c r="I590" s="18" t="n">
        <f aca="false">F590-G590-H590</f>
        <v>955.46</v>
      </c>
      <c r="J590" s="18" t="n">
        <f aca="false">J589+I590</f>
        <v>27962.6</v>
      </c>
      <c r="K590" s="18" t="n">
        <f aca="false">MAX(K589,J590)</f>
        <v>28294.94</v>
      </c>
      <c r="L590" s="18" t="n">
        <f aca="false">K590-J590</f>
        <v>332.34</v>
      </c>
      <c r="M590" s="18" t="n">
        <f aca="false">MIN(Desain_Kolam!$B$21,MAX(0,M589+F590-H590-G590))</f>
        <v>14816.04</v>
      </c>
      <c r="N590" s="6" t="n">
        <f aca="false">IF(M589+F590-H590&gt;=G590,1,0)</f>
        <v>1</v>
      </c>
    </row>
    <row r="591" customFormat="false" ht="15" hidden="false" customHeight="false" outlineLevel="0" collapsed="false">
      <c r="A591" s="6" t="n">
        <v>2016</v>
      </c>
      <c r="B591" s="6" t="n">
        <v>11</v>
      </c>
      <c r="C591" s="4" t="n">
        <v>256</v>
      </c>
      <c r="D591" s="6" t="n">
        <v>30</v>
      </c>
      <c r="E591" s="4" t="n">
        <f aca="false">INDEX(Evaporasi!$B$3:$B$14,MATCH(B591,Evaporasi!$A$3:$A$14,0))</f>
        <v>120</v>
      </c>
      <c r="F591" s="18" t="n">
        <f aca="false">Kawasan!$B$11*Kawasan!$B$9*C591/1000</f>
        <v>2129.92</v>
      </c>
      <c r="G591" s="18" t="n">
        <f aca="false">Kawasan!$B$29*D591</f>
        <v>1382.4</v>
      </c>
      <c r="H591" s="18" t="n">
        <f aca="false">E591*Desain_Kolam!$B$16/1000</f>
        <v>128.7</v>
      </c>
      <c r="I591" s="18" t="n">
        <f aca="false">F591-G591-H591</f>
        <v>618.82</v>
      </c>
      <c r="J591" s="18" t="n">
        <f aca="false">J590+I591</f>
        <v>28581.42</v>
      </c>
      <c r="K591" s="18" t="n">
        <f aca="false">MAX(K590,J591)</f>
        <v>28581.42</v>
      </c>
      <c r="L591" s="18" t="n">
        <f aca="false">K591-J591</f>
        <v>0</v>
      </c>
      <c r="M591" s="18" t="n">
        <f aca="false">MIN(Desain_Kolam!$B$21,MAX(0,M590+F591-H591-G591))</f>
        <v>15148.38</v>
      </c>
      <c r="N591" s="6" t="n">
        <f aca="false">IF(M590+F591-H591&gt;=G591,1,0)</f>
        <v>1</v>
      </c>
    </row>
    <row r="592" customFormat="false" ht="15" hidden="false" customHeight="false" outlineLevel="0" collapsed="false">
      <c r="A592" s="6" t="n">
        <v>2016</v>
      </c>
      <c r="B592" s="6" t="n">
        <v>12</v>
      </c>
      <c r="C592" s="4" t="n">
        <v>305</v>
      </c>
      <c r="D592" s="6" t="n">
        <v>31</v>
      </c>
      <c r="E592" s="4" t="n">
        <f aca="false">INDEX(Evaporasi!$B$3:$B$14,MATCH(B592,Evaporasi!$A$3:$A$14,0))</f>
        <v>120</v>
      </c>
      <c r="F592" s="18" t="n">
        <f aca="false">Kawasan!$B$11*Kawasan!$B$9*C592/1000</f>
        <v>2537.6</v>
      </c>
      <c r="G592" s="18" t="n">
        <f aca="false">Kawasan!$B$29*D592</f>
        <v>1428.48</v>
      </c>
      <c r="H592" s="18" t="n">
        <f aca="false">E592*Desain_Kolam!$B$16/1000</f>
        <v>128.7</v>
      </c>
      <c r="I592" s="18" t="n">
        <f aca="false">F592-G592-H592</f>
        <v>980.42</v>
      </c>
      <c r="J592" s="18" t="n">
        <f aca="false">J591+I592</f>
        <v>29561.84</v>
      </c>
      <c r="K592" s="18" t="n">
        <f aca="false">MAX(K591,J592)</f>
        <v>29561.84</v>
      </c>
      <c r="L592" s="18" t="n">
        <f aca="false">K592-J592</f>
        <v>0</v>
      </c>
      <c r="M592" s="18" t="n">
        <f aca="false">MIN(Desain_Kolam!$B$21,MAX(0,M591+F592-H592-G592))</f>
        <v>15148.38</v>
      </c>
      <c r="N592" s="6" t="n">
        <f aca="false">IF(M591+F592-H592&gt;=G592,1,0)</f>
        <v>1</v>
      </c>
    </row>
    <row r="593" customFormat="false" ht="15" hidden="false" customHeight="false" outlineLevel="0" collapsed="false">
      <c r="A593" s="6" t="n">
        <v>2017</v>
      </c>
      <c r="B593" s="6" t="n">
        <v>1</v>
      </c>
      <c r="C593" s="4" t="n">
        <v>212</v>
      </c>
      <c r="D593" s="6" t="n">
        <v>31</v>
      </c>
      <c r="E593" s="4" t="n">
        <f aca="false">INDEX(Evaporasi!$B$3:$B$14,MATCH(B593,Evaporasi!$A$3:$A$14,0))</f>
        <v>120</v>
      </c>
      <c r="F593" s="18" t="n">
        <f aca="false">Kawasan!$B$11*Kawasan!$B$9*C593/1000</f>
        <v>1763.84</v>
      </c>
      <c r="G593" s="18" t="n">
        <f aca="false">Kawasan!$B$29*D593</f>
        <v>1428.48</v>
      </c>
      <c r="H593" s="18" t="n">
        <f aca="false">E593*Desain_Kolam!$B$16/1000</f>
        <v>128.7</v>
      </c>
      <c r="I593" s="18" t="n">
        <f aca="false">F593-G593-H593</f>
        <v>206.66</v>
      </c>
      <c r="J593" s="18" t="n">
        <f aca="false">J592+I593</f>
        <v>29768.5</v>
      </c>
      <c r="K593" s="18" t="n">
        <f aca="false">MAX(K592,J593)</f>
        <v>29768.5</v>
      </c>
      <c r="L593" s="18" t="n">
        <f aca="false">K593-J593</f>
        <v>0</v>
      </c>
      <c r="M593" s="18" t="n">
        <f aca="false">MIN(Desain_Kolam!$B$21,MAX(0,M592+F593-H593-G593))</f>
        <v>15148.38</v>
      </c>
      <c r="N593" s="6" t="n">
        <f aca="false">IF(M592+F593-H593&gt;=G593,1,0)</f>
        <v>1</v>
      </c>
    </row>
    <row r="594" customFormat="false" ht="15" hidden="false" customHeight="false" outlineLevel="0" collapsed="false">
      <c r="A594" s="6" t="n">
        <v>2017</v>
      </c>
      <c r="B594" s="6" t="n">
        <v>2</v>
      </c>
      <c r="C594" s="4" t="n">
        <v>198</v>
      </c>
      <c r="D594" s="6" t="n">
        <v>28</v>
      </c>
      <c r="E594" s="4" t="n">
        <f aca="false">INDEX(Evaporasi!$B$3:$B$14,MATCH(B594,Evaporasi!$A$3:$A$14,0))</f>
        <v>120</v>
      </c>
      <c r="F594" s="18" t="n">
        <f aca="false">Kawasan!$B$11*Kawasan!$B$9*C594/1000</f>
        <v>1647.36</v>
      </c>
      <c r="G594" s="18" t="n">
        <f aca="false">Kawasan!$B$29*D594</f>
        <v>1290.24</v>
      </c>
      <c r="H594" s="18" t="n">
        <f aca="false">E594*Desain_Kolam!$B$16/1000</f>
        <v>128.7</v>
      </c>
      <c r="I594" s="18" t="n">
        <f aca="false">F594-G594-H594</f>
        <v>228.42</v>
      </c>
      <c r="J594" s="18" t="n">
        <f aca="false">J593+I594</f>
        <v>29996.92</v>
      </c>
      <c r="K594" s="18" t="n">
        <f aca="false">MAX(K593,J594)</f>
        <v>29996.92</v>
      </c>
      <c r="L594" s="18" t="n">
        <f aca="false">K594-J594</f>
        <v>0</v>
      </c>
      <c r="M594" s="18" t="n">
        <f aca="false">MIN(Desain_Kolam!$B$21,MAX(0,M593+F594-H594-G594))</f>
        <v>15148.38</v>
      </c>
      <c r="N594" s="6" t="n">
        <f aca="false">IF(M593+F594-H594&gt;=G594,1,0)</f>
        <v>1</v>
      </c>
    </row>
    <row r="595" customFormat="false" ht="15" hidden="false" customHeight="false" outlineLevel="0" collapsed="false">
      <c r="A595" s="6" t="n">
        <v>2017</v>
      </c>
      <c r="B595" s="6" t="n">
        <v>3</v>
      </c>
      <c r="C595" s="4" t="n">
        <v>310</v>
      </c>
      <c r="D595" s="6" t="n">
        <v>31</v>
      </c>
      <c r="E595" s="4" t="n">
        <f aca="false">INDEX(Evaporasi!$B$3:$B$14,MATCH(B595,Evaporasi!$A$3:$A$14,0))</f>
        <v>120</v>
      </c>
      <c r="F595" s="18" t="n">
        <f aca="false">Kawasan!$B$11*Kawasan!$B$9*C595/1000</f>
        <v>2579.2</v>
      </c>
      <c r="G595" s="18" t="n">
        <f aca="false">Kawasan!$B$29*D595</f>
        <v>1428.48</v>
      </c>
      <c r="H595" s="18" t="n">
        <f aca="false">E595*Desain_Kolam!$B$16/1000</f>
        <v>128.7</v>
      </c>
      <c r="I595" s="18" t="n">
        <f aca="false">F595-G595-H595</f>
        <v>1022.02</v>
      </c>
      <c r="J595" s="18" t="n">
        <f aca="false">J594+I595</f>
        <v>31018.94</v>
      </c>
      <c r="K595" s="18" t="n">
        <f aca="false">MAX(K594,J595)</f>
        <v>31018.94</v>
      </c>
      <c r="L595" s="18" t="n">
        <f aca="false">K595-J595</f>
        <v>0</v>
      </c>
      <c r="M595" s="18" t="n">
        <f aca="false">MIN(Desain_Kolam!$B$21,MAX(0,M594+F595-H595-G595))</f>
        <v>15148.38</v>
      </c>
      <c r="N595" s="6" t="n">
        <f aca="false">IF(M594+F595-H595&gt;=G595,1,0)</f>
        <v>1</v>
      </c>
    </row>
    <row r="596" customFormat="false" ht="15" hidden="false" customHeight="false" outlineLevel="0" collapsed="false">
      <c r="A596" s="6" t="n">
        <v>2017</v>
      </c>
      <c r="B596" s="6" t="n">
        <v>4</v>
      </c>
      <c r="C596" s="4" t="n">
        <v>216</v>
      </c>
      <c r="D596" s="6" t="n">
        <v>30</v>
      </c>
      <c r="E596" s="4" t="n">
        <f aca="false">INDEX(Evaporasi!$B$3:$B$14,MATCH(B596,Evaporasi!$A$3:$A$14,0))</f>
        <v>120</v>
      </c>
      <c r="F596" s="18" t="n">
        <f aca="false">Kawasan!$B$11*Kawasan!$B$9*C596/1000</f>
        <v>1797.12</v>
      </c>
      <c r="G596" s="18" t="n">
        <f aca="false">Kawasan!$B$29*D596</f>
        <v>1382.4</v>
      </c>
      <c r="H596" s="18" t="n">
        <f aca="false">E596*Desain_Kolam!$B$16/1000</f>
        <v>128.7</v>
      </c>
      <c r="I596" s="18" t="n">
        <f aca="false">F596-G596-H596</f>
        <v>286.02</v>
      </c>
      <c r="J596" s="18" t="n">
        <f aca="false">J595+I596</f>
        <v>31304.96</v>
      </c>
      <c r="K596" s="18" t="n">
        <f aca="false">MAX(K595,J596)</f>
        <v>31304.96</v>
      </c>
      <c r="L596" s="18" t="n">
        <f aca="false">K596-J596</f>
        <v>0</v>
      </c>
      <c r="M596" s="18" t="n">
        <f aca="false">MIN(Desain_Kolam!$B$21,MAX(0,M595+F596-H596-G596))</f>
        <v>15148.38</v>
      </c>
      <c r="N596" s="6" t="n">
        <f aca="false">IF(M595+F596-H596&gt;=G596,1,0)</f>
        <v>1</v>
      </c>
    </row>
    <row r="597" customFormat="false" ht="15" hidden="false" customHeight="false" outlineLevel="0" collapsed="false">
      <c r="A597" s="6" t="n">
        <v>2017</v>
      </c>
      <c r="B597" s="6" t="n">
        <v>5</v>
      </c>
      <c r="C597" s="4" t="n">
        <v>314</v>
      </c>
      <c r="D597" s="6" t="n">
        <v>31</v>
      </c>
      <c r="E597" s="4" t="n">
        <f aca="false">INDEX(Evaporasi!$B$3:$B$14,MATCH(B597,Evaporasi!$A$3:$A$14,0))</f>
        <v>120</v>
      </c>
      <c r="F597" s="18" t="n">
        <f aca="false">Kawasan!$B$11*Kawasan!$B$9*C597/1000</f>
        <v>2612.48</v>
      </c>
      <c r="G597" s="18" t="n">
        <f aca="false">Kawasan!$B$29*D597</f>
        <v>1428.48</v>
      </c>
      <c r="H597" s="18" t="n">
        <f aca="false">E597*Desain_Kolam!$B$16/1000</f>
        <v>128.7</v>
      </c>
      <c r="I597" s="18" t="n">
        <f aca="false">F597-G597-H597</f>
        <v>1055.3</v>
      </c>
      <c r="J597" s="18" t="n">
        <f aca="false">J596+I597</f>
        <v>32360.26</v>
      </c>
      <c r="K597" s="18" t="n">
        <f aca="false">MAX(K596,J597)</f>
        <v>32360.26</v>
      </c>
      <c r="L597" s="18" t="n">
        <f aca="false">K597-J597</f>
        <v>0</v>
      </c>
      <c r="M597" s="18" t="n">
        <f aca="false">MIN(Desain_Kolam!$B$21,MAX(0,M596+F597-H597-G597))</f>
        <v>15148.38</v>
      </c>
      <c r="N597" s="6" t="n">
        <f aca="false">IF(M596+F597-H597&gt;=G597,1,0)</f>
        <v>1</v>
      </c>
    </row>
    <row r="598" customFormat="false" ht="15" hidden="false" customHeight="false" outlineLevel="0" collapsed="false">
      <c r="A598" s="6" t="n">
        <v>2017</v>
      </c>
      <c r="B598" s="6" t="n">
        <v>6</v>
      </c>
      <c r="C598" s="4" t="n">
        <v>248</v>
      </c>
      <c r="D598" s="6" t="n">
        <v>30</v>
      </c>
      <c r="E598" s="4" t="n">
        <f aca="false">INDEX(Evaporasi!$B$3:$B$14,MATCH(B598,Evaporasi!$A$3:$A$14,0))</f>
        <v>120</v>
      </c>
      <c r="F598" s="18" t="n">
        <f aca="false">Kawasan!$B$11*Kawasan!$B$9*C598/1000</f>
        <v>2063.36</v>
      </c>
      <c r="G598" s="18" t="n">
        <f aca="false">Kawasan!$B$29*D598</f>
        <v>1382.4</v>
      </c>
      <c r="H598" s="18" t="n">
        <f aca="false">E598*Desain_Kolam!$B$16/1000</f>
        <v>128.7</v>
      </c>
      <c r="I598" s="18" t="n">
        <f aca="false">F598-G598-H598</f>
        <v>552.26</v>
      </c>
      <c r="J598" s="18" t="n">
        <f aca="false">J597+I598</f>
        <v>32912.52</v>
      </c>
      <c r="K598" s="18" t="n">
        <f aca="false">MAX(K597,J598)</f>
        <v>32912.52</v>
      </c>
      <c r="L598" s="18" t="n">
        <f aca="false">K598-J598</f>
        <v>0</v>
      </c>
      <c r="M598" s="18" t="n">
        <f aca="false">MIN(Desain_Kolam!$B$21,MAX(0,M597+F598-H598-G598))</f>
        <v>15148.38</v>
      </c>
      <c r="N598" s="6" t="n">
        <f aca="false">IF(M597+F598-H598&gt;=G598,1,0)</f>
        <v>1</v>
      </c>
    </row>
    <row r="599" customFormat="false" ht="15" hidden="false" customHeight="false" outlineLevel="0" collapsed="false">
      <c r="A599" s="6" t="n">
        <v>2017</v>
      </c>
      <c r="B599" s="6" t="n">
        <v>7</v>
      </c>
      <c r="C599" s="4" t="n">
        <v>279</v>
      </c>
      <c r="D599" s="6" t="n">
        <v>31</v>
      </c>
      <c r="E599" s="4" t="n">
        <f aca="false">INDEX(Evaporasi!$B$3:$B$14,MATCH(B599,Evaporasi!$A$3:$A$14,0))</f>
        <v>120</v>
      </c>
      <c r="F599" s="18" t="n">
        <f aca="false">Kawasan!$B$11*Kawasan!$B$9*C599/1000</f>
        <v>2321.28</v>
      </c>
      <c r="G599" s="18" t="n">
        <f aca="false">Kawasan!$B$29*D599</f>
        <v>1428.48</v>
      </c>
      <c r="H599" s="18" t="n">
        <f aca="false">E599*Desain_Kolam!$B$16/1000</f>
        <v>128.7</v>
      </c>
      <c r="I599" s="18" t="n">
        <f aca="false">F599-G599-H599</f>
        <v>764.1</v>
      </c>
      <c r="J599" s="18" t="n">
        <f aca="false">J598+I599</f>
        <v>33676.62</v>
      </c>
      <c r="K599" s="18" t="n">
        <f aca="false">MAX(K598,J599)</f>
        <v>33676.62</v>
      </c>
      <c r="L599" s="18" t="n">
        <f aca="false">K599-J599</f>
        <v>0</v>
      </c>
      <c r="M599" s="18" t="n">
        <f aca="false">MIN(Desain_Kolam!$B$21,MAX(0,M598+F599-H599-G599))</f>
        <v>15148.38</v>
      </c>
      <c r="N599" s="6" t="n">
        <f aca="false">IF(M598+F599-H599&gt;=G599,1,0)</f>
        <v>1</v>
      </c>
    </row>
    <row r="600" customFormat="false" ht="15" hidden="false" customHeight="false" outlineLevel="0" collapsed="false">
      <c r="A600" s="6" t="n">
        <v>2017</v>
      </c>
      <c r="B600" s="6" t="n">
        <v>8</v>
      </c>
      <c r="C600" s="4" t="n">
        <v>321</v>
      </c>
      <c r="D600" s="6" t="n">
        <v>31</v>
      </c>
      <c r="E600" s="4" t="n">
        <f aca="false">INDEX(Evaporasi!$B$3:$B$14,MATCH(B600,Evaporasi!$A$3:$A$14,0))</f>
        <v>120</v>
      </c>
      <c r="F600" s="18" t="n">
        <f aca="false">Kawasan!$B$11*Kawasan!$B$9*C600/1000</f>
        <v>2670.72</v>
      </c>
      <c r="G600" s="18" t="n">
        <f aca="false">Kawasan!$B$29*D600</f>
        <v>1428.48</v>
      </c>
      <c r="H600" s="18" t="n">
        <f aca="false">E600*Desain_Kolam!$B$16/1000</f>
        <v>128.7</v>
      </c>
      <c r="I600" s="18" t="n">
        <f aca="false">F600-G600-H600</f>
        <v>1113.54</v>
      </c>
      <c r="J600" s="18" t="n">
        <f aca="false">J599+I600</f>
        <v>34790.16</v>
      </c>
      <c r="K600" s="18" t="n">
        <f aca="false">MAX(K599,J600)</f>
        <v>34790.16</v>
      </c>
      <c r="L600" s="18" t="n">
        <f aca="false">K600-J600</f>
        <v>0</v>
      </c>
      <c r="M600" s="18" t="n">
        <f aca="false">MIN(Desain_Kolam!$B$21,MAX(0,M599+F600-H600-G600))</f>
        <v>15148.38</v>
      </c>
      <c r="N600" s="6" t="n">
        <f aca="false">IF(M599+F600-H600&gt;=G600,1,0)</f>
        <v>1</v>
      </c>
    </row>
    <row r="601" customFormat="false" ht="15" hidden="false" customHeight="false" outlineLevel="0" collapsed="false">
      <c r="A601" s="6" t="n">
        <v>2017</v>
      </c>
      <c r="B601" s="6" t="n">
        <v>9</v>
      </c>
      <c r="C601" s="4" t="n">
        <v>122</v>
      </c>
      <c r="D601" s="6" t="n">
        <v>30</v>
      </c>
      <c r="E601" s="4" t="n">
        <f aca="false">INDEX(Evaporasi!$B$3:$B$14,MATCH(B601,Evaporasi!$A$3:$A$14,0))</f>
        <v>120</v>
      </c>
      <c r="F601" s="18" t="n">
        <f aca="false">Kawasan!$B$11*Kawasan!$B$9*C601/1000</f>
        <v>1015.04</v>
      </c>
      <c r="G601" s="18" t="n">
        <f aca="false">Kawasan!$B$29*D601</f>
        <v>1382.4</v>
      </c>
      <c r="H601" s="18" t="n">
        <f aca="false">E601*Desain_Kolam!$B$16/1000</f>
        <v>128.7</v>
      </c>
      <c r="I601" s="18" t="n">
        <f aca="false">F601-G601-H601</f>
        <v>-496.06</v>
      </c>
      <c r="J601" s="18" t="n">
        <f aca="false">J600+I601</f>
        <v>34294.1</v>
      </c>
      <c r="K601" s="18" t="n">
        <f aca="false">MAX(K600,J601)</f>
        <v>34790.16</v>
      </c>
      <c r="L601" s="18" t="n">
        <f aca="false">K601-J601</f>
        <v>496.059999999998</v>
      </c>
      <c r="M601" s="18" t="n">
        <f aca="false">MIN(Desain_Kolam!$B$21,MAX(0,M600+F601-H601-G601))</f>
        <v>14652.32</v>
      </c>
      <c r="N601" s="6" t="n">
        <f aca="false">IF(M600+F601-H601&gt;=G601,1,0)</f>
        <v>1</v>
      </c>
    </row>
    <row r="602" customFormat="false" ht="15" hidden="false" customHeight="false" outlineLevel="0" collapsed="false">
      <c r="A602" s="6" t="n">
        <v>2017</v>
      </c>
      <c r="B602" s="6" t="n">
        <v>10</v>
      </c>
      <c r="C602" s="4" t="n">
        <v>107</v>
      </c>
      <c r="D602" s="6" t="n">
        <v>31</v>
      </c>
      <c r="E602" s="4" t="n">
        <f aca="false">INDEX(Evaporasi!$B$3:$B$14,MATCH(B602,Evaporasi!$A$3:$A$14,0))</f>
        <v>120</v>
      </c>
      <c r="F602" s="18" t="n">
        <f aca="false">Kawasan!$B$11*Kawasan!$B$9*C602/1000</f>
        <v>890.24</v>
      </c>
      <c r="G602" s="18" t="n">
        <f aca="false">Kawasan!$B$29*D602</f>
        <v>1428.48</v>
      </c>
      <c r="H602" s="18" t="n">
        <f aca="false">E602*Desain_Kolam!$B$16/1000</f>
        <v>128.7</v>
      </c>
      <c r="I602" s="18" t="n">
        <f aca="false">F602-G602-H602</f>
        <v>-666.94</v>
      </c>
      <c r="J602" s="18" t="n">
        <f aca="false">J601+I602</f>
        <v>33627.16</v>
      </c>
      <c r="K602" s="18" t="n">
        <f aca="false">MAX(K601,J602)</f>
        <v>34790.16</v>
      </c>
      <c r="L602" s="18" t="n">
        <f aca="false">K602-J602</f>
        <v>1163</v>
      </c>
      <c r="M602" s="18" t="n">
        <f aca="false">MIN(Desain_Kolam!$B$21,MAX(0,M601+F602-H602-G602))</f>
        <v>13985.38</v>
      </c>
      <c r="N602" s="6" t="n">
        <f aca="false">IF(M601+F602-H602&gt;=G602,1,0)</f>
        <v>1</v>
      </c>
    </row>
    <row r="603" customFormat="false" ht="15" hidden="false" customHeight="false" outlineLevel="0" collapsed="false">
      <c r="A603" s="6" t="n">
        <v>2017</v>
      </c>
      <c r="B603" s="6" t="n">
        <v>11</v>
      </c>
      <c r="C603" s="4" t="n">
        <v>184</v>
      </c>
      <c r="D603" s="6" t="n">
        <v>30</v>
      </c>
      <c r="E603" s="4" t="n">
        <f aca="false">INDEX(Evaporasi!$B$3:$B$14,MATCH(B603,Evaporasi!$A$3:$A$14,0))</f>
        <v>120</v>
      </c>
      <c r="F603" s="18" t="n">
        <f aca="false">Kawasan!$B$11*Kawasan!$B$9*C603/1000</f>
        <v>1530.88</v>
      </c>
      <c r="G603" s="18" t="n">
        <f aca="false">Kawasan!$B$29*D603</f>
        <v>1382.4</v>
      </c>
      <c r="H603" s="18" t="n">
        <f aca="false">E603*Desain_Kolam!$B$16/1000</f>
        <v>128.7</v>
      </c>
      <c r="I603" s="18" t="n">
        <f aca="false">F603-G603-H603</f>
        <v>19.7800000000003</v>
      </c>
      <c r="J603" s="18" t="n">
        <f aca="false">J602+I603</f>
        <v>33646.94</v>
      </c>
      <c r="K603" s="18" t="n">
        <f aca="false">MAX(K602,J603)</f>
        <v>34790.16</v>
      </c>
      <c r="L603" s="18" t="n">
        <f aca="false">K603-J603</f>
        <v>1143.22</v>
      </c>
      <c r="M603" s="18" t="n">
        <f aca="false">MIN(Desain_Kolam!$B$21,MAX(0,M602+F603-H603-G603))</f>
        <v>14005.16</v>
      </c>
      <c r="N603" s="6" t="n">
        <f aca="false">IF(M602+F603-H603&gt;=G603,1,0)</f>
        <v>1</v>
      </c>
    </row>
    <row r="604" customFormat="false" ht="15" hidden="false" customHeight="false" outlineLevel="0" collapsed="false">
      <c r="A604" s="6" t="n">
        <v>2017</v>
      </c>
      <c r="B604" s="6" t="n">
        <v>12</v>
      </c>
      <c r="C604" s="4" t="n">
        <v>120</v>
      </c>
      <c r="D604" s="6" t="n">
        <v>31</v>
      </c>
      <c r="E604" s="4" t="n">
        <f aca="false">INDEX(Evaporasi!$B$3:$B$14,MATCH(B604,Evaporasi!$A$3:$A$14,0))</f>
        <v>120</v>
      </c>
      <c r="F604" s="18" t="n">
        <f aca="false">Kawasan!$B$11*Kawasan!$B$9*C604/1000</f>
        <v>998.4</v>
      </c>
      <c r="G604" s="18" t="n">
        <f aca="false">Kawasan!$B$29*D604</f>
        <v>1428.48</v>
      </c>
      <c r="H604" s="18" t="n">
        <f aca="false">E604*Desain_Kolam!$B$16/1000</f>
        <v>128.7</v>
      </c>
      <c r="I604" s="18" t="n">
        <f aca="false">F604-G604-H604</f>
        <v>-558.78</v>
      </c>
      <c r="J604" s="18" t="n">
        <f aca="false">J603+I604</f>
        <v>33088.16</v>
      </c>
      <c r="K604" s="18" t="n">
        <f aca="false">MAX(K603,J604)</f>
        <v>34790.16</v>
      </c>
      <c r="L604" s="18" t="n">
        <f aca="false">K604-J604</f>
        <v>1702</v>
      </c>
      <c r="M604" s="18" t="n">
        <f aca="false">MIN(Desain_Kolam!$B$21,MAX(0,M603+F604-H604-G604))</f>
        <v>13446.38</v>
      </c>
      <c r="N604" s="6" t="n">
        <f aca="false">IF(M603+F604-H604&gt;=G604,1,0)</f>
        <v>1</v>
      </c>
    </row>
    <row r="605" customFormat="false" ht="15" hidden="false" customHeight="false" outlineLevel="0" collapsed="false">
      <c r="A605" s="6" t="n">
        <v>2018</v>
      </c>
      <c r="B605" s="6" t="n">
        <v>1</v>
      </c>
      <c r="C605" s="4" t="n">
        <v>220</v>
      </c>
      <c r="D605" s="6" t="n">
        <v>31</v>
      </c>
      <c r="E605" s="4" t="n">
        <f aca="false">INDEX(Evaporasi!$B$3:$B$14,MATCH(B605,Evaporasi!$A$3:$A$14,0))</f>
        <v>120</v>
      </c>
      <c r="F605" s="18" t="n">
        <f aca="false">Kawasan!$B$11*Kawasan!$B$9*C605/1000</f>
        <v>1830.4</v>
      </c>
      <c r="G605" s="18" t="n">
        <f aca="false">Kawasan!$B$29*D605</f>
        <v>1428.48</v>
      </c>
      <c r="H605" s="18" t="n">
        <f aca="false">E605*Desain_Kolam!$B$16/1000</f>
        <v>128.7</v>
      </c>
      <c r="I605" s="18" t="n">
        <f aca="false">F605-G605-H605</f>
        <v>273.22</v>
      </c>
      <c r="J605" s="18" t="n">
        <f aca="false">J604+I605</f>
        <v>33361.38</v>
      </c>
      <c r="K605" s="18" t="n">
        <f aca="false">MAX(K604,J605)</f>
        <v>34790.16</v>
      </c>
      <c r="L605" s="18" t="n">
        <f aca="false">K605-J605</f>
        <v>1428.78</v>
      </c>
      <c r="M605" s="18" t="n">
        <f aca="false">MIN(Desain_Kolam!$B$21,MAX(0,M604+F605-H605-G605))</f>
        <v>13719.6</v>
      </c>
      <c r="N605" s="6" t="n">
        <f aca="false">IF(M604+F605-H605&gt;=G605,1,0)</f>
        <v>1</v>
      </c>
    </row>
    <row r="606" customFormat="false" ht="15" hidden="false" customHeight="false" outlineLevel="0" collapsed="false">
      <c r="A606" s="6" t="n">
        <v>2018</v>
      </c>
      <c r="B606" s="6" t="n">
        <v>2</v>
      </c>
      <c r="C606" s="4" t="n">
        <v>93</v>
      </c>
      <c r="D606" s="6" t="n">
        <v>28</v>
      </c>
      <c r="E606" s="4" t="n">
        <f aca="false">INDEX(Evaporasi!$B$3:$B$14,MATCH(B606,Evaporasi!$A$3:$A$14,0))</f>
        <v>120</v>
      </c>
      <c r="F606" s="18" t="n">
        <f aca="false">Kawasan!$B$11*Kawasan!$B$9*C606/1000</f>
        <v>773.76</v>
      </c>
      <c r="G606" s="18" t="n">
        <f aca="false">Kawasan!$B$29*D606</f>
        <v>1290.24</v>
      </c>
      <c r="H606" s="18" t="n">
        <f aca="false">E606*Desain_Kolam!$B$16/1000</f>
        <v>128.7</v>
      </c>
      <c r="I606" s="18" t="n">
        <f aca="false">F606-G606-H606</f>
        <v>-645.18</v>
      </c>
      <c r="J606" s="18" t="n">
        <f aca="false">J605+I606</f>
        <v>32716.2</v>
      </c>
      <c r="K606" s="18" t="n">
        <f aca="false">MAX(K605,J606)</f>
        <v>34790.16</v>
      </c>
      <c r="L606" s="18" t="n">
        <f aca="false">K606-J606</f>
        <v>2073.96</v>
      </c>
      <c r="M606" s="18" t="n">
        <f aca="false">MIN(Desain_Kolam!$B$21,MAX(0,M605+F606-H606-G606))</f>
        <v>13074.42</v>
      </c>
      <c r="N606" s="6" t="n">
        <f aca="false">IF(M605+F606-H606&gt;=G606,1,0)</f>
        <v>1</v>
      </c>
    </row>
    <row r="607" customFormat="false" ht="15" hidden="false" customHeight="false" outlineLevel="0" collapsed="false">
      <c r="A607" s="6" t="n">
        <v>2018</v>
      </c>
      <c r="B607" s="6" t="n">
        <v>3</v>
      </c>
      <c r="C607" s="4" t="n">
        <v>162</v>
      </c>
      <c r="D607" s="6" t="n">
        <v>31</v>
      </c>
      <c r="E607" s="4" t="n">
        <f aca="false">INDEX(Evaporasi!$B$3:$B$14,MATCH(B607,Evaporasi!$A$3:$A$14,0))</f>
        <v>120</v>
      </c>
      <c r="F607" s="18" t="n">
        <f aca="false">Kawasan!$B$11*Kawasan!$B$9*C607/1000</f>
        <v>1347.84</v>
      </c>
      <c r="G607" s="18" t="n">
        <f aca="false">Kawasan!$B$29*D607</f>
        <v>1428.48</v>
      </c>
      <c r="H607" s="18" t="n">
        <f aca="false">E607*Desain_Kolam!$B$16/1000</f>
        <v>128.7</v>
      </c>
      <c r="I607" s="18" t="n">
        <f aca="false">F607-G607-H607</f>
        <v>-209.34</v>
      </c>
      <c r="J607" s="18" t="n">
        <f aca="false">J606+I607</f>
        <v>32506.86</v>
      </c>
      <c r="K607" s="18" t="n">
        <f aca="false">MAX(K606,J607)</f>
        <v>34790.16</v>
      </c>
      <c r="L607" s="18" t="n">
        <f aca="false">K607-J607</f>
        <v>2283.3</v>
      </c>
      <c r="M607" s="18" t="n">
        <f aca="false">MIN(Desain_Kolam!$B$21,MAX(0,M606+F607-H607-G607))</f>
        <v>12865.08</v>
      </c>
      <c r="N607" s="6" t="n">
        <f aca="false">IF(M606+F607-H607&gt;=G607,1,0)</f>
        <v>1</v>
      </c>
    </row>
    <row r="608" customFormat="false" ht="15" hidden="false" customHeight="false" outlineLevel="0" collapsed="false">
      <c r="A608" s="6" t="n">
        <v>2018</v>
      </c>
      <c r="B608" s="6" t="n">
        <v>4</v>
      </c>
      <c r="C608" s="4" t="n">
        <v>135</v>
      </c>
      <c r="D608" s="6" t="n">
        <v>30</v>
      </c>
      <c r="E608" s="4" t="n">
        <f aca="false">INDEX(Evaporasi!$B$3:$B$14,MATCH(B608,Evaporasi!$A$3:$A$14,0))</f>
        <v>120</v>
      </c>
      <c r="F608" s="18" t="n">
        <f aca="false">Kawasan!$B$11*Kawasan!$B$9*C608/1000</f>
        <v>1123.2</v>
      </c>
      <c r="G608" s="18" t="n">
        <f aca="false">Kawasan!$B$29*D608</f>
        <v>1382.4</v>
      </c>
      <c r="H608" s="18" t="n">
        <f aca="false">E608*Desain_Kolam!$B$16/1000</f>
        <v>128.7</v>
      </c>
      <c r="I608" s="18" t="n">
        <f aca="false">F608-G608-H608</f>
        <v>-387.9</v>
      </c>
      <c r="J608" s="18" t="n">
        <f aca="false">J607+I608</f>
        <v>32118.96</v>
      </c>
      <c r="K608" s="18" t="n">
        <f aca="false">MAX(K607,J608)</f>
        <v>34790.16</v>
      </c>
      <c r="L608" s="18" t="n">
        <f aca="false">K608-J608</f>
        <v>2671.2</v>
      </c>
      <c r="M608" s="18" t="n">
        <f aca="false">MIN(Desain_Kolam!$B$21,MAX(0,M607+F608-H608-G608))</f>
        <v>12477.18</v>
      </c>
      <c r="N608" s="6" t="n">
        <f aca="false">IF(M607+F608-H608&gt;=G608,1,0)</f>
        <v>1</v>
      </c>
    </row>
    <row r="609" customFormat="false" ht="15" hidden="false" customHeight="false" outlineLevel="0" collapsed="false">
      <c r="A609" s="6" t="n">
        <v>2018</v>
      </c>
      <c r="B609" s="6" t="n">
        <v>5</v>
      </c>
      <c r="C609" s="4" t="n">
        <v>214</v>
      </c>
      <c r="D609" s="6" t="n">
        <v>31</v>
      </c>
      <c r="E609" s="4" t="n">
        <f aca="false">INDEX(Evaporasi!$B$3:$B$14,MATCH(B609,Evaporasi!$A$3:$A$14,0))</f>
        <v>120</v>
      </c>
      <c r="F609" s="18" t="n">
        <f aca="false">Kawasan!$B$11*Kawasan!$B$9*C609/1000</f>
        <v>1780.48</v>
      </c>
      <c r="G609" s="18" t="n">
        <f aca="false">Kawasan!$B$29*D609</f>
        <v>1428.48</v>
      </c>
      <c r="H609" s="18" t="n">
        <f aca="false">E609*Desain_Kolam!$B$16/1000</f>
        <v>128.7</v>
      </c>
      <c r="I609" s="18" t="n">
        <f aca="false">F609-G609-H609</f>
        <v>223.3</v>
      </c>
      <c r="J609" s="18" t="n">
        <f aca="false">J608+I609</f>
        <v>32342.26</v>
      </c>
      <c r="K609" s="18" t="n">
        <f aca="false">MAX(K608,J609)</f>
        <v>34790.16</v>
      </c>
      <c r="L609" s="18" t="n">
        <f aca="false">K609-J609</f>
        <v>2447.9</v>
      </c>
      <c r="M609" s="18" t="n">
        <f aca="false">MIN(Desain_Kolam!$B$21,MAX(0,M608+F609-H609-G609))</f>
        <v>12700.48</v>
      </c>
      <c r="N609" s="6" t="n">
        <f aca="false">IF(M608+F609-H609&gt;=G609,1,0)</f>
        <v>1</v>
      </c>
    </row>
    <row r="610" customFormat="false" ht="15" hidden="false" customHeight="false" outlineLevel="0" collapsed="false">
      <c r="A610" s="6" t="n">
        <v>2018</v>
      </c>
      <c r="B610" s="6" t="n">
        <v>6</v>
      </c>
      <c r="C610" s="4" t="n">
        <v>125</v>
      </c>
      <c r="D610" s="6" t="n">
        <v>30</v>
      </c>
      <c r="E610" s="4" t="n">
        <f aca="false">INDEX(Evaporasi!$B$3:$B$14,MATCH(B610,Evaporasi!$A$3:$A$14,0))</f>
        <v>120</v>
      </c>
      <c r="F610" s="18" t="n">
        <f aca="false">Kawasan!$B$11*Kawasan!$B$9*C610/1000</f>
        <v>1040</v>
      </c>
      <c r="G610" s="18" t="n">
        <f aca="false">Kawasan!$B$29*D610</f>
        <v>1382.4</v>
      </c>
      <c r="H610" s="18" t="n">
        <f aca="false">E610*Desain_Kolam!$B$16/1000</f>
        <v>128.7</v>
      </c>
      <c r="I610" s="18" t="n">
        <f aca="false">F610-G610-H610</f>
        <v>-471.1</v>
      </c>
      <c r="J610" s="18" t="n">
        <f aca="false">J609+I610</f>
        <v>31871.16</v>
      </c>
      <c r="K610" s="18" t="n">
        <f aca="false">MAX(K609,J610)</f>
        <v>34790.16</v>
      </c>
      <c r="L610" s="18" t="n">
        <f aca="false">K610-J610</f>
        <v>2919</v>
      </c>
      <c r="M610" s="18" t="n">
        <f aca="false">MIN(Desain_Kolam!$B$21,MAX(0,M609+F610-H610-G610))</f>
        <v>12229.38</v>
      </c>
      <c r="N610" s="6" t="n">
        <f aca="false">IF(M609+F610-H610&gt;=G610,1,0)</f>
        <v>1</v>
      </c>
    </row>
    <row r="611" customFormat="false" ht="15" hidden="false" customHeight="false" outlineLevel="0" collapsed="false">
      <c r="A611" s="6" t="n">
        <v>2018</v>
      </c>
      <c r="B611" s="6" t="n">
        <v>7</v>
      </c>
      <c r="C611" s="4" t="n">
        <v>24</v>
      </c>
      <c r="D611" s="6" t="n">
        <v>31</v>
      </c>
      <c r="E611" s="4" t="n">
        <f aca="false">INDEX(Evaporasi!$B$3:$B$14,MATCH(B611,Evaporasi!$A$3:$A$14,0))</f>
        <v>120</v>
      </c>
      <c r="F611" s="18" t="n">
        <f aca="false">Kawasan!$B$11*Kawasan!$B$9*C611/1000</f>
        <v>199.68</v>
      </c>
      <c r="G611" s="18" t="n">
        <f aca="false">Kawasan!$B$29*D611</f>
        <v>1428.48</v>
      </c>
      <c r="H611" s="18" t="n">
        <f aca="false">E611*Desain_Kolam!$B$16/1000</f>
        <v>128.7</v>
      </c>
      <c r="I611" s="18" t="n">
        <f aca="false">F611-G611-H611</f>
        <v>-1357.5</v>
      </c>
      <c r="J611" s="18" t="n">
        <f aca="false">J610+I611</f>
        <v>30513.66</v>
      </c>
      <c r="K611" s="18" t="n">
        <f aca="false">MAX(K610,J611)</f>
        <v>34790.16</v>
      </c>
      <c r="L611" s="18" t="n">
        <f aca="false">K611-J611</f>
        <v>4276.5</v>
      </c>
      <c r="M611" s="18" t="n">
        <f aca="false">MIN(Desain_Kolam!$B$21,MAX(0,M610+F611-H611-G611))</f>
        <v>10871.88</v>
      </c>
      <c r="N611" s="6" t="n">
        <f aca="false">IF(M610+F611-H611&gt;=G611,1,0)</f>
        <v>1</v>
      </c>
    </row>
    <row r="612" customFormat="false" ht="15" hidden="false" customHeight="false" outlineLevel="0" collapsed="false">
      <c r="A612" s="6" t="n">
        <v>2018</v>
      </c>
      <c r="B612" s="6" t="n">
        <v>8</v>
      </c>
      <c r="C612" s="4" t="n">
        <v>48</v>
      </c>
      <c r="D612" s="6" t="n">
        <v>31</v>
      </c>
      <c r="E612" s="4" t="n">
        <f aca="false">INDEX(Evaporasi!$B$3:$B$14,MATCH(B612,Evaporasi!$A$3:$A$14,0))</f>
        <v>120</v>
      </c>
      <c r="F612" s="18" t="n">
        <f aca="false">Kawasan!$B$11*Kawasan!$B$9*C612/1000</f>
        <v>399.36</v>
      </c>
      <c r="G612" s="18" t="n">
        <f aca="false">Kawasan!$B$29*D612</f>
        <v>1428.48</v>
      </c>
      <c r="H612" s="18" t="n">
        <f aca="false">E612*Desain_Kolam!$B$16/1000</f>
        <v>128.7</v>
      </c>
      <c r="I612" s="18" t="n">
        <f aca="false">F612-G612-H612</f>
        <v>-1157.82</v>
      </c>
      <c r="J612" s="18" t="n">
        <f aca="false">J611+I612</f>
        <v>29355.84</v>
      </c>
      <c r="K612" s="18" t="n">
        <f aca="false">MAX(K611,J612)</f>
        <v>34790.16</v>
      </c>
      <c r="L612" s="18" t="n">
        <f aca="false">K612-J612</f>
        <v>5434.32</v>
      </c>
      <c r="M612" s="18" t="n">
        <f aca="false">MIN(Desain_Kolam!$B$21,MAX(0,M611+F612-H612-G612))</f>
        <v>9714.06</v>
      </c>
      <c r="N612" s="6" t="n">
        <f aca="false">IF(M611+F612-H612&gt;=G612,1,0)</f>
        <v>1</v>
      </c>
    </row>
    <row r="613" customFormat="false" ht="15" hidden="false" customHeight="false" outlineLevel="0" collapsed="false">
      <c r="A613" s="6" t="n">
        <v>2018</v>
      </c>
      <c r="B613" s="6" t="n">
        <v>9</v>
      </c>
      <c r="C613" s="4" t="n">
        <v>103</v>
      </c>
      <c r="D613" s="6" t="n">
        <v>30</v>
      </c>
      <c r="E613" s="4" t="n">
        <f aca="false">INDEX(Evaporasi!$B$3:$B$14,MATCH(B613,Evaporasi!$A$3:$A$14,0))</f>
        <v>120</v>
      </c>
      <c r="F613" s="18" t="n">
        <f aca="false">Kawasan!$B$11*Kawasan!$B$9*C613/1000</f>
        <v>856.96</v>
      </c>
      <c r="G613" s="18" t="n">
        <f aca="false">Kawasan!$B$29*D613</f>
        <v>1382.4</v>
      </c>
      <c r="H613" s="18" t="n">
        <f aca="false">E613*Desain_Kolam!$B$16/1000</f>
        <v>128.7</v>
      </c>
      <c r="I613" s="18" t="n">
        <f aca="false">F613-G613-H613</f>
        <v>-654.14</v>
      </c>
      <c r="J613" s="18" t="n">
        <f aca="false">J612+I613</f>
        <v>28701.7</v>
      </c>
      <c r="K613" s="18" t="n">
        <f aca="false">MAX(K612,J613)</f>
        <v>34790.16</v>
      </c>
      <c r="L613" s="18" t="n">
        <f aca="false">K613-J613</f>
        <v>6088.46</v>
      </c>
      <c r="M613" s="18" t="n">
        <f aca="false">MIN(Desain_Kolam!$B$21,MAX(0,M612+F613-H613-G613))</f>
        <v>9059.92</v>
      </c>
      <c r="N613" s="6" t="n">
        <f aca="false">IF(M612+F613-H613&gt;=G613,1,0)</f>
        <v>1</v>
      </c>
    </row>
    <row r="614" customFormat="false" ht="15" hidden="false" customHeight="false" outlineLevel="0" collapsed="false">
      <c r="A614" s="6" t="n">
        <v>2018</v>
      </c>
      <c r="B614" s="6" t="n">
        <v>10</v>
      </c>
      <c r="C614" s="4" t="n">
        <v>176</v>
      </c>
      <c r="D614" s="6" t="n">
        <v>31</v>
      </c>
      <c r="E614" s="4" t="n">
        <f aca="false">INDEX(Evaporasi!$B$3:$B$14,MATCH(B614,Evaporasi!$A$3:$A$14,0))</f>
        <v>120</v>
      </c>
      <c r="F614" s="18" t="n">
        <f aca="false">Kawasan!$B$11*Kawasan!$B$9*C614/1000</f>
        <v>1464.32</v>
      </c>
      <c r="G614" s="18" t="n">
        <f aca="false">Kawasan!$B$29*D614</f>
        <v>1428.48</v>
      </c>
      <c r="H614" s="18" t="n">
        <f aca="false">E614*Desain_Kolam!$B$16/1000</f>
        <v>128.7</v>
      </c>
      <c r="I614" s="18" t="n">
        <f aca="false">F614-G614-H614</f>
        <v>-92.8600000000001</v>
      </c>
      <c r="J614" s="18" t="n">
        <f aca="false">J613+I614</f>
        <v>28608.84</v>
      </c>
      <c r="K614" s="18" t="n">
        <f aca="false">MAX(K613,J614)</f>
        <v>34790.16</v>
      </c>
      <c r="L614" s="18" t="n">
        <f aca="false">K614-J614</f>
        <v>6181.32</v>
      </c>
      <c r="M614" s="18" t="n">
        <f aca="false">MIN(Desain_Kolam!$B$21,MAX(0,M613+F614-H614-G614))</f>
        <v>8967.06</v>
      </c>
      <c r="N614" s="6" t="n">
        <f aca="false">IF(M613+F614-H614&gt;=G614,1,0)</f>
        <v>1</v>
      </c>
    </row>
    <row r="615" customFormat="false" ht="15" hidden="false" customHeight="false" outlineLevel="0" collapsed="false">
      <c r="A615" s="6" t="n">
        <v>2018</v>
      </c>
      <c r="B615" s="6" t="n">
        <v>11</v>
      </c>
      <c r="C615" s="4" t="n">
        <v>172</v>
      </c>
      <c r="D615" s="6" t="n">
        <v>30</v>
      </c>
      <c r="E615" s="4" t="n">
        <f aca="false">INDEX(Evaporasi!$B$3:$B$14,MATCH(B615,Evaporasi!$A$3:$A$14,0))</f>
        <v>120</v>
      </c>
      <c r="F615" s="18" t="n">
        <f aca="false">Kawasan!$B$11*Kawasan!$B$9*C615/1000</f>
        <v>1431.04</v>
      </c>
      <c r="G615" s="18" t="n">
        <f aca="false">Kawasan!$B$29*D615</f>
        <v>1382.4</v>
      </c>
      <c r="H615" s="18" t="n">
        <f aca="false">E615*Desain_Kolam!$B$16/1000</f>
        <v>128.7</v>
      </c>
      <c r="I615" s="18" t="n">
        <f aca="false">F615-G615-H615</f>
        <v>-80.0599999999999</v>
      </c>
      <c r="J615" s="18" t="n">
        <f aca="false">J614+I615</f>
        <v>28528.78</v>
      </c>
      <c r="K615" s="18" t="n">
        <f aca="false">MAX(K614,J615)</f>
        <v>34790.16</v>
      </c>
      <c r="L615" s="18" t="n">
        <f aca="false">K615-J615</f>
        <v>6261.38</v>
      </c>
      <c r="M615" s="18" t="n">
        <f aca="false">MIN(Desain_Kolam!$B$21,MAX(0,M614+F615-H615-G615))</f>
        <v>8887</v>
      </c>
      <c r="N615" s="6" t="n">
        <f aca="false">IF(M614+F615-H615&gt;=G615,1,0)</f>
        <v>1</v>
      </c>
    </row>
    <row r="616" customFormat="false" ht="15" hidden="false" customHeight="false" outlineLevel="0" collapsed="false">
      <c r="A616" s="6" t="n">
        <v>2018</v>
      </c>
      <c r="B616" s="6" t="n">
        <v>12</v>
      </c>
      <c r="C616" s="4" t="n">
        <v>182</v>
      </c>
      <c r="D616" s="6" t="n">
        <v>31</v>
      </c>
      <c r="E616" s="4" t="n">
        <f aca="false">INDEX(Evaporasi!$B$3:$B$14,MATCH(B616,Evaporasi!$A$3:$A$14,0))</f>
        <v>120</v>
      </c>
      <c r="F616" s="18" t="n">
        <f aca="false">Kawasan!$B$11*Kawasan!$B$9*C616/1000</f>
        <v>1514.24</v>
      </c>
      <c r="G616" s="18" t="n">
        <f aca="false">Kawasan!$B$29*D616</f>
        <v>1428.48</v>
      </c>
      <c r="H616" s="18" t="n">
        <f aca="false">E616*Desain_Kolam!$B$16/1000</f>
        <v>128.7</v>
      </c>
      <c r="I616" s="18" t="n">
        <f aca="false">F616-G616-H616</f>
        <v>-42.94</v>
      </c>
      <c r="J616" s="18" t="n">
        <f aca="false">J615+I616</f>
        <v>28485.84</v>
      </c>
      <c r="K616" s="18" t="n">
        <f aca="false">MAX(K615,J616)</f>
        <v>34790.16</v>
      </c>
      <c r="L616" s="18" t="n">
        <f aca="false">K616-J616</f>
        <v>6304.32</v>
      </c>
      <c r="M616" s="18" t="n">
        <f aca="false">MIN(Desain_Kolam!$B$21,MAX(0,M615+F616-H616-G616))</f>
        <v>8844.06</v>
      </c>
      <c r="N616" s="6" t="n">
        <f aca="false">IF(M615+F616-H616&gt;=G616,1,0)</f>
        <v>1</v>
      </c>
    </row>
    <row r="617" customFormat="false" ht="15" hidden="false" customHeight="false" outlineLevel="0" collapsed="false">
      <c r="A617" s="6" t="n">
        <v>2019</v>
      </c>
      <c r="B617" s="6" t="n">
        <v>1</v>
      </c>
      <c r="C617" s="4" t="n">
        <v>124</v>
      </c>
      <c r="D617" s="6" t="n">
        <v>31</v>
      </c>
      <c r="E617" s="4" t="n">
        <f aca="false">INDEX(Evaporasi!$B$3:$B$14,MATCH(B617,Evaporasi!$A$3:$A$14,0))</f>
        <v>120</v>
      </c>
      <c r="F617" s="18" t="n">
        <f aca="false">Kawasan!$B$11*Kawasan!$B$9*C617/1000</f>
        <v>1031.68</v>
      </c>
      <c r="G617" s="18" t="n">
        <f aca="false">Kawasan!$B$29*D617</f>
        <v>1428.48</v>
      </c>
      <c r="H617" s="18" t="n">
        <f aca="false">E617*Desain_Kolam!$B$16/1000</f>
        <v>128.7</v>
      </c>
      <c r="I617" s="18" t="n">
        <f aca="false">F617-G617-H617</f>
        <v>-525.5</v>
      </c>
      <c r="J617" s="18" t="n">
        <f aca="false">J616+I617</f>
        <v>27960.34</v>
      </c>
      <c r="K617" s="18" t="n">
        <f aca="false">MAX(K616,J617)</f>
        <v>34790.16</v>
      </c>
      <c r="L617" s="18" t="n">
        <f aca="false">K617-J617</f>
        <v>6829.82</v>
      </c>
      <c r="M617" s="18" t="n">
        <f aca="false">MIN(Desain_Kolam!$B$21,MAX(0,M616+F617-H617-G617))</f>
        <v>8318.56</v>
      </c>
      <c r="N617" s="6" t="n">
        <f aca="false">IF(M616+F617-H617&gt;=G617,1,0)</f>
        <v>1</v>
      </c>
    </row>
    <row r="618" customFormat="false" ht="15" hidden="false" customHeight="false" outlineLevel="0" collapsed="false">
      <c r="A618" s="6" t="n">
        <v>2019</v>
      </c>
      <c r="B618" s="6" t="n">
        <v>2</v>
      </c>
      <c r="C618" s="4" t="n">
        <v>207</v>
      </c>
      <c r="D618" s="6" t="n">
        <v>28</v>
      </c>
      <c r="E618" s="4" t="n">
        <f aca="false">INDEX(Evaporasi!$B$3:$B$14,MATCH(B618,Evaporasi!$A$3:$A$14,0))</f>
        <v>120</v>
      </c>
      <c r="F618" s="18" t="n">
        <f aca="false">Kawasan!$B$11*Kawasan!$B$9*C618/1000</f>
        <v>1722.24</v>
      </c>
      <c r="G618" s="18" t="n">
        <f aca="false">Kawasan!$B$29*D618</f>
        <v>1290.24</v>
      </c>
      <c r="H618" s="18" t="n">
        <f aca="false">E618*Desain_Kolam!$B$16/1000</f>
        <v>128.7</v>
      </c>
      <c r="I618" s="18" t="n">
        <f aca="false">F618-G618-H618</f>
        <v>303.3</v>
      </c>
      <c r="J618" s="18" t="n">
        <f aca="false">J617+I618</f>
        <v>28263.64</v>
      </c>
      <c r="K618" s="18" t="n">
        <f aca="false">MAX(K617,J618)</f>
        <v>34790.16</v>
      </c>
      <c r="L618" s="18" t="n">
        <f aca="false">K618-J618</f>
        <v>6526.52</v>
      </c>
      <c r="M618" s="18" t="n">
        <f aca="false">MIN(Desain_Kolam!$B$21,MAX(0,M617+F618-H618-G618))</f>
        <v>8621.86</v>
      </c>
      <c r="N618" s="6" t="n">
        <f aca="false">IF(M617+F618-H618&gt;=G618,1,0)</f>
        <v>1</v>
      </c>
    </row>
    <row r="619" customFormat="false" ht="15" hidden="false" customHeight="false" outlineLevel="0" collapsed="false">
      <c r="A619" s="6" t="n">
        <v>2019</v>
      </c>
      <c r="B619" s="6" t="n">
        <v>3</v>
      </c>
      <c r="C619" s="4" t="n">
        <v>44</v>
      </c>
      <c r="D619" s="6" t="n">
        <v>31</v>
      </c>
      <c r="E619" s="4" t="n">
        <f aca="false">INDEX(Evaporasi!$B$3:$B$14,MATCH(B619,Evaporasi!$A$3:$A$14,0))</f>
        <v>120</v>
      </c>
      <c r="F619" s="18" t="n">
        <f aca="false">Kawasan!$B$11*Kawasan!$B$9*C619/1000</f>
        <v>366.08</v>
      </c>
      <c r="G619" s="18" t="n">
        <f aca="false">Kawasan!$B$29*D619</f>
        <v>1428.48</v>
      </c>
      <c r="H619" s="18" t="n">
        <f aca="false">E619*Desain_Kolam!$B$16/1000</f>
        <v>128.7</v>
      </c>
      <c r="I619" s="18" t="n">
        <f aca="false">F619-G619-H619</f>
        <v>-1191.1</v>
      </c>
      <c r="J619" s="18" t="n">
        <f aca="false">J618+I619</f>
        <v>27072.54</v>
      </c>
      <c r="K619" s="18" t="n">
        <f aca="false">MAX(K618,J619)</f>
        <v>34790.16</v>
      </c>
      <c r="L619" s="18" t="n">
        <f aca="false">K619-J619</f>
        <v>7717.62</v>
      </c>
      <c r="M619" s="18" t="n">
        <f aca="false">MIN(Desain_Kolam!$B$21,MAX(0,M618+F619-H619-G619))</f>
        <v>7430.76</v>
      </c>
      <c r="N619" s="6" t="n">
        <f aca="false">IF(M618+F619-H619&gt;=G619,1,0)</f>
        <v>1</v>
      </c>
    </row>
    <row r="620" customFormat="false" ht="15" hidden="false" customHeight="false" outlineLevel="0" collapsed="false">
      <c r="A620" s="6" t="n">
        <v>2019</v>
      </c>
      <c r="B620" s="6" t="n">
        <v>4</v>
      </c>
      <c r="C620" s="4" t="n">
        <v>151</v>
      </c>
      <c r="D620" s="6" t="n">
        <v>30</v>
      </c>
      <c r="E620" s="4" t="n">
        <f aca="false">INDEX(Evaporasi!$B$3:$B$14,MATCH(B620,Evaporasi!$A$3:$A$14,0))</f>
        <v>120</v>
      </c>
      <c r="F620" s="18" t="n">
        <f aca="false">Kawasan!$B$11*Kawasan!$B$9*C620/1000</f>
        <v>1256.32</v>
      </c>
      <c r="G620" s="18" t="n">
        <f aca="false">Kawasan!$B$29*D620</f>
        <v>1382.4</v>
      </c>
      <c r="H620" s="18" t="n">
        <f aca="false">E620*Desain_Kolam!$B$16/1000</f>
        <v>128.7</v>
      </c>
      <c r="I620" s="18" t="n">
        <f aca="false">F620-G620-H620</f>
        <v>-254.78</v>
      </c>
      <c r="J620" s="18" t="n">
        <f aca="false">J619+I620</f>
        <v>26817.76</v>
      </c>
      <c r="K620" s="18" t="n">
        <f aca="false">MAX(K619,J620)</f>
        <v>34790.16</v>
      </c>
      <c r="L620" s="18" t="n">
        <f aca="false">K620-J620</f>
        <v>7972.4</v>
      </c>
      <c r="M620" s="18" t="n">
        <f aca="false">MIN(Desain_Kolam!$B$21,MAX(0,M619+F620-H620-G620))</f>
        <v>7175.98</v>
      </c>
      <c r="N620" s="6" t="n">
        <f aca="false">IF(M619+F620-H620&gt;=G620,1,0)</f>
        <v>1</v>
      </c>
    </row>
    <row r="621" customFormat="false" ht="15" hidden="false" customHeight="false" outlineLevel="0" collapsed="false">
      <c r="A621" s="6" t="n">
        <v>2019</v>
      </c>
      <c r="B621" s="6" t="n">
        <v>5</v>
      </c>
      <c r="C621" s="4" t="n">
        <v>118</v>
      </c>
      <c r="D621" s="6" t="n">
        <v>31</v>
      </c>
      <c r="E621" s="4" t="n">
        <f aca="false">INDEX(Evaporasi!$B$3:$B$14,MATCH(B621,Evaporasi!$A$3:$A$14,0))</f>
        <v>120</v>
      </c>
      <c r="F621" s="18" t="n">
        <f aca="false">Kawasan!$B$11*Kawasan!$B$9*C621/1000</f>
        <v>981.76</v>
      </c>
      <c r="G621" s="18" t="n">
        <f aca="false">Kawasan!$B$29*D621</f>
        <v>1428.48</v>
      </c>
      <c r="H621" s="18" t="n">
        <f aca="false">E621*Desain_Kolam!$B$16/1000</f>
        <v>128.7</v>
      </c>
      <c r="I621" s="18" t="n">
        <f aca="false">F621-G621-H621</f>
        <v>-575.42</v>
      </c>
      <c r="J621" s="18" t="n">
        <f aca="false">J620+I621</f>
        <v>26242.34</v>
      </c>
      <c r="K621" s="18" t="n">
        <f aca="false">MAX(K620,J621)</f>
        <v>34790.16</v>
      </c>
      <c r="L621" s="18" t="n">
        <f aca="false">K621-J621</f>
        <v>8547.82</v>
      </c>
      <c r="M621" s="18" t="n">
        <f aca="false">MIN(Desain_Kolam!$B$21,MAX(0,M620+F621-H621-G621))</f>
        <v>6600.56</v>
      </c>
      <c r="N621" s="6" t="n">
        <f aca="false">IF(M620+F621-H621&gt;=G621,1,0)</f>
        <v>1</v>
      </c>
    </row>
    <row r="622" customFormat="false" ht="15" hidden="false" customHeight="false" outlineLevel="0" collapsed="false">
      <c r="A622" s="6" t="n">
        <v>2019</v>
      </c>
      <c r="B622" s="6" t="n">
        <v>6</v>
      </c>
      <c r="C622" s="4" t="n">
        <v>125</v>
      </c>
      <c r="D622" s="6" t="n">
        <v>30</v>
      </c>
      <c r="E622" s="4" t="n">
        <f aca="false">INDEX(Evaporasi!$B$3:$B$14,MATCH(B622,Evaporasi!$A$3:$A$14,0))</f>
        <v>120</v>
      </c>
      <c r="F622" s="18" t="n">
        <f aca="false">Kawasan!$B$11*Kawasan!$B$9*C622/1000</f>
        <v>1040</v>
      </c>
      <c r="G622" s="18" t="n">
        <f aca="false">Kawasan!$B$29*D622</f>
        <v>1382.4</v>
      </c>
      <c r="H622" s="18" t="n">
        <f aca="false">E622*Desain_Kolam!$B$16/1000</f>
        <v>128.7</v>
      </c>
      <c r="I622" s="18" t="n">
        <f aca="false">F622-G622-H622</f>
        <v>-471.1</v>
      </c>
      <c r="J622" s="18" t="n">
        <f aca="false">J621+I622</f>
        <v>25771.24</v>
      </c>
      <c r="K622" s="18" t="n">
        <f aca="false">MAX(K621,J622)</f>
        <v>34790.16</v>
      </c>
      <c r="L622" s="18" t="n">
        <f aca="false">K622-J622</f>
        <v>9018.92</v>
      </c>
      <c r="M622" s="18" t="n">
        <f aca="false">MIN(Desain_Kolam!$B$21,MAX(0,M621+F622-H622-G622))</f>
        <v>6129.46</v>
      </c>
      <c r="N622" s="6" t="n">
        <f aca="false">IF(M621+F622-H622&gt;=G622,1,0)</f>
        <v>1</v>
      </c>
    </row>
    <row r="623" customFormat="false" ht="15" hidden="false" customHeight="false" outlineLevel="0" collapsed="false">
      <c r="A623" s="6" t="n">
        <v>2019</v>
      </c>
      <c r="B623" s="6" t="n">
        <v>7</v>
      </c>
      <c r="C623" s="4" t="n">
        <v>53</v>
      </c>
      <c r="D623" s="6" t="n">
        <v>31</v>
      </c>
      <c r="E623" s="4" t="n">
        <f aca="false">INDEX(Evaporasi!$B$3:$B$14,MATCH(B623,Evaporasi!$A$3:$A$14,0))</f>
        <v>120</v>
      </c>
      <c r="F623" s="18" t="n">
        <f aca="false">Kawasan!$B$11*Kawasan!$B$9*C623/1000</f>
        <v>440.96</v>
      </c>
      <c r="G623" s="18" t="n">
        <f aca="false">Kawasan!$B$29*D623</f>
        <v>1428.48</v>
      </c>
      <c r="H623" s="18" t="n">
        <f aca="false">E623*Desain_Kolam!$B$16/1000</f>
        <v>128.7</v>
      </c>
      <c r="I623" s="18" t="n">
        <f aca="false">F623-G623-H623</f>
        <v>-1116.22</v>
      </c>
      <c r="J623" s="18" t="n">
        <f aca="false">J622+I623</f>
        <v>24655.02</v>
      </c>
      <c r="K623" s="18" t="n">
        <f aca="false">MAX(K622,J623)</f>
        <v>34790.16</v>
      </c>
      <c r="L623" s="18" t="n">
        <f aca="false">K623-J623</f>
        <v>10135.14</v>
      </c>
      <c r="M623" s="18" t="n">
        <f aca="false">MIN(Desain_Kolam!$B$21,MAX(0,M622+F623-H623-G623))</f>
        <v>5013.24</v>
      </c>
      <c r="N623" s="6" t="n">
        <f aca="false">IF(M622+F623-H623&gt;=G623,1,0)</f>
        <v>1</v>
      </c>
    </row>
    <row r="624" customFormat="false" ht="15" hidden="false" customHeight="false" outlineLevel="0" collapsed="false">
      <c r="A624" s="6" t="n">
        <v>2019</v>
      </c>
      <c r="B624" s="6" t="n">
        <v>8</v>
      </c>
      <c r="C624" s="4" t="n">
        <v>76</v>
      </c>
      <c r="D624" s="6" t="n">
        <v>31</v>
      </c>
      <c r="E624" s="4" t="n">
        <f aca="false">INDEX(Evaporasi!$B$3:$B$14,MATCH(B624,Evaporasi!$A$3:$A$14,0))</f>
        <v>120</v>
      </c>
      <c r="F624" s="18" t="n">
        <f aca="false">Kawasan!$B$11*Kawasan!$B$9*C624/1000</f>
        <v>632.32</v>
      </c>
      <c r="G624" s="18" t="n">
        <f aca="false">Kawasan!$B$29*D624</f>
        <v>1428.48</v>
      </c>
      <c r="H624" s="18" t="n">
        <f aca="false">E624*Desain_Kolam!$B$16/1000</f>
        <v>128.7</v>
      </c>
      <c r="I624" s="18" t="n">
        <f aca="false">F624-G624-H624</f>
        <v>-924.86</v>
      </c>
      <c r="J624" s="18" t="n">
        <f aca="false">J623+I624</f>
        <v>23730.16</v>
      </c>
      <c r="K624" s="18" t="n">
        <f aca="false">MAX(K623,J624)</f>
        <v>34790.16</v>
      </c>
      <c r="L624" s="18" t="n">
        <f aca="false">K624-J624</f>
        <v>11060</v>
      </c>
      <c r="M624" s="18" t="n">
        <f aca="false">MIN(Desain_Kolam!$B$21,MAX(0,M623+F624-H624-G624))</f>
        <v>4088.38</v>
      </c>
      <c r="N624" s="6" t="n">
        <f aca="false">IF(M623+F624-H624&gt;=G624,1,0)</f>
        <v>1</v>
      </c>
    </row>
    <row r="625" customFormat="false" ht="15" hidden="false" customHeight="false" outlineLevel="0" collapsed="false">
      <c r="A625" s="6" t="n">
        <v>2019</v>
      </c>
      <c r="B625" s="6" t="n">
        <v>9</v>
      </c>
      <c r="C625" s="4" t="n">
        <v>41</v>
      </c>
      <c r="D625" s="6" t="n">
        <v>30</v>
      </c>
      <c r="E625" s="4" t="n">
        <f aca="false">INDEX(Evaporasi!$B$3:$B$14,MATCH(B625,Evaporasi!$A$3:$A$14,0))</f>
        <v>120</v>
      </c>
      <c r="F625" s="18" t="n">
        <f aca="false">Kawasan!$B$11*Kawasan!$B$9*C625/1000</f>
        <v>341.12</v>
      </c>
      <c r="G625" s="18" t="n">
        <f aca="false">Kawasan!$B$29*D625</f>
        <v>1382.4</v>
      </c>
      <c r="H625" s="18" t="n">
        <f aca="false">E625*Desain_Kolam!$B$16/1000</f>
        <v>128.7</v>
      </c>
      <c r="I625" s="18" t="n">
        <f aca="false">F625-G625-H625</f>
        <v>-1169.98</v>
      </c>
      <c r="J625" s="18" t="n">
        <f aca="false">J624+I625</f>
        <v>22560.18</v>
      </c>
      <c r="K625" s="18" t="n">
        <f aca="false">MAX(K624,J625)</f>
        <v>34790.16</v>
      </c>
      <c r="L625" s="18" t="n">
        <f aca="false">K625-J625</f>
        <v>12229.98</v>
      </c>
      <c r="M625" s="18" t="n">
        <f aca="false">MIN(Desain_Kolam!$B$21,MAX(0,M624+F625-H625-G625))</f>
        <v>2918.4</v>
      </c>
      <c r="N625" s="6" t="n">
        <f aca="false">IF(M624+F625-H625&gt;=G625,1,0)</f>
        <v>1</v>
      </c>
    </row>
    <row r="626" customFormat="false" ht="15" hidden="false" customHeight="false" outlineLevel="0" collapsed="false">
      <c r="A626" s="6" t="n">
        <v>2019</v>
      </c>
      <c r="B626" s="6" t="n">
        <v>10</v>
      </c>
      <c r="C626" s="4" t="n">
        <v>548</v>
      </c>
      <c r="D626" s="6" t="n">
        <v>31</v>
      </c>
      <c r="E626" s="4" t="n">
        <f aca="false">INDEX(Evaporasi!$B$3:$B$14,MATCH(B626,Evaporasi!$A$3:$A$14,0))</f>
        <v>120</v>
      </c>
      <c r="F626" s="18" t="n">
        <f aca="false">Kawasan!$B$11*Kawasan!$B$9*C626/1000</f>
        <v>4559.36</v>
      </c>
      <c r="G626" s="18" t="n">
        <f aca="false">Kawasan!$B$29*D626</f>
        <v>1428.48</v>
      </c>
      <c r="H626" s="18" t="n">
        <f aca="false">E626*Desain_Kolam!$B$16/1000</f>
        <v>128.7</v>
      </c>
      <c r="I626" s="18" t="n">
        <f aca="false">F626-G626-H626</f>
        <v>3002.18</v>
      </c>
      <c r="J626" s="18" t="n">
        <f aca="false">J625+I626</f>
        <v>25562.36</v>
      </c>
      <c r="K626" s="18" t="n">
        <f aca="false">MAX(K625,J626)</f>
        <v>34790.16</v>
      </c>
      <c r="L626" s="18" t="n">
        <f aca="false">K626-J626</f>
        <v>9227.8</v>
      </c>
      <c r="M626" s="18" t="n">
        <f aca="false">MIN(Desain_Kolam!$B$21,MAX(0,M625+F626-H626-G626))</f>
        <v>5920.58</v>
      </c>
      <c r="N626" s="6" t="n">
        <f aca="false">IF(M625+F626-H626&gt;=G626,1,0)</f>
        <v>1</v>
      </c>
    </row>
    <row r="627" customFormat="false" ht="15" hidden="false" customHeight="false" outlineLevel="0" collapsed="false">
      <c r="A627" s="6" t="n">
        <v>2019</v>
      </c>
      <c r="B627" s="6" t="n">
        <v>11</v>
      </c>
      <c r="C627" s="4" t="n">
        <v>469</v>
      </c>
      <c r="D627" s="6" t="n">
        <v>30</v>
      </c>
      <c r="E627" s="4" t="n">
        <f aca="false">INDEX(Evaporasi!$B$3:$B$14,MATCH(B627,Evaporasi!$A$3:$A$14,0))</f>
        <v>120</v>
      </c>
      <c r="F627" s="18" t="n">
        <f aca="false">Kawasan!$B$11*Kawasan!$B$9*C627/1000</f>
        <v>3902.08</v>
      </c>
      <c r="G627" s="18" t="n">
        <f aca="false">Kawasan!$B$29*D627</f>
        <v>1382.4</v>
      </c>
      <c r="H627" s="18" t="n">
        <f aca="false">E627*Desain_Kolam!$B$16/1000</f>
        <v>128.7</v>
      </c>
      <c r="I627" s="18" t="n">
        <f aca="false">F627-G627-H627</f>
        <v>2390.98</v>
      </c>
      <c r="J627" s="18" t="n">
        <f aca="false">J626+I627</f>
        <v>27953.34</v>
      </c>
      <c r="K627" s="18" t="n">
        <f aca="false">MAX(K626,J627)</f>
        <v>34790.16</v>
      </c>
      <c r="L627" s="18" t="n">
        <f aca="false">K627-J627</f>
        <v>6836.82</v>
      </c>
      <c r="M627" s="18" t="n">
        <f aca="false">MIN(Desain_Kolam!$B$21,MAX(0,M626+F627-H627-G627))</f>
        <v>8311.56</v>
      </c>
      <c r="N627" s="6" t="n">
        <f aca="false">IF(M626+F627-H627&gt;=G627,1,0)</f>
        <v>1</v>
      </c>
    </row>
    <row r="628" customFormat="false" ht="15" hidden="false" customHeight="false" outlineLevel="0" collapsed="false">
      <c r="A628" s="6" t="n">
        <v>2019</v>
      </c>
      <c r="B628" s="6" t="n">
        <v>12</v>
      </c>
      <c r="C628" s="4" t="n">
        <v>357</v>
      </c>
      <c r="D628" s="6" t="n">
        <v>31</v>
      </c>
      <c r="E628" s="4" t="n">
        <f aca="false">INDEX(Evaporasi!$B$3:$B$14,MATCH(B628,Evaporasi!$A$3:$A$14,0))</f>
        <v>120</v>
      </c>
      <c r="F628" s="18" t="n">
        <f aca="false">Kawasan!$B$11*Kawasan!$B$9*C628/1000</f>
        <v>2970.24</v>
      </c>
      <c r="G628" s="18" t="n">
        <f aca="false">Kawasan!$B$29*D628</f>
        <v>1428.48</v>
      </c>
      <c r="H628" s="18" t="n">
        <f aca="false">E628*Desain_Kolam!$B$16/1000</f>
        <v>128.7</v>
      </c>
      <c r="I628" s="18" t="n">
        <f aca="false">F628-G628-H628</f>
        <v>1413.06</v>
      </c>
      <c r="J628" s="18" t="n">
        <f aca="false">J627+I628</f>
        <v>29366.4</v>
      </c>
      <c r="K628" s="18" t="n">
        <f aca="false">MAX(K627,J628)</f>
        <v>34790.16</v>
      </c>
      <c r="L628" s="18" t="n">
        <f aca="false">K628-J628</f>
        <v>5423.76</v>
      </c>
      <c r="M628" s="18" t="n">
        <f aca="false">MIN(Desain_Kolam!$B$21,MAX(0,M627+F628-H628-G628))</f>
        <v>9724.62</v>
      </c>
      <c r="N628" s="6" t="n">
        <f aca="false">IF(M627+F628-H628&gt;=G628,1,0)</f>
        <v>1</v>
      </c>
    </row>
    <row r="629" customFormat="false" ht="15" hidden="false" customHeight="false" outlineLevel="0" collapsed="false">
      <c r="A629" s="6" t="n">
        <v>2020</v>
      </c>
      <c r="B629" s="6" t="n">
        <v>1</v>
      </c>
      <c r="C629" s="4" t="n">
        <v>337</v>
      </c>
      <c r="D629" s="6" t="n">
        <v>31</v>
      </c>
      <c r="E629" s="4" t="n">
        <f aca="false">INDEX(Evaporasi!$B$3:$B$14,MATCH(B629,Evaporasi!$A$3:$A$14,0))</f>
        <v>120</v>
      </c>
      <c r="F629" s="18" t="n">
        <f aca="false">Kawasan!$B$11*Kawasan!$B$9*C629/1000</f>
        <v>2803.84</v>
      </c>
      <c r="G629" s="18" t="n">
        <f aca="false">Kawasan!$B$29*D629</f>
        <v>1428.48</v>
      </c>
      <c r="H629" s="18" t="n">
        <f aca="false">E629*Desain_Kolam!$B$16/1000</f>
        <v>128.7</v>
      </c>
      <c r="I629" s="18" t="n">
        <f aca="false">F629-G629-H629</f>
        <v>1246.66</v>
      </c>
      <c r="J629" s="18" t="n">
        <f aca="false">J628+I629</f>
        <v>30613.06</v>
      </c>
      <c r="K629" s="18" t="n">
        <f aca="false">MAX(K628,J629)</f>
        <v>34790.16</v>
      </c>
      <c r="L629" s="18" t="n">
        <f aca="false">K629-J629</f>
        <v>4177.1</v>
      </c>
      <c r="M629" s="18" t="n">
        <f aca="false">MIN(Desain_Kolam!$B$21,MAX(0,M628+F629-H629-G629))</f>
        <v>10971.28</v>
      </c>
      <c r="N629" s="6" t="n">
        <f aca="false">IF(M628+F629-H629&gt;=G629,1,0)</f>
        <v>1</v>
      </c>
    </row>
    <row r="630" customFormat="false" ht="15" hidden="false" customHeight="false" outlineLevel="0" collapsed="false">
      <c r="A630" s="6" t="n">
        <v>2020</v>
      </c>
      <c r="B630" s="6" t="n">
        <v>2</v>
      </c>
      <c r="C630" s="4" t="n">
        <v>305</v>
      </c>
      <c r="D630" s="6" t="n">
        <v>29</v>
      </c>
      <c r="E630" s="4" t="n">
        <f aca="false">INDEX(Evaporasi!$B$3:$B$14,MATCH(B630,Evaporasi!$A$3:$A$14,0))</f>
        <v>120</v>
      </c>
      <c r="F630" s="18" t="n">
        <f aca="false">Kawasan!$B$11*Kawasan!$B$9*C630/1000</f>
        <v>2537.6</v>
      </c>
      <c r="G630" s="18" t="n">
        <f aca="false">Kawasan!$B$29*D630</f>
        <v>1336.32</v>
      </c>
      <c r="H630" s="18" t="n">
        <f aca="false">E630*Desain_Kolam!$B$16/1000</f>
        <v>128.7</v>
      </c>
      <c r="I630" s="18" t="n">
        <f aca="false">F630-G630-H630</f>
        <v>1072.58</v>
      </c>
      <c r="J630" s="18" t="n">
        <f aca="false">J629+I630</f>
        <v>31685.64</v>
      </c>
      <c r="K630" s="18" t="n">
        <f aca="false">MAX(K629,J630)</f>
        <v>34790.16</v>
      </c>
      <c r="L630" s="18" t="n">
        <f aca="false">K630-J630</f>
        <v>3104.52</v>
      </c>
      <c r="M630" s="18" t="n">
        <f aca="false">MIN(Desain_Kolam!$B$21,MAX(0,M629+F630-H630-G630))</f>
        <v>12043.86</v>
      </c>
      <c r="N630" s="6" t="n">
        <f aca="false">IF(M629+F630-H630&gt;=G630,1,0)</f>
        <v>1</v>
      </c>
    </row>
    <row r="631" customFormat="false" ht="15" hidden="false" customHeight="false" outlineLevel="0" collapsed="false">
      <c r="A631" s="6" t="n">
        <v>2020</v>
      </c>
      <c r="B631" s="6" t="n">
        <v>3</v>
      </c>
      <c r="C631" s="4" t="n">
        <v>219</v>
      </c>
      <c r="D631" s="6" t="n">
        <v>31</v>
      </c>
      <c r="E631" s="4" t="n">
        <f aca="false">INDEX(Evaporasi!$B$3:$B$14,MATCH(B631,Evaporasi!$A$3:$A$14,0))</f>
        <v>120</v>
      </c>
      <c r="F631" s="18" t="n">
        <f aca="false">Kawasan!$B$11*Kawasan!$B$9*C631/1000</f>
        <v>1822.08</v>
      </c>
      <c r="G631" s="18" t="n">
        <f aca="false">Kawasan!$B$29*D631</f>
        <v>1428.48</v>
      </c>
      <c r="H631" s="18" t="n">
        <f aca="false">E631*Desain_Kolam!$B$16/1000</f>
        <v>128.7</v>
      </c>
      <c r="I631" s="18" t="n">
        <f aca="false">F631-G631-H631</f>
        <v>264.9</v>
      </c>
      <c r="J631" s="18" t="n">
        <f aca="false">J630+I631</f>
        <v>31950.54</v>
      </c>
      <c r="K631" s="18" t="n">
        <f aca="false">MAX(K630,J631)</f>
        <v>34790.16</v>
      </c>
      <c r="L631" s="18" t="n">
        <f aca="false">K631-J631</f>
        <v>2839.62</v>
      </c>
      <c r="M631" s="18" t="n">
        <f aca="false">MIN(Desain_Kolam!$B$21,MAX(0,M630+F631-H631-G631))</f>
        <v>12308.76</v>
      </c>
      <c r="N631" s="6" t="n">
        <f aca="false">IF(M630+F631-H631&gt;=G631,1,0)</f>
        <v>1</v>
      </c>
    </row>
    <row r="632" customFormat="false" ht="15" hidden="false" customHeight="false" outlineLevel="0" collapsed="false">
      <c r="A632" s="6" t="n">
        <v>2020</v>
      </c>
      <c r="B632" s="6" t="n">
        <v>4</v>
      </c>
      <c r="C632" s="4" t="n">
        <v>358</v>
      </c>
      <c r="D632" s="6" t="n">
        <v>30</v>
      </c>
      <c r="E632" s="4" t="n">
        <f aca="false">INDEX(Evaporasi!$B$3:$B$14,MATCH(B632,Evaporasi!$A$3:$A$14,0))</f>
        <v>120</v>
      </c>
      <c r="F632" s="18" t="n">
        <f aca="false">Kawasan!$B$11*Kawasan!$B$9*C632/1000</f>
        <v>2978.56</v>
      </c>
      <c r="G632" s="18" t="n">
        <f aca="false">Kawasan!$B$29*D632</f>
        <v>1382.4</v>
      </c>
      <c r="H632" s="18" t="n">
        <f aca="false">E632*Desain_Kolam!$B$16/1000</f>
        <v>128.7</v>
      </c>
      <c r="I632" s="18" t="n">
        <f aca="false">F632-G632-H632</f>
        <v>1467.46</v>
      </c>
      <c r="J632" s="18" t="n">
        <f aca="false">J631+I632</f>
        <v>33418</v>
      </c>
      <c r="K632" s="18" t="n">
        <f aca="false">MAX(K631,J632)</f>
        <v>34790.16</v>
      </c>
      <c r="L632" s="18" t="n">
        <f aca="false">K632-J632</f>
        <v>1372.16</v>
      </c>
      <c r="M632" s="18" t="n">
        <f aca="false">MIN(Desain_Kolam!$B$21,MAX(0,M631+F632-H632-G632))</f>
        <v>13776.22</v>
      </c>
      <c r="N632" s="6" t="n">
        <f aca="false">IF(M631+F632-H632&gt;=G632,1,0)</f>
        <v>1</v>
      </c>
    </row>
    <row r="633" customFormat="false" ht="15" hidden="false" customHeight="false" outlineLevel="0" collapsed="false">
      <c r="A633" s="6" t="n">
        <v>2020</v>
      </c>
      <c r="B633" s="6" t="n">
        <v>5</v>
      </c>
      <c r="C633" s="4" t="n">
        <v>305</v>
      </c>
      <c r="D633" s="6" t="n">
        <v>31</v>
      </c>
      <c r="E633" s="4" t="n">
        <f aca="false">INDEX(Evaporasi!$B$3:$B$14,MATCH(B633,Evaporasi!$A$3:$A$14,0))</f>
        <v>120</v>
      </c>
      <c r="F633" s="18" t="n">
        <f aca="false">Kawasan!$B$11*Kawasan!$B$9*C633/1000</f>
        <v>2537.6</v>
      </c>
      <c r="G633" s="18" t="n">
        <f aca="false">Kawasan!$B$29*D633</f>
        <v>1428.48</v>
      </c>
      <c r="H633" s="18" t="n">
        <f aca="false">E633*Desain_Kolam!$B$16/1000</f>
        <v>128.7</v>
      </c>
      <c r="I633" s="18" t="n">
        <f aca="false">F633-G633-H633</f>
        <v>980.42</v>
      </c>
      <c r="J633" s="18" t="n">
        <f aca="false">J632+I633</f>
        <v>34398.42</v>
      </c>
      <c r="K633" s="18" t="n">
        <f aca="false">MAX(K632,J633)</f>
        <v>34790.16</v>
      </c>
      <c r="L633" s="18" t="n">
        <f aca="false">K633-J633</f>
        <v>391.739999999998</v>
      </c>
      <c r="M633" s="18" t="n">
        <f aca="false">MIN(Desain_Kolam!$B$21,MAX(0,M632+F633-H633-G633))</f>
        <v>14756.64</v>
      </c>
      <c r="N633" s="6" t="n">
        <f aca="false">IF(M632+F633-H633&gt;=G633,1,0)</f>
        <v>1</v>
      </c>
    </row>
    <row r="634" customFormat="false" ht="15" hidden="false" customHeight="false" outlineLevel="0" collapsed="false">
      <c r="A634" s="6" t="n">
        <v>2020</v>
      </c>
      <c r="B634" s="6" t="n">
        <v>6</v>
      </c>
      <c r="C634" s="4" t="n">
        <v>388</v>
      </c>
      <c r="D634" s="6" t="n">
        <v>30</v>
      </c>
      <c r="E634" s="4" t="n">
        <f aca="false">INDEX(Evaporasi!$B$3:$B$14,MATCH(B634,Evaporasi!$A$3:$A$14,0))</f>
        <v>120</v>
      </c>
      <c r="F634" s="18" t="n">
        <f aca="false">Kawasan!$B$11*Kawasan!$B$9*C634/1000</f>
        <v>3228.16</v>
      </c>
      <c r="G634" s="18" t="n">
        <f aca="false">Kawasan!$B$29*D634</f>
        <v>1382.4</v>
      </c>
      <c r="H634" s="18" t="n">
        <f aca="false">E634*Desain_Kolam!$B$16/1000</f>
        <v>128.7</v>
      </c>
      <c r="I634" s="18" t="n">
        <f aca="false">F634-G634-H634</f>
        <v>1717.06</v>
      </c>
      <c r="J634" s="18" t="n">
        <f aca="false">J633+I634</f>
        <v>36115.48</v>
      </c>
      <c r="K634" s="18" t="n">
        <f aca="false">MAX(K633,J634)</f>
        <v>36115.48</v>
      </c>
      <c r="L634" s="18" t="n">
        <f aca="false">K634-J634</f>
        <v>0</v>
      </c>
      <c r="M634" s="18" t="n">
        <f aca="false">MIN(Desain_Kolam!$B$21,MAX(0,M633+F634-H634-G634))</f>
        <v>15148.38</v>
      </c>
      <c r="N634" s="6" t="n">
        <f aca="false">IF(M633+F634-H634&gt;=G634,1,0)</f>
        <v>1</v>
      </c>
    </row>
    <row r="635" customFormat="false" ht="15" hidden="false" customHeight="false" outlineLevel="0" collapsed="false">
      <c r="A635" s="6" t="n">
        <v>2020</v>
      </c>
      <c r="B635" s="6" t="n">
        <v>7</v>
      </c>
      <c r="C635" s="4" t="n">
        <v>507</v>
      </c>
      <c r="D635" s="6" t="n">
        <v>31</v>
      </c>
      <c r="E635" s="4" t="n">
        <f aca="false">INDEX(Evaporasi!$B$3:$B$14,MATCH(B635,Evaporasi!$A$3:$A$14,0))</f>
        <v>120</v>
      </c>
      <c r="F635" s="18" t="n">
        <f aca="false">Kawasan!$B$11*Kawasan!$B$9*C635/1000</f>
        <v>4218.24</v>
      </c>
      <c r="G635" s="18" t="n">
        <f aca="false">Kawasan!$B$29*D635</f>
        <v>1428.48</v>
      </c>
      <c r="H635" s="18" t="n">
        <f aca="false">E635*Desain_Kolam!$B$16/1000</f>
        <v>128.7</v>
      </c>
      <c r="I635" s="18" t="n">
        <f aca="false">F635-G635-H635</f>
        <v>2661.06</v>
      </c>
      <c r="J635" s="18" t="n">
        <f aca="false">J634+I635</f>
        <v>38776.54</v>
      </c>
      <c r="K635" s="18" t="n">
        <f aca="false">MAX(K634,J635)</f>
        <v>38776.54</v>
      </c>
      <c r="L635" s="18" t="n">
        <f aca="false">K635-J635</f>
        <v>0</v>
      </c>
      <c r="M635" s="18" t="n">
        <f aca="false">MIN(Desain_Kolam!$B$21,MAX(0,M634+F635-H635-G635))</f>
        <v>15148.38</v>
      </c>
      <c r="N635" s="6" t="n">
        <f aca="false">IF(M634+F635-H635&gt;=G635,1,0)</f>
        <v>1</v>
      </c>
    </row>
    <row r="636" customFormat="false" ht="15" hidden="false" customHeight="false" outlineLevel="0" collapsed="false">
      <c r="A636" s="6" t="n">
        <v>2020</v>
      </c>
      <c r="B636" s="6" t="n">
        <v>8</v>
      </c>
      <c r="C636" s="4" t="n">
        <v>212</v>
      </c>
      <c r="D636" s="6" t="n">
        <v>31</v>
      </c>
      <c r="E636" s="4" t="n">
        <f aca="false">INDEX(Evaporasi!$B$3:$B$14,MATCH(B636,Evaporasi!$A$3:$A$14,0))</f>
        <v>120</v>
      </c>
      <c r="F636" s="18" t="n">
        <f aca="false">Kawasan!$B$11*Kawasan!$B$9*C636/1000</f>
        <v>1763.84</v>
      </c>
      <c r="G636" s="18" t="n">
        <f aca="false">Kawasan!$B$29*D636</f>
        <v>1428.48</v>
      </c>
      <c r="H636" s="18" t="n">
        <f aca="false">E636*Desain_Kolam!$B$16/1000</f>
        <v>128.7</v>
      </c>
      <c r="I636" s="18" t="n">
        <f aca="false">F636-G636-H636</f>
        <v>206.66</v>
      </c>
      <c r="J636" s="18" t="n">
        <f aca="false">J635+I636</f>
        <v>38983.2</v>
      </c>
      <c r="K636" s="18" t="n">
        <f aca="false">MAX(K635,J636)</f>
        <v>38983.2</v>
      </c>
      <c r="L636" s="18" t="n">
        <f aca="false">K636-J636</f>
        <v>0</v>
      </c>
      <c r="M636" s="18" t="n">
        <f aca="false">MIN(Desain_Kolam!$B$21,MAX(0,M635+F636-H636-G636))</f>
        <v>15148.38</v>
      </c>
      <c r="N636" s="6" t="n">
        <f aca="false">IF(M635+F636-H636&gt;=G636,1,0)</f>
        <v>1</v>
      </c>
    </row>
    <row r="637" customFormat="false" ht="15" hidden="false" customHeight="false" outlineLevel="0" collapsed="false">
      <c r="A637" s="6" t="n">
        <v>2020</v>
      </c>
      <c r="B637" s="6" t="n">
        <v>9</v>
      </c>
      <c r="C637" s="4" t="n">
        <v>460</v>
      </c>
      <c r="D637" s="6" t="n">
        <v>30</v>
      </c>
      <c r="E637" s="4" t="n">
        <f aca="false">INDEX(Evaporasi!$B$3:$B$14,MATCH(B637,Evaporasi!$A$3:$A$14,0))</f>
        <v>120</v>
      </c>
      <c r="F637" s="18" t="n">
        <f aca="false">Kawasan!$B$11*Kawasan!$B$9*C637/1000</f>
        <v>3827.2</v>
      </c>
      <c r="G637" s="18" t="n">
        <f aca="false">Kawasan!$B$29*D637</f>
        <v>1382.4</v>
      </c>
      <c r="H637" s="18" t="n">
        <f aca="false">E637*Desain_Kolam!$B$16/1000</f>
        <v>128.7</v>
      </c>
      <c r="I637" s="18" t="n">
        <f aca="false">F637-G637-H637</f>
        <v>2316.1</v>
      </c>
      <c r="J637" s="18" t="n">
        <f aca="false">J636+I637</f>
        <v>41299.3</v>
      </c>
      <c r="K637" s="18" t="n">
        <f aca="false">MAX(K636,J637)</f>
        <v>41299.3</v>
      </c>
      <c r="L637" s="18" t="n">
        <f aca="false">K637-J637</f>
        <v>0</v>
      </c>
      <c r="M637" s="18" t="n">
        <f aca="false">MIN(Desain_Kolam!$B$21,MAX(0,M636+F637-H637-G637))</f>
        <v>15148.38</v>
      </c>
      <c r="N637" s="6" t="n">
        <f aca="false">IF(M636+F637-H637&gt;=G637,1,0)</f>
        <v>1</v>
      </c>
    </row>
    <row r="638" customFormat="false" ht="15" hidden="false" customHeight="false" outlineLevel="0" collapsed="false">
      <c r="A638" s="6" t="n">
        <v>2020</v>
      </c>
      <c r="B638" s="6" t="n">
        <v>10</v>
      </c>
      <c r="C638" s="4" t="n">
        <v>256</v>
      </c>
      <c r="D638" s="6" t="n">
        <v>31</v>
      </c>
      <c r="E638" s="4" t="n">
        <f aca="false">INDEX(Evaporasi!$B$3:$B$14,MATCH(B638,Evaporasi!$A$3:$A$14,0))</f>
        <v>120</v>
      </c>
      <c r="F638" s="18" t="n">
        <f aca="false">Kawasan!$B$11*Kawasan!$B$9*C638/1000</f>
        <v>2129.92</v>
      </c>
      <c r="G638" s="18" t="n">
        <f aca="false">Kawasan!$B$29*D638</f>
        <v>1428.48</v>
      </c>
      <c r="H638" s="18" t="n">
        <f aca="false">E638*Desain_Kolam!$B$16/1000</f>
        <v>128.7</v>
      </c>
      <c r="I638" s="18" t="n">
        <f aca="false">F638-G638-H638</f>
        <v>572.74</v>
      </c>
      <c r="J638" s="18" t="n">
        <f aca="false">J637+I638</f>
        <v>41872.04</v>
      </c>
      <c r="K638" s="18" t="n">
        <f aca="false">MAX(K637,J638)</f>
        <v>41872.04</v>
      </c>
      <c r="L638" s="18" t="n">
        <f aca="false">K638-J638</f>
        <v>0</v>
      </c>
      <c r="M638" s="18" t="n">
        <f aca="false">MIN(Desain_Kolam!$B$21,MAX(0,M637+F638-H638-G638))</f>
        <v>15148.38</v>
      </c>
      <c r="N638" s="6" t="n">
        <f aca="false">IF(M637+F638-H638&gt;=G638,1,0)</f>
        <v>1</v>
      </c>
    </row>
    <row r="639" customFormat="false" ht="15" hidden="false" customHeight="false" outlineLevel="0" collapsed="false">
      <c r="A639" s="6" t="n">
        <v>2020</v>
      </c>
      <c r="B639" s="6" t="n">
        <v>11</v>
      </c>
      <c r="C639" s="4" t="n">
        <v>568</v>
      </c>
      <c r="D639" s="6" t="n">
        <v>30</v>
      </c>
      <c r="E639" s="4" t="n">
        <f aca="false">INDEX(Evaporasi!$B$3:$B$14,MATCH(B639,Evaporasi!$A$3:$A$14,0))</f>
        <v>120</v>
      </c>
      <c r="F639" s="18" t="n">
        <f aca="false">Kawasan!$B$11*Kawasan!$B$9*C639/1000</f>
        <v>4725.76</v>
      </c>
      <c r="G639" s="18" t="n">
        <f aca="false">Kawasan!$B$29*D639</f>
        <v>1382.4</v>
      </c>
      <c r="H639" s="18" t="n">
        <f aca="false">E639*Desain_Kolam!$B$16/1000</f>
        <v>128.7</v>
      </c>
      <c r="I639" s="18" t="n">
        <f aca="false">F639-G639-H639</f>
        <v>3214.66</v>
      </c>
      <c r="J639" s="18" t="n">
        <f aca="false">J638+I639</f>
        <v>45086.7</v>
      </c>
      <c r="K639" s="18" t="n">
        <f aca="false">MAX(K638,J639)</f>
        <v>45086.7</v>
      </c>
      <c r="L639" s="18" t="n">
        <f aca="false">K639-J639</f>
        <v>0</v>
      </c>
      <c r="M639" s="18" t="n">
        <f aca="false">MIN(Desain_Kolam!$B$21,MAX(0,M638+F639-H639-G639))</f>
        <v>15148.38</v>
      </c>
      <c r="N639" s="6" t="n">
        <f aca="false">IF(M638+F639-H639&gt;=G639,1,0)</f>
        <v>1</v>
      </c>
    </row>
    <row r="640" customFormat="false" ht="15" hidden="false" customHeight="false" outlineLevel="0" collapsed="false">
      <c r="A640" s="6" t="n">
        <v>2020</v>
      </c>
      <c r="B640" s="6" t="n">
        <v>12</v>
      </c>
      <c r="C640" s="4" t="n">
        <v>274</v>
      </c>
      <c r="D640" s="6" t="n">
        <v>31</v>
      </c>
      <c r="E640" s="4" t="n">
        <f aca="false">INDEX(Evaporasi!$B$3:$B$14,MATCH(B640,Evaporasi!$A$3:$A$14,0))</f>
        <v>120</v>
      </c>
      <c r="F640" s="18" t="n">
        <f aca="false">Kawasan!$B$11*Kawasan!$B$9*C640/1000</f>
        <v>2279.68</v>
      </c>
      <c r="G640" s="18" t="n">
        <f aca="false">Kawasan!$B$29*D640</f>
        <v>1428.48</v>
      </c>
      <c r="H640" s="18" t="n">
        <f aca="false">E640*Desain_Kolam!$B$16/1000</f>
        <v>128.7</v>
      </c>
      <c r="I640" s="18" t="n">
        <f aca="false">F640-G640-H640</f>
        <v>722.5</v>
      </c>
      <c r="J640" s="18" t="n">
        <f aca="false">J639+I640</f>
        <v>45809.2</v>
      </c>
      <c r="K640" s="18" t="n">
        <f aca="false">MAX(K639,J640)</f>
        <v>45809.2</v>
      </c>
      <c r="L640" s="18" t="n">
        <f aca="false">K640-J640</f>
        <v>0</v>
      </c>
      <c r="M640" s="18" t="n">
        <f aca="false">MIN(Desain_Kolam!$B$21,MAX(0,M639+F640-H640-G640))</f>
        <v>15148.38</v>
      </c>
      <c r="N640" s="6" t="n">
        <f aca="false">IF(M639+F640-H640&gt;=G640,1,0)</f>
        <v>1</v>
      </c>
    </row>
    <row r="641" customFormat="false" ht="15" hidden="false" customHeight="false" outlineLevel="0" collapsed="false">
      <c r="A641" s="6" t="n">
        <v>2021</v>
      </c>
      <c r="B641" s="6" t="n">
        <v>1</v>
      </c>
      <c r="C641" s="4" t="n">
        <v>310</v>
      </c>
      <c r="D641" s="6" t="n">
        <v>31</v>
      </c>
      <c r="E641" s="4" t="n">
        <f aca="false">INDEX(Evaporasi!$B$3:$B$14,MATCH(B641,Evaporasi!$A$3:$A$14,0))</f>
        <v>120</v>
      </c>
      <c r="F641" s="18" t="n">
        <f aca="false">Kawasan!$B$11*Kawasan!$B$9*C641/1000</f>
        <v>2579.2</v>
      </c>
      <c r="G641" s="18" t="n">
        <f aca="false">Kawasan!$B$29*D641</f>
        <v>1428.48</v>
      </c>
      <c r="H641" s="18" t="n">
        <f aca="false">E641*Desain_Kolam!$B$16/1000</f>
        <v>128.7</v>
      </c>
      <c r="I641" s="18" t="n">
        <f aca="false">F641-G641-H641</f>
        <v>1022.02</v>
      </c>
      <c r="J641" s="18" t="n">
        <f aca="false">J640+I641</f>
        <v>46831.22</v>
      </c>
      <c r="K641" s="18" t="n">
        <f aca="false">MAX(K640,J641)</f>
        <v>46831.22</v>
      </c>
      <c r="L641" s="18" t="n">
        <f aca="false">K641-J641</f>
        <v>0</v>
      </c>
      <c r="M641" s="18" t="n">
        <f aca="false">MIN(Desain_Kolam!$B$21,MAX(0,M640+F641-H641-G641))</f>
        <v>15148.38</v>
      </c>
      <c r="N641" s="6" t="n">
        <f aca="false">IF(M640+F641-H641&gt;=G641,1,0)</f>
        <v>1</v>
      </c>
    </row>
    <row r="642" customFormat="false" ht="15" hidden="false" customHeight="false" outlineLevel="0" collapsed="false">
      <c r="A642" s="6" t="n">
        <v>2021</v>
      </c>
      <c r="B642" s="6" t="n">
        <v>2</v>
      </c>
      <c r="C642" s="4" t="n">
        <v>50</v>
      </c>
      <c r="D642" s="6" t="n">
        <v>28</v>
      </c>
      <c r="E642" s="4" t="n">
        <f aca="false">INDEX(Evaporasi!$B$3:$B$14,MATCH(B642,Evaporasi!$A$3:$A$14,0))</f>
        <v>120</v>
      </c>
      <c r="F642" s="18" t="n">
        <f aca="false">Kawasan!$B$11*Kawasan!$B$9*C642/1000</f>
        <v>416</v>
      </c>
      <c r="G642" s="18" t="n">
        <f aca="false">Kawasan!$B$29*D642</f>
        <v>1290.24</v>
      </c>
      <c r="H642" s="18" t="n">
        <f aca="false">E642*Desain_Kolam!$B$16/1000</f>
        <v>128.7</v>
      </c>
      <c r="I642" s="18" t="n">
        <f aca="false">F642-G642-H642</f>
        <v>-1002.94</v>
      </c>
      <c r="J642" s="18" t="n">
        <f aca="false">J641+I642</f>
        <v>45828.28</v>
      </c>
      <c r="K642" s="18" t="n">
        <f aca="false">MAX(K641,J642)</f>
        <v>46831.22</v>
      </c>
      <c r="L642" s="18" t="n">
        <f aca="false">K642-J642</f>
        <v>1002.94</v>
      </c>
      <c r="M642" s="18" t="n">
        <f aca="false">MIN(Desain_Kolam!$B$21,MAX(0,M641+F642-H642-G642))</f>
        <v>14145.44</v>
      </c>
      <c r="N642" s="6" t="n">
        <f aca="false">IF(M641+F642-H642&gt;=G642,1,0)</f>
        <v>1</v>
      </c>
    </row>
    <row r="643" customFormat="false" ht="15" hidden="false" customHeight="false" outlineLevel="0" collapsed="false">
      <c r="A643" s="6" t="n">
        <v>2021</v>
      </c>
      <c r="B643" s="6" t="n">
        <v>3</v>
      </c>
      <c r="C643" s="4" t="n">
        <v>263</v>
      </c>
      <c r="D643" s="6" t="n">
        <v>31</v>
      </c>
      <c r="E643" s="4" t="n">
        <f aca="false">INDEX(Evaporasi!$B$3:$B$14,MATCH(B643,Evaporasi!$A$3:$A$14,0))</f>
        <v>120</v>
      </c>
      <c r="F643" s="18" t="n">
        <f aca="false">Kawasan!$B$11*Kawasan!$B$9*C643/1000</f>
        <v>2188.16</v>
      </c>
      <c r="G643" s="18" t="n">
        <f aca="false">Kawasan!$B$29*D643</f>
        <v>1428.48</v>
      </c>
      <c r="H643" s="18" t="n">
        <f aca="false">E643*Desain_Kolam!$B$16/1000</f>
        <v>128.7</v>
      </c>
      <c r="I643" s="18" t="n">
        <f aca="false">F643-G643-H643</f>
        <v>630.98</v>
      </c>
      <c r="J643" s="18" t="n">
        <f aca="false">J642+I643</f>
        <v>46459.26</v>
      </c>
      <c r="K643" s="18" t="n">
        <f aca="false">MAX(K642,J643)</f>
        <v>46831.22</v>
      </c>
      <c r="L643" s="18" t="n">
        <f aca="false">K643-J643</f>
        <v>371.959999999999</v>
      </c>
      <c r="M643" s="18" t="n">
        <f aca="false">MIN(Desain_Kolam!$B$21,MAX(0,M642+F643-H643-G643))</f>
        <v>14776.42</v>
      </c>
      <c r="N643" s="6" t="n">
        <f aca="false">IF(M642+F643-H643&gt;=G643,1,0)</f>
        <v>1</v>
      </c>
    </row>
    <row r="644" customFormat="false" ht="15" hidden="false" customHeight="false" outlineLevel="0" collapsed="false">
      <c r="A644" s="6" t="n">
        <v>2021</v>
      </c>
      <c r="B644" s="6" t="n">
        <v>4</v>
      </c>
      <c r="C644" s="4" t="n">
        <v>240</v>
      </c>
      <c r="D644" s="6" t="n">
        <v>30</v>
      </c>
      <c r="E644" s="4" t="n">
        <f aca="false">INDEX(Evaporasi!$B$3:$B$14,MATCH(B644,Evaporasi!$A$3:$A$14,0))</f>
        <v>120</v>
      </c>
      <c r="F644" s="18" t="n">
        <f aca="false">Kawasan!$B$11*Kawasan!$B$9*C644/1000</f>
        <v>1996.8</v>
      </c>
      <c r="G644" s="18" t="n">
        <f aca="false">Kawasan!$B$29*D644</f>
        <v>1382.4</v>
      </c>
      <c r="H644" s="18" t="n">
        <f aca="false">E644*Desain_Kolam!$B$16/1000</f>
        <v>128.7</v>
      </c>
      <c r="I644" s="18" t="n">
        <f aca="false">F644-G644-H644</f>
        <v>485.7</v>
      </c>
      <c r="J644" s="18" t="n">
        <f aca="false">J643+I644</f>
        <v>46944.96</v>
      </c>
      <c r="K644" s="18" t="n">
        <f aca="false">MAX(K643,J644)</f>
        <v>46944.96</v>
      </c>
      <c r="L644" s="18" t="n">
        <f aca="false">K644-J644</f>
        <v>0</v>
      </c>
      <c r="M644" s="18" t="n">
        <f aca="false">MIN(Desain_Kolam!$B$21,MAX(0,M643+F644-H644-G644))</f>
        <v>15148.38</v>
      </c>
      <c r="N644" s="6" t="n">
        <f aca="false">IF(M643+F644-H644&gt;=G644,1,0)</f>
        <v>1</v>
      </c>
    </row>
    <row r="645" customFormat="false" ht="15" hidden="false" customHeight="false" outlineLevel="0" collapsed="false">
      <c r="A645" s="6" t="n">
        <v>2021</v>
      </c>
      <c r="B645" s="6" t="n">
        <v>5</v>
      </c>
      <c r="C645" s="4" t="n">
        <v>465</v>
      </c>
      <c r="D645" s="6" t="n">
        <v>31</v>
      </c>
      <c r="E645" s="4" t="n">
        <f aca="false">INDEX(Evaporasi!$B$3:$B$14,MATCH(B645,Evaporasi!$A$3:$A$14,0))</f>
        <v>120</v>
      </c>
      <c r="F645" s="18" t="n">
        <f aca="false">Kawasan!$B$11*Kawasan!$B$9*C645/1000</f>
        <v>3868.8</v>
      </c>
      <c r="G645" s="18" t="n">
        <f aca="false">Kawasan!$B$29*D645</f>
        <v>1428.48</v>
      </c>
      <c r="H645" s="18" t="n">
        <f aca="false">E645*Desain_Kolam!$B$16/1000</f>
        <v>128.7</v>
      </c>
      <c r="I645" s="18" t="n">
        <f aca="false">F645-G645-H645</f>
        <v>2311.62</v>
      </c>
      <c r="J645" s="18" t="n">
        <f aca="false">J644+I645</f>
        <v>49256.58</v>
      </c>
      <c r="K645" s="18" t="n">
        <f aca="false">MAX(K644,J645)</f>
        <v>49256.58</v>
      </c>
      <c r="L645" s="18" t="n">
        <f aca="false">K645-J645</f>
        <v>0</v>
      </c>
      <c r="M645" s="18" t="n">
        <f aca="false">MIN(Desain_Kolam!$B$21,MAX(0,M644+F645-H645-G645))</f>
        <v>15148.38</v>
      </c>
      <c r="N645" s="6" t="n">
        <f aca="false">IF(M644+F645-H645&gt;=G645,1,0)</f>
        <v>1</v>
      </c>
    </row>
    <row r="646" customFormat="false" ht="15" hidden="false" customHeight="false" outlineLevel="0" collapsed="false">
      <c r="A646" s="6" t="n">
        <v>2021</v>
      </c>
      <c r="B646" s="6" t="n">
        <v>6</v>
      </c>
      <c r="C646" s="4" t="n">
        <v>390</v>
      </c>
      <c r="D646" s="6" t="n">
        <v>30</v>
      </c>
      <c r="E646" s="4" t="n">
        <f aca="false">INDEX(Evaporasi!$B$3:$B$14,MATCH(B646,Evaporasi!$A$3:$A$14,0))</f>
        <v>120</v>
      </c>
      <c r="F646" s="18" t="n">
        <f aca="false">Kawasan!$B$11*Kawasan!$B$9*C646/1000</f>
        <v>3244.8</v>
      </c>
      <c r="G646" s="18" t="n">
        <f aca="false">Kawasan!$B$29*D646</f>
        <v>1382.4</v>
      </c>
      <c r="H646" s="18" t="n">
        <f aca="false">E646*Desain_Kolam!$B$16/1000</f>
        <v>128.7</v>
      </c>
      <c r="I646" s="18" t="n">
        <f aca="false">F646-G646-H646</f>
        <v>1733.7</v>
      </c>
      <c r="J646" s="18" t="n">
        <f aca="false">J645+I646</f>
        <v>50990.28</v>
      </c>
      <c r="K646" s="18" t="n">
        <f aca="false">MAX(K645,J646)</f>
        <v>50990.28</v>
      </c>
      <c r="L646" s="18" t="n">
        <f aca="false">K646-J646</f>
        <v>0</v>
      </c>
      <c r="M646" s="18" t="n">
        <f aca="false">MIN(Desain_Kolam!$B$21,MAX(0,M645+F646-H646-G646))</f>
        <v>15148.38</v>
      </c>
      <c r="N646" s="6" t="n">
        <f aca="false">IF(M645+F646-H646&gt;=G646,1,0)</f>
        <v>1</v>
      </c>
    </row>
    <row r="647" customFormat="false" ht="15" hidden="false" customHeight="false" outlineLevel="0" collapsed="false">
      <c r="A647" s="6" t="n">
        <v>2021</v>
      </c>
      <c r="B647" s="6" t="n">
        <v>7</v>
      </c>
      <c r="C647" s="4" t="n">
        <v>211</v>
      </c>
      <c r="D647" s="6" t="n">
        <v>31</v>
      </c>
      <c r="E647" s="4" t="n">
        <f aca="false">INDEX(Evaporasi!$B$3:$B$14,MATCH(B647,Evaporasi!$A$3:$A$14,0))</f>
        <v>120</v>
      </c>
      <c r="F647" s="18" t="n">
        <f aca="false">Kawasan!$B$11*Kawasan!$B$9*C647/1000</f>
        <v>1755.52</v>
      </c>
      <c r="G647" s="18" t="n">
        <f aca="false">Kawasan!$B$29*D647</f>
        <v>1428.48</v>
      </c>
      <c r="H647" s="18" t="n">
        <f aca="false">E647*Desain_Kolam!$B$16/1000</f>
        <v>128.7</v>
      </c>
      <c r="I647" s="18" t="n">
        <f aca="false">F647-G647-H647</f>
        <v>198.34</v>
      </c>
      <c r="J647" s="18" t="n">
        <f aca="false">J646+I647</f>
        <v>51188.62</v>
      </c>
      <c r="K647" s="18" t="n">
        <f aca="false">MAX(K646,J647)</f>
        <v>51188.62</v>
      </c>
      <c r="L647" s="18" t="n">
        <f aca="false">K647-J647</f>
        <v>0</v>
      </c>
      <c r="M647" s="18" t="n">
        <f aca="false">MIN(Desain_Kolam!$B$21,MAX(0,M646+F647-H647-G647))</f>
        <v>15148.38</v>
      </c>
      <c r="N647" s="6" t="n">
        <f aca="false">IF(M646+F647-H647&gt;=G647,1,0)</f>
        <v>1</v>
      </c>
    </row>
    <row r="648" customFormat="false" ht="15" hidden="false" customHeight="false" outlineLevel="0" collapsed="false">
      <c r="A648" s="6" t="n">
        <v>2021</v>
      </c>
      <c r="B648" s="6" t="n">
        <v>8</v>
      </c>
      <c r="C648" s="4" t="n">
        <v>587</v>
      </c>
      <c r="D648" s="6" t="n">
        <v>31</v>
      </c>
      <c r="E648" s="4" t="n">
        <f aca="false">INDEX(Evaporasi!$B$3:$B$14,MATCH(B648,Evaporasi!$A$3:$A$14,0))</f>
        <v>120</v>
      </c>
      <c r="F648" s="18" t="n">
        <f aca="false">Kawasan!$B$11*Kawasan!$B$9*C648/1000</f>
        <v>4883.84</v>
      </c>
      <c r="G648" s="18" t="n">
        <f aca="false">Kawasan!$B$29*D648</f>
        <v>1428.48</v>
      </c>
      <c r="H648" s="18" t="n">
        <f aca="false">E648*Desain_Kolam!$B$16/1000</f>
        <v>128.7</v>
      </c>
      <c r="I648" s="18" t="n">
        <f aca="false">F648-G648-H648</f>
        <v>3326.66</v>
      </c>
      <c r="J648" s="18" t="n">
        <f aca="false">J647+I648</f>
        <v>54515.28</v>
      </c>
      <c r="K648" s="18" t="n">
        <f aca="false">MAX(K647,J648)</f>
        <v>54515.28</v>
      </c>
      <c r="L648" s="18" t="n">
        <f aca="false">K648-J648</f>
        <v>0</v>
      </c>
      <c r="M648" s="18" t="n">
        <f aca="false">MIN(Desain_Kolam!$B$21,MAX(0,M647+F648-H648-G648))</f>
        <v>15148.38</v>
      </c>
      <c r="N648" s="6" t="n">
        <f aca="false">IF(M647+F648-H648&gt;=G648,1,0)</f>
        <v>1</v>
      </c>
    </row>
    <row r="649" customFormat="false" ht="15" hidden="false" customHeight="false" outlineLevel="0" collapsed="false">
      <c r="A649" s="6" t="n">
        <v>2021</v>
      </c>
      <c r="B649" s="6" t="n">
        <v>9</v>
      </c>
      <c r="C649" s="4" t="n">
        <v>524</v>
      </c>
      <c r="D649" s="6" t="n">
        <v>30</v>
      </c>
      <c r="E649" s="4" t="n">
        <f aca="false">INDEX(Evaporasi!$B$3:$B$14,MATCH(B649,Evaporasi!$A$3:$A$14,0))</f>
        <v>120</v>
      </c>
      <c r="F649" s="18" t="n">
        <f aca="false">Kawasan!$B$11*Kawasan!$B$9*C649/1000</f>
        <v>4359.68</v>
      </c>
      <c r="G649" s="18" t="n">
        <f aca="false">Kawasan!$B$29*D649</f>
        <v>1382.4</v>
      </c>
      <c r="H649" s="18" t="n">
        <f aca="false">E649*Desain_Kolam!$B$16/1000</f>
        <v>128.7</v>
      </c>
      <c r="I649" s="18" t="n">
        <f aca="false">F649-G649-H649</f>
        <v>2848.58</v>
      </c>
      <c r="J649" s="18" t="n">
        <f aca="false">J648+I649</f>
        <v>57363.86</v>
      </c>
      <c r="K649" s="18" t="n">
        <f aca="false">MAX(K648,J649)</f>
        <v>57363.86</v>
      </c>
      <c r="L649" s="18" t="n">
        <f aca="false">K649-J649</f>
        <v>0</v>
      </c>
      <c r="M649" s="18" t="n">
        <f aca="false">MIN(Desain_Kolam!$B$21,MAX(0,M648+F649-H649-G649))</f>
        <v>15148.38</v>
      </c>
      <c r="N649" s="6" t="n">
        <f aca="false">IF(M648+F649-H649&gt;=G649,1,0)</f>
        <v>1</v>
      </c>
    </row>
    <row r="650" customFormat="false" ht="15" hidden="false" customHeight="false" outlineLevel="0" collapsed="false">
      <c r="A650" s="6" t="n">
        <v>2021</v>
      </c>
      <c r="B650" s="6" t="n">
        <v>10</v>
      </c>
      <c r="C650" s="4" t="n">
        <v>252</v>
      </c>
      <c r="D650" s="6" t="n">
        <v>31</v>
      </c>
      <c r="E650" s="4" t="n">
        <f aca="false">INDEX(Evaporasi!$B$3:$B$14,MATCH(B650,Evaporasi!$A$3:$A$14,0))</f>
        <v>120</v>
      </c>
      <c r="F650" s="18" t="n">
        <f aca="false">Kawasan!$B$11*Kawasan!$B$9*C650/1000</f>
        <v>2096.64</v>
      </c>
      <c r="G650" s="18" t="n">
        <f aca="false">Kawasan!$B$29*D650</f>
        <v>1428.48</v>
      </c>
      <c r="H650" s="18" t="n">
        <f aca="false">E650*Desain_Kolam!$B$16/1000</f>
        <v>128.7</v>
      </c>
      <c r="I650" s="18" t="n">
        <f aca="false">F650-G650-H650</f>
        <v>539.46</v>
      </c>
      <c r="J650" s="18" t="n">
        <f aca="false">J649+I650</f>
        <v>57903.32</v>
      </c>
      <c r="K650" s="18" t="n">
        <f aca="false">MAX(K649,J650)</f>
        <v>57903.32</v>
      </c>
      <c r="L650" s="18" t="n">
        <f aca="false">K650-J650</f>
        <v>0</v>
      </c>
      <c r="M650" s="18" t="n">
        <f aca="false">MIN(Desain_Kolam!$B$21,MAX(0,M649+F650-H650-G650))</f>
        <v>15148.38</v>
      </c>
      <c r="N650" s="6" t="n">
        <f aca="false">IF(M649+F650-H650&gt;=G650,1,0)</f>
        <v>1</v>
      </c>
    </row>
    <row r="651" customFormat="false" ht="15" hidden="false" customHeight="false" outlineLevel="0" collapsed="false">
      <c r="A651" s="6" t="n">
        <v>2021</v>
      </c>
      <c r="B651" s="6" t="n">
        <v>11</v>
      </c>
      <c r="C651" s="4" t="n">
        <v>252</v>
      </c>
      <c r="D651" s="6" t="n">
        <v>30</v>
      </c>
      <c r="E651" s="4" t="n">
        <f aca="false">INDEX(Evaporasi!$B$3:$B$14,MATCH(B651,Evaporasi!$A$3:$A$14,0))</f>
        <v>120</v>
      </c>
      <c r="F651" s="18" t="n">
        <f aca="false">Kawasan!$B$11*Kawasan!$B$9*C651/1000</f>
        <v>2096.64</v>
      </c>
      <c r="G651" s="18" t="n">
        <f aca="false">Kawasan!$B$29*D651</f>
        <v>1382.4</v>
      </c>
      <c r="H651" s="18" t="n">
        <f aca="false">E651*Desain_Kolam!$B$16/1000</f>
        <v>128.7</v>
      </c>
      <c r="I651" s="18" t="n">
        <f aca="false">F651-G651-H651</f>
        <v>585.54</v>
      </c>
      <c r="J651" s="18" t="n">
        <f aca="false">J650+I651</f>
        <v>58488.86</v>
      </c>
      <c r="K651" s="18" t="n">
        <f aca="false">MAX(K650,J651)</f>
        <v>58488.86</v>
      </c>
      <c r="L651" s="18" t="n">
        <f aca="false">K651-J651</f>
        <v>0</v>
      </c>
      <c r="M651" s="18" t="n">
        <f aca="false">MIN(Desain_Kolam!$B$21,MAX(0,M650+F651-H651-G651))</f>
        <v>15148.38</v>
      </c>
      <c r="N651" s="6" t="n">
        <f aca="false">IF(M650+F651-H651&gt;=G651,1,0)</f>
        <v>1</v>
      </c>
    </row>
    <row r="652" customFormat="false" ht="15" hidden="false" customHeight="false" outlineLevel="0" collapsed="false">
      <c r="A652" s="6" t="n">
        <v>2021</v>
      </c>
      <c r="B652" s="6" t="n">
        <v>12</v>
      </c>
      <c r="C652" s="4" t="n">
        <v>152</v>
      </c>
      <c r="D652" s="6" t="n">
        <v>31</v>
      </c>
      <c r="E652" s="4" t="n">
        <f aca="false">INDEX(Evaporasi!$B$3:$B$14,MATCH(B652,Evaporasi!$A$3:$A$14,0))</f>
        <v>120</v>
      </c>
      <c r="F652" s="18" t="n">
        <f aca="false">Kawasan!$B$11*Kawasan!$B$9*C652/1000</f>
        <v>1264.64</v>
      </c>
      <c r="G652" s="18" t="n">
        <f aca="false">Kawasan!$B$29*D652</f>
        <v>1428.48</v>
      </c>
      <c r="H652" s="18" t="n">
        <f aca="false">E652*Desain_Kolam!$B$16/1000</f>
        <v>128.7</v>
      </c>
      <c r="I652" s="18" t="n">
        <f aca="false">F652-G652-H652</f>
        <v>-292.54</v>
      </c>
      <c r="J652" s="18" t="n">
        <f aca="false">J651+I652</f>
        <v>58196.32</v>
      </c>
      <c r="K652" s="18" t="n">
        <f aca="false">MAX(K651,J652)</f>
        <v>58488.86</v>
      </c>
      <c r="L652" s="18" t="n">
        <f aca="false">K652-J652</f>
        <v>292.540000000001</v>
      </c>
      <c r="M652" s="18" t="n">
        <f aca="false">MIN(Desain_Kolam!$B$21,MAX(0,M651+F652-H652-G652))</f>
        <v>14855.84</v>
      </c>
      <c r="N652" s="6" t="n">
        <f aca="false">IF(M651+F652-H652&gt;=G652,1,0)</f>
        <v>1</v>
      </c>
    </row>
    <row r="653" customFormat="false" ht="15" hidden="false" customHeight="false" outlineLevel="0" collapsed="false">
      <c r="A653" s="6" t="n">
        <v>2022</v>
      </c>
      <c r="B653" s="6" t="n">
        <v>1</v>
      </c>
      <c r="C653" s="4" t="n">
        <v>145</v>
      </c>
      <c r="D653" s="6" t="n">
        <v>31</v>
      </c>
      <c r="E653" s="4" t="n">
        <f aca="false">INDEX(Evaporasi!$B$3:$B$14,MATCH(B653,Evaporasi!$A$3:$A$14,0))</f>
        <v>120</v>
      </c>
      <c r="F653" s="18" t="n">
        <f aca="false">Kawasan!$B$11*Kawasan!$B$9*C653/1000</f>
        <v>1206.4</v>
      </c>
      <c r="G653" s="18" t="n">
        <f aca="false">Kawasan!$B$29*D653</f>
        <v>1428.48</v>
      </c>
      <c r="H653" s="18" t="n">
        <f aca="false">E653*Desain_Kolam!$B$16/1000</f>
        <v>128.7</v>
      </c>
      <c r="I653" s="18" t="n">
        <f aca="false">F653-G653-H653</f>
        <v>-350.78</v>
      </c>
      <c r="J653" s="18" t="n">
        <f aca="false">J652+I653</f>
        <v>57845.54</v>
      </c>
      <c r="K653" s="18" t="n">
        <f aca="false">MAX(K652,J653)</f>
        <v>58488.86</v>
      </c>
      <c r="L653" s="18" t="n">
        <f aca="false">K653-J653</f>
        <v>643.32</v>
      </c>
      <c r="M653" s="18" t="n">
        <f aca="false">MIN(Desain_Kolam!$B$21,MAX(0,M652+F653-H653-G653))</f>
        <v>14505.06</v>
      </c>
      <c r="N653" s="6" t="n">
        <f aca="false">IF(M652+F653-H653&gt;=G653,1,0)</f>
        <v>1</v>
      </c>
    </row>
    <row r="654" customFormat="false" ht="15" hidden="false" customHeight="false" outlineLevel="0" collapsed="false">
      <c r="A654" s="6" t="n">
        <v>2022</v>
      </c>
      <c r="B654" s="6" t="n">
        <v>2</v>
      </c>
      <c r="C654" s="4" t="n">
        <v>106</v>
      </c>
      <c r="D654" s="6" t="n">
        <v>28</v>
      </c>
      <c r="E654" s="4" t="n">
        <f aca="false">INDEX(Evaporasi!$B$3:$B$14,MATCH(B654,Evaporasi!$A$3:$A$14,0))</f>
        <v>120</v>
      </c>
      <c r="F654" s="18" t="n">
        <f aca="false">Kawasan!$B$11*Kawasan!$B$9*C654/1000</f>
        <v>881.92</v>
      </c>
      <c r="G654" s="18" t="n">
        <f aca="false">Kawasan!$B$29*D654</f>
        <v>1290.24</v>
      </c>
      <c r="H654" s="18" t="n">
        <f aca="false">E654*Desain_Kolam!$B$16/1000</f>
        <v>128.7</v>
      </c>
      <c r="I654" s="18" t="n">
        <f aca="false">F654-G654-H654</f>
        <v>-537.02</v>
      </c>
      <c r="J654" s="18" t="n">
        <f aca="false">J653+I654</f>
        <v>57308.52</v>
      </c>
      <c r="K654" s="18" t="n">
        <f aca="false">MAX(K653,J654)</f>
        <v>58488.86</v>
      </c>
      <c r="L654" s="18" t="n">
        <f aca="false">K654-J654</f>
        <v>1180.34</v>
      </c>
      <c r="M654" s="18" t="n">
        <f aca="false">MIN(Desain_Kolam!$B$21,MAX(0,M653+F654-H654-G654))</f>
        <v>13968.04</v>
      </c>
      <c r="N654" s="6" t="n">
        <f aca="false">IF(M653+F654-H654&gt;=G654,1,0)</f>
        <v>1</v>
      </c>
    </row>
    <row r="655" customFormat="false" ht="15" hidden="false" customHeight="false" outlineLevel="0" collapsed="false">
      <c r="A655" s="6" t="n">
        <v>2022</v>
      </c>
      <c r="B655" s="6" t="n">
        <v>3</v>
      </c>
      <c r="C655" s="4" t="n">
        <v>104</v>
      </c>
      <c r="D655" s="6" t="n">
        <v>31</v>
      </c>
      <c r="E655" s="4" t="n">
        <f aca="false">INDEX(Evaporasi!$B$3:$B$14,MATCH(B655,Evaporasi!$A$3:$A$14,0))</f>
        <v>120</v>
      </c>
      <c r="F655" s="18" t="n">
        <f aca="false">Kawasan!$B$11*Kawasan!$B$9*C655/1000</f>
        <v>865.28</v>
      </c>
      <c r="G655" s="18" t="n">
        <f aca="false">Kawasan!$B$29*D655</f>
        <v>1428.48</v>
      </c>
      <c r="H655" s="18" t="n">
        <f aca="false">E655*Desain_Kolam!$B$16/1000</f>
        <v>128.7</v>
      </c>
      <c r="I655" s="18" t="n">
        <f aca="false">F655-G655-H655</f>
        <v>-691.9</v>
      </c>
      <c r="J655" s="18" t="n">
        <f aca="false">J654+I655</f>
        <v>56616.62</v>
      </c>
      <c r="K655" s="18" t="n">
        <f aca="false">MAX(K654,J655)</f>
        <v>58488.86</v>
      </c>
      <c r="L655" s="18" t="n">
        <f aca="false">K655-J655</f>
        <v>1872.24</v>
      </c>
      <c r="M655" s="18" t="n">
        <f aca="false">MIN(Desain_Kolam!$B$21,MAX(0,M654+F655-H655-G655))</f>
        <v>13276.14</v>
      </c>
      <c r="N655" s="6" t="n">
        <f aca="false">IF(M654+F655-H655&gt;=G655,1,0)</f>
        <v>1</v>
      </c>
    </row>
    <row r="656" customFormat="false" ht="15" hidden="false" customHeight="false" outlineLevel="0" collapsed="false">
      <c r="A656" s="6" t="n">
        <v>2022</v>
      </c>
      <c r="B656" s="6" t="n">
        <v>4</v>
      </c>
      <c r="C656" s="4" t="n">
        <v>301</v>
      </c>
      <c r="D656" s="6" t="n">
        <v>30</v>
      </c>
      <c r="E656" s="4" t="n">
        <f aca="false">INDEX(Evaporasi!$B$3:$B$14,MATCH(B656,Evaporasi!$A$3:$A$14,0))</f>
        <v>120</v>
      </c>
      <c r="F656" s="18" t="n">
        <f aca="false">Kawasan!$B$11*Kawasan!$B$9*C656/1000</f>
        <v>2504.32</v>
      </c>
      <c r="G656" s="18" t="n">
        <f aca="false">Kawasan!$B$29*D656</f>
        <v>1382.4</v>
      </c>
      <c r="H656" s="18" t="n">
        <f aca="false">E656*Desain_Kolam!$B$16/1000</f>
        <v>128.7</v>
      </c>
      <c r="I656" s="18" t="n">
        <f aca="false">F656-G656-H656</f>
        <v>993.22</v>
      </c>
      <c r="J656" s="18" t="n">
        <f aca="false">J655+I656</f>
        <v>57609.84</v>
      </c>
      <c r="K656" s="18" t="n">
        <f aca="false">MAX(K655,J656)</f>
        <v>58488.86</v>
      </c>
      <c r="L656" s="18" t="n">
        <f aca="false">K656-J656</f>
        <v>879.019999999997</v>
      </c>
      <c r="M656" s="18" t="n">
        <f aca="false">MIN(Desain_Kolam!$B$21,MAX(0,M655+F656-H656-G656))</f>
        <v>14269.36</v>
      </c>
      <c r="N656" s="6" t="n">
        <f aca="false">IF(M655+F656-H656&gt;=G656,1,0)</f>
        <v>1</v>
      </c>
    </row>
    <row r="657" customFormat="false" ht="15" hidden="false" customHeight="false" outlineLevel="0" collapsed="false">
      <c r="A657" s="6" t="n">
        <v>2022</v>
      </c>
      <c r="B657" s="6" t="n">
        <v>5</v>
      </c>
      <c r="C657" s="4" t="n">
        <v>201</v>
      </c>
      <c r="D657" s="6" t="n">
        <v>31</v>
      </c>
      <c r="E657" s="4" t="n">
        <f aca="false">INDEX(Evaporasi!$B$3:$B$14,MATCH(B657,Evaporasi!$A$3:$A$14,0))</f>
        <v>120</v>
      </c>
      <c r="F657" s="18" t="n">
        <f aca="false">Kawasan!$B$11*Kawasan!$B$9*C657/1000</f>
        <v>1672.32</v>
      </c>
      <c r="G657" s="18" t="n">
        <f aca="false">Kawasan!$B$29*D657</f>
        <v>1428.48</v>
      </c>
      <c r="H657" s="18" t="n">
        <f aca="false">E657*Desain_Kolam!$B$16/1000</f>
        <v>128.7</v>
      </c>
      <c r="I657" s="18" t="n">
        <f aca="false">F657-G657-H657</f>
        <v>115.14</v>
      </c>
      <c r="J657" s="18" t="n">
        <f aca="false">J656+I657</f>
        <v>57724.98</v>
      </c>
      <c r="K657" s="18" t="n">
        <f aca="false">MAX(K656,J657)</f>
        <v>58488.86</v>
      </c>
      <c r="L657" s="18" t="n">
        <f aca="false">K657-J657</f>
        <v>763.879999999997</v>
      </c>
      <c r="M657" s="18" t="n">
        <f aca="false">MIN(Desain_Kolam!$B$21,MAX(0,M656+F657-H657-G657))</f>
        <v>14384.5</v>
      </c>
      <c r="N657" s="6" t="n">
        <f aca="false">IF(M656+F657-H657&gt;=G657,1,0)</f>
        <v>1</v>
      </c>
    </row>
    <row r="658" customFormat="false" ht="15" hidden="false" customHeight="false" outlineLevel="0" collapsed="false">
      <c r="A658" s="6" t="n">
        <v>2022</v>
      </c>
      <c r="B658" s="6" t="n">
        <v>6</v>
      </c>
      <c r="C658" s="4" t="n">
        <v>293</v>
      </c>
      <c r="D658" s="6" t="n">
        <v>30</v>
      </c>
      <c r="E658" s="4" t="n">
        <f aca="false">INDEX(Evaporasi!$B$3:$B$14,MATCH(B658,Evaporasi!$A$3:$A$14,0))</f>
        <v>120</v>
      </c>
      <c r="F658" s="18" t="n">
        <f aca="false">Kawasan!$B$11*Kawasan!$B$9*C658/1000</f>
        <v>2437.76</v>
      </c>
      <c r="G658" s="18" t="n">
        <f aca="false">Kawasan!$B$29*D658</f>
        <v>1382.4</v>
      </c>
      <c r="H658" s="18" t="n">
        <f aca="false">E658*Desain_Kolam!$B$16/1000</f>
        <v>128.7</v>
      </c>
      <c r="I658" s="18" t="n">
        <f aca="false">F658-G658-H658</f>
        <v>926.66</v>
      </c>
      <c r="J658" s="18" t="n">
        <f aca="false">J657+I658</f>
        <v>58651.64</v>
      </c>
      <c r="K658" s="18" t="n">
        <f aca="false">MAX(K657,J658)</f>
        <v>58651.64</v>
      </c>
      <c r="L658" s="18" t="n">
        <f aca="false">K658-J658</f>
        <v>0</v>
      </c>
      <c r="M658" s="18" t="n">
        <f aca="false">MIN(Desain_Kolam!$B$21,MAX(0,M657+F658-H658-G658))</f>
        <v>15148.38</v>
      </c>
      <c r="N658" s="6" t="n">
        <f aca="false">IF(M657+F658-H658&gt;=G658,1,0)</f>
        <v>1</v>
      </c>
    </row>
    <row r="659" customFormat="false" ht="15" hidden="false" customHeight="false" outlineLevel="0" collapsed="false">
      <c r="A659" s="6" t="n">
        <v>2022</v>
      </c>
      <c r="B659" s="6" t="n">
        <v>7</v>
      </c>
      <c r="C659" s="4" t="n">
        <v>272</v>
      </c>
      <c r="D659" s="6" t="n">
        <v>31</v>
      </c>
      <c r="E659" s="4" t="n">
        <f aca="false">INDEX(Evaporasi!$B$3:$B$14,MATCH(B659,Evaporasi!$A$3:$A$14,0))</f>
        <v>120</v>
      </c>
      <c r="F659" s="18" t="n">
        <f aca="false">Kawasan!$B$11*Kawasan!$B$9*C659/1000</f>
        <v>2263.04</v>
      </c>
      <c r="G659" s="18" t="n">
        <f aca="false">Kawasan!$B$29*D659</f>
        <v>1428.48</v>
      </c>
      <c r="H659" s="18" t="n">
        <f aca="false">E659*Desain_Kolam!$B$16/1000</f>
        <v>128.7</v>
      </c>
      <c r="I659" s="18" t="n">
        <f aca="false">F659-G659-H659</f>
        <v>705.86</v>
      </c>
      <c r="J659" s="18" t="n">
        <f aca="false">J658+I659</f>
        <v>59357.5</v>
      </c>
      <c r="K659" s="18" t="n">
        <f aca="false">MAX(K658,J659)</f>
        <v>59357.5</v>
      </c>
      <c r="L659" s="18" t="n">
        <f aca="false">K659-J659</f>
        <v>0</v>
      </c>
      <c r="M659" s="18" t="n">
        <f aca="false">MIN(Desain_Kolam!$B$21,MAX(0,M658+F659-H659-G659))</f>
        <v>15148.38</v>
      </c>
      <c r="N659" s="6" t="n">
        <f aca="false">IF(M658+F659-H659&gt;=G659,1,0)</f>
        <v>1</v>
      </c>
    </row>
    <row r="660" customFormat="false" ht="15" hidden="false" customHeight="false" outlineLevel="0" collapsed="false">
      <c r="A660" s="6" t="n">
        <v>2022</v>
      </c>
      <c r="B660" s="6" t="n">
        <v>8</v>
      </c>
      <c r="C660" s="4" t="n">
        <v>354</v>
      </c>
      <c r="D660" s="6" t="n">
        <v>31</v>
      </c>
      <c r="E660" s="4" t="n">
        <f aca="false">INDEX(Evaporasi!$B$3:$B$14,MATCH(B660,Evaporasi!$A$3:$A$14,0))</f>
        <v>120</v>
      </c>
      <c r="F660" s="18" t="n">
        <f aca="false">Kawasan!$B$11*Kawasan!$B$9*C660/1000</f>
        <v>2945.28</v>
      </c>
      <c r="G660" s="18" t="n">
        <f aca="false">Kawasan!$B$29*D660</f>
        <v>1428.48</v>
      </c>
      <c r="H660" s="18" t="n">
        <f aca="false">E660*Desain_Kolam!$B$16/1000</f>
        <v>128.7</v>
      </c>
      <c r="I660" s="18" t="n">
        <f aca="false">F660-G660-H660</f>
        <v>1388.1</v>
      </c>
      <c r="J660" s="18" t="n">
        <f aca="false">J659+I660</f>
        <v>60745.6</v>
      </c>
      <c r="K660" s="18" t="n">
        <f aca="false">MAX(K659,J660)</f>
        <v>60745.6</v>
      </c>
      <c r="L660" s="18" t="n">
        <f aca="false">K660-J660</f>
        <v>0</v>
      </c>
      <c r="M660" s="18" t="n">
        <f aca="false">MIN(Desain_Kolam!$B$21,MAX(0,M659+F660-H660-G660))</f>
        <v>15148.38</v>
      </c>
      <c r="N660" s="6" t="n">
        <f aca="false">IF(M659+F660-H660&gt;=G660,1,0)</f>
        <v>1</v>
      </c>
    </row>
    <row r="661" customFormat="false" ht="15" hidden="false" customHeight="false" outlineLevel="0" collapsed="false">
      <c r="A661" s="6" t="n">
        <v>2022</v>
      </c>
      <c r="B661" s="6" t="n">
        <v>9</v>
      </c>
      <c r="C661" s="4" t="n">
        <v>275</v>
      </c>
      <c r="D661" s="6" t="n">
        <v>30</v>
      </c>
      <c r="E661" s="4" t="n">
        <f aca="false">INDEX(Evaporasi!$B$3:$B$14,MATCH(B661,Evaporasi!$A$3:$A$14,0))</f>
        <v>120</v>
      </c>
      <c r="F661" s="18" t="n">
        <f aca="false">Kawasan!$B$11*Kawasan!$B$9*C661/1000</f>
        <v>2288</v>
      </c>
      <c r="G661" s="18" t="n">
        <f aca="false">Kawasan!$B$29*D661</f>
        <v>1382.4</v>
      </c>
      <c r="H661" s="18" t="n">
        <f aca="false">E661*Desain_Kolam!$B$16/1000</f>
        <v>128.7</v>
      </c>
      <c r="I661" s="18" t="n">
        <f aca="false">F661-G661-H661</f>
        <v>776.9</v>
      </c>
      <c r="J661" s="18" t="n">
        <f aca="false">J660+I661</f>
        <v>61522.5</v>
      </c>
      <c r="K661" s="18" t="n">
        <f aca="false">MAX(K660,J661)</f>
        <v>61522.5</v>
      </c>
      <c r="L661" s="18" t="n">
        <f aca="false">K661-J661</f>
        <v>0</v>
      </c>
      <c r="M661" s="18" t="n">
        <f aca="false">MIN(Desain_Kolam!$B$21,MAX(0,M660+F661-H661-G661))</f>
        <v>15148.38</v>
      </c>
      <c r="N661" s="6" t="n">
        <f aca="false">IF(M660+F661-H661&gt;=G661,1,0)</f>
        <v>1</v>
      </c>
    </row>
    <row r="662" customFormat="false" ht="15" hidden="false" customHeight="false" outlineLevel="0" collapsed="false">
      <c r="A662" s="6" t="n">
        <v>2022</v>
      </c>
      <c r="B662" s="6" t="n">
        <v>10</v>
      </c>
      <c r="C662" s="4" t="n">
        <v>423</v>
      </c>
      <c r="D662" s="6" t="n">
        <v>31</v>
      </c>
      <c r="E662" s="4" t="n">
        <f aca="false">INDEX(Evaporasi!$B$3:$B$14,MATCH(B662,Evaporasi!$A$3:$A$14,0))</f>
        <v>120</v>
      </c>
      <c r="F662" s="18" t="n">
        <f aca="false">Kawasan!$B$11*Kawasan!$B$9*C662/1000</f>
        <v>3519.36</v>
      </c>
      <c r="G662" s="18" t="n">
        <f aca="false">Kawasan!$B$29*D662</f>
        <v>1428.48</v>
      </c>
      <c r="H662" s="18" t="n">
        <f aca="false">E662*Desain_Kolam!$B$16/1000</f>
        <v>128.7</v>
      </c>
      <c r="I662" s="18" t="n">
        <f aca="false">F662-G662-H662</f>
        <v>1962.18</v>
      </c>
      <c r="J662" s="18" t="n">
        <f aca="false">J661+I662</f>
        <v>63484.68</v>
      </c>
      <c r="K662" s="18" t="n">
        <f aca="false">MAX(K661,J662)</f>
        <v>63484.68</v>
      </c>
      <c r="L662" s="18" t="n">
        <f aca="false">K662-J662</f>
        <v>0</v>
      </c>
      <c r="M662" s="18" t="n">
        <f aca="false">MIN(Desain_Kolam!$B$21,MAX(0,M661+F662-H662-G662))</f>
        <v>15148.38</v>
      </c>
      <c r="N662" s="6" t="n">
        <f aca="false">IF(M661+F662-H662&gt;=G662,1,0)</f>
        <v>1</v>
      </c>
    </row>
    <row r="663" customFormat="false" ht="15" hidden="false" customHeight="false" outlineLevel="0" collapsed="false">
      <c r="A663" s="6" t="n">
        <v>2022</v>
      </c>
      <c r="B663" s="6" t="n">
        <v>11</v>
      </c>
      <c r="C663" s="4" t="n">
        <v>237</v>
      </c>
      <c r="D663" s="6" t="n">
        <v>30</v>
      </c>
      <c r="E663" s="4" t="n">
        <f aca="false">INDEX(Evaporasi!$B$3:$B$14,MATCH(B663,Evaporasi!$A$3:$A$14,0))</f>
        <v>120</v>
      </c>
      <c r="F663" s="18" t="n">
        <f aca="false">Kawasan!$B$11*Kawasan!$B$9*C663/1000</f>
        <v>1971.84</v>
      </c>
      <c r="G663" s="18" t="n">
        <f aca="false">Kawasan!$B$29*D663</f>
        <v>1382.4</v>
      </c>
      <c r="H663" s="18" t="n">
        <f aca="false">E663*Desain_Kolam!$B$16/1000</f>
        <v>128.7</v>
      </c>
      <c r="I663" s="18" t="n">
        <f aca="false">F663-G663-H663</f>
        <v>460.74</v>
      </c>
      <c r="J663" s="18" t="n">
        <f aca="false">J662+I663</f>
        <v>63945.42</v>
      </c>
      <c r="K663" s="18" t="n">
        <f aca="false">MAX(K662,J663)</f>
        <v>63945.42</v>
      </c>
      <c r="L663" s="18" t="n">
        <f aca="false">K663-J663</f>
        <v>0</v>
      </c>
      <c r="M663" s="18" t="n">
        <f aca="false">MIN(Desain_Kolam!$B$21,MAX(0,M662+F663-H663-G663))</f>
        <v>15148.38</v>
      </c>
      <c r="N663" s="6" t="n">
        <f aca="false">IF(M662+F663-H663&gt;=G663,1,0)</f>
        <v>1</v>
      </c>
    </row>
    <row r="664" customFormat="false" ht="15" hidden="false" customHeight="false" outlineLevel="0" collapsed="false">
      <c r="A664" s="6" t="n">
        <v>2022</v>
      </c>
      <c r="B664" s="6" t="n">
        <v>12</v>
      </c>
      <c r="C664" s="4" t="n">
        <v>215</v>
      </c>
      <c r="D664" s="6" t="n">
        <v>31</v>
      </c>
      <c r="E664" s="4" t="n">
        <f aca="false">INDEX(Evaporasi!$B$3:$B$14,MATCH(B664,Evaporasi!$A$3:$A$14,0))</f>
        <v>120</v>
      </c>
      <c r="F664" s="18" t="n">
        <f aca="false">Kawasan!$B$11*Kawasan!$B$9*C664/1000</f>
        <v>1788.8</v>
      </c>
      <c r="G664" s="18" t="n">
        <f aca="false">Kawasan!$B$29*D664</f>
        <v>1428.48</v>
      </c>
      <c r="H664" s="18" t="n">
        <f aca="false">E664*Desain_Kolam!$B$16/1000</f>
        <v>128.7</v>
      </c>
      <c r="I664" s="18" t="n">
        <f aca="false">F664-G664-H664</f>
        <v>231.62</v>
      </c>
      <c r="J664" s="18" t="n">
        <f aca="false">J663+I664</f>
        <v>64177.04</v>
      </c>
      <c r="K664" s="18" t="n">
        <f aca="false">MAX(K663,J664)</f>
        <v>64177.04</v>
      </c>
      <c r="L664" s="18" t="n">
        <f aca="false">K664-J664</f>
        <v>0</v>
      </c>
      <c r="M664" s="18" t="n">
        <f aca="false">MIN(Desain_Kolam!$B$21,MAX(0,M663+F664-H664-G664))</f>
        <v>15148.38</v>
      </c>
      <c r="N664" s="6" t="n">
        <f aca="false">IF(M663+F664-H664&gt;=G664,1,0)</f>
        <v>1</v>
      </c>
    </row>
    <row r="665" customFormat="false" ht="15" hidden="false" customHeight="false" outlineLevel="0" collapsed="false">
      <c r="A665" s="6" t="n">
        <v>2023</v>
      </c>
      <c r="B665" s="6" t="n">
        <v>1</v>
      </c>
      <c r="C665" s="4" t="n">
        <v>258</v>
      </c>
      <c r="D665" s="6" t="n">
        <v>31</v>
      </c>
      <c r="E665" s="4" t="n">
        <f aca="false">INDEX(Evaporasi!$B$3:$B$14,MATCH(B665,Evaporasi!$A$3:$A$14,0))</f>
        <v>120</v>
      </c>
      <c r="F665" s="18" t="n">
        <f aca="false">Kawasan!$B$11*Kawasan!$B$9*C665/1000</f>
        <v>2146.56</v>
      </c>
      <c r="G665" s="18" t="n">
        <f aca="false">Kawasan!$B$29*D665</f>
        <v>1428.48</v>
      </c>
      <c r="H665" s="18" t="n">
        <f aca="false">E665*Desain_Kolam!$B$16/1000</f>
        <v>128.7</v>
      </c>
      <c r="I665" s="18" t="n">
        <f aca="false">F665-G665-H665</f>
        <v>589.38</v>
      </c>
      <c r="J665" s="18" t="n">
        <f aca="false">J664+I665</f>
        <v>64766.42</v>
      </c>
      <c r="K665" s="18" t="n">
        <f aca="false">MAX(K664,J665)</f>
        <v>64766.42</v>
      </c>
      <c r="L665" s="18" t="n">
        <f aca="false">K665-J665</f>
        <v>0</v>
      </c>
      <c r="M665" s="18" t="n">
        <f aca="false">MIN(Desain_Kolam!$B$21,MAX(0,M664+F665-H665-G665))</f>
        <v>15148.38</v>
      </c>
      <c r="N665" s="6" t="n">
        <f aca="false">IF(M664+F665-H665&gt;=G665,1,0)</f>
        <v>1</v>
      </c>
    </row>
    <row r="666" customFormat="false" ht="15" hidden="false" customHeight="false" outlineLevel="0" collapsed="false">
      <c r="A666" s="6" t="n">
        <v>2023</v>
      </c>
      <c r="B666" s="6" t="n">
        <v>2</v>
      </c>
      <c r="C666" s="4" t="n">
        <v>185</v>
      </c>
      <c r="D666" s="6" t="n">
        <v>28</v>
      </c>
      <c r="E666" s="4" t="n">
        <f aca="false">INDEX(Evaporasi!$B$3:$B$14,MATCH(B666,Evaporasi!$A$3:$A$14,0))</f>
        <v>120</v>
      </c>
      <c r="F666" s="18" t="n">
        <f aca="false">Kawasan!$B$11*Kawasan!$B$9*C666/1000</f>
        <v>1539.2</v>
      </c>
      <c r="G666" s="18" t="n">
        <f aca="false">Kawasan!$B$29*D666</f>
        <v>1290.24</v>
      </c>
      <c r="H666" s="18" t="n">
        <f aca="false">E666*Desain_Kolam!$B$16/1000</f>
        <v>128.7</v>
      </c>
      <c r="I666" s="18" t="n">
        <f aca="false">F666-G666-H666</f>
        <v>120.26</v>
      </c>
      <c r="J666" s="18" t="n">
        <f aca="false">J665+I666</f>
        <v>64886.68</v>
      </c>
      <c r="K666" s="18" t="n">
        <f aca="false">MAX(K665,J666)</f>
        <v>64886.68</v>
      </c>
      <c r="L666" s="18" t="n">
        <f aca="false">K666-J666</f>
        <v>0</v>
      </c>
      <c r="M666" s="18" t="n">
        <f aca="false">MIN(Desain_Kolam!$B$21,MAX(0,M665+F666-H666-G666))</f>
        <v>15148.38</v>
      </c>
      <c r="N666" s="6" t="n">
        <f aca="false">IF(M665+F666-H666&gt;=G666,1,0)</f>
        <v>1</v>
      </c>
    </row>
    <row r="667" customFormat="false" ht="15" hidden="false" customHeight="false" outlineLevel="0" collapsed="false">
      <c r="A667" s="6" t="n">
        <v>2023</v>
      </c>
      <c r="B667" s="6" t="n">
        <v>3</v>
      </c>
      <c r="C667" s="4" t="n">
        <v>309</v>
      </c>
      <c r="D667" s="6" t="n">
        <v>31</v>
      </c>
      <c r="E667" s="4" t="n">
        <f aca="false">INDEX(Evaporasi!$B$3:$B$14,MATCH(B667,Evaporasi!$A$3:$A$14,0))</f>
        <v>120</v>
      </c>
      <c r="F667" s="18" t="n">
        <f aca="false">Kawasan!$B$11*Kawasan!$B$9*C667/1000</f>
        <v>2570.88</v>
      </c>
      <c r="G667" s="18" t="n">
        <f aca="false">Kawasan!$B$29*D667</f>
        <v>1428.48</v>
      </c>
      <c r="H667" s="18" t="n">
        <f aca="false">E667*Desain_Kolam!$B$16/1000</f>
        <v>128.7</v>
      </c>
      <c r="I667" s="18" t="n">
        <f aca="false">F667-G667-H667</f>
        <v>1013.7</v>
      </c>
      <c r="J667" s="18" t="n">
        <f aca="false">J666+I667</f>
        <v>65900.38</v>
      </c>
      <c r="K667" s="18" t="n">
        <f aca="false">MAX(K666,J667)</f>
        <v>65900.38</v>
      </c>
      <c r="L667" s="18" t="n">
        <f aca="false">K667-J667</f>
        <v>0</v>
      </c>
      <c r="M667" s="18" t="n">
        <f aca="false">MIN(Desain_Kolam!$B$21,MAX(0,M666+F667-H667-G667))</f>
        <v>15148.38</v>
      </c>
      <c r="N667" s="6" t="n">
        <f aca="false">IF(M666+F667-H667&gt;=G667,1,0)</f>
        <v>1</v>
      </c>
    </row>
    <row r="668" customFormat="false" ht="15" hidden="false" customHeight="false" outlineLevel="0" collapsed="false">
      <c r="A668" s="6" t="n">
        <v>2023</v>
      </c>
      <c r="B668" s="6" t="n">
        <v>4</v>
      </c>
      <c r="C668" s="4" t="n">
        <v>189</v>
      </c>
      <c r="D668" s="6" t="n">
        <v>30</v>
      </c>
      <c r="E668" s="4" t="n">
        <f aca="false">INDEX(Evaporasi!$B$3:$B$14,MATCH(B668,Evaporasi!$A$3:$A$14,0))</f>
        <v>120</v>
      </c>
      <c r="F668" s="18" t="n">
        <f aca="false">Kawasan!$B$11*Kawasan!$B$9*C668/1000</f>
        <v>1572.48</v>
      </c>
      <c r="G668" s="18" t="n">
        <f aca="false">Kawasan!$B$29*D668</f>
        <v>1382.4</v>
      </c>
      <c r="H668" s="18" t="n">
        <f aca="false">E668*Desain_Kolam!$B$16/1000</f>
        <v>128.7</v>
      </c>
      <c r="I668" s="18" t="n">
        <f aca="false">F668-G668-H668</f>
        <v>61.3800000000002</v>
      </c>
      <c r="J668" s="18" t="n">
        <f aca="false">J667+I668</f>
        <v>65961.76</v>
      </c>
      <c r="K668" s="18" t="n">
        <f aca="false">MAX(K667,J668)</f>
        <v>65961.76</v>
      </c>
      <c r="L668" s="18" t="n">
        <f aca="false">K668-J668</f>
        <v>0</v>
      </c>
      <c r="M668" s="18" t="n">
        <f aca="false">MIN(Desain_Kolam!$B$21,MAX(0,M667+F668-H668-G668))</f>
        <v>15148.38</v>
      </c>
      <c r="N668" s="6" t="n">
        <f aca="false">IF(M667+F668-H668&gt;=G668,1,0)</f>
        <v>1</v>
      </c>
    </row>
    <row r="669" customFormat="false" ht="15" hidden="false" customHeight="false" outlineLevel="0" collapsed="false">
      <c r="A669" s="6" t="n">
        <v>2023</v>
      </c>
      <c r="B669" s="6" t="n">
        <v>5</v>
      </c>
      <c r="C669" s="4" t="n">
        <v>333</v>
      </c>
      <c r="D669" s="6" t="n">
        <v>31</v>
      </c>
      <c r="E669" s="4" t="n">
        <f aca="false">INDEX(Evaporasi!$B$3:$B$14,MATCH(B669,Evaporasi!$A$3:$A$14,0))</f>
        <v>120</v>
      </c>
      <c r="F669" s="18" t="n">
        <f aca="false">Kawasan!$B$11*Kawasan!$B$9*C669/1000</f>
        <v>2770.56</v>
      </c>
      <c r="G669" s="18" t="n">
        <f aca="false">Kawasan!$B$29*D669</f>
        <v>1428.48</v>
      </c>
      <c r="H669" s="18" t="n">
        <f aca="false">E669*Desain_Kolam!$B$16/1000</f>
        <v>128.7</v>
      </c>
      <c r="I669" s="18" t="n">
        <f aca="false">F669-G669-H669</f>
        <v>1213.38</v>
      </c>
      <c r="J669" s="18" t="n">
        <f aca="false">J668+I669</f>
        <v>67175.14</v>
      </c>
      <c r="K669" s="18" t="n">
        <f aca="false">MAX(K668,J669)</f>
        <v>67175.14</v>
      </c>
      <c r="L669" s="18" t="n">
        <f aca="false">K669-J669</f>
        <v>0</v>
      </c>
      <c r="M669" s="18" t="n">
        <f aca="false">MIN(Desain_Kolam!$B$21,MAX(0,M668+F669-H669-G669))</f>
        <v>15148.38</v>
      </c>
      <c r="N669" s="6" t="n">
        <f aca="false">IF(M668+F669-H669&gt;=G669,1,0)</f>
        <v>1</v>
      </c>
    </row>
    <row r="670" customFormat="false" ht="15" hidden="false" customHeight="false" outlineLevel="0" collapsed="false">
      <c r="A670" s="6" t="n">
        <v>2023</v>
      </c>
      <c r="B670" s="6" t="n">
        <v>6</v>
      </c>
      <c r="C670" s="4" t="n">
        <v>263</v>
      </c>
      <c r="D670" s="6" t="n">
        <v>30</v>
      </c>
      <c r="E670" s="4" t="n">
        <f aca="false">INDEX(Evaporasi!$B$3:$B$14,MATCH(B670,Evaporasi!$A$3:$A$14,0))</f>
        <v>120</v>
      </c>
      <c r="F670" s="18" t="n">
        <f aca="false">Kawasan!$B$11*Kawasan!$B$9*C670/1000</f>
        <v>2188.16</v>
      </c>
      <c r="G670" s="18" t="n">
        <f aca="false">Kawasan!$B$29*D670</f>
        <v>1382.4</v>
      </c>
      <c r="H670" s="18" t="n">
        <f aca="false">E670*Desain_Kolam!$B$16/1000</f>
        <v>128.7</v>
      </c>
      <c r="I670" s="18" t="n">
        <f aca="false">F670-G670-H670</f>
        <v>677.06</v>
      </c>
      <c r="J670" s="18" t="n">
        <f aca="false">J669+I670</f>
        <v>67852.2</v>
      </c>
      <c r="K670" s="18" t="n">
        <f aca="false">MAX(K669,J670)</f>
        <v>67852.2</v>
      </c>
      <c r="L670" s="18" t="n">
        <f aca="false">K670-J670</f>
        <v>0</v>
      </c>
      <c r="M670" s="18" t="n">
        <f aca="false">MIN(Desain_Kolam!$B$21,MAX(0,M669+F670-H670-G670))</f>
        <v>15148.38</v>
      </c>
      <c r="N670" s="6" t="n">
        <f aca="false">IF(M669+F670-H670&gt;=G670,1,0)</f>
        <v>1</v>
      </c>
    </row>
    <row r="671" customFormat="false" ht="15" hidden="false" customHeight="false" outlineLevel="0" collapsed="false">
      <c r="A671" s="6" t="n">
        <v>2023</v>
      </c>
      <c r="B671" s="6" t="n">
        <v>7</v>
      </c>
      <c r="C671" s="4" t="n">
        <v>405</v>
      </c>
      <c r="D671" s="6" t="n">
        <v>31</v>
      </c>
      <c r="E671" s="4" t="n">
        <f aca="false">INDEX(Evaporasi!$B$3:$B$14,MATCH(B671,Evaporasi!$A$3:$A$14,0))</f>
        <v>120</v>
      </c>
      <c r="F671" s="18" t="n">
        <f aca="false">Kawasan!$B$11*Kawasan!$B$9*C671/1000</f>
        <v>3369.6</v>
      </c>
      <c r="G671" s="18" t="n">
        <f aca="false">Kawasan!$B$29*D671</f>
        <v>1428.48</v>
      </c>
      <c r="H671" s="18" t="n">
        <f aca="false">E671*Desain_Kolam!$B$16/1000</f>
        <v>128.7</v>
      </c>
      <c r="I671" s="18" t="n">
        <f aca="false">F671-G671-H671</f>
        <v>1812.42</v>
      </c>
      <c r="J671" s="18" t="n">
        <f aca="false">J670+I671</f>
        <v>69664.62</v>
      </c>
      <c r="K671" s="18" t="n">
        <f aca="false">MAX(K670,J671)</f>
        <v>69664.62</v>
      </c>
      <c r="L671" s="18" t="n">
        <f aca="false">K671-J671</f>
        <v>0</v>
      </c>
      <c r="M671" s="18" t="n">
        <f aca="false">MIN(Desain_Kolam!$B$21,MAX(0,M670+F671-H671-G671))</f>
        <v>15148.38</v>
      </c>
      <c r="N671" s="6" t="n">
        <f aca="false">IF(M670+F671-H671&gt;=G671,1,0)</f>
        <v>1</v>
      </c>
    </row>
    <row r="672" customFormat="false" ht="15" hidden="false" customHeight="false" outlineLevel="0" collapsed="false">
      <c r="A672" s="6" t="n">
        <v>2023</v>
      </c>
      <c r="B672" s="6" t="n">
        <v>8</v>
      </c>
      <c r="C672" s="4" t="n">
        <v>164</v>
      </c>
      <c r="D672" s="6" t="n">
        <v>31</v>
      </c>
      <c r="E672" s="4" t="n">
        <f aca="false">INDEX(Evaporasi!$B$3:$B$14,MATCH(B672,Evaporasi!$A$3:$A$14,0))</f>
        <v>120</v>
      </c>
      <c r="F672" s="18" t="n">
        <f aca="false">Kawasan!$B$11*Kawasan!$B$9*C672/1000</f>
        <v>1364.48</v>
      </c>
      <c r="G672" s="18" t="n">
        <f aca="false">Kawasan!$B$29*D672</f>
        <v>1428.48</v>
      </c>
      <c r="H672" s="18" t="n">
        <f aca="false">E672*Desain_Kolam!$B$16/1000</f>
        <v>128.7</v>
      </c>
      <c r="I672" s="18" t="n">
        <f aca="false">F672-G672-H672</f>
        <v>-192.7</v>
      </c>
      <c r="J672" s="18" t="n">
        <f aca="false">J671+I672</f>
        <v>69471.92</v>
      </c>
      <c r="K672" s="18" t="n">
        <f aca="false">MAX(K671,J672)</f>
        <v>69664.62</v>
      </c>
      <c r="L672" s="18" t="n">
        <f aca="false">K672-J672</f>
        <v>192.699999999997</v>
      </c>
      <c r="M672" s="18" t="n">
        <f aca="false">MIN(Desain_Kolam!$B$21,MAX(0,M671+F672-H672-G672))</f>
        <v>14955.68</v>
      </c>
      <c r="N672" s="6" t="n">
        <f aca="false">IF(M671+F672-H672&gt;=G672,1,0)</f>
        <v>1</v>
      </c>
    </row>
    <row r="673" customFormat="false" ht="15" hidden="false" customHeight="false" outlineLevel="0" collapsed="false">
      <c r="A673" s="6" t="n">
        <v>2023</v>
      </c>
      <c r="B673" s="6" t="n">
        <v>9</v>
      </c>
      <c r="C673" s="4" t="n">
        <v>218</v>
      </c>
      <c r="D673" s="6" t="n">
        <v>30</v>
      </c>
      <c r="E673" s="4" t="n">
        <f aca="false">INDEX(Evaporasi!$B$3:$B$14,MATCH(B673,Evaporasi!$A$3:$A$14,0))</f>
        <v>120</v>
      </c>
      <c r="F673" s="18" t="n">
        <f aca="false">Kawasan!$B$11*Kawasan!$B$9*C673/1000</f>
        <v>1813.76</v>
      </c>
      <c r="G673" s="18" t="n">
        <f aca="false">Kawasan!$B$29*D673</f>
        <v>1382.4</v>
      </c>
      <c r="H673" s="18" t="n">
        <f aca="false">E673*Desain_Kolam!$B$16/1000</f>
        <v>128.7</v>
      </c>
      <c r="I673" s="18" t="n">
        <f aca="false">F673-G673-H673</f>
        <v>302.66</v>
      </c>
      <c r="J673" s="18" t="n">
        <f aca="false">J672+I673</f>
        <v>69774.58</v>
      </c>
      <c r="K673" s="18" t="n">
        <f aca="false">MAX(K672,J673)</f>
        <v>69774.58</v>
      </c>
      <c r="L673" s="18" t="n">
        <f aca="false">K673-J673</f>
        <v>0</v>
      </c>
      <c r="M673" s="18" t="n">
        <f aca="false">MIN(Desain_Kolam!$B$21,MAX(0,M672+F673-H673-G673))</f>
        <v>15148.38</v>
      </c>
      <c r="N673" s="6" t="n">
        <f aca="false">IF(M672+F673-H673&gt;=G673,1,0)</f>
        <v>1</v>
      </c>
    </row>
    <row r="674" customFormat="false" ht="15" hidden="false" customHeight="false" outlineLevel="0" collapsed="false">
      <c r="A674" s="6" t="n">
        <v>2023</v>
      </c>
      <c r="B674" s="6" t="n">
        <v>10</v>
      </c>
      <c r="C674" s="4" t="n">
        <v>250</v>
      </c>
      <c r="D674" s="6" t="n">
        <v>31</v>
      </c>
      <c r="E674" s="4" t="n">
        <f aca="false">INDEX(Evaporasi!$B$3:$B$14,MATCH(B674,Evaporasi!$A$3:$A$14,0))</f>
        <v>120</v>
      </c>
      <c r="F674" s="18" t="n">
        <f aca="false">Kawasan!$B$11*Kawasan!$B$9*C674/1000</f>
        <v>2080</v>
      </c>
      <c r="G674" s="18" t="n">
        <f aca="false">Kawasan!$B$29*D674</f>
        <v>1428.48</v>
      </c>
      <c r="H674" s="18" t="n">
        <f aca="false">E674*Desain_Kolam!$B$16/1000</f>
        <v>128.7</v>
      </c>
      <c r="I674" s="18" t="n">
        <f aca="false">F674-G674-H674</f>
        <v>522.82</v>
      </c>
      <c r="J674" s="18" t="n">
        <f aca="false">J673+I674</f>
        <v>70297.4</v>
      </c>
      <c r="K674" s="18" t="n">
        <f aca="false">MAX(K673,J674)</f>
        <v>70297.4</v>
      </c>
      <c r="L674" s="18" t="n">
        <f aca="false">K674-J674</f>
        <v>0</v>
      </c>
      <c r="M674" s="18" t="n">
        <f aca="false">MIN(Desain_Kolam!$B$21,MAX(0,M673+F674-H674-G674))</f>
        <v>15148.38</v>
      </c>
      <c r="N674" s="6" t="n">
        <f aca="false">IF(M673+F674-H674&gt;=G674,1,0)</f>
        <v>1</v>
      </c>
    </row>
    <row r="675" customFormat="false" ht="15" hidden="false" customHeight="false" outlineLevel="0" collapsed="false">
      <c r="A675" s="6" t="n">
        <v>2023</v>
      </c>
      <c r="B675" s="6" t="n">
        <v>11</v>
      </c>
      <c r="C675" s="4" t="n">
        <v>265</v>
      </c>
      <c r="D675" s="6" t="n">
        <v>30</v>
      </c>
      <c r="E675" s="4" t="n">
        <f aca="false">INDEX(Evaporasi!$B$3:$B$14,MATCH(B675,Evaporasi!$A$3:$A$14,0))</f>
        <v>120</v>
      </c>
      <c r="F675" s="18" t="n">
        <f aca="false">Kawasan!$B$11*Kawasan!$B$9*C675/1000</f>
        <v>2204.8</v>
      </c>
      <c r="G675" s="18" t="n">
        <f aca="false">Kawasan!$B$29*D675</f>
        <v>1382.4</v>
      </c>
      <c r="H675" s="18" t="n">
        <f aca="false">E675*Desain_Kolam!$B$16/1000</f>
        <v>128.7</v>
      </c>
      <c r="I675" s="18" t="n">
        <f aca="false">F675-G675-H675</f>
        <v>693.7</v>
      </c>
      <c r="J675" s="18" t="n">
        <f aca="false">J674+I675</f>
        <v>70991.1</v>
      </c>
      <c r="K675" s="18" t="n">
        <f aca="false">MAX(K674,J675)</f>
        <v>70991.1</v>
      </c>
      <c r="L675" s="18" t="n">
        <f aca="false">K675-J675</f>
        <v>0</v>
      </c>
      <c r="M675" s="18" t="n">
        <f aca="false">MIN(Desain_Kolam!$B$21,MAX(0,M674+F675-H675-G675))</f>
        <v>15148.38</v>
      </c>
      <c r="N675" s="6" t="n">
        <f aca="false">IF(M674+F675-H675&gt;=G675,1,0)</f>
        <v>1</v>
      </c>
    </row>
    <row r="676" customFormat="false" ht="15" hidden="false" customHeight="false" outlineLevel="0" collapsed="false">
      <c r="A676" s="6" t="n">
        <v>2023</v>
      </c>
      <c r="B676" s="6" t="n">
        <v>12</v>
      </c>
      <c r="C676" s="4" t="n">
        <v>421</v>
      </c>
      <c r="D676" s="6" t="n">
        <v>31</v>
      </c>
      <c r="E676" s="4" t="n">
        <f aca="false">INDEX(Evaporasi!$B$3:$B$14,MATCH(B676,Evaporasi!$A$3:$A$14,0))</f>
        <v>120</v>
      </c>
      <c r="F676" s="18" t="n">
        <f aca="false">Kawasan!$B$11*Kawasan!$B$9*C676/1000</f>
        <v>3502.72</v>
      </c>
      <c r="G676" s="18" t="n">
        <f aca="false">Kawasan!$B$29*D676</f>
        <v>1428.48</v>
      </c>
      <c r="H676" s="18" t="n">
        <f aca="false">E676*Desain_Kolam!$B$16/1000</f>
        <v>128.7</v>
      </c>
      <c r="I676" s="18" t="n">
        <f aca="false">F676-G676-H676</f>
        <v>1945.54</v>
      </c>
      <c r="J676" s="18" t="n">
        <f aca="false">J675+I676</f>
        <v>72936.64</v>
      </c>
      <c r="K676" s="18" t="n">
        <f aca="false">MAX(K675,J676)</f>
        <v>72936.64</v>
      </c>
      <c r="L676" s="18" t="n">
        <f aca="false">K676-J676</f>
        <v>0</v>
      </c>
      <c r="M676" s="18" t="n">
        <f aca="false">MIN(Desain_Kolam!$B$21,MAX(0,M675+F676-H676-G676))</f>
        <v>15148.38</v>
      </c>
      <c r="N676" s="6" t="n">
        <f aca="false">IF(M675+F676-H676&gt;=G676,1,0)</f>
        <v>1</v>
      </c>
    </row>
    <row r="677" customFormat="false" ht="15" hidden="false" customHeight="false" outlineLevel="0" collapsed="false">
      <c r="A677" s="6" t="n">
        <v>2024</v>
      </c>
      <c r="B677" s="6" t="n">
        <v>1</v>
      </c>
      <c r="C677" s="4" t="n">
        <v>379</v>
      </c>
      <c r="D677" s="6" t="n">
        <v>31</v>
      </c>
      <c r="E677" s="4" t="n">
        <f aca="false">INDEX(Evaporasi!$B$3:$B$14,MATCH(B677,Evaporasi!$A$3:$A$14,0))</f>
        <v>120</v>
      </c>
      <c r="F677" s="18" t="n">
        <f aca="false">Kawasan!$B$11*Kawasan!$B$9*C677/1000</f>
        <v>3153.28</v>
      </c>
      <c r="G677" s="18" t="n">
        <f aca="false">Kawasan!$B$29*D677</f>
        <v>1428.48</v>
      </c>
      <c r="H677" s="18" t="n">
        <f aca="false">E677*Desain_Kolam!$B$16/1000</f>
        <v>128.7</v>
      </c>
      <c r="I677" s="18" t="n">
        <f aca="false">F677-G677-H677</f>
        <v>1596.1</v>
      </c>
      <c r="J677" s="18" t="n">
        <f aca="false">J676+I677</f>
        <v>74532.74</v>
      </c>
      <c r="K677" s="18" t="n">
        <f aca="false">MAX(K676,J677)</f>
        <v>74532.74</v>
      </c>
      <c r="L677" s="18" t="n">
        <f aca="false">K677-J677</f>
        <v>0</v>
      </c>
      <c r="M677" s="18" t="n">
        <f aca="false">MIN(Desain_Kolam!$B$21,MAX(0,M676+F677-H677-G677))</f>
        <v>15148.38</v>
      </c>
      <c r="N677" s="6" t="n">
        <f aca="false">IF(M676+F677-H677&gt;=G677,1,0)</f>
        <v>1</v>
      </c>
    </row>
    <row r="678" customFormat="false" ht="15" hidden="false" customHeight="false" outlineLevel="0" collapsed="false">
      <c r="A678" s="6" t="n">
        <v>2024</v>
      </c>
      <c r="B678" s="6" t="n">
        <v>2</v>
      </c>
      <c r="C678" s="4" t="n">
        <v>300</v>
      </c>
      <c r="D678" s="6" t="n">
        <v>29</v>
      </c>
      <c r="E678" s="4" t="n">
        <f aca="false">INDEX(Evaporasi!$B$3:$B$14,MATCH(B678,Evaporasi!$A$3:$A$14,0))</f>
        <v>120</v>
      </c>
      <c r="F678" s="18" t="n">
        <f aca="false">Kawasan!$B$11*Kawasan!$B$9*C678/1000</f>
        <v>2496</v>
      </c>
      <c r="G678" s="18" t="n">
        <f aca="false">Kawasan!$B$29*D678</f>
        <v>1336.32</v>
      </c>
      <c r="H678" s="18" t="n">
        <f aca="false">E678*Desain_Kolam!$B$16/1000</f>
        <v>128.7</v>
      </c>
      <c r="I678" s="18" t="n">
        <f aca="false">F678-G678-H678</f>
        <v>1030.98</v>
      </c>
      <c r="J678" s="18" t="n">
        <f aca="false">J677+I678</f>
        <v>75563.72</v>
      </c>
      <c r="K678" s="18" t="n">
        <f aca="false">MAX(K677,J678)</f>
        <v>75563.72</v>
      </c>
      <c r="L678" s="18" t="n">
        <f aca="false">K678-J678</f>
        <v>0</v>
      </c>
      <c r="M678" s="18" t="n">
        <f aca="false">MIN(Desain_Kolam!$B$21,MAX(0,M677+F678-H678-G678))</f>
        <v>15148.38</v>
      </c>
      <c r="N678" s="6" t="n">
        <f aca="false">IF(M677+F678-H678&gt;=G678,1,0)</f>
        <v>1</v>
      </c>
    </row>
    <row r="679" customFormat="false" ht="15" hidden="false" customHeight="false" outlineLevel="0" collapsed="false">
      <c r="A679" s="6" t="n">
        <v>2024</v>
      </c>
      <c r="B679" s="6" t="n">
        <v>3</v>
      </c>
      <c r="C679" s="4" t="n">
        <v>512</v>
      </c>
      <c r="D679" s="6" t="n">
        <v>31</v>
      </c>
      <c r="E679" s="4" t="n">
        <f aca="false">INDEX(Evaporasi!$B$3:$B$14,MATCH(B679,Evaporasi!$A$3:$A$14,0))</f>
        <v>120</v>
      </c>
      <c r="F679" s="18" t="n">
        <f aca="false">Kawasan!$B$11*Kawasan!$B$9*C679/1000</f>
        <v>4259.84</v>
      </c>
      <c r="G679" s="18" t="n">
        <f aca="false">Kawasan!$B$29*D679</f>
        <v>1428.48</v>
      </c>
      <c r="H679" s="18" t="n">
        <f aca="false">E679*Desain_Kolam!$B$16/1000</f>
        <v>128.7</v>
      </c>
      <c r="I679" s="18" t="n">
        <f aca="false">F679-G679-H679</f>
        <v>2702.66</v>
      </c>
      <c r="J679" s="18" t="n">
        <f aca="false">J678+I679</f>
        <v>78266.38</v>
      </c>
      <c r="K679" s="18" t="n">
        <f aca="false">MAX(K678,J679)</f>
        <v>78266.38</v>
      </c>
      <c r="L679" s="18" t="n">
        <f aca="false">K679-J679</f>
        <v>0</v>
      </c>
      <c r="M679" s="18" t="n">
        <f aca="false">MIN(Desain_Kolam!$B$21,MAX(0,M678+F679-H679-G679))</f>
        <v>15148.38</v>
      </c>
      <c r="N679" s="6" t="n">
        <f aca="false">IF(M678+F679-H679&gt;=G679,1,0)</f>
        <v>1</v>
      </c>
    </row>
    <row r="680" customFormat="false" ht="15" hidden="false" customHeight="false" outlineLevel="0" collapsed="false">
      <c r="A680" s="6" t="n">
        <v>2024</v>
      </c>
      <c r="B680" s="6" t="n">
        <v>4</v>
      </c>
      <c r="C680" s="4" t="n">
        <v>327</v>
      </c>
      <c r="D680" s="6" t="n">
        <v>30</v>
      </c>
      <c r="E680" s="4" t="n">
        <f aca="false">INDEX(Evaporasi!$B$3:$B$14,MATCH(B680,Evaporasi!$A$3:$A$14,0))</f>
        <v>120</v>
      </c>
      <c r="F680" s="18" t="n">
        <f aca="false">Kawasan!$B$11*Kawasan!$B$9*C680/1000</f>
        <v>2720.64</v>
      </c>
      <c r="G680" s="18" t="n">
        <f aca="false">Kawasan!$B$29*D680</f>
        <v>1382.4</v>
      </c>
      <c r="H680" s="18" t="n">
        <f aca="false">E680*Desain_Kolam!$B$16/1000</f>
        <v>128.7</v>
      </c>
      <c r="I680" s="18" t="n">
        <f aca="false">F680-G680-H680</f>
        <v>1209.54</v>
      </c>
      <c r="J680" s="18" t="n">
        <f aca="false">J679+I680</f>
        <v>79475.92</v>
      </c>
      <c r="K680" s="18" t="n">
        <f aca="false">MAX(K679,J680)</f>
        <v>79475.92</v>
      </c>
      <c r="L680" s="18" t="n">
        <f aca="false">K680-J680</f>
        <v>0</v>
      </c>
      <c r="M680" s="18" t="n">
        <f aca="false">MIN(Desain_Kolam!$B$21,MAX(0,M679+F680-H680-G680))</f>
        <v>15148.38</v>
      </c>
      <c r="N680" s="6" t="n">
        <f aca="false">IF(M679+F680-H680&gt;=G680,1,0)</f>
        <v>1</v>
      </c>
    </row>
    <row r="681" customFormat="false" ht="15" hidden="false" customHeight="false" outlineLevel="0" collapsed="false">
      <c r="A681" s="6" t="n">
        <v>2024</v>
      </c>
      <c r="B681" s="6" t="n">
        <v>5</v>
      </c>
      <c r="C681" s="4" t="n">
        <v>406</v>
      </c>
      <c r="D681" s="6" t="n">
        <v>31</v>
      </c>
      <c r="E681" s="4" t="n">
        <f aca="false">INDEX(Evaporasi!$B$3:$B$14,MATCH(B681,Evaporasi!$A$3:$A$14,0))</f>
        <v>120</v>
      </c>
      <c r="F681" s="18" t="n">
        <f aca="false">Kawasan!$B$11*Kawasan!$B$9*C681/1000</f>
        <v>3377.92</v>
      </c>
      <c r="G681" s="18" t="n">
        <f aca="false">Kawasan!$B$29*D681</f>
        <v>1428.48</v>
      </c>
      <c r="H681" s="18" t="n">
        <f aca="false">E681*Desain_Kolam!$B$16/1000</f>
        <v>128.7</v>
      </c>
      <c r="I681" s="18" t="n">
        <f aca="false">F681-G681-H681</f>
        <v>1820.74</v>
      </c>
      <c r="J681" s="18" t="n">
        <f aca="false">J680+I681</f>
        <v>81296.66</v>
      </c>
      <c r="K681" s="18" t="n">
        <f aca="false">MAX(K680,J681)</f>
        <v>81296.66</v>
      </c>
      <c r="L681" s="18" t="n">
        <f aca="false">K681-J681</f>
        <v>0</v>
      </c>
      <c r="M681" s="18" t="n">
        <f aca="false">MIN(Desain_Kolam!$B$21,MAX(0,M680+F681-H681-G681))</f>
        <v>15148.38</v>
      </c>
      <c r="N681" s="6" t="n">
        <f aca="false">IF(M680+F681-H681&gt;=G681,1,0)</f>
        <v>1</v>
      </c>
    </row>
    <row r="682" customFormat="false" ht="15" hidden="false" customHeight="false" outlineLevel="0" collapsed="false">
      <c r="A682" s="6" t="n">
        <v>2024</v>
      </c>
      <c r="B682" s="6" t="n">
        <v>6</v>
      </c>
      <c r="C682" s="4" t="n">
        <v>166</v>
      </c>
      <c r="D682" s="6" t="n">
        <v>30</v>
      </c>
      <c r="E682" s="4" t="n">
        <f aca="false">INDEX(Evaporasi!$B$3:$B$14,MATCH(B682,Evaporasi!$A$3:$A$14,0))</f>
        <v>120</v>
      </c>
      <c r="F682" s="18" t="n">
        <f aca="false">Kawasan!$B$11*Kawasan!$B$9*C682/1000</f>
        <v>1381.12</v>
      </c>
      <c r="G682" s="18" t="n">
        <f aca="false">Kawasan!$B$29*D682</f>
        <v>1382.4</v>
      </c>
      <c r="H682" s="18" t="n">
        <f aca="false">E682*Desain_Kolam!$B$16/1000</f>
        <v>128.7</v>
      </c>
      <c r="I682" s="18" t="n">
        <f aca="false">F682-G682-H682</f>
        <v>-129.98</v>
      </c>
      <c r="J682" s="18" t="n">
        <f aca="false">J681+I682</f>
        <v>81166.68</v>
      </c>
      <c r="K682" s="18" t="n">
        <f aca="false">MAX(K681,J682)</f>
        <v>81296.66</v>
      </c>
      <c r="L682" s="18" t="n">
        <f aca="false">K682-J682</f>
        <v>129.979999999996</v>
      </c>
      <c r="M682" s="18" t="n">
        <f aca="false">MIN(Desain_Kolam!$B$21,MAX(0,M681+F682-H682-G682))</f>
        <v>15018.4</v>
      </c>
      <c r="N682" s="6" t="n">
        <f aca="false">IF(M681+F682-H682&gt;=G682,1,0)</f>
        <v>1</v>
      </c>
    </row>
    <row r="683" customFormat="false" ht="15" hidden="false" customHeight="false" outlineLevel="0" collapsed="false">
      <c r="A683" s="6" t="n">
        <v>2024</v>
      </c>
      <c r="B683" s="6" t="n">
        <v>7</v>
      </c>
      <c r="C683" s="4" t="n">
        <v>114</v>
      </c>
      <c r="D683" s="6" t="n">
        <v>31</v>
      </c>
      <c r="E683" s="4" t="n">
        <f aca="false">INDEX(Evaporasi!$B$3:$B$14,MATCH(B683,Evaporasi!$A$3:$A$14,0))</f>
        <v>120</v>
      </c>
      <c r="F683" s="18" t="n">
        <f aca="false">Kawasan!$B$11*Kawasan!$B$9*C683/1000</f>
        <v>948.48</v>
      </c>
      <c r="G683" s="18" t="n">
        <f aca="false">Kawasan!$B$29*D683</f>
        <v>1428.48</v>
      </c>
      <c r="H683" s="18" t="n">
        <f aca="false">E683*Desain_Kolam!$B$16/1000</f>
        <v>128.7</v>
      </c>
      <c r="I683" s="18" t="n">
        <f aca="false">F683-G683-H683</f>
        <v>-608.7</v>
      </c>
      <c r="J683" s="18" t="n">
        <f aca="false">J682+I683</f>
        <v>80557.98</v>
      </c>
      <c r="K683" s="18" t="n">
        <f aca="false">MAX(K682,J683)</f>
        <v>81296.66</v>
      </c>
      <c r="L683" s="18" t="n">
        <f aca="false">K683-J683</f>
        <v>738.679999999993</v>
      </c>
      <c r="M683" s="18" t="n">
        <f aca="false">MIN(Desain_Kolam!$B$21,MAX(0,M682+F683-H683-G683))</f>
        <v>14409.7</v>
      </c>
      <c r="N683" s="6" t="n">
        <f aca="false">IF(M682+F683-H683&gt;=G683,1,0)</f>
        <v>1</v>
      </c>
    </row>
    <row r="684" customFormat="false" ht="15" hidden="false" customHeight="false" outlineLevel="0" collapsed="false">
      <c r="A684" s="6" t="n">
        <v>2024</v>
      </c>
      <c r="B684" s="6" t="n">
        <v>8</v>
      </c>
      <c r="C684" s="4" t="n">
        <v>350</v>
      </c>
      <c r="D684" s="6" t="n">
        <v>31</v>
      </c>
      <c r="E684" s="4" t="n">
        <f aca="false">INDEX(Evaporasi!$B$3:$B$14,MATCH(B684,Evaporasi!$A$3:$A$14,0))</f>
        <v>120</v>
      </c>
      <c r="F684" s="18" t="n">
        <f aca="false">Kawasan!$B$11*Kawasan!$B$9*C684/1000</f>
        <v>2912</v>
      </c>
      <c r="G684" s="18" t="n">
        <f aca="false">Kawasan!$B$29*D684</f>
        <v>1428.48</v>
      </c>
      <c r="H684" s="18" t="n">
        <f aca="false">E684*Desain_Kolam!$B$16/1000</f>
        <v>128.7</v>
      </c>
      <c r="I684" s="18" t="n">
        <f aca="false">F684-G684-H684</f>
        <v>1354.82</v>
      </c>
      <c r="J684" s="18" t="n">
        <f aca="false">J683+I684</f>
        <v>81912.8</v>
      </c>
      <c r="K684" s="18" t="n">
        <f aca="false">MAX(K683,J684)</f>
        <v>81912.8</v>
      </c>
      <c r="L684" s="18" t="n">
        <f aca="false">K684-J684</f>
        <v>0</v>
      </c>
      <c r="M684" s="18" t="n">
        <f aca="false">MIN(Desain_Kolam!$B$21,MAX(0,M683+F684-H684-G684))</f>
        <v>15148.38</v>
      </c>
      <c r="N684" s="6" t="n">
        <f aca="false">IF(M683+F684-H684&gt;=G684,1,0)</f>
        <v>1</v>
      </c>
    </row>
    <row r="685" customFormat="false" ht="15" hidden="false" customHeight="false" outlineLevel="0" collapsed="false">
      <c r="A685" s="6" t="n">
        <v>2024</v>
      </c>
      <c r="B685" s="6" t="n">
        <v>9</v>
      </c>
      <c r="C685" s="4" t="n">
        <v>197</v>
      </c>
      <c r="D685" s="6" t="n">
        <v>30</v>
      </c>
      <c r="E685" s="4" t="n">
        <f aca="false">INDEX(Evaporasi!$B$3:$B$14,MATCH(B685,Evaporasi!$A$3:$A$14,0))</f>
        <v>120</v>
      </c>
      <c r="F685" s="18" t="n">
        <f aca="false">Kawasan!$B$11*Kawasan!$B$9*C685/1000</f>
        <v>1639.04</v>
      </c>
      <c r="G685" s="18" t="n">
        <f aca="false">Kawasan!$B$29*D685</f>
        <v>1382.4</v>
      </c>
      <c r="H685" s="18" t="n">
        <f aca="false">E685*Desain_Kolam!$B$16/1000</f>
        <v>128.7</v>
      </c>
      <c r="I685" s="18" t="n">
        <f aca="false">F685-G685-H685</f>
        <v>127.94</v>
      </c>
      <c r="J685" s="18" t="n">
        <f aca="false">J684+I685</f>
        <v>82040.74</v>
      </c>
      <c r="K685" s="18" t="n">
        <f aca="false">MAX(K684,J685)</f>
        <v>82040.74</v>
      </c>
      <c r="L685" s="18" t="n">
        <f aca="false">K685-J685</f>
        <v>0</v>
      </c>
      <c r="M685" s="18" t="n">
        <f aca="false">MIN(Desain_Kolam!$B$21,MAX(0,M684+F685-H685-G685))</f>
        <v>15148.38</v>
      </c>
      <c r="N685" s="6" t="n">
        <f aca="false">IF(M684+F685-H685&gt;=G685,1,0)</f>
        <v>1</v>
      </c>
    </row>
    <row r="686" customFormat="false" ht="15" hidden="false" customHeight="false" outlineLevel="0" collapsed="false">
      <c r="A686" s="6" t="n">
        <v>2024</v>
      </c>
      <c r="B686" s="6" t="n">
        <v>10</v>
      </c>
      <c r="C686" s="4" t="n">
        <v>327</v>
      </c>
      <c r="D686" s="6" t="n">
        <v>31</v>
      </c>
      <c r="E686" s="4" t="n">
        <f aca="false">INDEX(Evaporasi!$B$3:$B$14,MATCH(B686,Evaporasi!$A$3:$A$14,0))</f>
        <v>120</v>
      </c>
      <c r="F686" s="18" t="n">
        <f aca="false">Kawasan!$B$11*Kawasan!$B$9*C686/1000</f>
        <v>2720.64</v>
      </c>
      <c r="G686" s="18" t="n">
        <f aca="false">Kawasan!$B$29*D686</f>
        <v>1428.48</v>
      </c>
      <c r="H686" s="18" t="n">
        <f aca="false">E686*Desain_Kolam!$B$16/1000</f>
        <v>128.7</v>
      </c>
      <c r="I686" s="18" t="n">
        <f aca="false">F686-G686-H686</f>
        <v>1163.46</v>
      </c>
      <c r="J686" s="18" t="n">
        <f aca="false">J685+I686</f>
        <v>83204.2</v>
      </c>
      <c r="K686" s="18" t="n">
        <f aca="false">MAX(K685,J686)</f>
        <v>83204.2</v>
      </c>
      <c r="L686" s="18" t="n">
        <f aca="false">K686-J686</f>
        <v>0</v>
      </c>
      <c r="M686" s="18" t="n">
        <f aca="false">MIN(Desain_Kolam!$B$21,MAX(0,M685+F686-H686-G686))</f>
        <v>15148.38</v>
      </c>
      <c r="N686" s="6" t="n">
        <f aca="false">IF(M685+F686-H686&gt;=G686,1,0)</f>
        <v>1</v>
      </c>
    </row>
    <row r="687" customFormat="false" ht="15" hidden="false" customHeight="false" outlineLevel="0" collapsed="false">
      <c r="A687" s="6" t="n">
        <v>2024</v>
      </c>
      <c r="B687" s="6" t="n">
        <v>11</v>
      </c>
      <c r="C687" s="4" t="n">
        <v>419</v>
      </c>
      <c r="D687" s="6" t="n">
        <v>30</v>
      </c>
      <c r="E687" s="4" t="n">
        <f aca="false">INDEX(Evaporasi!$B$3:$B$14,MATCH(B687,Evaporasi!$A$3:$A$14,0))</f>
        <v>120</v>
      </c>
      <c r="F687" s="18" t="n">
        <f aca="false">Kawasan!$B$11*Kawasan!$B$9*C687/1000</f>
        <v>3486.08</v>
      </c>
      <c r="G687" s="18" t="n">
        <f aca="false">Kawasan!$B$29*D687</f>
        <v>1382.4</v>
      </c>
      <c r="H687" s="18" t="n">
        <f aca="false">E687*Desain_Kolam!$B$16/1000</f>
        <v>128.7</v>
      </c>
      <c r="I687" s="18" t="n">
        <f aca="false">F687-G687-H687</f>
        <v>1974.98</v>
      </c>
      <c r="J687" s="18" t="n">
        <f aca="false">J686+I687</f>
        <v>85179.18</v>
      </c>
      <c r="K687" s="18" t="n">
        <f aca="false">MAX(K686,J687)</f>
        <v>85179.18</v>
      </c>
      <c r="L687" s="18" t="n">
        <f aca="false">K687-J687</f>
        <v>0</v>
      </c>
      <c r="M687" s="18" t="n">
        <f aca="false">MIN(Desain_Kolam!$B$21,MAX(0,M686+F687-H687-G687))</f>
        <v>15148.38</v>
      </c>
      <c r="N687" s="6" t="n">
        <f aca="false">IF(M686+F687-H687&gt;=G687,1,0)</f>
        <v>1</v>
      </c>
    </row>
    <row r="688" customFormat="false" ht="15" hidden="false" customHeight="false" outlineLevel="0" collapsed="false">
      <c r="A688" s="6" t="n">
        <v>2024</v>
      </c>
      <c r="B688" s="6" t="n">
        <v>12</v>
      </c>
      <c r="C688" s="4" t="n">
        <v>214</v>
      </c>
      <c r="D688" s="6" t="n">
        <v>31</v>
      </c>
      <c r="E688" s="4" t="n">
        <f aca="false">INDEX(Evaporasi!$B$3:$B$14,MATCH(B688,Evaporasi!$A$3:$A$14,0))</f>
        <v>120</v>
      </c>
      <c r="F688" s="18" t="n">
        <f aca="false">Kawasan!$B$11*Kawasan!$B$9*C688/1000</f>
        <v>1780.48</v>
      </c>
      <c r="G688" s="18" t="n">
        <f aca="false">Kawasan!$B$29*D688</f>
        <v>1428.48</v>
      </c>
      <c r="H688" s="18" t="n">
        <f aca="false">E688*Desain_Kolam!$B$16/1000</f>
        <v>128.7</v>
      </c>
      <c r="I688" s="18" t="n">
        <f aca="false">F688-G688-H688</f>
        <v>223.3</v>
      </c>
      <c r="J688" s="18" t="n">
        <f aca="false">J687+I688</f>
        <v>85402.48</v>
      </c>
      <c r="K688" s="18" t="n">
        <f aca="false">MAX(K687,J688)</f>
        <v>85402.48</v>
      </c>
      <c r="L688" s="18" t="n">
        <f aca="false">K688-J688</f>
        <v>0</v>
      </c>
      <c r="M688" s="18" t="n">
        <f aca="false">MIN(Desain_Kolam!$B$21,MAX(0,M687+F688-H688-G688))</f>
        <v>15148.38</v>
      </c>
      <c r="N688" s="6" t="n">
        <f aca="false">IF(M687+F688-H688&gt;=G688,1,0)</f>
        <v>1</v>
      </c>
    </row>
    <row r="689" customFormat="false" ht="15" hidden="false" customHeight="false" outlineLevel="0" collapsed="false">
      <c r="A689" s="6" t="n">
        <v>2025</v>
      </c>
      <c r="B689" s="6" t="n">
        <v>1</v>
      </c>
      <c r="C689" s="4" t="n">
        <v>400</v>
      </c>
      <c r="D689" s="6" t="n">
        <v>31</v>
      </c>
      <c r="E689" s="4" t="n">
        <f aca="false">INDEX(Evaporasi!$B$3:$B$14,MATCH(B689,Evaporasi!$A$3:$A$14,0))</f>
        <v>120</v>
      </c>
      <c r="F689" s="18" t="n">
        <f aca="false">Kawasan!$B$11*Kawasan!$B$9*C689/1000</f>
        <v>3328</v>
      </c>
      <c r="G689" s="18" t="n">
        <f aca="false">Kawasan!$B$29*D689</f>
        <v>1428.48</v>
      </c>
      <c r="H689" s="18" t="n">
        <f aca="false">E689*Desain_Kolam!$B$16/1000</f>
        <v>128.7</v>
      </c>
      <c r="I689" s="18" t="n">
        <f aca="false">F689-G689-H689</f>
        <v>1770.82</v>
      </c>
      <c r="J689" s="18" t="n">
        <f aca="false">J688+I689</f>
        <v>87173.3000000001</v>
      </c>
      <c r="K689" s="18" t="n">
        <f aca="false">MAX(K688,J689)</f>
        <v>87173.3000000001</v>
      </c>
      <c r="L689" s="18" t="n">
        <f aca="false">K689-J689</f>
        <v>0</v>
      </c>
      <c r="M689" s="18" t="n">
        <f aca="false">MIN(Desain_Kolam!$B$21,MAX(0,M688+F689-H689-G689))</f>
        <v>15148.38</v>
      </c>
      <c r="N689" s="6" t="n">
        <f aca="false">IF(M688+F689-H689&gt;=G689,1,0)</f>
        <v>1</v>
      </c>
    </row>
    <row r="690" customFormat="false" ht="15" hidden="false" customHeight="false" outlineLevel="0" collapsed="false">
      <c r="A690" s="6" t="n">
        <v>2025</v>
      </c>
      <c r="B690" s="6" t="n">
        <v>2</v>
      </c>
      <c r="C690" s="4" t="n">
        <v>210</v>
      </c>
      <c r="D690" s="6" t="n">
        <v>28</v>
      </c>
      <c r="E690" s="4" t="n">
        <f aca="false">INDEX(Evaporasi!$B$3:$B$14,MATCH(B690,Evaporasi!$A$3:$A$14,0))</f>
        <v>120</v>
      </c>
      <c r="F690" s="18" t="n">
        <f aca="false">Kawasan!$B$11*Kawasan!$B$9*C690/1000</f>
        <v>1747.2</v>
      </c>
      <c r="G690" s="18" t="n">
        <f aca="false">Kawasan!$B$29*D690</f>
        <v>1290.24</v>
      </c>
      <c r="H690" s="18" t="n">
        <f aca="false">E690*Desain_Kolam!$B$16/1000</f>
        <v>128.7</v>
      </c>
      <c r="I690" s="18" t="n">
        <f aca="false">F690-G690-H690</f>
        <v>328.26</v>
      </c>
      <c r="J690" s="18" t="n">
        <f aca="false">J689+I690</f>
        <v>87501.56</v>
      </c>
      <c r="K690" s="18" t="n">
        <f aca="false">MAX(K689,J690)</f>
        <v>87501.56</v>
      </c>
      <c r="L690" s="18" t="n">
        <f aca="false">K690-J690</f>
        <v>0</v>
      </c>
      <c r="M690" s="18" t="n">
        <f aca="false">MIN(Desain_Kolam!$B$21,MAX(0,M689+F690-H690-G690))</f>
        <v>15148.38</v>
      </c>
      <c r="N690" s="6" t="n">
        <f aca="false">IF(M689+F690-H690&gt;=G690,1,0)</f>
        <v>1</v>
      </c>
    </row>
    <row r="691" customFormat="false" ht="15" hidden="false" customHeight="false" outlineLevel="0" collapsed="false">
      <c r="A691" s="6" t="n">
        <v>2025</v>
      </c>
      <c r="B691" s="6" t="n">
        <v>3</v>
      </c>
      <c r="C691" s="4" t="n">
        <v>302</v>
      </c>
      <c r="D691" s="6" t="n">
        <v>31</v>
      </c>
      <c r="E691" s="4" t="n">
        <f aca="false">INDEX(Evaporasi!$B$3:$B$14,MATCH(B691,Evaporasi!$A$3:$A$14,0))</f>
        <v>120</v>
      </c>
      <c r="F691" s="18" t="n">
        <f aca="false">Kawasan!$B$11*Kawasan!$B$9*C691/1000</f>
        <v>2512.64</v>
      </c>
      <c r="G691" s="18" t="n">
        <f aca="false">Kawasan!$B$29*D691</f>
        <v>1428.48</v>
      </c>
      <c r="H691" s="18" t="n">
        <f aca="false">E691*Desain_Kolam!$B$16/1000</f>
        <v>128.7</v>
      </c>
      <c r="I691" s="18" t="n">
        <f aca="false">F691-G691-H691</f>
        <v>955.46</v>
      </c>
      <c r="J691" s="18" t="n">
        <f aca="false">J690+I691</f>
        <v>88457.0200000001</v>
      </c>
      <c r="K691" s="18" t="n">
        <f aca="false">MAX(K690,J691)</f>
        <v>88457.0200000001</v>
      </c>
      <c r="L691" s="18" t="n">
        <f aca="false">K691-J691</f>
        <v>0</v>
      </c>
      <c r="M691" s="18" t="n">
        <f aca="false">MIN(Desain_Kolam!$B$21,MAX(0,M690+F691-H691-G691))</f>
        <v>15148.38</v>
      </c>
      <c r="N691" s="6" t="n">
        <f aca="false">IF(M690+F691-H691&gt;=G691,1,0)</f>
        <v>1</v>
      </c>
    </row>
    <row r="692" customFormat="false" ht="15" hidden="false" customHeight="false" outlineLevel="0" collapsed="false">
      <c r="A692" s="6" t="n">
        <v>2025</v>
      </c>
      <c r="B692" s="6" t="n">
        <v>4</v>
      </c>
      <c r="C692" s="4" t="n">
        <v>231</v>
      </c>
      <c r="D692" s="6" t="n">
        <v>30</v>
      </c>
      <c r="E692" s="4" t="n">
        <f aca="false">INDEX(Evaporasi!$B$3:$B$14,MATCH(B692,Evaporasi!$A$3:$A$14,0))</f>
        <v>120</v>
      </c>
      <c r="F692" s="18" t="n">
        <f aca="false">Kawasan!$B$11*Kawasan!$B$9*C692/1000</f>
        <v>1921.92</v>
      </c>
      <c r="G692" s="18" t="n">
        <f aca="false">Kawasan!$B$29*D692</f>
        <v>1382.4</v>
      </c>
      <c r="H692" s="18" t="n">
        <f aca="false">E692*Desain_Kolam!$B$16/1000</f>
        <v>128.7</v>
      </c>
      <c r="I692" s="18" t="n">
        <f aca="false">F692-G692-H692</f>
        <v>410.82</v>
      </c>
      <c r="J692" s="18" t="n">
        <f aca="false">J691+I692</f>
        <v>88867.8400000001</v>
      </c>
      <c r="K692" s="18" t="n">
        <f aca="false">MAX(K691,J692)</f>
        <v>88867.8400000001</v>
      </c>
      <c r="L692" s="18" t="n">
        <f aca="false">K692-J692</f>
        <v>0</v>
      </c>
      <c r="M692" s="18" t="n">
        <f aca="false">MIN(Desain_Kolam!$B$21,MAX(0,M691+F692-H692-G692))</f>
        <v>15148.38</v>
      </c>
      <c r="N692" s="6" t="n">
        <f aca="false">IF(M691+F692-H692&gt;=G692,1,0)</f>
        <v>1</v>
      </c>
    </row>
    <row r="693" customFormat="false" ht="15" hidden="false" customHeight="false" outlineLevel="0" collapsed="false">
      <c r="A693" s="6" t="n">
        <v>2025</v>
      </c>
      <c r="B693" s="6" t="n">
        <v>5</v>
      </c>
      <c r="C693" s="4" t="n">
        <v>231</v>
      </c>
      <c r="D693" s="6" t="n">
        <v>31</v>
      </c>
      <c r="E693" s="4" t="n">
        <f aca="false">INDEX(Evaporasi!$B$3:$B$14,MATCH(B693,Evaporasi!$A$3:$A$14,0))</f>
        <v>120</v>
      </c>
      <c r="F693" s="18" t="n">
        <f aca="false">Kawasan!$B$11*Kawasan!$B$9*C693/1000</f>
        <v>1921.92</v>
      </c>
      <c r="G693" s="18" t="n">
        <f aca="false">Kawasan!$B$29*D693</f>
        <v>1428.48</v>
      </c>
      <c r="H693" s="18" t="n">
        <f aca="false">E693*Desain_Kolam!$B$16/1000</f>
        <v>128.7</v>
      </c>
      <c r="I693" s="18" t="n">
        <f aca="false">F693-G693-H693</f>
        <v>364.74</v>
      </c>
      <c r="J693" s="18" t="n">
        <f aca="false">J692+I693</f>
        <v>89232.5800000001</v>
      </c>
      <c r="K693" s="18" t="n">
        <f aca="false">MAX(K692,J693)</f>
        <v>89232.5800000001</v>
      </c>
      <c r="L693" s="18" t="n">
        <f aca="false">K693-J693</f>
        <v>0</v>
      </c>
      <c r="M693" s="18" t="n">
        <f aca="false">MIN(Desain_Kolam!$B$21,MAX(0,M692+F693-H693-G693))</f>
        <v>15148.38</v>
      </c>
      <c r="N693" s="6" t="n">
        <f aca="false">IF(M692+F693-H693&gt;=G693,1,0)</f>
        <v>1</v>
      </c>
    </row>
    <row r="694" customFormat="false" ht="15" hidden="false" customHeight="false" outlineLevel="0" collapsed="false">
      <c r="A694" s="6" t="n">
        <v>2025</v>
      </c>
      <c r="B694" s="6" t="n">
        <v>6</v>
      </c>
      <c r="C694" s="4" t="n">
        <v>167</v>
      </c>
      <c r="D694" s="6" t="n">
        <v>30</v>
      </c>
      <c r="E694" s="4" t="n">
        <f aca="false">INDEX(Evaporasi!$B$3:$B$14,MATCH(B694,Evaporasi!$A$3:$A$14,0))</f>
        <v>120</v>
      </c>
      <c r="F694" s="18" t="n">
        <f aca="false">Kawasan!$B$11*Kawasan!$B$9*C694/1000</f>
        <v>1389.44</v>
      </c>
      <c r="G694" s="18" t="n">
        <f aca="false">Kawasan!$B$29*D694</f>
        <v>1382.4</v>
      </c>
      <c r="H694" s="18" t="n">
        <f aca="false">E694*Desain_Kolam!$B$16/1000</f>
        <v>128.7</v>
      </c>
      <c r="I694" s="18" t="n">
        <f aca="false">F694-G694-H694</f>
        <v>-121.66</v>
      </c>
      <c r="J694" s="18" t="n">
        <f aca="false">J693+I694</f>
        <v>89110.9200000001</v>
      </c>
      <c r="K694" s="18" t="n">
        <f aca="false">MAX(K693,J694)</f>
        <v>89232.5800000001</v>
      </c>
      <c r="L694" s="18" t="n">
        <f aca="false">K694-J694</f>
        <v>121.660000000003</v>
      </c>
      <c r="M694" s="18" t="n">
        <f aca="false">MIN(Desain_Kolam!$B$21,MAX(0,M693+F694-H694-G694))</f>
        <v>15026.72</v>
      </c>
      <c r="N694" s="6" t="n">
        <f aca="false">IF(M693+F694-H694&gt;=G694,1,0)</f>
        <v>1</v>
      </c>
    </row>
    <row r="695" customFormat="false" ht="15" hidden="false" customHeight="false" outlineLevel="0" collapsed="false">
      <c r="A695" s="6" t="n">
        <v>2025</v>
      </c>
      <c r="B695" s="6" t="n">
        <v>7</v>
      </c>
      <c r="C695" s="4" t="n">
        <v>159</v>
      </c>
      <c r="D695" s="6" t="n">
        <v>31</v>
      </c>
      <c r="E695" s="4" t="n">
        <f aca="false">INDEX(Evaporasi!$B$3:$B$14,MATCH(B695,Evaporasi!$A$3:$A$14,0))</f>
        <v>120</v>
      </c>
      <c r="F695" s="18" t="n">
        <f aca="false">Kawasan!$B$11*Kawasan!$B$9*C695/1000</f>
        <v>1322.88</v>
      </c>
      <c r="G695" s="18" t="n">
        <f aca="false">Kawasan!$B$29*D695</f>
        <v>1428.48</v>
      </c>
      <c r="H695" s="18" t="n">
        <f aca="false">E695*Desain_Kolam!$B$16/1000</f>
        <v>128.7</v>
      </c>
      <c r="I695" s="18" t="n">
        <f aca="false">F695-G695-H695</f>
        <v>-234.3</v>
      </c>
      <c r="J695" s="18" t="n">
        <f aca="false">J694+I695</f>
        <v>88876.6200000001</v>
      </c>
      <c r="K695" s="18" t="n">
        <f aca="false">MAX(K694,J695)</f>
        <v>89232.5800000001</v>
      </c>
      <c r="L695" s="18" t="n">
        <f aca="false">K695-J695</f>
        <v>355.960000000006</v>
      </c>
      <c r="M695" s="18" t="n">
        <f aca="false">MIN(Desain_Kolam!$B$21,MAX(0,M694+F695-H695-G695))</f>
        <v>14792.42</v>
      </c>
      <c r="N695" s="6" t="n">
        <f aca="false">IF(M694+F695-H695&gt;=G695,1,0)</f>
        <v>1</v>
      </c>
    </row>
    <row r="696" customFormat="false" ht="15" hidden="false" customHeight="false" outlineLevel="0" collapsed="false">
      <c r="A696" s="6" t="n">
        <v>2025</v>
      </c>
      <c r="B696" s="6" t="n">
        <v>8</v>
      </c>
      <c r="C696" s="4" t="n">
        <v>392</v>
      </c>
      <c r="D696" s="6" t="n">
        <v>31</v>
      </c>
      <c r="E696" s="4" t="n">
        <f aca="false">INDEX(Evaporasi!$B$3:$B$14,MATCH(B696,Evaporasi!$A$3:$A$14,0))</f>
        <v>120</v>
      </c>
      <c r="F696" s="18" t="n">
        <f aca="false">Kawasan!$B$11*Kawasan!$B$9*C696/1000</f>
        <v>3261.44</v>
      </c>
      <c r="G696" s="18" t="n">
        <f aca="false">Kawasan!$B$29*D696</f>
        <v>1428.48</v>
      </c>
      <c r="H696" s="18" t="n">
        <f aca="false">E696*Desain_Kolam!$B$16/1000</f>
        <v>128.7</v>
      </c>
      <c r="I696" s="18" t="n">
        <f aca="false">F696-G696-H696</f>
        <v>1704.26</v>
      </c>
      <c r="J696" s="18" t="n">
        <f aca="false">J695+I696</f>
        <v>90580.8800000001</v>
      </c>
      <c r="K696" s="18" t="n">
        <f aca="false">MAX(K695,J696)</f>
        <v>90580.8800000001</v>
      </c>
      <c r="L696" s="18" t="n">
        <f aca="false">K696-J696</f>
        <v>0</v>
      </c>
      <c r="M696" s="18" t="n">
        <f aca="false">MIN(Desain_Kolam!$B$21,MAX(0,M695+F696-H696-G696))</f>
        <v>15148.38</v>
      </c>
      <c r="N696" s="6" t="n">
        <f aca="false">IF(M695+F696-H696&gt;=G696,1,0)</f>
        <v>1</v>
      </c>
    </row>
    <row r="697" customFormat="false" ht="15" hidden="false" customHeight="false" outlineLevel="0" collapsed="false">
      <c r="A697" s="6" t="n">
        <v>2025</v>
      </c>
      <c r="B697" s="6" t="n">
        <v>9</v>
      </c>
      <c r="C697" s="4" t="n">
        <v>360</v>
      </c>
      <c r="D697" s="6" t="n">
        <v>30</v>
      </c>
      <c r="E697" s="4" t="n">
        <f aca="false">INDEX(Evaporasi!$B$3:$B$14,MATCH(B697,Evaporasi!$A$3:$A$14,0))</f>
        <v>120</v>
      </c>
      <c r="F697" s="18" t="n">
        <f aca="false">Kawasan!$B$11*Kawasan!$B$9*C697/1000</f>
        <v>2995.2</v>
      </c>
      <c r="G697" s="18" t="n">
        <f aca="false">Kawasan!$B$29*D697</f>
        <v>1382.4</v>
      </c>
      <c r="H697" s="18" t="n">
        <f aca="false">E697*Desain_Kolam!$B$16/1000</f>
        <v>128.7</v>
      </c>
      <c r="I697" s="18" t="n">
        <f aca="false">F697-G697-H697</f>
        <v>1484.1</v>
      </c>
      <c r="J697" s="18" t="n">
        <f aca="false">J696+I697</f>
        <v>92064.9800000001</v>
      </c>
      <c r="K697" s="18" t="n">
        <f aca="false">MAX(K696,J697)</f>
        <v>92064.9800000001</v>
      </c>
      <c r="L697" s="18" t="n">
        <f aca="false">K697-J697</f>
        <v>0</v>
      </c>
      <c r="M697" s="18" t="n">
        <f aca="false">MIN(Desain_Kolam!$B$21,MAX(0,M696+F697-H697-G697))</f>
        <v>15148.38</v>
      </c>
      <c r="N697" s="6" t="n">
        <f aca="false">IF(M696+F697-H697&gt;=G697,1,0)</f>
        <v>1</v>
      </c>
    </row>
    <row r="698" customFormat="false" ht="15" hidden="false" customHeight="false" outlineLevel="0" collapsed="false">
      <c r="A698" s="6" t="n">
        <v>2025</v>
      </c>
      <c r="B698" s="6" t="n">
        <v>10</v>
      </c>
      <c r="C698" s="4" t="n">
        <v>391</v>
      </c>
      <c r="D698" s="6" t="n">
        <v>31</v>
      </c>
      <c r="E698" s="4" t="n">
        <f aca="false">INDEX(Evaporasi!$B$3:$B$14,MATCH(B698,Evaporasi!$A$3:$A$14,0))</f>
        <v>120</v>
      </c>
      <c r="F698" s="18" t="n">
        <f aca="false">Kawasan!$B$11*Kawasan!$B$9*C698/1000</f>
        <v>3253.12</v>
      </c>
      <c r="G698" s="18" t="n">
        <f aca="false">Kawasan!$B$29*D698</f>
        <v>1428.48</v>
      </c>
      <c r="H698" s="18" t="n">
        <f aca="false">E698*Desain_Kolam!$B$16/1000</f>
        <v>128.7</v>
      </c>
      <c r="I698" s="18" t="n">
        <f aca="false">F698-G698-H698</f>
        <v>1695.94</v>
      </c>
      <c r="J698" s="18" t="n">
        <f aca="false">J697+I698</f>
        <v>93760.9200000001</v>
      </c>
      <c r="K698" s="18" t="n">
        <f aca="false">MAX(K697,J698)</f>
        <v>93760.9200000001</v>
      </c>
      <c r="L698" s="18" t="n">
        <f aca="false">K698-J698</f>
        <v>0</v>
      </c>
      <c r="M698" s="18" t="n">
        <f aca="false">MIN(Desain_Kolam!$B$21,MAX(0,M697+F698-H698-G698))</f>
        <v>15148.38</v>
      </c>
      <c r="N698" s="6" t="n">
        <f aca="false">IF(M697+F698-H698&gt;=G698,1,0)</f>
        <v>1</v>
      </c>
    </row>
    <row r="699" customFormat="false" ht="15" hidden="false" customHeight="false" outlineLevel="0" collapsed="false">
      <c r="A699" s="6" t="n">
        <v>2025</v>
      </c>
      <c r="B699" s="6" t="n">
        <v>11</v>
      </c>
      <c r="C699" s="4" t="n">
        <v>327</v>
      </c>
      <c r="D699" s="6" t="n">
        <v>30</v>
      </c>
      <c r="E699" s="4" t="n">
        <f aca="false">INDEX(Evaporasi!$B$3:$B$14,MATCH(B699,Evaporasi!$A$3:$A$14,0))</f>
        <v>120</v>
      </c>
      <c r="F699" s="18" t="n">
        <f aca="false">Kawasan!$B$11*Kawasan!$B$9*C699/1000</f>
        <v>2720.64</v>
      </c>
      <c r="G699" s="18" t="n">
        <f aca="false">Kawasan!$B$29*D699</f>
        <v>1382.4</v>
      </c>
      <c r="H699" s="18" t="n">
        <f aca="false">E699*Desain_Kolam!$B$16/1000</f>
        <v>128.7</v>
      </c>
      <c r="I699" s="18" t="n">
        <f aca="false">F699-G699-H699</f>
        <v>1209.54</v>
      </c>
      <c r="J699" s="18" t="n">
        <f aca="false">J698+I699</f>
        <v>94970.4600000001</v>
      </c>
      <c r="K699" s="18" t="n">
        <f aca="false">MAX(K698,J699)</f>
        <v>94970.4600000001</v>
      </c>
      <c r="L699" s="18" t="n">
        <f aca="false">K699-J699</f>
        <v>0</v>
      </c>
      <c r="M699" s="18" t="n">
        <f aca="false">MIN(Desain_Kolam!$B$21,MAX(0,M698+F699-H699-G699))</f>
        <v>15148.38</v>
      </c>
      <c r="N699" s="6" t="n">
        <f aca="false">IF(M698+F699-H699&gt;=G699,1,0)</f>
        <v>1</v>
      </c>
    </row>
    <row r="700" customFormat="false" ht="15" hidden="false" customHeight="false" outlineLevel="0" collapsed="false">
      <c r="A700" s="6" t="n">
        <v>2025</v>
      </c>
      <c r="B700" s="6" t="n">
        <v>12</v>
      </c>
      <c r="C700" s="4" t="n">
        <v>140</v>
      </c>
      <c r="D700" s="6" t="n">
        <v>31</v>
      </c>
      <c r="E700" s="4" t="n">
        <f aca="false">INDEX(Evaporasi!$B$3:$B$14,MATCH(B700,Evaporasi!$A$3:$A$14,0))</f>
        <v>120</v>
      </c>
      <c r="F700" s="18" t="n">
        <f aca="false">Kawasan!$B$11*Kawasan!$B$9*C700/1000</f>
        <v>1164.8</v>
      </c>
      <c r="G700" s="18" t="n">
        <f aca="false">Kawasan!$B$29*D700</f>
        <v>1428.48</v>
      </c>
      <c r="H700" s="18" t="n">
        <f aca="false">E700*Desain_Kolam!$B$16/1000</f>
        <v>128.7</v>
      </c>
      <c r="I700" s="18" t="n">
        <f aca="false">F700-G700-H700</f>
        <v>-392.38</v>
      </c>
      <c r="J700" s="18" t="n">
        <f aca="false">J699+I700</f>
        <v>94578.0800000001</v>
      </c>
      <c r="K700" s="18" t="n">
        <f aca="false">MAX(K699,J700)</f>
        <v>94970.4600000001</v>
      </c>
      <c r="L700" s="18" t="n">
        <f aca="false">K700-J700</f>
        <v>392.380000000005</v>
      </c>
      <c r="M700" s="18" t="n">
        <f aca="false">MIN(Desain_Kolam!$B$21,MAX(0,M699+F700-H700-G700))</f>
        <v>14756</v>
      </c>
      <c r="N700" s="6" t="n">
        <f aca="false">IF(M699+F700-H700&gt;=G700,1,0)</f>
        <v>1</v>
      </c>
    </row>
    <row r="701" customFormat="false" ht="15" hidden="false" customHeight="false" outlineLevel="0" collapsed="false">
      <c r="A701" s="27" t="s">
        <v>5452</v>
      </c>
      <c r="B701" s="27"/>
      <c r="C701" s="27"/>
      <c r="D701" s="27"/>
      <c r="E701" s="28" t="n">
        <f aca="false">MAX(L533:L700)</f>
        <v>12229.98</v>
      </c>
    </row>
    <row r="702" customFormat="false" ht="15" hidden="false" customHeight="false" outlineLevel="0" collapsed="false">
      <c r="A702" s="27" t="s">
        <v>5432</v>
      </c>
      <c r="B702" s="27"/>
      <c r="C702" s="27"/>
      <c r="D702" s="27"/>
      <c r="E702" s="29" t="n">
        <f aca="false">100*SUM(N533:N700)/COUNT(N533:N700)</f>
        <v>100</v>
      </c>
    </row>
    <row r="703" customFormat="false" ht="15" hidden="false" customHeight="false" outlineLevel="0" collapsed="false">
      <c r="A703" s="27" t="s">
        <v>5433</v>
      </c>
      <c r="B703" s="27"/>
      <c r="C703" s="27"/>
      <c r="D703" s="27"/>
      <c r="E703" s="30" t="n">
        <f aca="false">SUM(N533:N700)</f>
        <v>168</v>
      </c>
    </row>
    <row r="704" customFormat="false" ht="15" hidden="false" customHeight="false" outlineLevel="0" collapsed="false">
      <c r="A704" s="27" t="s">
        <v>5434</v>
      </c>
      <c r="B704" s="27"/>
      <c r="C704" s="27"/>
      <c r="D704" s="27"/>
      <c r="E704" s="28" t="n">
        <f aca="false">J700</f>
        <v>94578.0800000001</v>
      </c>
    </row>
    <row r="706" customFormat="false" ht="15" hidden="false" customHeight="false" outlineLevel="0" collapsed="false">
      <c r="A706" s="7" t="s">
        <v>5453</v>
      </c>
    </row>
    <row r="707" customFormat="false" ht="23.85" hidden="false" customHeight="false" outlineLevel="0" collapsed="false">
      <c r="A707" s="1" t="s">
        <v>0</v>
      </c>
      <c r="B707" s="1" t="s">
        <v>1</v>
      </c>
      <c r="C707" s="1" t="s">
        <v>5419</v>
      </c>
      <c r="D707" s="1" t="s">
        <v>5420</v>
      </c>
      <c r="E707" s="1" t="s">
        <v>5421</v>
      </c>
      <c r="F707" s="1" t="s">
        <v>5422</v>
      </c>
      <c r="G707" s="1" t="s">
        <v>5423</v>
      </c>
      <c r="H707" s="1" t="s">
        <v>5424</v>
      </c>
      <c r="I707" s="1" t="s">
        <v>5425</v>
      </c>
      <c r="J707" s="1" t="s">
        <v>5426</v>
      </c>
      <c r="K707" s="1" t="s">
        <v>5427</v>
      </c>
      <c r="L707" s="1" t="s">
        <v>5428</v>
      </c>
      <c r="M707" s="1" t="s">
        <v>5429</v>
      </c>
      <c r="N707" s="1" t="s">
        <v>5430</v>
      </c>
    </row>
    <row r="708" customFormat="false" ht="15" hidden="false" customHeight="false" outlineLevel="0" collapsed="false">
      <c r="A708" s="6" t="n">
        <v>2012</v>
      </c>
      <c r="B708" s="6" t="n">
        <v>1</v>
      </c>
      <c r="C708" s="4" t="n">
        <v>349</v>
      </c>
      <c r="D708" s="6" t="n">
        <v>31</v>
      </c>
      <c r="E708" s="4" t="n">
        <f aca="false">INDEX(Evaporasi!$B$3:$B$14,MATCH(B708,Evaporasi!$A$3:$A$14,0))</f>
        <v>120</v>
      </c>
      <c r="F708" s="18" t="n">
        <f aca="false">Kawasan!$B$11*Kawasan!$B$9*C708/1000</f>
        <v>2903.68</v>
      </c>
      <c r="G708" s="18" t="n">
        <f aca="false">Kawasan!$B$30*D708</f>
        <v>1190.4</v>
      </c>
      <c r="H708" s="18" t="n">
        <f aca="false">E708*Desain_Kolam!$B$16/1000</f>
        <v>128.7</v>
      </c>
      <c r="I708" s="18" t="n">
        <f aca="false">F708-G708-H708</f>
        <v>1584.58</v>
      </c>
      <c r="J708" s="18" t="n">
        <f aca="false">I708</f>
        <v>1584.58</v>
      </c>
      <c r="K708" s="18" t="n">
        <f aca="false">MAX(0,J708)</f>
        <v>1584.58</v>
      </c>
      <c r="L708" s="18" t="n">
        <f aca="false">K708-J708</f>
        <v>0</v>
      </c>
      <c r="M708" s="18" t="n">
        <f aca="false">MIN(Desain_Kolam!$B$21,MAX(0,F708-H708-G708))</f>
        <v>1584.58</v>
      </c>
      <c r="N708" s="6" t="n">
        <f aca="false">IF(F708-H708&gt;=G708,1,0)</f>
        <v>1</v>
      </c>
    </row>
    <row r="709" customFormat="false" ht="15" hidden="false" customHeight="false" outlineLevel="0" collapsed="false">
      <c r="A709" s="6" t="n">
        <v>2012</v>
      </c>
      <c r="B709" s="6" t="n">
        <v>2</v>
      </c>
      <c r="C709" s="4" t="n">
        <v>340</v>
      </c>
      <c r="D709" s="6" t="n">
        <v>29</v>
      </c>
      <c r="E709" s="4" t="n">
        <f aca="false">INDEX(Evaporasi!$B$3:$B$14,MATCH(B709,Evaporasi!$A$3:$A$14,0))</f>
        <v>120</v>
      </c>
      <c r="F709" s="18" t="n">
        <f aca="false">Kawasan!$B$11*Kawasan!$B$9*C709/1000</f>
        <v>2828.8</v>
      </c>
      <c r="G709" s="18" t="n">
        <f aca="false">Kawasan!$B$30*D709</f>
        <v>1113.6</v>
      </c>
      <c r="H709" s="18" t="n">
        <f aca="false">E709*Desain_Kolam!$B$16/1000</f>
        <v>128.7</v>
      </c>
      <c r="I709" s="18" t="n">
        <f aca="false">F709-G709-H709</f>
        <v>1586.5</v>
      </c>
      <c r="J709" s="18" t="n">
        <f aca="false">J708+I709</f>
        <v>3171.08</v>
      </c>
      <c r="K709" s="18" t="n">
        <f aca="false">MAX(K708,J709)</f>
        <v>3171.08</v>
      </c>
      <c r="L709" s="18" t="n">
        <f aca="false">K709-J709</f>
        <v>0</v>
      </c>
      <c r="M709" s="18" t="n">
        <f aca="false">MIN(Desain_Kolam!$B$21,MAX(0,M708+F709-H709-G709))</f>
        <v>3171.08</v>
      </c>
      <c r="N709" s="6" t="n">
        <f aca="false">IF(M708+F709-H709&gt;=G709,1,0)</f>
        <v>1</v>
      </c>
    </row>
    <row r="710" customFormat="false" ht="15" hidden="false" customHeight="false" outlineLevel="0" collapsed="false">
      <c r="A710" s="6" t="n">
        <v>2012</v>
      </c>
      <c r="B710" s="6" t="n">
        <v>3</v>
      </c>
      <c r="C710" s="4" t="n">
        <v>244</v>
      </c>
      <c r="D710" s="6" t="n">
        <v>31</v>
      </c>
      <c r="E710" s="4" t="n">
        <f aca="false">INDEX(Evaporasi!$B$3:$B$14,MATCH(B710,Evaporasi!$A$3:$A$14,0))</f>
        <v>120</v>
      </c>
      <c r="F710" s="18" t="n">
        <f aca="false">Kawasan!$B$11*Kawasan!$B$9*C710/1000</f>
        <v>2030.08</v>
      </c>
      <c r="G710" s="18" t="n">
        <f aca="false">Kawasan!$B$30*D710</f>
        <v>1190.4</v>
      </c>
      <c r="H710" s="18" t="n">
        <f aca="false">E710*Desain_Kolam!$B$16/1000</f>
        <v>128.7</v>
      </c>
      <c r="I710" s="18" t="n">
        <f aca="false">F710-G710-H710</f>
        <v>710.98</v>
      </c>
      <c r="J710" s="18" t="n">
        <f aca="false">J709+I710</f>
        <v>3882.06</v>
      </c>
      <c r="K710" s="18" t="n">
        <f aca="false">MAX(K709,J710)</f>
        <v>3882.06</v>
      </c>
      <c r="L710" s="18" t="n">
        <f aca="false">K710-J710</f>
        <v>0</v>
      </c>
      <c r="M710" s="18" t="n">
        <f aca="false">MIN(Desain_Kolam!$B$21,MAX(0,M709+F710-H710-G710))</f>
        <v>3882.06</v>
      </c>
      <c r="N710" s="6" t="n">
        <f aca="false">IF(M709+F710-H710&gt;=G710,1,0)</f>
        <v>1</v>
      </c>
    </row>
    <row r="711" customFormat="false" ht="15" hidden="false" customHeight="false" outlineLevel="0" collapsed="false">
      <c r="A711" s="6" t="n">
        <v>2012</v>
      </c>
      <c r="B711" s="6" t="n">
        <v>4</v>
      </c>
      <c r="C711" s="4" t="n">
        <v>282</v>
      </c>
      <c r="D711" s="6" t="n">
        <v>30</v>
      </c>
      <c r="E711" s="4" t="n">
        <f aca="false">INDEX(Evaporasi!$B$3:$B$14,MATCH(B711,Evaporasi!$A$3:$A$14,0))</f>
        <v>120</v>
      </c>
      <c r="F711" s="18" t="n">
        <f aca="false">Kawasan!$B$11*Kawasan!$B$9*C711/1000</f>
        <v>2346.24</v>
      </c>
      <c r="G711" s="18" t="n">
        <f aca="false">Kawasan!$B$30*D711</f>
        <v>1152</v>
      </c>
      <c r="H711" s="18" t="n">
        <f aca="false">E711*Desain_Kolam!$B$16/1000</f>
        <v>128.7</v>
      </c>
      <c r="I711" s="18" t="n">
        <f aca="false">F711-G711-H711</f>
        <v>1065.54</v>
      </c>
      <c r="J711" s="18" t="n">
        <f aca="false">J710+I711</f>
        <v>4947.6</v>
      </c>
      <c r="K711" s="18" t="n">
        <f aca="false">MAX(K710,J711)</f>
        <v>4947.6</v>
      </c>
      <c r="L711" s="18" t="n">
        <f aca="false">K711-J711</f>
        <v>0</v>
      </c>
      <c r="M711" s="18" t="n">
        <f aca="false">MIN(Desain_Kolam!$B$21,MAX(0,M710+F711-H711-G711))</f>
        <v>4947.6</v>
      </c>
      <c r="N711" s="6" t="n">
        <f aca="false">IF(M710+F711-H711&gt;=G711,1,0)</f>
        <v>1</v>
      </c>
    </row>
    <row r="712" customFormat="false" ht="15" hidden="false" customHeight="false" outlineLevel="0" collapsed="false">
      <c r="A712" s="6" t="n">
        <v>2012</v>
      </c>
      <c r="B712" s="6" t="n">
        <v>5</v>
      </c>
      <c r="C712" s="4" t="n">
        <v>319</v>
      </c>
      <c r="D712" s="6" t="n">
        <v>31</v>
      </c>
      <c r="E712" s="4" t="n">
        <f aca="false">INDEX(Evaporasi!$B$3:$B$14,MATCH(B712,Evaporasi!$A$3:$A$14,0))</f>
        <v>120</v>
      </c>
      <c r="F712" s="18" t="n">
        <f aca="false">Kawasan!$B$11*Kawasan!$B$9*C712/1000</f>
        <v>2654.08</v>
      </c>
      <c r="G712" s="18" t="n">
        <f aca="false">Kawasan!$B$30*D712</f>
        <v>1190.4</v>
      </c>
      <c r="H712" s="18" t="n">
        <f aca="false">E712*Desain_Kolam!$B$16/1000</f>
        <v>128.7</v>
      </c>
      <c r="I712" s="18" t="n">
        <f aca="false">F712-G712-H712</f>
        <v>1334.98</v>
      </c>
      <c r="J712" s="18" t="n">
        <f aca="false">J711+I712</f>
        <v>6282.58</v>
      </c>
      <c r="K712" s="18" t="n">
        <f aca="false">MAX(K711,J712)</f>
        <v>6282.58</v>
      </c>
      <c r="L712" s="18" t="n">
        <f aca="false">K712-J712</f>
        <v>0</v>
      </c>
      <c r="M712" s="18" t="n">
        <f aca="false">MIN(Desain_Kolam!$B$21,MAX(0,M711+F712-H712-G712))</f>
        <v>6282.58</v>
      </c>
      <c r="N712" s="6" t="n">
        <f aca="false">IF(M711+F712-H712&gt;=G712,1,0)</f>
        <v>1</v>
      </c>
    </row>
    <row r="713" customFormat="false" ht="15" hidden="false" customHeight="false" outlineLevel="0" collapsed="false">
      <c r="A713" s="6" t="n">
        <v>2012</v>
      </c>
      <c r="B713" s="6" t="n">
        <v>6</v>
      </c>
      <c r="C713" s="4" t="n">
        <v>107</v>
      </c>
      <c r="D713" s="6" t="n">
        <v>30</v>
      </c>
      <c r="E713" s="4" t="n">
        <f aca="false">INDEX(Evaporasi!$B$3:$B$14,MATCH(B713,Evaporasi!$A$3:$A$14,0))</f>
        <v>120</v>
      </c>
      <c r="F713" s="18" t="n">
        <f aca="false">Kawasan!$B$11*Kawasan!$B$9*C713/1000</f>
        <v>890.24</v>
      </c>
      <c r="G713" s="18" t="n">
        <f aca="false">Kawasan!$B$30*D713</f>
        <v>1152</v>
      </c>
      <c r="H713" s="18" t="n">
        <f aca="false">E713*Desain_Kolam!$B$16/1000</f>
        <v>128.7</v>
      </c>
      <c r="I713" s="18" t="n">
        <f aca="false">F713-G713-H713</f>
        <v>-390.46</v>
      </c>
      <c r="J713" s="18" t="n">
        <f aca="false">J712+I713</f>
        <v>5892.12</v>
      </c>
      <c r="K713" s="18" t="n">
        <f aca="false">MAX(K712,J713)</f>
        <v>6282.58</v>
      </c>
      <c r="L713" s="18" t="n">
        <f aca="false">K713-J713</f>
        <v>390.46</v>
      </c>
      <c r="M713" s="18" t="n">
        <f aca="false">MIN(Desain_Kolam!$B$21,MAX(0,M712+F713-H713-G713))</f>
        <v>5892.12</v>
      </c>
      <c r="N713" s="6" t="n">
        <f aca="false">IF(M712+F713-H713&gt;=G713,1,0)</f>
        <v>1</v>
      </c>
    </row>
    <row r="714" customFormat="false" ht="15" hidden="false" customHeight="false" outlineLevel="0" collapsed="false">
      <c r="A714" s="6" t="n">
        <v>2012</v>
      </c>
      <c r="B714" s="6" t="n">
        <v>7</v>
      </c>
      <c r="C714" s="4" t="n">
        <v>133</v>
      </c>
      <c r="D714" s="6" t="n">
        <v>31</v>
      </c>
      <c r="E714" s="4" t="n">
        <f aca="false">INDEX(Evaporasi!$B$3:$B$14,MATCH(B714,Evaporasi!$A$3:$A$14,0))</f>
        <v>120</v>
      </c>
      <c r="F714" s="18" t="n">
        <f aca="false">Kawasan!$B$11*Kawasan!$B$9*C714/1000</f>
        <v>1106.56</v>
      </c>
      <c r="G714" s="18" t="n">
        <f aca="false">Kawasan!$B$30*D714</f>
        <v>1190.4</v>
      </c>
      <c r="H714" s="18" t="n">
        <f aca="false">E714*Desain_Kolam!$B$16/1000</f>
        <v>128.7</v>
      </c>
      <c r="I714" s="18" t="n">
        <f aca="false">F714-G714-H714</f>
        <v>-212.54</v>
      </c>
      <c r="J714" s="18" t="n">
        <f aca="false">J713+I714</f>
        <v>5679.58</v>
      </c>
      <c r="K714" s="18" t="n">
        <f aca="false">MAX(K713,J714)</f>
        <v>6282.58</v>
      </c>
      <c r="L714" s="18" t="n">
        <f aca="false">K714-J714</f>
        <v>603</v>
      </c>
      <c r="M714" s="18" t="n">
        <f aca="false">MIN(Desain_Kolam!$B$21,MAX(0,M713+F714-H714-G714))</f>
        <v>5679.58</v>
      </c>
      <c r="N714" s="6" t="n">
        <f aca="false">IF(M713+F714-H714&gt;=G714,1,0)</f>
        <v>1</v>
      </c>
    </row>
    <row r="715" customFormat="false" ht="15" hidden="false" customHeight="false" outlineLevel="0" collapsed="false">
      <c r="A715" s="6" t="n">
        <v>2012</v>
      </c>
      <c r="B715" s="6" t="n">
        <v>8</v>
      </c>
      <c r="C715" s="4" t="n">
        <v>105</v>
      </c>
      <c r="D715" s="6" t="n">
        <v>31</v>
      </c>
      <c r="E715" s="4" t="n">
        <f aca="false">INDEX(Evaporasi!$B$3:$B$14,MATCH(B715,Evaporasi!$A$3:$A$14,0))</f>
        <v>120</v>
      </c>
      <c r="F715" s="18" t="n">
        <f aca="false">Kawasan!$B$11*Kawasan!$B$9*C715/1000</f>
        <v>873.6</v>
      </c>
      <c r="G715" s="18" t="n">
        <f aca="false">Kawasan!$B$30*D715</f>
        <v>1190.4</v>
      </c>
      <c r="H715" s="18" t="n">
        <f aca="false">E715*Desain_Kolam!$B$16/1000</f>
        <v>128.7</v>
      </c>
      <c r="I715" s="18" t="n">
        <f aca="false">F715-G715-H715</f>
        <v>-445.5</v>
      </c>
      <c r="J715" s="18" t="n">
        <f aca="false">J714+I715</f>
        <v>5234.08</v>
      </c>
      <c r="K715" s="18" t="n">
        <f aca="false">MAX(K714,J715)</f>
        <v>6282.58</v>
      </c>
      <c r="L715" s="18" t="n">
        <f aca="false">K715-J715</f>
        <v>1048.5</v>
      </c>
      <c r="M715" s="18" t="n">
        <f aca="false">MIN(Desain_Kolam!$B$21,MAX(0,M714+F715-H715-G715))</f>
        <v>5234.08</v>
      </c>
      <c r="N715" s="6" t="n">
        <f aca="false">IF(M714+F715-H715&gt;=G715,1,0)</f>
        <v>1</v>
      </c>
    </row>
    <row r="716" customFormat="false" ht="15" hidden="false" customHeight="false" outlineLevel="0" collapsed="false">
      <c r="A716" s="6" t="n">
        <v>2012</v>
      </c>
      <c r="B716" s="6" t="n">
        <v>9</v>
      </c>
      <c r="C716" s="4" t="n">
        <v>174</v>
      </c>
      <c r="D716" s="6" t="n">
        <v>30</v>
      </c>
      <c r="E716" s="4" t="n">
        <f aca="false">INDEX(Evaporasi!$B$3:$B$14,MATCH(B716,Evaporasi!$A$3:$A$14,0))</f>
        <v>120</v>
      </c>
      <c r="F716" s="18" t="n">
        <f aca="false">Kawasan!$B$11*Kawasan!$B$9*C716/1000</f>
        <v>1447.68</v>
      </c>
      <c r="G716" s="18" t="n">
        <f aca="false">Kawasan!$B$30*D716</f>
        <v>1152</v>
      </c>
      <c r="H716" s="18" t="n">
        <f aca="false">E716*Desain_Kolam!$B$16/1000</f>
        <v>128.7</v>
      </c>
      <c r="I716" s="18" t="n">
        <f aca="false">F716-G716-H716</f>
        <v>166.98</v>
      </c>
      <c r="J716" s="18" t="n">
        <f aca="false">J715+I716</f>
        <v>5401.06</v>
      </c>
      <c r="K716" s="18" t="n">
        <f aca="false">MAX(K715,J716)</f>
        <v>6282.58</v>
      </c>
      <c r="L716" s="18" t="n">
        <f aca="false">K716-J716</f>
        <v>881.52</v>
      </c>
      <c r="M716" s="18" t="n">
        <f aca="false">MIN(Desain_Kolam!$B$21,MAX(0,M715+F716-H716-G716))</f>
        <v>5401.06</v>
      </c>
      <c r="N716" s="6" t="n">
        <f aca="false">IF(M715+F716-H716&gt;=G716,1,0)</f>
        <v>1</v>
      </c>
    </row>
    <row r="717" customFormat="false" ht="15" hidden="false" customHeight="false" outlineLevel="0" collapsed="false">
      <c r="A717" s="6" t="n">
        <v>2012</v>
      </c>
      <c r="B717" s="6" t="n">
        <v>10</v>
      </c>
      <c r="C717" s="4" t="n">
        <v>436</v>
      </c>
      <c r="D717" s="6" t="n">
        <v>31</v>
      </c>
      <c r="E717" s="4" t="n">
        <f aca="false">INDEX(Evaporasi!$B$3:$B$14,MATCH(B717,Evaporasi!$A$3:$A$14,0))</f>
        <v>120</v>
      </c>
      <c r="F717" s="18" t="n">
        <f aca="false">Kawasan!$B$11*Kawasan!$B$9*C717/1000</f>
        <v>3627.52</v>
      </c>
      <c r="G717" s="18" t="n">
        <f aca="false">Kawasan!$B$30*D717</f>
        <v>1190.4</v>
      </c>
      <c r="H717" s="18" t="n">
        <f aca="false">E717*Desain_Kolam!$B$16/1000</f>
        <v>128.7</v>
      </c>
      <c r="I717" s="18" t="n">
        <f aca="false">F717-G717-H717</f>
        <v>2308.42</v>
      </c>
      <c r="J717" s="18" t="n">
        <f aca="false">J716+I717</f>
        <v>7709.48</v>
      </c>
      <c r="K717" s="18" t="n">
        <f aca="false">MAX(K716,J717)</f>
        <v>7709.48</v>
      </c>
      <c r="L717" s="18" t="n">
        <f aca="false">K717-J717</f>
        <v>0</v>
      </c>
      <c r="M717" s="18" t="n">
        <f aca="false">MIN(Desain_Kolam!$B$21,MAX(0,M716+F717-H717-G717))</f>
        <v>7709.48</v>
      </c>
      <c r="N717" s="6" t="n">
        <f aca="false">IF(M716+F717-H717&gt;=G717,1,0)</f>
        <v>1</v>
      </c>
    </row>
    <row r="718" customFormat="false" ht="15" hidden="false" customHeight="false" outlineLevel="0" collapsed="false">
      <c r="A718" s="6" t="n">
        <v>2012</v>
      </c>
      <c r="B718" s="6" t="n">
        <v>11</v>
      </c>
      <c r="C718" s="4" t="n">
        <v>323</v>
      </c>
      <c r="D718" s="6" t="n">
        <v>30</v>
      </c>
      <c r="E718" s="4" t="n">
        <f aca="false">INDEX(Evaporasi!$B$3:$B$14,MATCH(B718,Evaporasi!$A$3:$A$14,0))</f>
        <v>120</v>
      </c>
      <c r="F718" s="18" t="n">
        <f aca="false">Kawasan!$B$11*Kawasan!$B$9*C718/1000</f>
        <v>2687.36</v>
      </c>
      <c r="G718" s="18" t="n">
        <f aca="false">Kawasan!$B$30*D718</f>
        <v>1152</v>
      </c>
      <c r="H718" s="18" t="n">
        <f aca="false">E718*Desain_Kolam!$B$16/1000</f>
        <v>128.7</v>
      </c>
      <c r="I718" s="18" t="n">
        <f aca="false">F718-G718-H718</f>
        <v>1406.66</v>
      </c>
      <c r="J718" s="18" t="n">
        <f aca="false">J717+I718</f>
        <v>9116.14</v>
      </c>
      <c r="K718" s="18" t="n">
        <f aca="false">MAX(K717,J718)</f>
        <v>9116.14</v>
      </c>
      <c r="L718" s="18" t="n">
        <f aca="false">K718-J718</f>
        <v>0</v>
      </c>
      <c r="M718" s="18" t="n">
        <f aca="false">MIN(Desain_Kolam!$B$21,MAX(0,M717+F718-H718-G718))</f>
        <v>9116.14</v>
      </c>
      <c r="N718" s="6" t="n">
        <f aca="false">IF(M717+F718-H718&gt;=G718,1,0)</f>
        <v>1</v>
      </c>
    </row>
    <row r="719" customFormat="false" ht="15" hidden="false" customHeight="false" outlineLevel="0" collapsed="false">
      <c r="A719" s="6" t="n">
        <v>2012</v>
      </c>
      <c r="B719" s="6" t="n">
        <v>12</v>
      </c>
      <c r="C719" s="4" t="n">
        <v>297</v>
      </c>
      <c r="D719" s="6" t="n">
        <v>31</v>
      </c>
      <c r="E719" s="4" t="n">
        <f aca="false">INDEX(Evaporasi!$B$3:$B$14,MATCH(B719,Evaporasi!$A$3:$A$14,0))</f>
        <v>120</v>
      </c>
      <c r="F719" s="18" t="n">
        <f aca="false">Kawasan!$B$11*Kawasan!$B$9*C719/1000</f>
        <v>2471.04</v>
      </c>
      <c r="G719" s="18" t="n">
        <f aca="false">Kawasan!$B$30*D719</f>
        <v>1190.4</v>
      </c>
      <c r="H719" s="18" t="n">
        <f aca="false">E719*Desain_Kolam!$B$16/1000</f>
        <v>128.7</v>
      </c>
      <c r="I719" s="18" t="n">
        <f aca="false">F719-G719-H719</f>
        <v>1151.94</v>
      </c>
      <c r="J719" s="18" t="n">
        <f aca="false">J718+I719</f>
        <v>10268.08</v>
      </c>
      <c r="K719" s="18" t="n">
        <f aca="false">MAX(K718,J719)</f>
        <v>10268.08</v>
      </c>
      <c r="L719" s="18" t="n">
        <f aca="false">K719-J719</f>
        <v>0</v>
      </c>
      <c r="M719" s="18" t="n">
        <f aca="false">MIN(Desain_Kolam!$B$21,MAX(0,M718+F719-H719-G719))</f>
        <v>10268.08</v>
      </c>
      <c r="N719" s="6" t="n">
        <f aca="false">IF(M718+F719-H719&gt;=G719,1,0)</f>
        <v>1</v>
      </c>
    </row>
    <row r="720" customFormat="false" ht="15" hidden="false" customHeight="false" outlineLevel="0" collapsed="false">
      <c r="A720" s="6" t="n">
        <v>2013</v>
      </c>
      <c r="B720" s="6" t="n">
        <v>1</v>
      </c>
      <c r="C720" s="4" t="n">
        <v>141</v>
      </c>
      <c r="D720" s="6" t="n">
        <v>31</v>
      </c>
      <c r="E720" s="4" t="n">
        <f aca="false">INDEX(Evaporasi!$B$3:$B$14,MATCH(B720,Evaporasi!$A$3:$A$14,0))</f>
        <v>120</v>
      </c>
      <c r="F720" s="18" t="n">
        <f aca="false">Kawasan!$B$11*Kawasan!$B$9*C720/1000</f>
        <v>1173.12</v>
      </c>
      <c r="G720" s="18" t="n">
        <f aca="false">Kawasan!$B$30*D720</f>
        <v>1190.4</v>
      </c>
      <c r="H720" s="18" t="n">
        <f aca="false">E720*Desain_Kolam!$B$16/1000</f>
        <v>128.7</v>
      </c>
      <c r="I720" s="18" t="n">
        <f aca="false">F720-G720-H720</f>
        <v>-145.98</v>
      </c>
      <c r="J720" s="18" t="n">
        <f aca="false">J719+I720</f>
        <v>10122.1</v>
      </c>
      <c r="K720" s="18" t="n">
        <f aca="false">MAX(K719,J720)</f>
        <v>10268.08</v>
      </c>
      <c r="L720" s="18" t="n">
        <f aca="false">K720-J720</f>
        <v>145.98</v>
      </c>
      <c r="M720" s="18" t="n">
        <f aca="false">MIN(Desain_Kolam!$B$21,MAX(0,M719+F720-H720-G720))</f>
        <v>10122.1</v>
      </c>
      <c r="N720" s="6" t="n">
        <f aca="false">IF(M719+F720-H720&gt;=G720,1,0)</f>
        <v>1</v>
      </c>
    </row>
    <row r="721" customFormat="false" ht="15" hidden="false" customHeight="false" outlineLevel="0" collapsed="false">
      <c r="A721" s="6" t="n">
        <v>2013</v>
      </c>
      <c r="B721" s="6" t="n">
        <v>2</v>
      </c>
      <c r="C721" s="4" t="n">
        <v>291</v>
      </c>
      <c r="D721" s="6" t="n">
        <v>28</v>
      </c>
      <c r="E721" s="4" t="n">
        <f aca="false">INDEX(Evaporasi!$B$3:$B$14,MATCH(B721,Evaporasi!$A$3:$A$14,0))</f>
        <v>120</v>
      </c>
      <c r="F721" s="18" t="n">
        <f aca="false">Kawasan!$B$11*Kawasan!$B$9*C721/1000</f>
        <v>2421.12</v>
      </c>
      <c r="G721" s="18" t="n">
        <f aca="false">Kawasan!$B$30*D721</f>
        <v>1075.2</v>
      </c>
      <c r="H721" s="18" t="n">
        <f aca="false">E721*Desain_Kolam!$B$16/1000</f>
        <v>128.7</v>
      </c>
      <c r="I721" s="18" t="n">
        <f aca="false">F721-G721-H721</f>
        <v>1217.22</v>
      </c>
      <c r="J721" s="18" t="n">
        <f aca="false">J720+I721</f>
        <v>11339.32</v>
      </c>
      <c r="K721" s="18" t="n">
        <f aca="false">MAX(K720,J721)</f>
        <v>11339.32</v>
      </c>
      <c r="L721" s="18" t="n">
        <f aca="false">K721-J721</f>
        <v>0</v>
      </c>
      <c r="M721" s="18" t="n">
        <f aca="false">MIN(Desain_Kolam!$B$21,MAX(0,M720+F721-H721-G721))</f>
        <v>11339.32</v>
      </c>
      <c r="N721" s="6" t="n">
        <f aca="false">IF(M720+F721-H721&gt;=G721,1,0)</f>
        <v>1</v>
      </c>
    </row>
    <row r="722" customFormat="false" ht="15" hidden="false" customHeight="false" outlineLevel="0" collapsed="false">
      <c r="A722" s="6" t="n">
        <v>2013</v>
      </c>
      <c r="B722" s="6" t="n">
        <v>3</v>
      </c>
      <c r="C722" s="4" t="n">
        <v>152</v>
      </c>
      <c r="D722" s="6" t="n">
        <v>31</v>
      </c>
      <c r="E722" s="4" t="n">
        <f aca="false">INDEX(Evaporasi!$B$3:$B$14,MATCH(B722,Evaporasi!$A$3:$A$14,0))</f>
        <v>120</v>
      </c>
      <c r="F722" s="18" t="n">
        <f aca="false">Kawasan!$B$11*Kawasan!$B$9*C722/1000</f>
        <v>1264.64</v>
      </c>
      <c r="G722" s="18" t="n">
        <f aca="false">Kawasan!$B$30*D722</f>
        <v>1190.4</v>
      </c>
      <c r="H722" s="18" t="n">
        <f aca="false">E722*Desain_Kolam!$B$16/1000</f>
        <v>128.7</v>
      </c>
      <c r="I722" s="18" t="n">
        <f aca="false">F722-G722-H722</f>
        <v>-54.4599999999998</v>
      </c>
      <c r="J722" s="18" t="n">
        <f aca="false">J721+I722</f>
        <v>11284.86</v>
      </c>
      <c r="K722" s="18" t="n">
        <f aca="false">MAX(K721,J722)</f>
        <v>11339.32</v>
      </c>
      <c r="L722" s="18" t="n">
        <f aca="false">K722-J722</f>
        <v>54.4599999999991</v>
      </c>
      <c r="M722" s="18" t="n">
        <f aca="false">MIN(Desain_Kolam!$B$21,MAX(0,M721+F722-H722-G722))</f>
        <v>11284.86</v>
      </c>
      <c r="N722" s="6" t="n">
        <f aca="false">IF(M721+F722-H722&gt;=G722,1,0)</f>
        <v>1</v>
      </c>
    </row>
    <row r="723" customFormat="false" ht="15" hidden="false" customHeight="false" outlineLevel="0" collapsed="false">
      <c r="A723" s="6" t="n">
        <v>2013</v>
      </c>
      <c r="B723" s="6" t="n">
        <v>4</v>
      </c>
      <c r="C723" s="4" t="n">
        <v>435</v>
      </c>
      <c r="D723" s="6" t="n">
        <v>30</v>
      </c>
      <c r="E723" s="4" t="n">
        <f aca="false">INDEX(Evaporasi!$B$3:$B$14,MATCH(B723,Evaporasi!$A$3:$A$14,0))</f>
        <v>120</v>
      </c>
      <c r="F723" s="18" t="n">
        <f aca="false">Kawasan!$B$11*Kawasan!$B$9*C723/1000</f>
        <v>3619.2</v>
      </c>
      <c r="G723" s="18" t="n">
        <f aca="false">Kawasan!$B$30*D723</f>
        <v>1152</v>
      </c>
      <c r="H723" s="18" t="n">
        <f aca="false">E723*Desain_Kolam!$B$16/1000</f>
        <v>128.7</v>
      </c>
      <c r="I723" s="18" t="n">
        <f aca="false">F723-G723-H723</f>
        <v>2338.5</v>
      </c>
      <c r="J723" s="18" t="n">
        <f aca="false">J722+I723</f>
        <v>13623.36</v>
      </c>
      <c r="K723" s="18" t="n">
        <f aca="false">MAX(K722,J723)</f>
        <v>13623.36</v>
      </c>
      <c r="L723" s="18" t="n">
        <f aca="false">K723-J723</f>
        <v>0</v>
      </c>
      <c r="M723" s="18" t="n">
        <f aca="false">MIN(Desain_Kolam!$B$21,MAX(0,M722+F723-H723-G723))</f>
        <v>13623.36</v>
      </c>
      <c r="N723" s="6" t="n">
        <f aca="false">IF(M722+F723-H723&gt;=G723,1,0)</f>
        <v>1</v>
      </c>
    </row>
    <row r="724" customFormat="false" ht="15" hidden="false" customHeight="false" outlineLevel="0" collapsed="false">
      <c r="A724" s="6" t="n">
        <v>2013</v>
      </c>
      <c r="B724" s="6" t="n">
        <v>5</v>
      </c>
      <c r="C724" s="4" t="n">
        <v>358</v>
      </c>
      <c r="D724" s="6" t="n">
        <v>31</v>
      </c>
      <c r="E724" s="4" t="n">
        <f aca="false">INDEX(Evaporasi!$B$3:$B$14,MATCH(B724,Evaporasi!$A$3:$A$14,0))</f>
        <v>120</v>
      </c>
      <c r="F724" s="18" t="n">
        <f aca="false">Kawasan!$B$11*Kawasan!$B$9*C724/1000</f>
        <v>2978.56</v>
      </c>
      <c r="G724" s="18" t="n">
        <f aca="false">Kawasan!$B$30*D724</f>
        <v>1190.4</v>
      </c>
      <c r="H724" s="18" t="n">
        <f aca="false">E724*Desain_Kolam!$B$16/1000</f>
        <v>128.7</v>
      </c>
      <c r="I724" s="18" t="n">
        <f aca="false">F724-G724-H724</f>
        <v>1659.46</v>
      </c>
      <c r="J724" s="18" t="n">
        <f aca="false">J723+I724</f>
        <v>15282.82</v>
      </c>
      <c r="K724" s="18" t="n">
        <f aca="false">MAX(K723,J724)</f>
        <v>15282.82</v>
      </c>
      <c r="L724" s="18" t="n">
        <f aca="false">K724-J724</f>
        <v>0</v>
      </c>
      <c r="M724" s="18" t="n">
        <f aca="false">MIN(Desain_Kolam!$B$21,MAX(0,M723+F724-H724-G724))</f>
        <v>15148.38</v>
      </c>
      <c r="N724" s="6" t="n">
        <f aca="false">IF(M723+F724-H724&gt;=G724,1,0)</f>
        <v>1</v>
      </c>
    </row>
    <row r="725" customFormat="false" ht="15" hidden="false" customHeight="false" outlineLevel="0" collapsed="false">
      <c r="A725" s="6" t="n">
        <v>2013</v>
      </c>
      <c r="B725" s="6" t="n">
        <v>6</v>
      </c>
      <c r="C725" s="4" t="n">
        <v>212</v>
      </c>
      <c r="D725" s="6" t="n">
        <v>30</v>
      </c>
      <c r="E725" s="4" t="n">
        <f aca="false">INDEX(Evaporasi!$B$3:$B$14,MATCH(B725,Evaporasi!$A$3:$A$14,0))</f>
        <v>120</v>
      </c>
      <c r="F725" s="18" t="n">
        <f aca="false">Kawasan!$B$11*Kawasan!$B$9*C725/1000</f>
        <v>1763.84</v>
      </c>
      <c r="G725" s="18" t="n">
        <f aca="false">Kawasan!$B$30*D725</f>
        <v>1152</v>
      </c>
      <c r="H725" s="18" t="n">
        <f aca="false">E725*Desain_Kolam!$B$16/1000</f>
        <v>128.7</v>
      </c>
      <c r="I725" s="18" t="n">
        <f aca="false">F725-G725-H725</f>
        <v>483.14</v>
      </c>
      <c r="J725" s="18" t="n">
        <f aca="false">J724+I725</f>
        <v>15765.96</v>
      </c>
      <c r="K725" s="18" t="n">
        <f aca="false">MAX(K724,J725)</f>
        <v>15765.96</v>
      </c>
      <c r="L725" s="18" t="n">
        <f aca="false">K725-J725</f>
        <v>0</v>
      </c>
      <c r="M725" s="18" t="n">
        <f aca="false">MIN(Desain_Kolam!$B$21,MAX(0,M724+F725-H725-G725))</f>
        <v>15148.38</v>
      </c>
      <c r="N725" s="6" t="n">
        <f aca="false">IF(M724+F725-H725&gt;=G725,1,0)</f>
        <v>1</v>
      </c>
    </row>
    <row r="726" customFormat="false" ht="15" hidden="false" customHeight="false" outlineLevel="0" collapsed="false">
      <c r="A726" s="6" t="n">
        <v>2013</v>
      </c>
      <c r="B726" s="6" t="n">
        <v>7</v>
      </c>
      <c r="C726" s="4" t="n">
        <v>320</v>
      </c>
      <c r="D726" s="6" t="n">
        <v>31</v>
      </c>
      <c r="E726" s="4" t="n">
        <f aca="false">INDEX(Evaporasi!$B$3:$B$14,MATCH(B726,Evaporasi!$A$3:$A$14,0))</f>
        <v>120</v>
      </c>
      <c r="F726" s="18" t="n">
        <f aca="false">Kawasan!$B$11*Kawasan!$B$9*C726/1000</f>
        <v>2662.4</v>
      </c>
      <c r="G726" s="18" t="n">
        <f aca="false">Kawasan!$B$30*D726</f>
        <v>1190.4</v>
      </c>
      <c r="H726" s="18" t="n">
        <f aca="false">E726*Desain_Kolam!$B$16/1000</f>
        <v>128.7</v>
      </c>
      <c r="I726" s="18" t="n">
        <f aca="false">F726-G726-H726</f>
        <v>1343.3</v>
      </c>
      <c r="J726" s="18" t="n">
        <f aca="false">J725+I726</f>
        <v>17109.26</v>
      </c>
      <c r="K726" s="18" t="n">
        <f aca="false">MAX(K725,J726)</f>
        <v>17109.26</v>
      </c>
      <c r="L726" s="18" t="n">
        <f aca="false">K726-J726</f>
        <v>0</v>
      </c>
      <c r="M726" s="18" t="n">
        <f aca="false">MIN(Desain_Kolam!$B$21,MAX(0,M725+F726-H726-G726))</f>
        <v>15148.38</v>
      </c>
      <c r="N726" s="6" t="n">
        <f aca="false">IF(M725+F726-H726&gt;=G726,1,0)</f>
        <v>1</v>
      </c>
    </row>
    <row r="727" customFormat="false" ht="15" hidden="false" customHeight="false" outlineLevel="0" collapsed="false">
      <c r="A727" s="6" t="n">
        <v>2013</v>
      </c>
      <c r="B727" s="6" t="n">
        <v>8</v>
      </c>
      <c r="C727" s="4" t="n">
        <v>167</v>
      </c>
      <c r="D727" s="6" t="n">
        <v>31</v>
      </c>
      <c r="E727" s="4" t="n">
        <f aca="false">INDEX(Evaporasi!$B$3:$B$14,MATCH(B727,Evaporasi!$A$3:$A$14,0))</f>
        <v>120</v>
      </c>
      <c r="F727" s="18" t="n">
        <f aca="false">Kawasan!$B$11*Kawasan!$B$9*C727/1000</f>
        <v>1389.44</v>
      </c>
      <c r="G727" s="18" t="n">
        <f aca="false">Kawasan!$B$30*D727</f>
        <v>1190.4</v>
      </c>
      <c r="H727" s="18" t="n">
        <f aca="false">E727*Desain_Kolam!$B$16/1000</f>
        <v>128.7</v>
      </c>
      <c r="I727" s="18" t="n">
        <f aca="false">F727-G727-H727</f>
        <v>70.3400000000002</v>
      </c>
      <c r="J727" s="18" t="n">
        <f aca="false">J726+I727</f>
        <v>17179.6</v>
      </c>
      <c r="K727" s="18" t="n">
        <f aca="false">MAX(K726,J727)</f>
        <v>17179.6</v>
      </c>
      <c r="L727" s="18" t="n">
        <f aca="false">K727-J727</f>
        <v>0</v>
      </c>
      <c r="M727" s="18" t="n">
        <f aca="false">MIN(Desain_Kolam!$B$21,MAX(0,M726+F727-H727-G727))</f>
        <v>15148.38</v>
      </c>
      <c r="N727" s="6" t="n">
        <f aca="false">IF(M726+F727-H727&gt;=G727,1,0)</f>
        <v>1</v>
      </c>
    </row>
    <row r="728" customFormat="false" ht="15" hidden="false" customHeight="false" outlineLevel="0" collapsed="false">
      <c r="A728" s="6" t="n">
        <v>2013</v>
      </c>
      <c r="B728" s="6" t="n">
        <v>9</v>
      </c>
      <c r="C728" s="4" t="n">
        <v>129</v>
      </c>
      <c r="D728" s="6" t="n">
        <v>30</v>
      </c>
      <c r="E728" s="4" t="n">
        <f aca="false">INDEX(Evaporasi!$B$3:$B$14,MATCH(B728,Evaporasi!$A$3:$A$14,0))</f>
        <v>120</v>
      </c>
      <c r="F728" s="18" t="n">
        <f aca="false">Kawasan!$B$11*Kawasan!$B$9*C728/1000</f>
        <v>1073.28</v>
      </c>
      <c r="G728" s="18" t="n">
        <f aca="false">Kawasan!$B$30*D728</f>
        <v>1152</v>
      </c>
      <c r="H728" s="18" t="n">
        <f aca="false">E728*Desain_Kolam!$B$16/1000</f>
        <v>128.7</v>
      </c>
      <c r="I728" s="18" t="n">
        <f aca="false">F728-G728-H728</f>
        <v>-207.42</v>
      </c>
      <c r="J728" s="18" t="n">
        <f aca="false">J727+I728</f>
        <v>16972.18</v>
      </c>
      <c r="K728" s="18" t="n">
        <f aca="false">MAX(K727,J728)</f>
        <v>17179.6</v>
      </c>
      <c r="L728" s="18" t="n">
        <f aca="false">K728-J728</f>
        <v>207.419999999998</v>
      </c>
      <c r="M728" s="18" t="n">
        <f aca="false">MIN(Desain_Kolam!$B$21,MAX(0,M727+F728-H728-G728))</f>
        <v>14940.96</v>
      </c>
      <c r="N728" s="6" t="n">
        <f aca="false">IF(M727+F728-H728&gt;=G728,1,0)</f>
        <v>1</v>
      </c>
    </row>
    <row r="729" customFormat="false" ht="15" hidden="false" customHeight="false" outlineLevel="0" collapsed="false">
      <c r="A729" s="6" t="n">
        <v>2013</v>
      </c>
      <c r="B729" s="6" t="n">
        <v>10</v>
      </c>
      <c r="C729" s="4" t="n">
        <v>151</v>
      </c>
      <c r="D729" s="6" t="n">
        <v>31</v>
      </c>
      <c r="E729" s="4" t="n">
        <f aca="false">INDEX(Evaporasi!$B$3:$B$14,MATCH(B729,Evaporasi!$A$3:$A$14,0))</f>
        <v>120</v>
      </c>
      <c r="F729" s="18" t="n">
        <f aca="false">Kawasan!$B$11*Kawasan!$B$9*C729/1000</f>
        <v>1256.32</v>
      </c>
      <c r="G729" s="18" t="n">
        <f aca="false">Kawasan!$B$30*D729</f>
        <v>1190.4</v>
      </c>
      <c r="H729" s="18" t="n">
        <f aca="false">E729*Desain_Kolam!$B$16/1000</f>
        <v>128.7</v>
      </c>
      <c r="I729" s="18" t="n">
        <f aca="false">F729-G729-H729</f>
        <v>-62.7799999999999</v>
      </c>
      <c r="J729" s="18" t="n">
        <f aca="false">J728+I729</f>
        <v>16909.4</v>
      </c>
      <c r="K729" s="18" t="n">
        <f aca="false">MAX(K728,J729)</f>
        <v>17179.6</v>
      </c>
      <c r="L729" s="18" t="n">
        <f aca="false">K729-J729</f>
        <v>270.199999999997</v>
      </c>
      <c r="M729" s="18" t="n">
        <f aca="false">MIN(Desain_Kolam!$B$21,MAX(0,M728+F729-H729-G729))</f>
        <v>14878.18</v>
      </c>
      <c r="N729" s="6" t="n">
        <f aca="false">IF(M728+F729-H729&gt;=G729,1,0)</f>
        <v>1</v>
      </c>
    </row>
    <row r="730" customFormat="false" ht="15" hidden="false" customHeight="false" outlineLevel="0" collapsed="false">
      <c r="A730" s="6" t="n">
        <v>2013</v>
      </c>
      <c r="B730" s="6" t="n">
        <v>11</v>
      </c>
      <c r="C730" s="4" t="n">
        <v>280</v>
      </c>
      <c r="D730" s="6" t="n">
        <v>30</v>
      </c>
      <c r="E730" s="4" t="n">
        <f aca="false">INDEX(Evaporasi!$B$3:$B$14,MATCH(B730,Evaporasi!$A$3:$A$14,0))</f>
        <v>120</v>
      </c>
      <c r="F730" s="18" t="n">
        <f aca="false">Kawasan!$B$11*Kawasan!$B$9*C730/1000</f>
        <v>2329.6</v>
      </c>
      <c r="G730" s="18" t="n">
        <f aca="false">Kawasan!$B$30*D730</f>
        <v>1152</v>
      </c>
      <c r="H730" s="18" t="n">
        <f aca="false">E730*Desain_Kolam!$B$16/1000</f>
        <v>128.7</v>
      </c>
      <c r="I730" s="18" t="n">
        <f aca="false">F730-G730-H730</f>
        <v>1048.9</v>
      </c>
      <c r="J730" s="18" t="n">
        <f aca="false">J729+I730</f>
        <v>17958.3</v>
      </c>
      <c r="K730" s="18" t="n">
        <f aca="false">MAX(K729,J730)</f>
        <v>17958.3</v>
      </c>
      <c r="L730" s="18" t="n">
        <f aca="false">K730-J730</f>
        <v>0</v>
      </c>
      <c r="M730" s="18" t="n">
        <f aca="false">MIN(Desain_Kolam!$B$21,MAX(0,M729+F730-H730-G730))</f>
        <v>15148.38</v>
      </c>
      <c r="N730" s="6" t="n">
        <f aca="false">IF(M729+F730-H730&gt;=G730,1,0)</f>
        <v>1</v>
      </c>
    </row>
    <row r="731" customFormat="false" ht="15" hidden="false" customHeight="false" outlineLevel="0" collapsed="false">
      <c r="A731" s="6" t="n">
        <v>2013</v>
      </c>
      <c r="B731" s="6" t="n">
        <v>12</v>
      </c>
      <c r="C731" s="4" t="n">
        <v>280</v>
      </c>
      <c r="D731" s="6" t="n">
        <v>31</v>
      </c>
      <c r="E731" s="4" t="n">
        <f aca="false">INDEX(Evaporasi!$B$3:$B$14,MATCH(B731,Evaporasi!$A$3:$A$14,0))</f>
        <v>120</v>
      </c>
      <c r="F731" s="18" t="n">
        <f aca="false">Kawasan!$B$11*Kawasan!$B$9*C731/1000</f>
        <v>2329.6</v>
      </c>
      <c r="G731" s="18" t="n">
        <f aca="false">Kawasan!$B$30*D731</f>
        <v>1190.4</v>
      </c>
      <c r="H731" s="18" t="n">
        <f aca="false">E731*Desain_Kolam!$B$16/1000</f>
        <v>128.7</v>
      </c>
      <c r="I731" s="18" t="n">
        <f aca="false">F731-G731-H731</f>
        <v>1010.5</v>
      </c>
      <c r="J731" s="18" t="n">
        <f aca="false">J730+I731</f>
        <v>18968.8</v>
      </c>
      <c r="K731" s="18" t="n">
        <f aca="false">MAX(K730,J731)</f>
        <v>18968.8</v>
      </c>
      <c r="L731" s="18" t="n">
        <f aca="false">K731-J731</f>
        <v>0</v>
      </c>
      <c r="M731" s="18" t="n">
        <f aca="false">MIN(Desain_Kolam!$B$21,MAX(0,M730+F731-H731-G731))</f>
        <v>15148.38</v>
      </c>
      <c r="N731" s="6" t="n">
        <f aca="false">IF(M730+F731-H731&gt;=G731,1,0)</f>
        <v>1</v>
      </c>
    </row>
    <row r="732" customFormat="false" ht="15" hidden="false" customHeight="false" outlineLevel="0" collapsed="false">
      <c r="A732" s="6" t="n">
        <v>2014</v>
      </c>
      <c r="B732" s="6" t="n">
        <v>1</v>
      </c>
      <c r="C732" s="4" t="n">
        <v>66</v>
      </c>
      <c r="D732" s="6" t="n">
        <v>31</v>
      </c>
      <c r="E732" s="4" t="n">
        <f aca="false">INDEX(Evaporasi!$B$3:$B$14,MATCH(B732,Evaporasi!$A$3:$A$14,0))</f>
        <v>120</v>
      </c>
      <c r="F732" s="18" t="n">
        <f aca="false">Kawasan!$B$11*Kawasan!$B$9*C732/1000</f>
        <v>549.12</v>
      </c>
      <c r="G732" s="18" t="n">
        <f aca="false">Kawasan!$B$30*D732</f>
        <v>1190.4</v>
      </c>
      <c r="H732" s="18" t="n">
        <f aca="false">E732*Desain_Kolam!$B$16/1000</f>
        <v>128.7</v>
      </c>
      <c r="I732" s="18" t="n">
        <f aca="false">F732-G732-H732</f>
        <v>-769.98</v>
      </c>
      <c r="J732" s="18" t="n">
        <f aca="false">J731+I732</f>
        <v>18198.82</v>
      </c>
      <c r="K732" s="18" t="n">
        <f aca="false">MAX(K731,J732)</f>
        <v>18968.8</v>
      </c>
      <c r="L732" s="18" t="n">
        <f aca="false">K732-J732</f>
        <v>769.98</v>
      </c>
      <c r="M732" s="18" t="n">
        <f aca="false">MIN(Desain_Kolam!$B$21,MAX(0,M731+F732-H732-G732))</f>
        <v>14378.4</v>
      </c>
      <c r="N732" s="6" t="n">
        <f aca="false">IF(M731+F732-H732&gt;=G732,1,0)</f>
        <v>1</v>
      </c>
    </row>
    <row r="733" customFormat="false" ht="15" hidden="false" customHeight="false" outlineLevel="0" collapsed="false">
      <c r="A733" s="6" t="n">
        <v>2014</v>
      </c>
      <c r="B733" s="6" t="n">
        <v>2</v>
      </c>
      <c r="C733" s="4" t="n">
        <v>24</v>
      </c>
      <c r="D733" s="6" t="n">
        <v>28</v>
      </c>
      <c r="E733" s="4" t="n">
        <f aca="false">INDEX(Evaporasi!$B$3:$B$14,MATCH(B733,Evaporasi!$A$3:$A$14,0))</f>
        <v>120</v>
      </c>
      <c r="F733" s="18" t="n">
        <f aca="false">Kawasan!$B$11*Kawasan!$B$9*C733/1000</f>
        <v>199.68</v>
      </c>
      <c r="G733" s="18" t="n">
        <f aca="false">Kawasan!$B$30*D733</f>
        <v>1075.2</v>
      </c>
      <c r="H733" s="18" t="n">
        <f aca="false">E733*Desain_Kolam!$B$16/1000</f>
        <v>128.7</v>
      </c>
      <c r="I733" s="18" t="n">
        <f aca="false">F733-G733-H733</f>
        <v>-1004.22</v>
      </c>
      <c r="J733" s="18" t="n">
        <f aca="false">J732+I733</f>
        <v>17194.6</v>
      </c>
      <c r="K733" s="18" t="n">
        <f aca="false">MAX(K732,J733)</f>
        <v>18968.8</v>
      </c>
      <c r="L733" s="18" t="n">
        <f aca="false">K733-J733</f>
        <v>1774.2</v>
      </c>
      <c r="M733" s="18" t="n">
        <f aca="false">MIN(Desain_Kolam!$B$21,MAX(0,M732+F733-H733-G733))</f>
        <v>13374.18</v>
      </c>
      <c r="N733" s="6" t="n">
        <f aca="false">IF(M732+F733-H733&gt;=G733,1,0)</f>
        <v>1</v>
      </c>
    </row>
    <row r="734" customFormat="false" ht="15" hidden="false" customHeight="false" outlineLevel="0" collapsed="false">
      <c r="A734" s="6" t="n">
        <v>2014</v>
      </c>
      <c r="B734" s="6" t="n">
        <v>3</v>
      </c>
      <c r="C734" s="4" t="n">
        <v>141</v>
      </c>
      <c r="D734" s="6" t="n">
        <v>31</v>
      </c>
      <c r="E734" s="4" t="n">
        <f aca="false">INDEX(Evaporasi!$B$3:$B$14,MATCH(B734,Evaporasi!$A$3:$A$14,0))</f>
        <v>120</v>
      </c>
      <c r="F734" s="18" t="n">
        <f aca="false">Kawasan!$B$11*Kawasan!$B$9*C734/1000</f>
        <v>1173.12</v>
      </c>
      <c r="G734" s="18" t="n">
        <f aca="false">Kawasan!$B$30*D734</f>
        <v>1190.4</v>
      </c>
      <c r="H734" s="18" t="n">
        <f aca="false">E734*Desain_Kolam!$B$16/1000</f>
        <v>128.7</v>
      </c>
      <c r="I734" s="18" t="n">
        <f aca="false">F734-G734-H734</f>
        <v>-145.98</v>
      </c>
      <c r="J734" s="18" t="n">
        <f aca="false">J733+I734</f>
        <v>17048.62</v>
      </c>
      <c r="K734" s="18" t="n">
        <f aca="false">MAX(K733,J734)</f>
        <v>18968.8</v>
      </c>
      <c r="L734" s="18" t="n">
        <f aca="false">K734-J734</f>
        <v>1920.18</v>
      </c>
      <c r="M734" s="18" t="n">
        <f aca="false">MIN(Desain_Kolam!$B$21,MAX(0,M733+F734-H734-G734))</f>
        <v>13228.2</v>
      </c>
      <c r="N734" s="6" t="n">
        <f aca="false">IF(M733+F734-H734&gt;=G734,1,0)</f>
        <v>1</v>
      </c>
    </row>
    <row r="735" customFormat="false" ht="15" hidden="false" customHeight="false" outlineLevel="0" collapsed="false">
      <c r="A735" s="6" t="n">
        <v>2014</v>
      </c>
      <c r="B735" s="6" t="n">
        <v>4</v>
      </c>
      <c r="C735" s="4" t="n">
        <v>129</v>
      </c>
      <c r="D735" s="6" t="n">
        <v>30</v>
      </c>
      <c r="E735" s="4" t="n">
        <f aca="false">INDEX(Evaporasi!$B$3:$B$14,MATCH(B735,Evaporasi!$A$3:$A$14,0))</f>
        <v>120</v>
      </c>
      <c r="F735" s="18" t="n">
        <f aca="false">Kawasan!$B$11*Kawasan!$B$9*C735/1000</f>
        <v>1073.28</v>
      </c>
      <c r="G735" s="18" t="n">
        <f aca="false">Kawasan!$B$30*D735</f>
        <v>1152</v>
      </c>
      <c r="H735" s="18" t="n">
        <f aca="false">E735*Desain_Kolam!$B$16/1000</f>
        <v>128.7</v>
      </c>
      <c r="I735" s="18" t="n">
        <f aca="false">F735-G735-H735</f>
        <v>-207.42</v>
      </c>
      <c r="J735" s="18" t="n">
        <f aca="false">J734+I735</f>
        <v>16841.2</v>
      </c>
      <c r="K735" s="18" t="n">
        <f aca="false">MAX(K734,J735)</f>
        <v>18968.8</v>
      </c>
      <c r="L735" s="18" t="n">
        <f aca="false">K735-J735</f>
        <v>2127.6</v>
      </c>
      <c r="M735" s="18" t="n">
        <f aca="false">MIN(Desain_Kolam!$B$21,MAX(0,M734+F735-H735-G735))</f>
        <v>13020.78</v>
      </c>
      <c r="N735" s="6" t="n">
        <f aca="false">IF(M734+F735-H735&gt;=G735,1,0)</f>
        <v>1</v>
      </c>
    </row>
    <row r="736" customFormat="false" ht="15" hidden="false" customHeight="false" outlineLevel="0" collapsed="false">
      <c r="A736" s="6" t="n">
        <v>2014</v>
      </c>
      <c r="B736" s="6" t="n">
        <v>5</v>
      </c>
      <c r="C736" s="4" t="n">
        <v>279</v>
      </c>
      <c r="D736" s="6" t="n">
        <v>31</v>
      </c>
      <c r="E736" s="4" t="n">
        <f aca="false">INDEX(Evaporasi!$B$3:$B$14,MATCH(B736,Evaporasi!$A$3:$A$14,0))</f>
        <v>120</v>
      </c>
      <c r="F736" s="18" t="n">
        <f aca="false">Kawasan!$B$11*Kawasan!$B$9*C736/1000</f>
        <v>2321.28</v>
      </c>
      <c r="G736" s="18" t="n">
        <f aca="false">Kawasan!$B$30*D736</f>
        <v>1190.4</v>
      </c>
      <c r="H736" s="18" t="n">
        <f aca="false">E736*Desain_Kolam!$B$16/1000</f>
        <v>128.7</v>
      </c>
      <c r="I736" s="18" t="n">
        <f aca="false">F736-G736-H736</f>
        <v>1002.18</v>
      </c>
      <c r="J736" s="18" t="n">
        <f aca="false">J735+I736</f>
        <v>17843.38</v>
      </c>
      <c r="K736" s="18" t="n">
        <f aca="false">MAX(K735,J736)</f>
        <v>18968.8</v>
      </c>
      <c r="L736" s="18" t="n">
        <f aca="false">K736-J736</f>
        <v>1125.42</v>
      </c>
      <c r="M736" s="18" t="n">
        <f aca="false">MIN(Desain_Kolam!$B$21,MAX(0,M735+F736-H736-G736))</f>
        <v>14022.96</v>
      </c>
      <c r="N736" s="6" t="n">
        <f aca="false">IF(M735+F736-H736&gt;=G736,1,0)</f>
        <v>1</v>
      </c>
    </row>
    <row r="737" customFormat="false" ht="15" hidden="false" customHeight="false" outlineLevel="0" collapsed="false">
      <c r="A737" s="6" t="n">
        <v>2014</v>
      </c>
      <c r="B737" s="6" t="n">
        <v>6</v>
      </c>
      <c r="C737" s="4" t="n">
        <v>231</v>
      </c>
      <c r="D737" s="6" t="n">
        <v>30</v>
      </c>
      <c r="E737" s="4" t="n">
        <f aca="false">INDEX(Evaporasi!$B$3:$B$14,MATCH(B737,Evaporasi!$A$3:$A$14,0))</f>
        <v>120</v>
      </c>
      <c r="F737" s="18" t="n">
        <f aca="false">Kawasan!$B$11*Kawasan!$B$9*C737/1000</f>
        <v>1921.92</v>
      </c>
      <c r="G737" s="18" t="n">
        <f aca="false">Kawasan!$B$30*D737</f>
        <v>1152</v>
      </c>
      <c r="H737" s="18" t="n">
        <f aca="false">E737*Desain_Kolam!$B$16/1000</f>
        <v>128.7</v>
      </c>
      <c r="I737" s="18" t="n">
        <f aca="false">F737-G737-H737</f>
        <v>641.22</v>
      </c>
      <c r="J737" s="18" t="n">
        <f aca="false">J736+I737</f>
        <v>18484.6</v>
      </c>
      <c r="K737" s="18" t="n">
        <f aca="false">MAX(K736,J737)</f>
        <v>18968.8</v>
      </c>
      <c r="L737" s="18" t="n">
        <f aca="false">K737-J737</f>
        <v>484.199999999997</v>
      </c>
      <c r="M737" s="18" t="n">
        <f aca="false">MIN(Desain_Kolam!$B$21,MAX(0,M736+F737-H737-G737))</f>
        <v>14664.18</v>
      </c>
      <c r="N737" s="6" t="n">
        <f aca="false">IF(M736+F737-H737&gt;=G737,1,0)</f>
        <v>1</v>
      </c>
    </row>
    <row r="738" customFormat="false" ht="15" hidden="false" customHeight="false" outlineLevel="0" collapsed="false">
      <c r="A738" s="6" t="n">
        <v>2014</v>
      </c>
      <c r="B738" s="6" t="n">
        <v>7</v>
      </c>
      <c r="C738" s="4" t="n">
        <v>93</v>
      </c>
      <c r="D738" s="6" t="n">
        <v>31</v>
      </c>
      <c r="E738" s="4" t="n">
        <f aca="false">INDEX(Evaporasi!$B$3:$B$14,MATCH(B738,Evaporasi!$A$3:$A$14,0))</f>
        <v>120</v>
      </c>
      <c r="F738" s="18" t="n">
        <f aca="false">Kawasan!$B$11*Kawasan!$B$9*C738/1000</f>
        <v>773.76</v>
      </c>
      <c r="G738" s="18" t="n">
        <f aca="false">Kawasan!$B$30*D738</f>
        <v>1190.4</v>
      </c>
      <c r="H738" s="18" t="n">
        <f aca="false">E738*Desain_Kolam!$B$16/1000</f>
        <v>128.7</v>
      </c>
      <c r="I738" s="18" t="n">
        <f aca="false">F738-G738-H738</f>
        <v>-545.34</v>
      </c>
      <c r="J738" s="18" t="n">
        <f aca="false">J737+I738</f>
        <v>17939.26</v>
      </c>
      <c r="K738" s="18" t="n">
        <f aca="false">MAX(K737,J738)</f>
        <v>18968.8</v>
      </c>
      <c r="L738" s="18" t="n">
        <f aca="false">K738-J738</f>
        <v>1029.54</v>
      </c>
      <c r="M738" s="18" t="n">
        <f aca="false">MIN(Desain_Kolam!$B$21,MAX(0,M737+F738-H738-G738))</f>
        <v>14118.84</v>
      </c>
      <c r="N738" s="6" t="n">
        <f aca="false">IF(M737+F738-H738&gt;=G738,1,0)</f>
        <v>1</v>
      </c>
    </row>
    <row r="739" customFormat="false" ht="15" hidden="false" customHeight="false" outlineLevel="0" collapsed="false">
      <c r="A739" s="6" t="n">
        <v>2014</v>
      </c>
      <c r="B739" s="6" t="n">
        <v>8</v>
      </c>
      <c r="C739" s="4" t="n">
        <v>303</v>
      </c>
      <c r="D739" s="6" t="n">
        <v>31</v>
      </c>
      <c r="E739" s="4" t="n">
        <f aca="false">INDEX(Evaporasi!$B$3:$B$14,MATCH(B739,Evaporasi!$A$3:$A$14,0))</f>
        <v>120</v>
      </c>
      <c r="F739" s="18" t="n">
        <f aca="false">Kawasan!$B$11*Kawasan!$B$9*C739/1000</f>
        <v>2520.96</v>
      </c>
      <c r="G739" s="18" t="n">
        <f aca="false">Kawasan!$B$30*D739</f>
        <v>1190.4</v>
      </c>
      <c r="H739" s="18" t="n">
        <f aca="false">E739*Desain_Kolam!$B$16/1000</f>
        <v>128.7</v>
      </c>
      <c r="I739" s="18" t="n">
        <f aca="false">F739-G739-H739</f>
        <v>1201.86</v>
      </c>
      <c r="J739" s="18" t="n">
        <f aca="false">J738+I739</f>
        <v>19141.12</v>
      </c>
      <c r="K739" s="18" t="n">
        <f aca="false">MAX(K738,J739)</f>
        <v>19141.12</v>
      </c>
      <c r="L739" s="18" t="n">
        <f aca="false">K739-J739</f>
        <v>0</v>
      </c>
      <c r="M739" s="18" t="n">
        <f aca="false">MIN(Desain_Kolam!$B$21,MAX(0,M738+F739-H739-G739))</f>
        <v>15148.38</v>
      </c>
      <c r="N739" s="6" t="n">
        <f aca="false">IF(M738+F739-H739&gt;=G739,1,0)</f>
        <v>1</v>
      </c>
    </row>
    <row r="740" customFormat="false" ht="15" hidden="false" customHeight="false" outlineLevel="0" collapsed="false">
      <c r="A740" s="6" t="n">
        <v>2014</v>
      </c>
      <c r="B740" s="6" t="n">
        <v>9</v>
      </c>
      <c r="C740" s="4" t="n">
        <v>156</v>
      </c>
      <c r="D740" s="6" t="n">
        <v>30</v>
      </c>
      <c r="E740" s="4" t="n">
        <f aca="false">INDEX(Evaporasi!$B$3:$B$14,MATCH(B740,Evaporasi!$A$3:$A$14,0))</f>
        <v>120</v>
      </c>
      <c r="F740" s="18" t="n">
        <f aca="false">Kawasan!$B$11*Kawasan!$B$9*C740/1000</f>
        <v>1297.92</v>
      </c>
      <c r="G740" s="18" t="n">
        <f aca="false">Kawasan!$B$30*D740</f>
        <v>1152</v>
      </c>
      <c r="H740" s="18" t="n">
        <f aca="false">E740*Desain_Kolam!$B$16/1000</f>
        <v>128.7</v>
      </c>
      <c r="I740" s="18" t="n">
        <f aca="false">F740-G740-H740</f>
        <v>17.2200000000001</v>
      </c>
      <c r="J740" s="18" t="n">
        <f aca="false">J739+I740</f>
        <v>19158.34</v>
      </c>
      <c r="K740" s="18" t="n">
        <f aca="false">MAX(K739,J740)</f>
        <v>19158.34</v>
      </c>
      <c r="L740" s="18" t="n">
        <f aca="false">K740-J740</f>
        <v>0</v>
      </c>
      <c r="M740" s="18" t="n">
        <f aca="false">MIN(Desain_Kolam!$B$21,MAX(0,M739+F740-H740-G740))</f>
        <v>15148.38</v>
      </c>
      <c r="N740" s="6" t="n">
        <f aca="false">IF(M739+F740-H740&gt;=G740,1,0)</f>
        <v>1</v>
      </c>
    </row>
    <row r="741" customFormat="false" ht="15" hidden="false" customHeight="false" outlineLevel="0" collapsed="false">
      <c r="A741" s="6" t="n">
        <v>2014</v>
      </c>
      <c r="B741" s="6" t="n">
        <v>10</v>
      </c>
      <c r="C741" s="4" t="n">
        <v>226</v>
      </c>
      <c r="D741" s="6" t="n">
        <v>31</v>
      </c>
      <c r="E741" s="4" t="n">
        <f aca="false">INDEX(Evaporasi!$B$3:$B$14,MATCH(B741,Evaporasi!$A$3:$A$14,0))</f>
        <v>120</v>
      </c>
      <c r="F741" s="18" t="n">
        <f aca="false">Kawasan!$B$11*Kawasan!$B$9*C741/1000</f>
        <v>1880.32</v>
      </c>
      <c r="G741" s="18" t="n">
        <f aca="false">Kawasan!$B$30*D741</f>
        <v>1190.4</v>
      </c>
      <c r="H741" s="18" t="n">
        <f aca="false">E741*Desain_Kolam!$B$16/1000</f>
        <v>128.7</v>
      </c>
      <c r="I741" s="18" t="n">
        <f aca="false">F741-G741-H741</f>
        <v>561.22</v>
      </c>
      <c r="J741" s="18" t="n">
        <f aca="false">J740+I741</f>
        <v>19719.56</v>
      </c>
      <c r="K741" s="18" t="n">
        <f aca="false">MAX(K740,J741)</f>
        <v>19719.56</v>
      </c>
      <c r="L741" s="18" t="n">
        <f aca="false">K741-J741</f>
        <v>0</v>
      </c>
      <c r="M741" s="18" t="n">
        <f aca="false">MIN(Desain_Kolam!$B$21,MAX(0,M740+F741-H741-G741))</f>
        <v>15148.38</v>
      </c>
      <c r="N741" s="6" t="n">
        <f aca="false">IF(M740+F741-H741&gt;=G741,1,0)</f>
        <v>1</v>
      </c>
    </row>
    <row r="742" customFormat="false" ht="15" hidden="false" customHeight="false" outlineLevel="0" collapsed="false">
      <c r="A742" s="6" t="n">
        <v>2014</v>
      </c>
      <c r="B742" s="6" t="n">
        <v>11</v>
      </c>
      <c r="C742" s="4" t="n">
        <v>290</v>
      </c>
      <c r="D742" s="6" t="n">
        <v>30</v>
      </c>
      <c r="E742" s="4" t="n">
        <f aca="false">INDEX(Evaporasi!$B$3:$B$14,MATCH(B742,Evaporasi!$A$3:$A$14,0))</f>
        <v>120</v>
      </c>
      <c r="F742" s="18" t="n">
        <f aca="false">Kawasan!$B$11*Kawasan!$B$9*C742/1000</f>
        <v>2412.8</v>
      </c>
      <c r="G742" s="18" t="n">
        <f aca="false">Kawasan!$B$30*D742</f>
        <v>1152</v>
      </c>
      <c r="H742" s="18" t="n">
        <f aca="false">E742*Desain_Kolam!$B$16/1000</f>
        <v>128.7</v>
      </c>
      <c r="I742" s="18" t="n">
        <f aca="false">F742-G742-H742</f>
        <v>1132.1</v>
      </c>
      <c r="J742" s="18" t="n">
        <f aca="false">J741+I742</f>
        <v>20851.66</v>
      </c>
      <c r="K742" s="18" t="n">
        <f aca="false">MAX(K741,J742)</f>
        <v>20851.66</v>
      </c>
      <c r="L742" s="18" t="n">
        <f aca="false">K742-J742</f>
        <v>0</v>
      </c>
      <c r="M742" s="18" t="n">
        <f aca="false">MIN(Desain_Kolam!$B$21,MAX(0,M741+F742-H742-G742))</f>
        <v>15148.38</v>
      </c>
      <c r="N742" s="6" t="n">
        <f aca="false">IF(M741+F742-H742&gt;=G742,1,0)</f>
        <v>1</v>
      </c>
    </row>
    <row r="743" customFormat="false" ht="15" hidden="false" customHeight="false" outlineLevel="0" collapsed="false">
      <c r="A743" s="6" t="n">
        <v>2014</v>
      </c>
      <c r="B743" s="6" t="n">
        <v>12</v>
      </c>
      <c r="C743" s="4" t="n">
        <v>448</v>
      </c>
      <c r="D743" s="6" t="n">
        <v>31</v>
      </c>
      <c r="E743" s="4" t="n">
        <f aca="false">INDEX(Evaporasi!$B$3:$B$14,MATCH(B743,Evaporasi!$A$3:$A$14,0))</f>
        <v>120</v>
      </c>
      <c r="F743" s="18" t="n">
        <f aca="false">Kawasan!$B$11*Kawasan!$B$9*C743/1000</f>
        <v>3727.36</v>
      </c>
      <c r="G743" s="18" t="n">
        <f aca="false">Kawasan!$B$30*D743</f>
        <v>1190.4</v>
      </c>
      <c r="H743" s="18" t="n">
        <f aca="false">E743*Desain_Kolam!$B$16/1000</f>
        <v>128.7</v>
      </c>
      <c r="I743" s="18" t="n">
        <f aca="false">F743-G743-H743</f>
        <v>2408.26</v>
      </c>
      <c r="J743" s="18" t="n">
        <f aca="false">J742+I743</f>
        <v>23259.92</v>
      </c>
      <c r="K743" s="18" t="n">
        <f aca="false">MAX(K742,J743)</f>
        <v>23259.92</v>
      </c>
      <c r="L743" s="18" t="n">
        <f aca="false">K743-J743</f>
        <v>0</v>
      </c>
      <c r="M743" s="18" t="n">
        <f aca="false">MIN(Desain_Kolam!$B$21,MAX(0,M742+F743-H743-G743))</f>
        <v>15148.38</v>
      </c>
      <c r="N743" s="6" t="n">
        <f aca="false">IF(M742+F743-H743&gt;=G743,1,0)</f>
        <v>1</v>
      </c>
    </row>
    <row r="744" customFormat="false" ht="15" hidden="false" customHeight="false" outlineLevel="0" collapsed="false">
      <c r="A744" s="6" t="n">
        <v>2015</v>
      </c>
      <c r="B744" s="6" t="n">
        <v>1</v>
      </c>
      <c r="C744" s="4" t="n">
        <v>266</v>
      </c>
      <c r="D744" s="6" t="n">
        <v>31</v>
      </c>
      <c r="E744" s="4" t="n">
        <f aca="false">INDEX(Evaporasi!$B$3:$B$14,MATCH(B744,Evaporasi!$A$3:$A$14,0))</f>
        <v>120</v>
      </c>
      <c r="F744" s="18" t="n">
        <f aca="false">Kawasan!$B$11*Kawasan!$B$9*C744/1000</f>
        <v>2213.12</v>
      </c>
      <c r="G744" s="18" t="n">
        <f aca="false">Kawasan!$B$30*D744</f>
        <v>1190.4</v>
      </c>
      <c r="H744" s="18" t="n">
        <f aca="false">E744*Desain_Kolam!$B$16/1000</f>
        <v>128.7</v>
      </c>
      <c r="I744" s="18" t="n">
        <f aca="false">F744-G744-H744</f>
        <v>894.02</v>
      </c>
      <c r="J744" s="18" t="n">
        <f aca="false">J743+I744</f>
        <v>24153.94</v>
      </c>
      <c r="K744" s="18" t="n">
        <f aca="false">MAX(K743,J744)</f>
        <v>24153.94</v>
      </c>
      <c r="L744" s="18" t="n">
        <f aca="false">K744-J744</f>
        <v>0</v>
      </c>
      <c r="M744" s="18" t="n">
        <f aca="false">MIN(Desain_Kolam!$B$21,MAX(0,M743+F744-H744-G744))</f>
        <v>15148.38</v>
      </c>
      <c r="N744" s="6" t="n">
        <f aca="false">IF(M743+F744-H744&gt;=G744,1,0)</f>
        <v>1</v>
      </c>
    </row>
    <row r="745" customFormat="false" ht="15" hidden="false" customHeight="false" outlineLevel="0" collapsed="false">
      <c r="A745" s="6" t="n">
        <v>2015</v>
      </c>
      <c r="B745" s="6" t="n">
        <v>2</v>
      </c>
      <c r="C745" s="4" t="n">
        <v>351</v>
      </c>
      <c r="D745" s="6" t="n">
        <v>28</v>
      </c>
      <c r="E745" s="4" t="n">
        <f aca="false">INDEX(Evaporasi!$B$3:$B$14,MATCH(B745,Evaporasi!$A$3:$A$14,0))</f>
        <v>120</v>
      </c>
      <c r="F745" s="18" t="n">
        <f aca="false">Kawasan!$B$11*Kawasan!$B$9*C745/1000</f>
        <v>2920.32</v>
      </c>
      <c r="G745" s="18" t="n">
        <f aca="false">Kawasan!$B$30*D745</f>
        <v>1075.2</v>
      </c>
      <c r="H745" s="18" t="n">
        <f aca="false">E745*Desain_Kolam!$B$16/1000</f>
        <v>128.7</v>
      </c>
      <c r="I745" s="18" t="n">
        <f aca="false">F745-G745-H745</f>
        <v>1716.42</v>
      </c>
      <c r="J745" s="18" t="n">
        <f aca="false">J744+I745</f>
        <v>25870.36</v>
      </c>
      <c r="K745" s="18" t="n">
        <f aca="false">MAX(K744,J745)</f>
        <v>25870.36</v>
      </c>
      <c r="L745" s="18" t="n">
        <f aca="false">K745-J745</f>
        <v>0</v>
      </c>
      <c r="M745" s="18" t="n">
        <f aca="false">MIN(Desain_Kolam!$B$21,MAX(0,M744+F745-H745-G745))</f>
        <v>15148.38</v>
      </c>
      <c r="N745" s="6" t="n">
        <f aca="false">IF(M744+F745-H745&gt;=G745,1,0)</f>
        <v>1</v>
      </c>
    </row>
    <row r="746" customFormat="false" ht="15" hidden="false" customHeight="false" outlineLevel="0" collapsed="false">
      <c r="A746" s="6" t="n">
        <v>2015</v>
      </c>
      <c r="B746" s="6" t="n">
        <v>3</v>
      </c>
      <c r="C746" s="4" t="n">
        <v>222</v>
      </c>
      <c r="D746" s="6" t="n">
        <v>31</v>
      </c>
      <c r="E746" s="4" t="n">
        <f aca="false">INDEX(Evaporasi!$B$3:$B$14,MATCH(B746,Evaporasi!$A$3:$A$14,0))</f>
        <v>120</v>
      </c>
      <c r="F746" s="18" t="n">
        <f aca="false">Kawasan!$B$11*Kawasan!$B$9*C746/1000</f>
        <v>1847.04</v>
      </c>
      <c r="G746" s="18" t="n">
        <f aca="false">Kawasan!$B$30*D746</f>
        <v>1190.4</v>
      </c>
      <c r="H746" s="18" t="n">
        <f aca="false">E746*Desain_Kolam!$B$16/1000</f>
        <v>128.7</v>
      </c>
      <c r="I746" s="18" t="n">
        <f aca="false">F746-G746-H746</f>
        <v>527.94</v>
      </c>
      <c r="J746" s="18" t="n">
        <f aca="false">J745+I746</f>
        <v>26398.3</v>
      </c>
      <c r="K746" s="18" t="n">
        <f aca="false">MAX(K745,J746)</f>
        <v>26398.3</v>
      </c>
      <c r="L746" s="18" t="n">
        <f aca="false">K746-J746</f>
        <v>0</v>
      </c>
      <c r="M746" s="18" t="n">
        <f aca="false">MIN(Desain_Kolam!$B$21,MAX(0,M745+F746-H746-G746))</f>
        <v>15148.38</v>
      </c>
      <c r="N746" s="6" t="n">
        <f aca="false">IF(M745+F746-H746&gt;=G746,1,0)</f>
        <v>1</v>
      </c>
    </row>
    <row r="747" customFormat="false" ht="15" hidden="false" customHeight="false" outlineLevel="0" collapsed="false">
      <c r="A747" s="6" t="n">
        <v>2015</v>
      </c>
      <c r="B747" s="6" t="n">
        <v>4</v>
      </c>
      <c r="C747" s="4" t="n">
        <v>202</v>
      </c>
      <c r="D747" s="6" t="n">
        <v>30</v>
      </c>
      <c r="E747" s="4" t="n">
        <f aca="false">INDEX(Evaporasi!$B$3:$B$14,MATCH(B747,Evaporasi!$A$3:$A$14,0))</f>
        <v>120</v>
      </c>
      <c r="F747" s="18" t="n">
        <f aca="false">Kawasan!$B$11*Kawasan!$B$9*C747/1000</f>
        <v>1680.64</v>
      </c>
      <c r="G747" s="18" t="n">
        <f aca="false">Kawasan!$B$30*D747</f>
        <v>1152</v>
      </c>
      <c r="H747" s="18" t="n">
        <f aca="false">E747*Desain_Kolam!$B$16/1000</f>
        <v>128.7</v>
      </c>
      <c r="I747" s="18" t="n">
        <f aca="false">F747-G747-H747</f>
        <v>399.94</v>
      </c>
      <c r="J747" s="18" t="n">
        <f aca="false">J746+I747</f>
        <v>26798.24</v>
      </c>
      <c r="K747" s="18" t="n">
        <f aca="false">MAX(K746,J747)</f>
        <v>26798.24</v>
      </c>
      <c r="L747" s="18" t="n">
        <f aca="false">K747-J747</f>
        <v>0</v>
      </c>
      <c r="M747" s="18" t="n">
        <f aca="false">MIN(Desain_Kolam!$B$21,MAX(0,M746+F747-H747-G747))</f>
        <v>15148.38</v>
      </c>
      <c r="N747" s="6" t="n">
        <f aca="false">IF(M746+F747-H747&gt;=G747,1,0)</f>
        <v>1</v>
      </c>
    </row>
    <row r="748" customFormat="false" ht="15" hidden="false" customHeight="false" outlineLevel="0" collapsed="false">
      <c r="A748" s="6" t="n">
        <v>2015</v>
      </c>
      <c r="B748" s="6" t="n">
        <v>5</v>
      </c>
      <c r="C748" s="4" t="n">
        <v>341</v>
      </c>
      <c r="D748" s="6" t="n">
        <v>31</v>
      </c>
      <c r="E748" s="4" t="n">
        <f aca="false">INDEX(Evaporasi!$B$3:$B$14,MATCH(B748,Evaporasi!$A$3:$A$14,0))</f>
        <v>120</v>
      </c>
      <c r="F748" s="18" t="n">
        <f aca="false">Kawasan!$B$11*Kawasan!$B$9*C748/1000</f>
        <v>2837.12</v>
      </c>
      <c r="G748" s="18" t="n">
        <f aca="false">Kawasan!$B$30*D748</f>
        <v>1190.4</v>
      </c>
      <c r="H748" s="18" t="n">
        <f aca="false">E748*Desain_Kolam!$B$16/1000</f>
        <v>128.7</v>
      </c>
      <c r="I748" s="18" t="n">
        <f aca="false">F748-G748-H748</f>
        <v>1518.02</v>
      </c>
      <c r="J748" s="18" t="n">
        <f aca="false">J747+I748</f>
        <v>28316.26</v>
      </c>
      <c r="K748" s="18" t="n">
        <f aca="false">MAX(K747,J748)</f>
        <v>28316.26</v>
      </c>
      <c r="L748" s="18" t="n">
        <f aca="false">K748-J748</f>
        <v>0</v>
      </c>
      <c r="M748" s="18" t="n">
        <f aca="false">MIN(Desain_Kolam!$B$21,MAX(0,M747+F748-H748-G748))</f>
        <v>15148.38</v>
      </c>
      <c r="N748" s="6" t="n">
        <f aca="false">IF(M747+F748-H748&gt;=G748,1,0)</f>
        <v>1</v>
      </c>
    </row>
    <row r="749" customFormat="false" ht="15" hidden="false" customHeight="false" outlineLevel="0" collapsed="false">
      <c r="A749" s="6" t="n">
        <v>2015</v>
      </c>
      <c r="B749" s="6" t="n">
        <v>6</v>
      </c>
      <c r="C749" s="4" t="n">
        <v>284</v>
      </c>
      <c r="D749" s="6" t="n">
        <v>30</v>
      </c>
      <c r="E749" s="4" t="n">
        <f aca="false">INDEX(Evaporasi!$B$3:$B$14,MATCH(B749,Evaporasi!$A$3:$A$14,0))</f>
        <v>120</v>
      </c>
      <c r="F749" s="18" t="n">
        <f aca="false">Kawasan!$B$11*Kawasan!$B$9*C749/1000</f>
        <v>2362.88</v>
      </c>
      <c r="G749" s="18" t="n">
        <f aca="false">Kawasan!$B$30*D749</f>
        <v>1152</v>
      </c>
      <c r="H749" s="18" t="n">
        <f aca="false">E749*Desain_Kolam!$B$16/1000</f>
        <v>128.7</v>
      </c>
      <c r="I749" s="18" t="n">
        <f aca="false">F749-G749-H749</f>
        <v>1082.18</v>
      </c>
      <c r="J749" s="18" t="n">
        <f aca="false">J748+I749</f>
        <v>29398.44</v>
      </c>
      <c r="K749" s="18" t="n">
        <f aca="false">MAX(K748,J749)</f>
        <v>29398.44</v>
      </c>
      <c r="L749" s="18" t="n">
        <f aca="false">K749-J749</f>
        <v>0</v>
      </c>
      <c r="M749" s="18" t="n">
        <f aca="false">MIN(Desain_Kolam!$B$21,MAX(0,M748+F749-H749-G749))</f>
        <v>15148.38</v>
      </c>
      <c r="N749" s="6" t="n">
        <f aca="false">IF(M748+F749-H749&gt;=G749,1,0)</f>
        <v>1</v>
      </c>
    </row>
    <row r="750" customFormat="false" ht="15" hidden="false" customHeight="false" outlineLevel="0" collapsed="false">
      <c r="A750" s="6" t="n">
        <v>2015</v>
      </c>
      <c r="B750" s="6" t="n">
        <v>7</v>
      </c>
      <c r="C750" s="4" t="n">
        <v>290</v>
      </c>
      <c r="D750" s="6" t="n">
        <v>31</v>
      </c>
      <c r="E750" s="4" t="n">
        <f aca="false">INDEX(Evaporasi!$B$3:$B$14,MATCH(B750,Evaporasi!$A$3:$A$14,0))</f>
        <v>120</v>
      </c>
      <c r="F750" s="18" t="n">
        <f aca="false">Kawasan!$B$11*Kawasan!$B$9*C750/1000</f>
        <v>2412.8</v>
      </c>
      <c r="G750" s="18" t="n">
        <f aca="false">Kawasan!$B$30*D750</f>
        <v>1190.4</v>
      </c>
      <c r="H750" s="18" t="n">
        <f aca="false">E750*Desain_Kolam!$B$16/1000</f>
        <v>128.7</v>
      </c>
      <c r="I750" s="18" t="n">
        <f aca="false">F750-G750-H750</f>
        <v>1093.7</v>
      </c>
      <c r="J750" s="18" t="n">
        <f aca="false">J749+I750</f>
        <v>30492.14</v>
      </c>
      <c r="K750" s="18" t="n">
        <f aca="false">MAX(K749,J750)</f>
        <v>30492.14</v>
      </c>
      <c r="L750" s="18" t="n">
        <f aca="false">K750-J750</f>
        <v>0</v>
      </c>
      <c r="M750" s="18" t="n">
        <f aca="false">MIN(Desain_Kolam!$B$21,MAX(0,M749+F750-H750-G750))</f>
        <v>15148.38</v>
      </c>
      <c r="N750" s="6" t="n">
        <f aca="false">IF(M749+F750-H750&gt;=G750,1,0)</f>
        <v>1</v>
      </c>
    </row>
    <row r="751" customFormat="false" ht="15" hidden="false" customHeight="false" outlineLevel="0" collapsed="false">
      <c r="A751" s="6" t="n">
        <v>2015</v>
      </c>
      <c r="B751" s="6" t="n">
        <v>8</v>
      </c>
      <c r="C751" s="4" t="n">
        <v>86</v>
      </c>
      <c r="D751" s="6" t="n">
        <v>31</v>
      </c>
      <c r="E751" s="4" t="n">
        <f aca="false">INDEX(Evaporasi!$B$3:$B$14,MATCH(B751,Evaporasi!$A$3:$A$14,0))</f>
        <v>120</v>
      </c>
      <c r="F751" s="18" t="n">
        <f aca="false">Kawasan!$B$11*Kawasan!$B$9*C751/1000</f>
        <v>715.52</v>
      </c>
      <c r="G751" s="18" t="n">
        <f aca="false">Kawasan!$B$30*D751</f>
        <v>1190.4</v>
      </c>
      <c r="H751" s="18" t="n">
        <f aca="false">E751*Desain_Kolam!$B$16/1000</f>
        <v>128.7</v>
      </c>
      <c r="I751" s="18" t="n">
        <f aca="false">F751-G751-H751</f>
        <v>-603.58</v>
      </c>
      <c r="J751" s="18" t="n">
        <f aca="false">J750+I751</f>
        <v>29888.56</v>
      </c>
      <c r="K751" s="18" t="n">
        <f aca="false">MAX(K750,J751)</f>
        <v>30492.14</v>
      </c>
      <c r="L751" s="18" t="n">
        <f aca="false">K751-J751</f>
        <v>603.580000000002</v>
      </c>
      <c r="M751" s="18" t="n">
        <f aca="false">MIN(Desain_Kolam!$B$21,MAX(0,M750+F751-H751-G751))</f>
        <v>14544.8</v>
      </c>
      <c r="N751" s="6" t="n">
        <f aca="false">IF(M750+F751-H751&gt;=G751,1,0)</f>
        <v>1</v>
      </c>
    </row>
    <row r="752" customFormat="false" ht="15" hidden="false" customHeight="false" outlineLevel="0" collapsed="false">
      <c r="A752" s="6" t="n">
        <v>2015</v>
      </c>
      <c r="B752" s="6" t="n">
        <v>9</v>
      </c>
      <c r="C752" s="4" t="n">
        <v>37</v>
      </c>
      <c r="D752" s="6" t="n">
        <v>30</v>
      </c>
      <c r="E752" s="4" t="n">
        <f aca="false">INDEX(Evaporasi!$B$3:$B$14,MATCH(B752,Evaporasi!$A$3:$A$14,0))</f>
        <v>120</v>
      </c>
      <c r="F752" s="18" t="n">
        <f aca="false">Kawasan!$B$11*Kawasan!$B$9*C752/1000</f>
        <v>307.84</v>
      </c>
      <c r="G752" s="18" t="n">
        <f aca="false">Kawasan!$B$30*D752</f>
        <v>1152</v>
      </c>
      <c r="H752" s="18" t="n">
        <f aca="false">E752*Desain_Kolam!$B$16/1000</f>
        <v>128.7</v>
      </c>
      <c r="I752" s="18" t="n">
        <f aca="false">F752-G752-H752</f>
        <v>-972.86</v>
      </c>
      <c r="J752" s="18" t="n">
        <f aca="false">J751+I752</f>
        <v>28915.7</v>
      </c>
      <c r="K752" s="18" t="n">
        <f aca="false">MAX(K751,J752)</f>
        <v>30492.14</v>
      </c>
      <c r="L752" s="18" t="n">
        <f aca="false">K752-J752</f>
        <v>1576.44</v>
      </c>
      <c r="M752" s="18" t="n">
        <f aca="false">MIN(Desain_Kolam!$B$21,MAX(0,M751+F752-H752-G752))</f>
        <v>13571.94</v>
      </c>
      <c r="N752" s="6" t="n">
        <f aca="false">IF(M751+F752-H752&gt;=G752,1,0)</f>
        <v>1</v>
      </c>
    </row>
    <row r="753" customFormat="false" ht="15" hidden="false" customHeight="false" outlineLevel="0" collapsed="false">
      <c r="A753" s="6" t="n">
        <v>2015</v>
      </c>
      <c r="B753" s="6" t="n">
        <v>10</v>
      </c>
      <c r="C753" s="4" t="n">
        <v>159</v>
      </c>
      <c r="D753" s="6" t="n">
        <v>31</v>
      </c>
      <c r="E753" s="4" t="n">
        <f aca="false">INDEX(Evaporasi!$B$3:$B$14,MATCH(B753,Evaporasi!$A$3:$A$14,0))</f>
        <v>120</v>
      </c>
      <c r="F753" s="18" t="n">
        <f aca="false">Kawasan!$B$11*Kawasan!$B$9*C753/1000</f>
        <v>1322.88</v>
      </c>
      <c r="G753" s="18" t="n">
        <f aca="false">Kawasan!$B$30*D753</f>
        <v>1190.4</v>
      </c>
      <c r="H753" s="18" t="n">
        <f aca="false">E753*Desain_Kolam!$B$16/1000</f>
        <v>128.7</v>
      </c>
      <c r="I753" s="18" t="n">
        <f aca="false">F753-G753-H753</f>
        <v>3.78000000000026</v>
      </c>
      <c r="J753" s="18" t="n">
        <f aca="false">J752+I753</f>
        <v>28919.48</v>
      </c>
      <c r="K753" s="18" t="n">
        <f aca="false">MAX(K752,J753)</f>
        <v>30492.14</v>
      </c>
      <c r="L753" s="18" t="n">
        <f aca="false">K753-J753</f>
        <v>1572.66</v>
      </c>
      <c r="M753" s="18" t="n">
        <f aca="false">MIN(Desain_Kolam!$B$21,MAX(0,M752+F753-H753-G753))</f>
        <v>13575.72</v>
      </c>
      <c r="N753" s="6" t="n">
        <f aca="false">IF(M752+F753-H753&gt;=G753,1,0)</f>
        <v>1</v>
      </c>
    </row>
    <row r="754" customFormat="false" ht="15" hidden="false" customHeight="false" outlineLevel="0" collapsed="false">
      <c r="A754" s="6" t="n">
        <v>2015</v>
      </c>
      <c r="B754" s="6" t="n">
        <v>11</v>
      </c>
      <c r="C754" s="4" t="n">
        <v>471</v>
      </c>
      <c r="D754" s="6" t="n">
        <v>30</v>
      </c>
      <c r="E754" s="4" t="n">
        <f aca="false">INDEX(Evaporasi!$B$3:$B$14,MATCH(B754,Evaporasi!$A$3:$A$14,0))</f>
        <v>120</v>
      </c>
      <c r="F754" s="18" t="n">
        <f aca="false">Kawasan!$B$11*Kawasan!$B$9*C754/1000</f>
        <v>3918.72</v>
      </c>
      <c r="G754" s="18" t="n">
        <f aca="false">Kawasan!$B$30*D754</f>
        <v>1152</v>
      </c>
      <c r="H754" s="18" t="n">
        <f aca="false">E754*Desain_Kolam!$B$16/1000</f>
        <v>128.7</v>
      </c>
      <c r="I754" s="18" t="n">
        <f aca="false">F754-G754-H754</f>
        <v>2638.02</v>
      </c>
      <c r="J754" s="18" t="n">
        <f aca="false">J753+I754</f>
        <v>31557.5</v>
      </c>
      <c r="K754" s="18" t="n">
        <f aca="false">MAX(K753,J754)</f>
        <v>31557.5</v>
      </c>
      <c r="L754" s="18" t="n">
        <f aca="false">K754-J754</f>
        <v>0</v>
      </c>
      <c r="M754" s="18" t="n">
        <f aca="false">MIN(Desain_Kolam!$B$21,MAX(0,M753+F754-H754-G754))</f>
        <v>15148.38</v>
      </c>
      <c r="N754" s="6" t="n">
        <f aca="false">IF(M753+F754-H754&gt;=G754,1,0)</f>
        <v>1</v>
      </c>
    </row>
    <row r="755" customFormat="false" ht="15" hidden="false" customHeight="false" outlineLevel="0" collapsed="false">
      <c r="A755" s="6" t="n">
        <v>2015</v>
      </c>
      <c r="B755" s="6" t="n">
        <v>12</v>
      </c>
      <c r="C755" s="4" t="n">
        <v>252</v>
      </c>
      <c r="D755" s="6" t="n">
        <v>31</v>
      </c>
      <c r="E755" s="4" t="n">
        <f aca="false">INDEX(Evaporasi!$B$3:$B$14,MATCH(B755,Evaporasi!$A$3:$A$14,0))</f>
        <v>120</v>
      </c>
      <c r="F755" s="18" t="n">
        <f aca="false">Kawasan!$B$11*Kawasan!$B$9*C755/1000</f>
        <v>2096.64</v>
      </c>
      <c r="G755" s="18" t="n">
        <f aca="false">Kawasan!$B$30*D755</f>
        <v>1190.4</v>
      </c>
      <c r="H755" s="18" t="n">
        <f aca="false">E755*Desain_Kolam!$B$16/1000</f>
        <v>128.7</v>
      </c>
      <c r="I755" s="18" t="n">
        <f aca="false">F755-G755-H755</f>
        <v>777.54</v>
      </c>
      <c r="J755" s="18" t="n">
        <f aca="false">J754+I755</f>
        <v>32335.04</v>
      </c>
      <c r="K755" s="18" t="n">
        <f aca="false">MAX(K754,J755)</f>
        <v>32335.04</v>
      </c>
      <c r="L755" s="18" t="n">
        <f aca="false">K755-J755</f>
        <v>0</v>
      </c>
      <c r="M755" s="18" t="n">
        <f aca="false">MIN(Desain_Kolam!$B$21,MAX(0,M754+F755-H755-G755))</f>
        <v>15148.38</v>
      </c>
      <c r="N755" s="6" t="n">
        <f aca="false">IF(M754+F755-H755&gt;=G755,1,0)</f>
        <v>1</v>
      </c>
    </row>
    <row r="756" customFormat="false" ht="15" hidden="false" customHeight="false" outlineLevel="0" collapsed="false">
      <c r="A756" s="6" t="n">
        <v>2016</v>
      </c>
      <c r="B756" s="6" t="n">
        <v>1</v>
      </c>
      <c r="C756" s="4" t="n">
        <v>245</v>
      </c>
      <c r="D756" s="6" t="n">
        <v>31</v>
      </c>
      <c r="E756" s="4" t="n">
        <f aca="false">INDEX(Evaporasi!$B$3:$B$14,MATCH(B756,Evaporasi!$A$3:$A$14,0))</f>
        <v>120</v>
      </c>
      <c r="F756" s="18" t="n">
        <f aca="false">Kawasan!$B$11*Kawasan!$B$9*C756/1000</f>
        <v>2038.4</v>
      </c>
      <c r="G756" s="18" t="n">
        <f aca="false">Kawasan!$B$30*D756</f>
        <v>1190.4</v>
      </c>
      <c r="H756" s="18" t="n">
        <f aca="false">E756*Desain_Kolam!$B$16/1000</f>
        <v>128.7</v>
      </c>
      <c r="I756" s="18" t="n">
        <f aca="false">F756-G756-H756</f>
        <v>719.3</v>
      </c>
      <c r="J756" s="18" t="n">
        <f aca="false">J755+I756</f>
        <v>33054.34</v>
      </c>
      <c r="K756" s="18" t="n">
        <f aca="false">MAX(K755,J756)</f>
        <v>33054.34</v>
      </c>
      <c r="L756" s="18" t="n">
        <f aca="false">K756-J756</f>
        <v>0</v>
      </c>
      <c r="M756" s="18" t="n">
        <f aca="false">MIN(Desain_Kolam!$B$21,MAX(0,M755+F756-H756-G756))</f>
        <v>15148.38</v>
      </c>
      <c r="N756" s="6" t="n">
        <f aca="false">IF(M755+F756-H756&gt;=G756,1,0)</f>
        <v>1</v>
      </c>
    </row>
    <row r="757" customFormat="false" ht="15" hidden="false" customHeight="false" outlineLevel="0" collapsed="false">
      <c r="A757" s="6" t="n">
        <v>2016</v>
      </c>
      <c r="B757" s="6" t="n">
        <v>2</v>
      </c>
      <c r="C757" s="4" t="n">
        <v>204</v>
      </c>
      <c r="D757" s="6" t="n">
        <v>29</v>
      </c>
      <c r="E757" s="4" t="n">
        <f aca="false">INDEX(Evaporasi!$B$3:$B$14,MATCH(B757,Evaporasi!$A$3:$A$14,0))</f>
        <v>120</v>
      </c>
      <c r="F757" s="18" t="n">
        <f aca="false">Kawasan!$B$11*Kawasan!$B$9*C757/1000</f>
        <v>1697.28</v>
      </c>
      <c r="G757" s="18" t="n">
        <f aca="false">Kawasan!$B$30*D757</f>
        <v>1113.6</v>
      </c>
      <c r="H757" s="18" t="n">
        <f aca="false">E757*Desain_Kolam!$B$16/1000</f>
        <v>128.7</v>
      </c>
      <c r="I757" s="18" t="n">
        <f aca="false">F757-G757-H757</f>
        <v>454.98</v>
      </c>
      <c r="J757" s="18" t="n">
        <f aca="false">J756+I757</f>
        <v>33509.32</v>
      </c>
      <c r="K757" s="18" t="n">
        <f aca="false">MAX(K756,J757)</f>
        <v>33509.32</v>
      </c>
      <c r="L757" s="18" t="n">
        <f aca="false">K757-J757</f>
        <v>0</v>
      </c>
      <c r="M757" s="18" t="n">
        <f aca="false">MIN(Desain_Kolam!$B$21,MAX(0,M756+F757-H757-G757))</f>
        <v>15148.38</v>
      </c>
      <c r="N757" s="6" t="n">
        <f aca="false">IF(M756+F757-H757&gt;=G757,1,0)</f>
        <v>1</v>
      </c>
    </row>
    <row r="758" customFormat="false" ht="15" hidden="false" customHeight="false" outlineLevel="0" collapsed="false">
      <c r="A758" s="6" t="n">
        <v>2016</v>
      </c>
      <c r="B758" s="6" t="n">
        <v>3</v>
      </c>
      <c r="C758" s="4" t="n">
        <v>381</v>
      </c>
      <c r="D758" s="6" t="n">
        <v>31</v>
      </c>
      <c r="E758" s="4" t="n">
        <f aca="false">INDEX(Evaporasi!$B$3:$B$14,MATCH(B758,Evaporasi!$A$3:$A$14,0))</f>
        <v>120</v>
      </c>
      <c r="F758" s="18" t="n">
        <f aca="false">Kawasan!$B$11*Kawasan!$B$9*C758/1000</f>
        <v>3169.92</v>
      </c>
      <c r="G758" s="18" t="n">
        <f aca="false">Kawasan!$B$30*D758</f>
        <v>1190.4</v>
      </c>
      <c r="H758" s="18" t="n">
        <f aca="false">E758*Desain_Kolam!$B$16/1000</f>
        <v>128.7</v>
      </c>
      <c r="I758" s="18" t="n">
        <f aca="false">F758-G758-H758</f>
        <v>1850.82</v>
      </c>
      <c r="J758" s="18" t="n">
        <f aca="false">J757+I758</f>
        <v>35360.14</v>
      </c>
      <c r="K758" s="18" t="n">
        <f aca="false">MAX(K757,J758)</f>
        <v>35360.14</v>
      </c>
      <c r="L758" s="18" t="n">
        <f aca="false">K758-J758</f>
        <v>0</v>
      </c>
      <c r="M758" s="18" t="n">
        <f aca="false">MIN(Desain_Kolam!$B$21,MAX(0,M757+F758-H758-G758))</f>
        <v>15148.38</v>
      </c>
      <c r="N758" s="6" t="n">
        <f aca="false">IF(M757+F758-H758&gt;=G758,1,0)</f>
        <v>1</v>
      </c>
    </row>
    <row r="759" customFormat="false" ht="15" hidden="false" customHeight="false" outlineLevel="0" collapsed="false">
      <c r="A759" s="6" t="n">
        <v>2016</v>
      </c>
      <c r="B759" s="6" t="n">
        <v>4</v>
      </c>
      <c r="C759" s="4" t="n">
        <v>274</v>
      </c>
      <c r="D759" s="6" t="n">
        <v>30</v>
      </c>
      <c r="E759" s="4" t="n">
        <f aca="false">INDEX(Evaporasi!$B$3:$B$14,MATCH(B759,Evaporasi!$A$3:$A$14,0))</f>
        <v>120</v>
      </c>
      <c r="F759" s="18" t="n">
        <f aca="false">Kawasan!$B$11*Kawasan!$B$9*C759/1000</f>
        <v>2279.68</v>
      </c>
      <c r="G759" s="18" t="n">
        <f aca="false">Kawasan!$B$30*D759</f>
        <v>1152</v>
      </c>
      <c r="H759" s="18" t="n">
        <f aca="false">E759*Desain_Kolam!$B$16/1000</f>
        <v>128.7</v>
      </c>
      <c r="I759" s="18" t="n">
        <f aca="false">F759-G759-H759</f>
        <v>998.98</v>
      </c>
      <c r="J759" s="18" t="n">
        <f aca="false">J758+I759</f>
        <v>36359.12</v>
      </c>
      <c r="K759" s="18" t="n">
        <f aca="false">MAX(K758,J759)</f>
        <v>36359.12</v>
      </c>
      <c r="L759" s="18" t="n">
        <f aca="false">K759-J759</f>
        <v>0</v>
      </c>
      <c r="M759" s="18" t="n">
        <f aca="false">MIN(Desain_Kolam!$B$21,MAX(0,M758+F759-H759-G759))</f>
        <v>15148.38</v>
      </c>
      <c r="N759" s="6" t="n">
        <f aca="false">IF(M758+F759-H759&gt;=G759,1,0)</f>
        <v>1</v>
      </c>
    </row>
    <row r="760" customFormat="false" ht="15" hidden="false" customHeight="false" outlineLevel="0" collapsed="false">
      <c r="A760" s="6" t="n">
        <v>2016</v>
      </c>
      <c r="B760" s="6" t="n">
        <v>5</v>
      </c>
      <c r="C760" s="4" t="n">
        <v>514</v>
      </c>
      <c r="D760" s="6" t="n">
        <v>31</v>
      </c>
      <c r="E760" s="4" t="n">
        <f aca="false">INDEX(Evaporasi!$B$3:$B$14,MATCH(B760,Evaporasi!$A$3:$A$14,0))</f>
        <v>120</v>
      </c>
      <c r="F760" s="18" t="n">
        <f aca="false">Kawasan!$B$11*Kawasan!$B$9*C760/1000</f>
        <v>4276.48</v>
      </c>
      <c r="G760" s="18" t="n">
        <f aca="false">Kawasan!$B$30*D760</f>
        <v>1190.4</v>
      </c>
      <c r="H760" s="18" t="n">
        <f aca="false">E760*Desain_Kolam!$B$16/1000</f>
        <v>128.7</v>
      </c>
      <c r="I760" s="18" t="n">
        <f aca="false">F760-G760-H760</f>
        <v>2957.38</v>
      </c>
      <c r="J760" s="18" t="n">
        <f aca="false">J759+I760</f>
        <v>39316.5</v>
      </c>
      <c r="K760" s="18" t="n">
        <f aca="false">MAX(K759,J760)</f>
        <v>39316.5</v>
      </c>
      <c r="L760" s="18" t="n">
        <f aca="false">K760-J760</f>
        <v>0</v>
      </c>
      <c r="M760" s="18" t="n">
        <f aca="false">MIN(Desain_Kolam!$B$21,MAX(0,M759+F760-H760-G760))</f>
        <v>15148.38</v>
      </c>
      <c r="N760" s="6" t="n">
        <f aca="false">IF(M759+F760-H760&gt;=G760,1,0)</f>
        <v>1</v>
      </c>
    </row>
    <row r="761" customFormat="false" ht="15" hidden="false" customHeight="false" outlineLevel="0" collapsed="false">
      <c r="A761" s="6" t="n">
        <v>2016</v>
      </c>
      <c r="B761" s="6" t="n">
        <v>6</v>
      </c>
      <c r="C761" s="4" t="n">
        <v>279</v>
      </c>
      <c r="D761" s="6" t="n">
        <v>30</v>
      </c>
      <c r="E761" s="4" t="n">
        <f aca="false">INDEX(Evaporasi!$B$3:$B$14,MATCH(B761,Evaporasi!$A$3:$A$14,0))</f>
        <v>120</v>
      </c>
      <c r="F761" s="18" t="n">
        <f aca="false">Kawasan!$B$11*Kawasan!$B$9*C761/1000</f>
        <v>2321.28</v>
      </c>
      <c r="G761" s="18" t="n">
        <f aca="false">Kawasan!$B$30*D761</f>
        <v>1152</v>
      </c>
      <c r="H761" s="18" t="n">
        <f aca="false">E761*Desain_Kolam!$B$16/1000</f>
        <v>128.7</v>
      </c>
      <c r="I761" s="18" t="n">
        <f aca="false">F761-G761-H761</f>
        <v>1040.58</v>
      </c>
      <c r="J761" s="18" t="n">
        <f aca="false">J760+I761</f>
        <v>40357.08</v>
      </c>
      <c r="K761" s="18" t="n">
        <f aca="false">MAX(K760,J761)</f>
        <v>40357.08</v>
      </c>
      <c r="L761" s="18" t="n">
        <f aca="false">K761-J761</f>
        <v>0</v>
      </c>
      <c r="M761" s="18" t="n">
        <f aca="false">MIN(Desain_Kolam!$B$21,MAX(0,M760+F761-H761-G761))</f>
        <v>15148.38</v>
      </c>
      <c r="N761" s="6" t="n">
        <f aca="false">IF(M760+F761-H761&gt;=G761,1,0)</f>
        <v>1</v>
      </c>
    </row>
    <row r="762" customFormat="false" ht="15" hidden="false" customHeight="false" outlineLevel="0" collapsed="false">
      <c r="A762" s="6" t="n">
        <v>2016</v>
      </c>
      <c r="B762" s="6" t="n">
        <v>7</v>
      </c>
      <c r="C762" s="4" t="n">
        <v>254</v>
      </c>
      <c r="D762" s="6" t="n">
        <v>31</v>
      </c>
      <c r="E762" s="4" t="n">
        <f aca="false">INDEX(Evaporasi!$B$3:$B$14,MATCH(B762,Evaporasi!$A$3:$A$14,0))</f>
        <v>120</v>
      </c>
      <c r="F762" s="18" t="n">
        <f aca="false">Kawasan!$B$11*Kawasan!$B$9*C762/1000</f>
        <v>2113.28</v>
      </c>
      <c r="G762" s="18" t="n">
        <f aca="false">Kawasan!$B$30*D762</f>
        <v>1190.4</v>
      </c>
      <c r="H762" s="18" t="n">
        <f aca="false">E762*Desain_Kolam!$B$16/1000</f>
        <v>128.7</v>
      </c>
      <c r="I762" s="18" t="n">
        <f aca="false">F762-G762-H762</f>
        <v>794.18</v>
      </c>
      <c r="J762" s="18" t="n">
        <f aca="false">J761+I762</f>
        <v>41151.26</v>
      </c>
      <c r="K762" s="18" t="n">
        <f aca="false">MAX(K761,J762)</f>
        <v>41151.26</v>
      </c>
      <c r="L762" s="18" t="n">
        <f aca="false">K762-J762</f>
        <v>0</v>
      </c>
      <c r="M762" s="18" t="n">
        <f aca="false">MIN(Desain_Kolam!$B$21,MAX(0,M761+F762-H762-G762))</f>
        <v>15148.38</v>
      </c>
      <c r="N762" s="6" t="n">
        <f aca="false">IF(M761+F762-H762&gt;=G762,1,0)</f>
        <v>1</v>
      </c>
    </row>
    <row r="763" customFormat="false" ht="15" hidden="false" customHeight="false" outlineLevel="0" collapsed="false">
      <c r="A763" s="6" t="n">
        <v>2016</v>
      </c>
      <c r="B763" s="6" t="n">
        <v>8</v>
      </c>
      <c r="C763" s="4" t="n">
        <v>14</v>
      </c>
      <c r="D763" s="6" t="n">
        <v>31</v>
      </c>
      <c r="E763" s="4" t="n">
        <f aca="false">INDEX(Evaporasi!$B$3:$B$14,MATCH(B763,Evaporasi!$A$3:$A$14,0))</f>
        <v>120</v>
      </c>
      <c r="F763" s="18" t="n">
        <f aca="false">Kawasan!$B$11*Kawasan!$B$9*C763/1000</f>
        <v>116.48</v>
      </c>
      <c r="G763" s="18" t="n">
        <f aca="false">Kawasan!$B$30*D763</f>
        <v>1190.4</v>
      </c>
      <c r="H763" s="18" t="n">
        <f aca="false">E763*Desain_Kolam!$B$16/1000</f>
        <v>128.7</v>
      </c>
      <c r="I763" s="18" t="n">
        <f aca="false">F763-G763-H763</f>
        <v>-1202.62</v>
      </c>
      <c r="J763" s="18" t="n">
        <f aca="false">J762+I763</f>
        <v>39948.64</v>
      </c>
      <c r="K763" s="18" t="n">
        <f aca="false">MAX(K762,J763)</f>
        <v>41151.26</v>
      </c>
      <c r="L763" s="18" t="n">
        <f aca="false">K763-J763</f>
        <v>1202.62</v>
      </c>
      <c r="M763" s="18" t="n">
        <f aca="false">MIN(Desain_Kolam!$B$21,MAX(0,M762+F763-H763-G763))</f>
        <v>13945.76</v>
      </c>
      <c r="N763" s="6" t="n">
        <f aca="false">IF(M762+F763-H763&gt;=G763,1,0)</f>
        <v>1</v>
      </c>
    </row>
    <row r="764" customFormat="false" ht="15" hidden="false" customHeight="false" outlineLevel="0" collapsed="false">
      <c r="A764" s="6" t="n">
        <v>2016</v>
      </c>
      <c r="B764" s="6" t="n">
        <v>9</v>
      </c>
      <c r="C764" s="4" t="n">
        <v>200</v>
      </c>
      <c r="D764" s="6" t="n">
        <v>30</v>
      </c>
      <c r="E764" s="4" t="n">
        <f aca="false">INDEX(Evaporasi!$B$3:$B$14,MATCH(B764,Evaporasi!$A$3:$A$14,0))</f>
        <v>120</v>
      </c>
      <c r="F764" s="18" t="n">
        <f aca="false">Kawasan!$B$11*Kawasan!$B$9*C764/1000</f>
        <v>1664</v>
      </c>
      <c r="G764" s="18" t="n">
        <f aca="false">Kawasan!$B$30*D764</f>
        <v>1152</v>
      </c>
      <c r="H764" s="18" t="n">
        <f aca="false">E764*Desain_Kolam!$B$16/1000</f>
        <v>128.7</v>
      </c>
      <c r="I764" s="18" t="n">
        <f aca="false">F764-G764-H764</f>
        <v>383.3</v>
      </c>
      <c r="J764" s="18" t="n">
        <f aca="false">J763+I764</f>
        <v>40331.94</v>
      </c>
      <c r="K764" s="18" t="n">
        <f aca="false">MAX(K763,J764)</f>
        <v>41151.26</v>
      </c>
      <c r="L764" s="18" t="n">
        <f aca="false">K764-J764</f>
        <v>819.32</v>
      </c>
      <c r="M764" s="18" t="n">
        <f aca="false">MIN(Desain_Kolam!$B$21,MAX(0,M763+F764-H764-G764))</f>
        <v>14329.06</v>
      </c>
      <c r="N764" s="6" t="n">
        <f aca="false">IF(M763+F764-H764&gt;=G764,1,0)</f>
        <v>1</v>
      </c>
    </row>
    <row r="765" customFormat="false" ht="15" hidden="false" customHeight="false" outlineLevel="0" collapsed="false">
      <c r="A765" s="6" t="n">
        <v>2016</v>
      </c>
      <c r="B765" s="6" t="n">
        <v>10</v>
      </c>
      <c r="C765" s="4" t="n">
        <v>302</v>
      </c>
      <c r="D765" s="6" t="n">
        <v>31</v>
      </c>
      <c r="E765" s="4" t="n">
        <f aca="false">INDEX(Evaporasi!$B$3:$B$14,MATCH(B765,Evaporasi!$A$3:$A$14,0))</f>
        <v>120</v>
      </c>
      <c r="F765" s="18" t="n">
        <f aca="false">Kawasan!$B$11*Kawasan!$B$9*C765/1000</f>
        <v>2512.64</v>
      </c>
      <c r="G765" s="18" t="n">
        <f aca="false">Kawasan!$B$30*D765</f>
        <v>1190.4</v>
      </c>
      <c r="H765" s="18" t="n">
        <f aca="false">E765*Desain_Kolam!$B$16/1000</f>
        <v>128.7</v>
      </c>
      <c r="I765" s="18" t="n">
        <f aca="false">F765-G765-H765</f>
        <v>1193.54</v>
      </c>
      <c r="J765" s="18" t="n">
        <f aca="false">J764+I765</f>
        <v>41525.48</v>
      </c>
      <c r="K765" s="18" t="n">
        <f aca="false">MAX(K764,J765)</f>
        <v>41525.48</v>
      </c>
      <c r="L765" s="18" t="n">
        <f aca="false">K765-J765</f>
        <v>0</v>
      </c>
      <c r="M765" s="18" t="n">
        <f aca="false">MIN(Desain_Kolam!$B$21,MAX(0,M764+F765-H765-G765))</f>
        <v>15148.38</v>
      </c>
      <c r="N765" s="6" t="n">
        <f aca="false">IF(M764+F765-H765&gt;=G765,1,0)</f>
        <v>1</v>
      </c>
    </row>
    <row r="766" customFormat="false" ht="15" hidden="false" customHeight="false" outlineLevel="0" collapsed="false">
      <c r="A766" s="6" t="n">
        <v>2016</v>
      </c>
      <c r="B766" s="6" t="n">
        <v>11</v>
      </c>
      <c r="C766" s="4" t="n">
        <v>256</v>
      </c>
      <c r="D766" s="6" t="n">
        <v>30</v>
      </c>
      <c r="E766" s="4" t="n">
        <f aca="false">INDEX(Evaporasi!$B$3:$B$14,MATCH(B766,Evaporasi!$A$3:$A$14,0))</f>
        <v>120</v>
      </c>
      <c r="F766" s="18" t="n">
        <f aca="false">Kawasan!$B$11*Kawasan!$B$9*C766/1000</f>
        <v>2129.92</v>
      </c>
      <c r="G766" s="18" t="n">
        <f aca="false">Kawasan!$B$30*D766</f>
        <v>1152</v>
      </c>
      <c r="H766" s="18" t="n">
        <f aca="false">E766*Desain_Kolam!$B$16/1000</f>
        <v>128.7</v>
      </c>
      <c r="I766" s="18" t="n">
        <f aca="false">F766-G766-H766</f>
        <v>849.22</v>
      </c>
      <c r="J766" s="18" t="n">
        <f aca="false">J765+I766</f>
        <v>42374.7</v>
      </c>
      <c r="K766" s="18" t="n">
        <f aca="false">MAX(K765,J766)</f>
        <v>42374.7</v>
      </c>
      <c r="L766" s="18" t="n">
        <f aca="false">K766-J766</f>
        <v>0</v>
      </c>
      <c r="M766" s="18" t="n">
        <f aca="false">MIN(Desain_Kolam!$B$21,MAX(0,M765+F766-H766-G766))</f>
        <v>15148.38</v>
      </c>
      <c r="N766" s="6" t="n">
        <f aca="false">IF(M765+F766-H766&gt;=G766,1,0)</f>
        <v>1</v>
      </c>
    </row>
    <row r="767" customFormat="false" ht="15" hidden="false" customHeight="false" outlineLevel="0" collapsed="false">
      <c r="A767" s="6" t="n">
        <v>2016</v>
      </c>
      <c r="B767" s="6" t="n">
        <v>12</v>
      </c>
      <c r="C767" s="4" t="n">
        <v>305</v>
      </c>
      <c r="D767" s="6" t="n">
        <v>31</v>
      </c>
      <c r="E767" s="4" t="n">
        <f aca="false">INDEX(Evaporasi!$B$3:$B$14,MATCH(B767,Evaporasi!$A$3:$A$14,0))</f>
        <v>120</v>
      </c>
      <c r="F767" s="18" t="n">
        <f aca="false">Kawasan!$B$11*Kawasan!$B$9*C767/1000</f>
        <v>2537.6</v>
      </c>
      <c r="G767" s="18" t="n">
        <f aca="false">Kawasan!$B$30*D767</f>
        <v>1190.4</v>
      </c>
      <c r="H767" s="18" t="n">
        <f aca="false">E767*Desain_Kolam!$B$16/1000</f>
        <v>128.7</v>
      </c>
      <c r="I767" s="18" t="n">
        <f aca="false">F767-G767-H767</f>
        <v>1218.5</v>
      </c>
      <c r="J767" s="18" t="n">
        <f aca="false">J766+I767</f>
        <v>43593.2</v>
      </c>
      <c r="K767" s="18" t="n">
        <f aca="false">MAX(K766,J767)</f>
        <v>43593.2</v>
      </c>
      <c r="L767" s="18" t="n">
        <f aca="false">K767-J767</f>
        <v>0</v>
      </c>
      <c r="M767" s="18" t="n">
        <f aca="false">MIN(Desain_Kolam!$B$21,MAX(0,M766+F767-H767-G767))</f>
        <v>15148.38</v>
      </c>
      <c r="N767" s="6" t="n">
        <f aca="false">IF(M766+F767-H767&gt;=G767,1,0)</f>
        <v>1</v>
      </c>
    </row>
    <row r="768" customFormat="false" ht="15" hidden="false" customHeight="false" outlineLevel="0" collapsed="false">
      <c r="A768" s="6" t="n">
        <v>2017</v>
      </c>
      <c r="B768" s="6" t="n">
        <v>1</v>
      </c>
      <c r="C768" s="4" t="n">
        <v>212</v>
      </c>
      <c r="D768" s="6" t="n">
        <v>31</v>
      </c>
      <c r="E768" s="4" t="n">
        <f aca="false">INDEX(Evaporasi!$B$3:$B$14,MATCH(B768,Evaporasi!$A$3:$A$14,0))</f>
        <v>120</v>
      </c>
      <c r="F768" s="18" t="n">
        <f aca="false">Kawasan!$B$11*Kawasan!$B$9*C768/1000</f>
        <v>1763.84</v>
      </c>
      <c r="G768" s="18" t="n">
        <f aca="false">Kawasan!$B$30*D768</f>
        <v>1190.4</v>
      </c>
      <c r="H768" s="18" t="n">
        <f aca="false">E768*Desain_Kolam!$B$16/1000</f>
        <v>128.7</v>
      </c>
      <c r="I768" s="18" t="n">
        <f aca="false">F768-G768-H768</f>
        <v>444.74</v>
      </c>
      <c r="J768" s="18" t="n">
        <f aca="false">J767+I768</f>
        <v>44037.94</v>
      </c>
      <c r="K768" s="18" t="n">
        <f aca="false">MAX(K767,J768)</f>
        <v>44037.94</v>
      </c>
      <c r="L768" s="18" t="n">
        <f aca="false">K768-J768</f>
        <v>0</v>
      </c>
      <c r="M768" s="18" t="n">
        <f aca="false">MIN(Desain_Kolam!$B$21,MAX(0,M767+F768-H768-G768))</f>
        <v>15148.38</v>
      </c>
      <c r="N768" s="6" t="n">
        <f aca="false">IF(M767+F768-H768&gt;=G768,1,0)</f>
        <v>1</v>
      </c>
    </row>
    <row r="769" customFormat="false" ht="15" hidden="false" customHeight="false" outlineLevel="0" collapsed="false">
      <c r="A769" s="6" t="n">
        <v>2017</v>
      </c>
      <c r="B769" s="6" t="n">
        <v>2</v>
      </c>
      <c r="C769" s="4" t="n">
        <v>198</v>
      </c>
      <c r="D769" s="6" t="n">
        <v>28</v>
      </c>
      <c r="E769" s="4" t="n">
        <f aca="false">INDEX(Evaporasi!$B$3:$B$14,MATCH(B769,Evaporasi!$A$3:$A$14,0))</f>
        <v>120</v>
      </c>
      <c r="F769" s="18" t="n">
        <f aca="false">Kawasan!$B$11*Kawasan!$B$9*C769/1000</f>
        <v>1647.36</v>
      </c>
      <c r="G769" s="18" t="n">
        <f aca="false">Kawasan!$B$30*D769</f>
        <v>1075.2</v>
      </c>
      <c r="H769" s="18" t="n">
        <f aca="false">E769*Desain_Kolam!$B$16/1000</f>
        <v>128.7</v>
      </c>
      <c r="I769" s="18" t="n">
        <f aca="false">F769-G769-H769</f>
        <v>443.46</v>
      </c>
      <c r="J769" s="18" t="n">
        <f aca="false">J768+I769</f>
        <v>44481.4</v>
      </c>
      <c r="K769" s="18" t="n">
        <f aca="false">MAX(K768,J769)</f>
        <v>44481.4</v>
      </c>
      <c r="L769" s="18" t="n">
        <f aca="false">K769-J769</f>
        <v>0</v>
      </c>
      <c r="M769" s="18" t="n">
        <f aca="false">MIN(Desain_Kolam!$B$21,MAX(0,M768+F769-H769-G769))</f>
        <v>15148.38</v>
      </c>
      <c r="N769" s="6" t="n">
        <f aca="false">IF(M768+F769-H769&gt;=G769,1,0)</f>
        <v>1</v>
      </c>
    </row>
    <row r="770" customFormat="false" ht="15" hidden="false" customHeight="false" outlineLevel="0" collapsed="false">
      <c r="A770" s="6" t="n">
        <v>2017</v>
      </c>
      <c r="B770" s="6" t="n">
        <v>3</v>
      </c>
      <c r="C770" s="4" t="n">
        <v>310</v>
      </c>
      <c r="D770" s="6" t="n">
        <v>31</v>
      </c>
      <c r="E770" s="4" t="n">
        <f aca="false">INDEX(Evaporasi!$B$3:$B$14,MATCH(B770,Evaporasi!$A$3:$A$14,0))</f>
        <v>120</v>
      </c>
      <c r="F770" s="18" t="n">
        <f aca="false">Kawasan!$B$11*Kawasan!$B$9*C770/1000</f>
        <v>2579.2</v>
      </c>
      <c r="G770" s="18" t="n">
        <f aca="false">Kawasan!$B$30*D770</f>
        <v>1190.4</v>
      </c>
      <c r="H770" s="18" t="n">
        <f aca="false">E770*Desain_Kolam!$B$16/1000</f>
        <v>128.7</v>
      </c>
      <c r="I770" s="18" t="n">
        <f aca="false">F770-G770-H770</f>
        <v>1260.1</v>
      </c>
      <c r="J770" s="18" t="n">
        <f aca="false">J769+I770</f>
        <v>45741.5</v>
      </c>
      <c r="K770" s="18" t="n">
        <f aca="false">MAX(K769,J770)</f>
        <v>45741.5</v>
      </c>
      <c r="L770" s="18" t="n">
        <f aca="false">K770-J770</f>
        <v>0</v>
      </c>
      <c r="M770" s="18" t="n">
        <f aca="false">MIN(Desain_Kolam!$B$21,MAX(0,M769+F770-H770-G770))</f>
        <v>15148.38</v>
      </c>
      <c r="N770" s="6" t="n">
        <f aca="false">IF(M769+F770-H770&gt;=G770,1,0)</f>
        <v>1</v>
      </c>
    </row>
    <row r="771" customFormat="false" ht="15" hidden="false" customHeight="false" outlineLevel="0" collapsed="false">
      <c r="A771" s="6" t="n">
        <v>2017</v>
      </c>
      <c r="B771" s="6" t="n">
        <v>4</v>
      </c>
      <c r="C771" s="4" t="n">
        <v>216</v>
      </c>
      <c r="D771" s="6" t="n">
        <v>30</v>
      </c>
      <c r="E771" s="4" t="n">
        <f aca="false">INDEX(Evaporasi!$B$3:$B$14,MATCH(B771,Evaporasi!$A$3:$A$14,0))</f>
        <v>120</v>
      </c>
      <c r="F771" s="18" t="n">
        <f aca="false">Kawasan!$B$11*Kawasan!$B$9*C771/1000</f>
        <v>1797.12</v>
      </c>
      <c r="G771" s="18" t="n">
        <f aca="false">Kawasan!$B$30*D771</f>
        <v>1152</v>
      </c>
      <c r="H771" s="18" t="n">
        <f aca="false">E771*Desain_Kolam!$B$16/1000</f>
        <v>128.7</v>
      </c>
      <c r="I771" s="18" t="n">
        <f aca="false">F771-G771-H771</f>
        <v>516.42</v>
      </c>
      <c r="J771" s="18" t="n">
        <f aca="false">J770+I771</f>
        <v>46257.92</v>
      </c>
      <c r="K771" s="18" t="n">
        <f aca="false">MAX(K770,J771)</f>
        <v>46257.92</v>
      </c>
      <c r="L771" s="18" t="n">
        <f aca="false">K771-J771</f>
        <v>0</v>
      </c>
      <c r="M771" s="18" t="n">
        <f aca="false">MIN(Desain_Kolam!$B$21,MAX(0,M770+F771-H771-G771))</f>
        <v>15148.38</v>
      </c>
      <c r="N771" s="6" t="n">
        <f aca="false">IF(M770+F771-H771&gt;=G771,1,0)</f>
        <v>1</v>
      </c>
    </row>
    <row r="772" customFormat="false" ht="15" hidden="false" customHeight="false" outlineLevel="0" collapsed="false">
      <c r="A772" s="6" t="n">
        <v>2017</v>
      </c>
      <c r="B772" s="6" t="n">
        <v>5</v>
      </c>
      <c r="C772" s="4" t="n">
        <v>314</v>
      </c>
      <c r="D772" s="6" t="n">
        <v>31</v>
      </c>
      <c r="E772" s="4" t="n">
        <f aca="false">INDEX(Evaporasi!$B$3:$B$14,MATCH(B772,Evaporasi!$A$3:$A$14,0))</f>
        <v>120</v>
      </c>
      <c r="F772" s="18" t="n">
        <f aca="false">Kawasan!$B$11*Kawasan!$B$9*C772/1000</f>
        <v>2612.48</v>
      </c>
      <c r="G772" s="18" t="n">
        <f aca="false">Kawasan!$B$30*D772</f>
        <v>1190.4</v>
      </c>
      <c r="H772" s="18" t="n">
        <f aca="false">E772*Desain_Kolam!$B$16/1000</f>
        <v>128.7</v>
      </c>
      <c r="I772" s="18" t="n">
        <f aca="false">F772-G772-H772</f>
        <v>1293.38</v>
      </c>
      <c r="J772" s="18" t="n">
        <f aca="false">J771+I772</f>
        <v>47551.3</v>
      </c>
      <c r="K772" s="18" t="n">
        <f aca="false">MAX(K771,J772)</f>
        <v>47551.3</v>
      </c>
      <c r="L772" s="18" t="n">
        <f aca="false">K772-J772</f>
        <v>0</v>
      </c>
      <c r="M772" s="18" t="n">
        <f aca="false">MIN(Desain_Kolam!$B$21,MAX(0,M771+F772-H772-G772))</f>
        <v>15148.38</v>
      </c>
      <c r="N772" s="6" t="n">
        <f aca="false">IF(M771+F772-H772&gt;=G772,1,0)</f>
        <v>1</v>
      </c>
    </row>
    <row r="773" customFormat="false" ht="15" hidden="false" customHeight="false" outlineLevel="0" collapsed="false">
      <c r="A773" s="6" t="n">
        <v>2017</v>
      </c>
      <c r="B773" s="6" t="n">
        <v>6</v>
      </c>
      <c r="C773" s="4" t="n">
        <v>248</v>
      </c>
      <c r="D773" s="6" t="n">
        <v>30</v>
      </c>
      <c r="E773" s="4" t="n">
        <f aca="false">INDEX(Evaporasi!$B$3:$B$14,MATCH(B773,Evaporasi!$A$3:$A$14,0))</f>
        <v>120</v>
      </c>
      <c r="F773" s="18" t="n">
        <f aca="false">Kawasan!$B$11*Kawasan!$B$9*C773/1000</f>
        <v>2063.36</v>
      </c>
      <c r="G773" s="18" t="n">
        <f aca="false">Kawasan!$B$30*D773</f>
        <v>1152</v>
      </c>
      <c r="H773" s="18" t="n">
        <f aca="false">E773*Desain_Kolam!$B$16/1000</f>
        <v>128.7</v>
      </c>
      <c r="I773" s="18" t="n">
        <f aca="false">F773-G773-H773</f>
        <v>782.66</v>
      </c>
      <c r="J773" s="18" t="n">
        <f aca="false">J772+I773</f>
        <v>48333.96</v>
      </c>
      <c r="K773" s="18" t="n">
        <f aca="false">MAX(K772,J773)</f>
        <v>48333.96</v>
      </c>
      <c r="L773" s="18" t="n">
        <f aca="false">K773-J773</f>
        <v>0</v>
      </c>
      <c r="M773" s="18" t="n">
        <f aca="false">MIN(Desain_Kolam!$B$21,MAX(0,M772+F773-H773-G773))</f>
        <v>15148.38</v>
      </c>
      <c r="N773" s="6" t="n">
        <f aca="false">IF(M772+F773-H773&gt;=G773,1,0)</f>
        <v>1</v>
      </c>
    </row>
    <row r="774" customFormat="false" ht="15" hidden="false" customHeight="false" outlineLevel="0" collapsed="false">
      <c r="A774" s="6" t="n">
        <v>2017</v>
      </c>
      <c r="B774" s="6" t="n">
        <v>7</v>
      </c>
      <c r="C774" s="4" t="n">
        <v>279</v>
      </c>
      <c r="D774" s="6" t="n">
        <v>31</v>
      </c>
      <c r="E774" s="4" t="n">
        <f aca="false">INDEX(Evaporasi!$B$3:$B$14,MATCH(B774,Evaporasi!$A$3:$A$14,0))</f>
        <v>120</v>
      </c>
      <c r="F774" s="18" t="n">
        <f aca="false">Kawasan!$B$11*Kawasan!$B$9*C774/1000</f>
        <v>2321.28</v>
      </c>
      <c r="G774" s="18" t="n">
        <f aca="false">Kawasan!$B$30*D774</f>
        <v>1190.4</v>
      </c>
      <c r="H774" s="18" t="n">
        <f aca="false">E774*Desain_Kolam!$B$16/1000</f>
        <v>128.7</v>
      </c>
      <c r="I774" s="18" t="n">
        <f aca="false">F774-G774-H774</f>
        <v>1002.18</v>
      </c>
      <c r="J774" s="18" t="n">
        <f aca="false">J773+I774</f>
        <v>49336.14</v>
      </c>
      <c r="K774" s="18" t="n">
        <f aca="false">MAX(K773,J774)</f>
        <v>49336.14</v>
      </c>
      <c r="L774" s="18" t="n">
        <f aca="false">K774-J774</f>
        <v>0</v>
      </c>
      <c r="M774" s="18" t="n">
        <f aca="false">MIN(Desain_Kolam!$B$21,MAX(0,M773+F774-H774-G774))</f>
        <v>15148.38</v>
      </c>
      <c r="N774" s="6" t="n">
        <f aca="false">IF(M773+F774-H774&gt;=G774,1,0)</f>
        <v>1</v>
      </c>
    </row>
    <row r="775" customFormat="false" ht="15" hidden="false" customHeight="false" outlineLevel="0" collapsed="false">
      <c r="A775" s="6" t="n">
        <v>2017</v>
      </c>
      <c r="B775" s="6" t="n">
        <v>8</v>
      </c>
      <c r="C775" s="4" t="n">
        <v>321</v>
      </c>
      <c r="D775" s="6" t="n">
        <v>31</v>
      </c>
      <c r="E775" s="4" t="n">
        <f aca="false">INDEX(Evaporasi!$B$3:$B$14,MATCH(B775,Evaporasi!$A$3:$A$14,0))</f>
        <v>120</v>
      </c>
      <c r="F775" s="18" t="n">
        <f aca="false">Kawasan!$B$11*Kawasan!$B$9*C775/1000</f>
        <v>2670.72</v>
      </c>
      <c r="G775" s="18" t="n">
        <f aca="false">Kawasan!$B$30*D775</f>
        <v>1190.4</v>
      </c>
      <c r="H775" s="18" t="n">
        <f aca="false">E775*Desain_Kolam!$B$16/1000</f>
        <v>128.7</v>
      </c>
      <c r="I775" s="18" t="n">
        <f aca="false">F775-G775-H775</f>
        <v>1351.62</v>
      </c>
      <c r="J775" s="18" t="n">
        <f aca="false">J774+I775</f>
        <v>50687.76</v>
      </c>
      <c r="K775" s="18" t="n">
        <f aca="false">MAX(K774,J775)</f>
        <v>50687.76</v>
      </c>
      <c r="L775" s="18" t="n">
        <f aca="false">K775-J775</f>
        <v>0</v>
      </c>
      <c r="M775" s="18" t="n">
        <f aca="false">MIN(Desain_Kolam!$B$21,MAX(0,M774+F775-H775-G775))</f>
        <v>15148.38</v>
      </c>
      <c r="N775" s="6" t="n">
        <f aca="false">IF(M774+F775-H775&gt;=G775,1,0)</f>
        <v>1</v>
      </c>
    </row>
    <row r="776" customFormat="false" ht="15" hidden="false" customHeight="false" outlineLevel="0" collapsed="false">
      <c r="A776" s="6" t="n">
        <v>2017</v>
      </c>
      <c r="B776" s="6" t="n">
        <v>9</v>
      </c>
      <c r="C776" s="4" t="n">
        <v>122</v>
      </c>
      <c r="D776" s="6" t="n">
        <v>30</v>
      </c>
      <c r="E776" s="4" t="n">
        <f aca="false">INDEX(Evaporasi!$B$3:$B$14,MATCH(B776,Evaporasi!$A$3:$A$14,0))</f>
        <v>120</v>
      </c>
      <c r="F776" s="18" t="n">
        <f aca="false">Kawasan!$B$11*Kawasan!$B$9*C776/1000</f>
        <v>1015.04</v>
      </c>
      <c r="G776" s="18" t="n">
        <f aca="false">Kawasan!$B$30*D776</f>
        <v>1152</v>
      </c>
      <c r="H776" s="18" t="n">
        <f aca="false">E776*Desain_Kolam!$B$16/1000</f>
        <v>128.7</v>
      </c>
      <c r="I776" s="18" t="n">
        <f aca="false">F776-G776-H776</f>
        <v>-265.66</v>
      </c>
      <c r="J776" s="18" t="n">
        <f aca="false">J775+I776</f>
        <v>50422.1</v>
      </c>
      <c r="K776" s="18" t="n">
        <f aca="false">MAX(K775,J776)</f>
        <v>50687.76</v>
      </c>
      <c r="L776" s="18" t="n">
        <f aca="false">K776-J776</f>
        <v>265.660000000004</v>
      </c>
      <c r="M776" s="18" t="n">
        <f aca="false">MIN(Desain_Kolam!$B$21,MAX(0,M775+F776-H776-G776))</f>
        <v>14882.72</v>
      </c>
      <c r="N776" s="6" t="n">
        <f aca="false">IF(M775+F776-H776&gt;=G776,1,0)</f>
        <v>1</v>
      </c>
    </row>
    <row r="777" customFormat="false" ht="15" hidden="false" customHeight="false" outlineLevel="0" collapsed="false">
      <c r="A777" s="6" t="n">
        <v>2017</v>
      </c>
      <c r="B777" s="6" t="n">
        <v>10</v>
      </c>
      <c r="C777" s="4" t="n">
        <v>107</v>
      </c>
      <c r="D777" s="6" t="n">
        <v>31</v>
      </c>
      <c r="E777" s="4" t="n">
        <f aca="false">INDEX(Evaporasi!$B$3:$B$14,MATCH(B777,Evaporasi!$A$3:$A$14,0))</f>
        <v>120</v>
      </c>
      <c r="F777" s="18" t="n">
        <f aca="false">Kawasan!$B$11*Kawasan!$B$9*C777/1000</f>
        <v>890.24</v>
      </c>
      <c r="G777" s="18" t="n">
        <f aca="false">Kawasan!$B$30*D777</f>
        <v>1190.4</v>
      </c>
      <c r="H777" s="18" t="n">
        <f aca="false">E777*Desain_Kolam!$B$16/1000</f>
        <v>128.7</v>
      </c>
      <c r="I777" s="18" t="n">
        <f aca="false">F777-G777-H777</f>
        <v>-428.86</v>
      </c>
      <c r="J777" s="18" t="n">
        <f aca="false">J776+I777</f>
        <v>49993.24</v>
      </c>
      <c r="K777" s="18" t="n">
        <f aca="false">MAX(K776,J777)</f>
        <v>50687.76</v>
      </c>
      <c r="L777" s="18" t="n">
        <f aca="false">K777-J777</f>
        <v>694.520000000004</v>
      </c>
      <c r="M777" s="18" t="n">
        <f aca="false">MIN(Desain_Kolam!$B$21,MAX(0,M776+F777-H777-G777))</f>
        <v>14453.86</v>
      </c>
      <c r="N777" s="6" t="n">
        <f aca="false">IF(M776+F777-H777&gt;=G777,1,0)</f>
        <v>1</v>
      </c>
    </row>
    <row r="778" customFormat="false" ht="15" hidden="false" customHeight="false" outlineLevel="0" collapsed="false">
      <c r="A778" s="6" t="n">
        <v>2017</v>
      </c>
      <c r="B778" s="6" t="n">
        <v>11</v>
      </c>
      <c r="C778" s="4" t="n">
        <v>184</v>
      </c>
      <c r="D778" s="6" t="n">
        <v>30</v>
      </c>
      <c r="E778" s="4" t="n">
        <f aca="false">INDEX(Evaporasi!$B$3:$B$14,MATCH(B778,Evaporasi!$A$3:$A$14,0))</f>
        <v>120</v>
      </c>
      <c r="F778" s="18" t="n">
        <f aca="false">Kawasan!$B$11*Kawasan!$B$9*C778/1000</f>
        <v>1530.88</v>
      </c>
      <c r="G778" s="18" t="n">
        <f aca="false">Kawasan!$B$30*D778</f>
        <v>1152</v>
      </c>
      <c r="H778" s="18" t="n">
        <f aca="false">E778*Desain_Kolam!$B$16/1000</f>
        <v>128.7</v>
      </c>
      <c r="I778" s="18" t="n">
        <f aca="false">F778-G778-H778</f>
        <v>250.18</v>
      </c>
      <c r="J778" s="18" t="n">
        <f aca="false">J777+I778</f>
        <v>50243.42</v>
      </c>
      <c r="K778" s="18" t="n">
        <f aca="false">MAX(K777,J778)</f>
        <v>50687.76</v>
      </c>
      <c r="L778" s="18" t="n">
        <f aca="false">K778-J778</f>
        <v>444.340000000004</v>
      </c>
      <c r="M778" s="18" t="n">
        <f aca="false">MIN(Desain_Kolam!$B$21,MAX(0,M777+F778-H778-G778))</f>
        <v>14704.04</v>
      </c>
      <c r="N778" s="6" t="n">
        <f aca="false">IF(M777+F778-H778&gt;=G778,1,0)</f>
        <v>1</v>
      </c>
    </row>
    <row r="779" customFormat="false" ht="15" hidden="false" customHeight="false" outlineLevel="0" collapsed="false">
      <c r="A779" s="6" t="n">
        <v>2017</v>
      </c>
      <c r="B779" s="6" t="n">
        <v>12</v>
      </c>
      <c r="C779" s="4" t="n">
        <v>120</v>
      </c>
      <c r="D779" s="6" t="n">
        <v>31</v>
      </c>
      <c r="E779" s="4" t="n">
        <f aca="false">INDEX(Evaporasi!$B$3:$B$14,MATCH(B779,Evaporasi!$A$3:$A$14,0))</f>
        <v>120</v>
      </c>
      <c r="F779" s="18" t="n">
        <f aca="false">Kawasan!$B$11*Kawasan!$B$9*C779/1000</f>
        <v>998.4</v>
      </c>
      <c r="G779" s="18" t="n">
        <f aca="false">Kawasan!$B$30*D779</f>
        <v>1190.4</v>
      </c>
      <c r="H779" s="18" t="n">
        <f aca="false">E779*Desain_Kolam!$B$16/1000</f>
        <v>128.7</v>
      </c>
      <c r="I779" s="18" t="n">
        <f aca="false">F779-G779-H779</f>
        <v>-320.7</v>
      </c>
      <c r="J779" s="18" t="n">
        <f aca="false">J778+I779</f>
        <v>49922.72</v>
      </c>
      <c r="K779" s="18" t="n">
        <f aca="false">MAX(K778,J779)</f>
        <v>50687.76</v>
      </c>
      <c r="L779" s="18" t="n">
        <f aca="false">K779-J779</f>
        <v>765.040000000001</v>
      </c>
      <c r="M779" s="18" t="n">
        <f aca="false">MIN(Desain_Kolam!$B$21,MAX(0,M778+F779-H779-G779))</f>
        <v>14383.34</v>
      </c>
      <c r="N779" s="6" t="n">
        <f aca="false">IF(M778+F779-H779&gt;=G779,1,0)</f>
        <v>1</v>
      </c>
    </row>
    <row r="780" customFormat="false" ht="15" hidden="false" customHeight="false" outlineLevel="0" collapsed="false">
      <c r="A780" s="6" t="n">
        <v>2018</v>
      </c>
      <c r="B780" s="6" t="n">
        <v>1</v>
      </c>
      <c r="C780" s="4" t="n">
        <v>220</v>
      </c>
      <c r="D780" s="6" t="n">
        <v>31</v>
      </c>
      <c r="E780" s="4" t="n">
        <f aca="false">INDEX(Evaporasi!$B$3:$B$14,MATCH(B780,Evaporasi!$A$3:$A$14,0))</f>
        <v>120</v>
      </c>
      <c r="F780" s="18" t="n">
        <f aca="false">Kawasan!$B$11*Kawasan!$B$9*C780/1000</f>
        <v>1830.4</v>
      </c>
      <c r="G780" s="18" t="n">
        <f aca="false">Kawasan!$B$30*D780</f>
        <v>1190.4</v>
      </c>
      <c r="H780" s="18" t="n">
        <f aca="false">E780*Desain_Kolam!$B$16/1000</f>
        <v>128.7</v>
      </c>
      <c r="I780" s="18" t="n">
        <f aca="false">F780-G780-H780</f>
        <v>511.3</v>
      </c>
      <c r="J780" s="18" t="n">
        <f aca="false">J779+I780</f>
        <v>50434.02</v>
      </c>
      <c r="K780" s="18" t="n">
        <f aca="false">MAX(K779,J780)</f>
        <v>50687.76</v>
      </c>
      <c r="L780" s="18" t="n">
        <f aca="false">K780-J780</f>
        <v>253.739999999998</v>
      </c>
      <c r="M780" s="18" t="n">
        <f aca="false">MIN(Desain_Kolam!$B$21,MAX(0,M779+F780-H780-G780))</f>
        <v>14894.64</v>
      </c>
      <c r="N780" s="6" t="n">
        <f aca="false">IF(M779+F780-H780&gt;=G780,1,0)</f>
        <v>1</v>
      </c>
    </row>
    <row r="781" customFormat="false" ht="15" hidden="false" customHeight="false" outlineLevel="0" collapsed="false">
      <c r="A781" s="6" t="n">
        <v>2018</v>
      </c>
      <c r="B781" s="6" t="n">
        <v>2</v>
      </c>
      <c r="C781" s="4" t="n">
        <v>93</v>
      </c>
      <c r="D781" s="6" t="n">
        <v>28</v>
      </c>
      <c r="E781" s="4" t="n">
        <f aca="false">INDEX(Evaporasi!$B$3:$B$14,MATCH(B781,Evaporasi!$A$3:$A$14,0))</f>
        <v>120</v>
      </c>
      <c r="F781" s="18" t="n">
        <f aca="false">Kawasan!$B$11*Kawasan!$B$9*C781/1000</f>
        <v>773.76</v>
      </c>
      <c r="G781" s="18" t="n">
        <f aca="false">Kawasan!$B$30*D781</f>
        <v>1075.2</v>
      </c>
      <c r="H781" s="18" t="n">
        <f aca="false">E781*Desain_Kolam!$B$16/1000</f>
        <v>128.7</v>
      </c>
      <c r="I781" s="18" t="n">
        <f aca="false">F781-G781-H781</f>
        <v>-430.14</v>
      </c>
      <c r="J781" s="18" t="n">
        <f aca="false">J780+I781</f>
        <v>50003.88</v>
      </c>
      <c r="K781" s="18" t="n">
        <f aca="false">MAX(K780,J781)</f>
        <v>50687.76</v>
      </c>
      <c r="L781" s="18" t="n">
        <f aca="false">K781-J781</f>
        <v>683.879999999997</v>
      </c>
      <c r="M781" s="18" t="n">
        <f aca="false">MIN(Desain_Kolam!$B$21,MAX(0,M780+F781-H781-G781))</f>
        <v>14464.5</v>
      </c>
      <c r="N781" s="6" t="n">
        <f aca="false">IF(M780+F781-H781&gt;=G781,1,0)</f>
        <v>1</v>
      </c>
    </row>
    <row r="782" customFormat="false" ht="15" hidden="false" customHeight="false" outlineLevel="0" collapsed="false">
      <c r="A782" s="6" t="n">
        <v>2018</v>
      </c>
      <c r="B782" s="6" t="n">
        <v>3</v>
      </c>
      <c r="C782" s="4" t="n">
        <v>162</v>
      </c>
      <c r="D782" s="6" t="n">
        <v>31</v>
      </c>
      <c r="E782" s="4" t="n">
        <f aca="false">INDEX(Evaporasi!$B$3:$B$14,MATCH(B782,Evaporasi!$A$3:$A$14,0))</f>
        <v>120</v>
      </c>
      <c r="F782" s="18" t="n">
        <f aca="false">Kawasan!$B$11*Kawasan!$B$9*C782/1000</f>
        <v>1347.84</v>
      </c>
      <c r="G782" s="18" t="n">
        <f aca="false">Kawasan!$B$30*D782</f>
        <v>1190.4</v>
      </c>
      <c r="H782" s="18" t="n">
        <f aca="false">E782*Desain_Kolam!$B$16/1000</f>
        <v>128.7</v>
      </c>
      <c r="I782" s="18" t="n">
        <f aca="false">F782-G782-H782</f>
        <v>28.7400000000001</v>
      </c>
      <c r="J782" s="18" t="n">
        <f aca="false">J781+I782</f>
        <v>50032.62</v>
      </c>
      <c r="K782" s="18" t="n">
        <f aca="false">MAX(K781,J782)</f>
        <v>50687.76</v>
      </c>
      <c r="L782" s="18" t="n">
        <f aca="false">K782-J782</f>
        <v>655.139999999999</v>
      </c>
      <c r="M782" s="18" t="n">
        <f aca="false">MIN(Desain_Kolam!$B$21,MAX(0,M781+F782-H782-G782))</f>
        <v>14493.24</v>
      </c>
      <c r="N782" s="6" t="n">
        <f aca="false">IF(M781+F782-H782&gt;=G782,1,0)</f>
        <v>1</v>
      </c>
    </row>
    <row r="783" customFormat="false" ht="15" hidden="false" customHeight="false" outlineLevel="0" collapsed="false">
      <c r="A783" s="6" t="n">
        <v>2018</v>
      </c>
      <c r="B783" s="6" t="n">
        <v>4</v>
      </c>
      <c r="C783" s="4" t="n">
        <v>135</v>
      </c>
      <c r="D783" s="6" t="n">
        <v>30</v>
      </c>
      <c r="E783" s="4" t="n">
        <f aca="false">INDEX(Evaporasi!$B$3:$B$14,MATCH(B783,Evaporasi!$A$3:$A$14,0))</f>
        <v>120</v>
      </c>
      <c r="F783" s="18" t="n">
        <f aca="false">Kawasan!$B$11*Kawasan!$B$9*C783/1000</f>
        <v>1123.2</v>
      </c>
      <c r="G783" s="18" t="n">
        <f aca="false">Kawasan!$B$30*D783</f>
        <v>1152</v>
      </c>
      <c r="H783" s="18" t="n">
        <f aca="false">E783*Desain_Kolam!$B$16/1000</f>
        <v>128.7</v>
      </c>
      <c r="I783" s="18" t="n">
        <f aca="false">F783-G783-H783</f>
        <v>-157.5</v>
      </c>
      <c r="J783" s="18" t="n">
        <f aca="false">J782+I783</f>
        <v>49875.12</v>
      </c>
      <c r="K783" s="18" t="n">
        <f aca="false">MAX(K782,J783)</f>
        <v>50687.76</v>
      </c>
      <c r="L783" s="18" t="n">
        <f aca="false">K783-J783</f>
        <v>812.639999999999</v>
      </c>
      <c r="M783" s="18" t="n">
        <f aca="false">MIN(Desain_Kolam!$B$21,MAX(0,M782+F783-H783-G783))</f>
        <v>14335.74</v>
      </c>
      <c r="N783" s="6" t="n">
        <f aca="false">IF(M782+F783-H783&gt;=G783,1,0)</f>
        <v>1</v>
      </c>
    </row>
    <row r="784" customFormat="false" ht="15" hidden="false" customHeight="false" outlineLevel="0" collapsed="false">
      <c r="A784" s="6" t="n">
        <v>2018</v>
      </c>
      <c r="B784" s="6" t="n">
        <v>5</v>
      </c>
      <c r="C784" s="4" t="n">
        <v>214</v>
      </c>
      <c r="D784" s="6" t="n">
        <v>31</v>
      </c>
      <c r="E784" s="4" t="n">
        <f aca="false">INDEX(Evaporasi!$B$3:$B$14,MATCH(B784,Evaporasi!$A$3:$A$14,0))</f>
        <v>120</v>
      </c>
      <c r="F784" s="18" t="n">
        <f aca="false">Kawasan!$B$11*Kawasan!$B$9*C784/1000</f>
        <v>1780.48</v>
      </c>
      <c r="G784" s="18" t="n">
        <f aca="false">Kawasan!$B$30*D784</f>
        <v>1190.4</v>
      </c>
      <c r="H784" s="18" t="n">
        <f aca="false">E784*Desain_Kolam!$B$16/1000</f>
        <v>128.7</v>
      </c>
      <c r="I784" s="18" t="n">
        <f aca="false">F784-G784-H784</f>
        <v>461.38</v>
      </c>
      <c r="J784" s="18" t="n">
        <f aca="false">J783+I784</f>
        <v>50336.5</v>
      </c>
      <c r="K784" s="18" t="n">
        <f aca="false">MAX(K783,J784)</f>
        <v>50687.76</v>
      </c>
      <c r="L784" s="18" t="n">
        <f aca="false">K784-J784</f>
        <v>351.260000000002</v>
      </c>
      <c r="M784" s="18" t="n">
        <f aca="false">MIN(Desain_Kolam!$B$21,MAX(0,M783+F784-H784-G784))</f>
        <v>14797.12</v>
      </c>
      <c r="N784" s="6" t="n">
        <f aca="false">IF(M783+F784-H784&gt;=G784,1,0)</f>
        <v>1</v>
      </c>
    </row>
    <row r="785" customFormat="false" ht="15" hidden="false" customHeight="false" outlineLevel="0" collapsed="false">
      <c r="A785" s="6" t="n">
        <v>2018</v>
      </c>
      <c r="B785" s="6" t="n">
        <v>6</v>
      </c>
      <c r="C785" s="4" t="n">
        <v>125</v>
      </c>
      <c r="D785" s="6" t="n">
        <v>30</v>
      </c>
      <c r="E785" s="4" t="n">
        <f aca="false">INDEX(Evaporasi!$B$3:$B$14,MATCH(B785,Evaporasi!$A$3:$A$14,0))</f>
        <v>120</v>
      </c>
      <c r="F785" s="18" t="n">
        <f aca="false">Kawasan!$B$11*Kawasan!$B$9*C785/1000</f>
        <v>1040</v>
      </c>
      <c r="G785" s="18" t="n">
        <f aca="false">Kawasan!$B$30*D785</f>
        <v>1152</v>
      </c>
      <c r="H785" s="18" t="n">
        <f aca="false">E785*Desain_Kolam!$B$16/1000</f>
        <v>128.7</v>
      </c>
      <c r="I785" s="18" t="n">
        <f aca="false">F785-G785-H785</f>
        <v>-240.7</v>
      </c>
      <c r="J785" s="18" t="n">
        <f aca="false">J784+I785</f>
        <v>50095.8</v>
      </c>
      <c r="K785" s="18" t="n">
        <f aca="false">MAX(K784,J785)</f>
        <v>50687.76</v>
      </c>
      <c r="L785" s="18" t="n">
        <f aca="false">K785-J785</f>
        <v>591.959999999999</v>
      </c>
      <c r="M785" s="18" t="n">
        <f aca="false">MIN(Desain_Kolam!$B$21,MAX(0,M784+F785-H785-G785))</f>
        <v>14556.42</v>
      </c>
      <c r="N785" s="6" t="n">
        <f aca="false">IF(M784+F785-H785&gt;=G785,1,0)</f>
        <v>1</v>
      </c>
    </row>
    <row r="786" customFormat="false" ht="15" hidden="false" customHeight="false" outlineLevel="0" collapsed="false">
      <c r="A786" s="6" t="n">
        <v>2018</v>
      </c>
      <c r="B786" s="6" t="n">
        <v>7</v>
      </c>
      <c r="C786" s="4" t="n">
        <v>24</v>
      </c>
      <c r="D786" s="6" t="n">
        <v>31</v>
      </c>
      <c r="E786" s="4" t="n">
        <f aca="false">INDEX(Evaporasi!$B$3:$B$14,MATCH(B786,Evaporasi!$A$3:$A$14,0))</f>
        <v>120</v>
      </c>
      <c r="F786" s="18" t="n">
        <f aca="false">Kawasan!$B$11*Kawasan!$B$9*C786/1000</f>
        <v>199.68</v>
      </c>
      <c r="G786" s="18" t="n">
        <f aca="false">Kawasan!$B$30*D786</f>
        <v>1190.4</v>
      </c>
      <c r="H786" s="18" t="n">
        <f aca="false">E786*Desain_Kolam!$B$16/1000</f>
        <v>128.7</v>
      </c>
      <c r="I786" s="18" t="n">
        <f aca="false">F786-G786-H786</f>
        <v>-1119.42</v>
      </c>
      <c r="J786" s="18" t="n">
        <f aca="false">J785+I786</f>
        <v>48976.38</v>
      </c>
      <c r="K786" s="18" t="n">
        <f aca="false">MAX(K785,J786)</f>
        <v>50687.76</v>
      </c>
      <c r="L786" s="18" t="n">
        <f aca="false">K786-J786</f>
        <v>1711.38</v>
      </c>
      <c r="M786" s="18" t="n">
        <f aca="false">MIN(Desain_Kolam!$B$21,MAX(0,M785+F786-H786-G786))</f>
        <v>13437</v>
      </c>
      <c r="N786" s="6" t="n">
        <f aca="false">IF(M785+F786-H786&gt;=G786,1,0)</f>
        <v>1</v>
      </c>
    </row>
    <row r="787" customFormat="false" ht="15" hidden="false" customHeight="false" outlineLevel="0" collapsed="false">
      <c r="A787" s="6" t="n">
        <v>2018</v>
      </c>
      <c r="B787" s="6" t="n">
        <v>8</v>
      </c>
      <c r="C787" s="4" t="n">
        <v>48</v>
      </c>
      <c r="D787" s="6" t="n">
        <v>31</v>
      </c>
      <c r="E787" s="4" t="n">
        <f aca="false">INDEX(Evaporasi!$B$3:$B$14,MATCH(B787,Evaporasi!$A$3:$A$14,0))</f>
        <v>120</v>
      </c>
      <c r="F787" s="18" t="n">
        <f aca="false">Kawasan!$B$11*Kawasan!$B$9*C787/1000</f>
        <v>399.36</v>
      </c>
      <c r="G787" s="18" t="n">
        <f aca="false">Kawasan!$B$30*D787</f>
        <v>1190.4</v>
      </c>
      <c r="H787" s="18" t="n">
        <f aca="false">E787*Desain_Kolam!$B$16/1000</f>
        <v>128.7</v>
      </c>
      <c r="I787" s="18" t="n">
        <f aca="false">F787-G787-H787</f>
        <v>-919.74</v>
      </c>
      <c r="J787" s="18" t="n">
        <f aca="false">J786+I787</f>
        <v>48056.64</v>
      </c>
      <c r="K787" s="18" t="n">
        <f aca="false">MAX(K786,J787)</f>
        <v>50687.76</v>
      </c>
      <c r="L787" s="18" t="n">
        <f aca="false">K787-J787</f>
        <v>2631.12</v>
      </c>
      <c r="M787" s="18" t="n">
        <f aca="false">MIN(Desain_Kolam!$B$21,MAX(0,M786+F787-H787-G787))</f>
        <v>12517.26</v>
      </c>
      <c r="N787" s="6" t="n">
        <f aca="false">IF(M786+F787-H787&gt;=G787,1,0)</f>
        <v>1</v>
      </c>
    </row>
    <row r="788" customFormat="false" ht="15" hidden="false" customHeight="false" outlineLevel="0" collapsed="false">
      <c r="A788" s="6" t="n">
        <v>2018</v>
      </c>
      <c r="B788" s="6" t="n">
        <v>9</v>
      </c>
      <c r="C788" s="4" t="n">
        <v>103</v>
      </c>
      <c r="D788" s="6" t="n">
        <v>30</v>
      </c>
      <c r="E788" s="4" t="n">
        <f aca="false">INDEX(Evaporasi!$B$3:$B$14,MATCH(B788,Evaporasi!$A$3:$A$14,0))</f>
        <v>120</v>
      </c>
      <c r="F788" s="18" t="n">
        <f aca="false">Kawasan!$B$11*Kawasan!$B$9*C788/1000</f>
        <v>856.96</v>
      </c>
      <c r="G788" s="18" t="n">
        <f aca="false">Kawasan!$B$30*D788</f>
        <v>1152</v>
      </c>
      <c r="H788" s="18" t="n">
        <f aca="false">E788*Desain_Kolam!$B$16/1000</f>
        <v>128.7</v>
      </c>
      <c r="I788" s="18" t="n">
        <f aca="false">F788-G788-H788</f>
        <v>-423.74</v>
      </c>
      <c r="J788" s="18" t="n">
        <f aca="false">J787+I788</f>
        <v>47632.9</v>
      </c>
      <c r="K788" s="18" t="n">
        <f aca="false">MAX(K787,J788)</f>
        <v>50687.76</v>
      </c>
      <c r="L788" s="18" t="n">
        <f aca="false">K788-J788</f>
        <v>3054.85999999999</v>
      </c>
      <c r="M788" s="18" t="n">
        <f aca="false">MIN(Desain_Kolam!$B$21,MAX(0,M787+F788-H788-G788))</f>
        <v>12093.52</v>
      </c>
      <c r="N788" s="6" t="n">
        <f aca="false">IF(M787+F788-H788&gt;=G788,1,0)</f>
        <v>1</v>
      </c>
    </row>
    <row r="789" customFormat="false" ht="15" hidden="false" customHeight="false" outlineLevel="0" collapsed="false">
      <c r="A789" s="6" t="n">
        <v>2018</v>
      </c>
      <c r="B789" s="6" t="n">
        <v>10</v>
      </c>
      <c r="C789" s="4" t="n">
        <v>176</v>
      </c>
      <c r="D789" s="6" t="n">
        <v>31</v>
      </c>
      <c r="E789" s="4" t="n">
        <f aca="false">INDEX(Evaporasi!$B$3:$B$14,MATCH(B789,Evaporasi!$A$3:$A$14,0))</f>
        <v>120</v>
      </c>
      <c r="F789" s="18" t="n">
        <f aca="false">Kawasan!$B$11*Kawasan!$B$9*C789/1000</f>
        <v>1464.32</v>
      </c>
      <c r="G789" s="18" t="n">
        <f aca="false">Kawasan!$B$30*D789</f>
        <v>1190.4</v>
      </c>
      <c r="H789" s="18" t="n">
        <f aca="false">E789*Desain_Kolam!$B$16/1000</f>
        <v>128.7</v>
      </c>
      <c r="I789" s="18" t="n">
        <f aca="false">F789-G789-H789</f>
        <v>145.22</v>
      </c>
      <c r="J789" s="18" t="n">
        <f aca="false">J788+I789</f>
        <v>47778.12</v>
      </c>
      <c r="K789" s="18" t="n">
        <f aca="false">MAX(K788,J789)</f>
        <v>50687.76</v>
      </c>
      <c r="L789" s="18" t="n">
        <f aca="false">K789-J789</f>
        <v>2909.63999999999</v>
      </c>
      <c r="M789" s="18" t="n">
        <f aca="false">MIN(Desain_Kolam!$B$21,MAX(0,M788+F789-H789-G789))</f>
        <v>12238.74</v>
      </c>
      <c r="N789" s="6" t="n">
        <f aca="false">IF(M788+F789-H789&gt;=G789,1,0)</f>
        <v>1</v>
      </c>
    </row>
    <row r="790" customFormat="false" ht="15" hidden="false" customHeight="false" outlineLevel="0" collapsed="false">
      <c r="A790" s="6" t="n">
        <v>2018</v>
      </c>
      <c r="B790" s="6" t="n">
        <v>11</v>
      </c>
      <c r="C790" s="4" t="n">
        <v>172</v>
      </c>
      <c r="D790" s="6" t="n">
        <v>30</v>
      </c>
      <c r="E790" s="4" t="n">
        <f aca="false">INDEX(Evaporasi!$B$3:$B$14,MATCH(B790,Evaporasi!$A$3:$A$14,0))</f>
        <v>120</v>
      </c>
      <c r="F790" s="18" t="n">
        <f aca="false">Kawasan!$B$11*Kawasan!$B$9*C790/1000</f>
        <v>1431.04</v>
      </c>
      <c r="G790" s="18" t="n">
        <f aca="false">Kawasan!$B$30*D790</f>
        <v>1152</v>
      </c>
      <c r="H790" s="18" t="n">
        <f aca="false">E790*Desain_Kolam!$B$16/1000</f>
        <v>128.7</v>
      </c>
      <c r="I790" s="18" t="n">
        <f aca="false">F790-G790-H790</f>
        <v>150.34</v>
      </c>
      <c r="J790" s="18" t="n">
        <f aca="false">J789+I790</f>
        <v>47928.46</v>
      </c>
      <c r="K790" s="18" t="n">
        <f aca="false">MAX(K789,J790)</f>
        <v>50687.76</v>
      </c>
      <c r="L790" s="18" t="n">
        <f aca="false">K790-J790</f>
        <v>2759.3</v>
      </c>
      <c r="M790" s="18" t="n">
        <f aca="false">MIN(Desain_Kolam!$B$21,MAX(0,M789+F790-H790-G790))</f>
        <v>12389.08</v>
      </c>
      <c r="N790" s="6" t="n">
        <f aca="false">IF(M789+F790-H790&gt;=G790,1,0)</f>
        <v>1</v>
      </c>
    </row>
    <row r="791" customFormat="false" ht="15" hidden="false" customHeight="false" outlineLevel="0" collapsed="false">
      <c r="A791" s="6" t="n">
        <v>2018</v>
      </c>
      <c r="B791" s="6" t="n">
        <v>12</v>
      </c>
      <c r="C791" s="4" t="n">
        <v>182</v>
      </c>
      <c r="D791" s="6" t="n">
        <v>31</v>
      </c>
      <c r="E791" s="4" t="n">
        <f aca="false">INDEX(Evaporasi!$B$3:$B$14,MATCH(B791,Evaporasi!$A$3:$A$14,0))</f>
        <v>120</v>
      </c>
      <c r="F791" s="18" t="n">
        <f aca="false">Kawasan!$B$11*Kawasan!$B$9*C791/1000</f>
        <v>1514.24</v>
      </c>
      <c r="G791" s="18" t="n">
        <f aca="false">Kawasan!$B$30*D791</f>
        <v>1190.4</v>
      </c>
      <c r="H791" s="18" t="n">
        <f aca="false">E791*Desain_Kolam!$B$16/1000</f>
        <v>128.7</v>
      </c>
      <c r="I791" s="18" t="n">
        <f aca="false">F791-G791-H791</f>
        <v>195.14</v>
      </c>
      <c r="J791" s="18" t="n">
        <f aca="false">J790+I791</f>
        <v>48123.6</v>
      </c>
      <c r="K791" s="18" t="n">
        <f aca="false">MAX(K790,J791)</f>
        <v>50687.76</v>
      </c>
      <c r="L791" s="18" t="n">
        <f aca="false">K791-J791</f>
        <v>2564.16</v>
      </c>
      <c r="M791" s="18" t="n">
        <f aca="false">MIN(Desain_Kolam!$B$21,MAX(0,M790+F791-H791-G791))</f>
        <v>12584.22</v>
      </c>
      <c r="N791" s="6" t="n">
        <f aca="false">IF(M790+F791-H791&gt;=G791,1,0)</f>
        <v>1</v>
      </c>
    </row>
    <row r="792" customFormat="false" ht="15" hidden="false" customHeight="false" outlineLevel="0" collapsed="false">
      <c r="A792" s="6" t="n">
        <v>2019</v>
      </c>
      <c r="B792" s="6" t="n">
        <v>1</v>
      </c>
      <c r="C792" s="4" t="n">
        <v>124</v>
      </c>
      <c r="D792" s="6" t="n">
        <v>31</v>
      </c>
      <c r="E792" s="4" t="n">
        <f aca="false">INDEX(Evaporasi!$B$3:$B$14,MATCH(B792,Evaporasi!$A$3:$A$14,0))</f>
        <v>120</v>
      </c>
      <c r="F792" s="18" t="n">
        <f aca="false">Kawasan!$B$11*Kawasan!$B$9*C792/1000</f>
        <v>1031.68</v>
      </c>
      <c r="G792" s="18" t="n">
        <f aca="false">Kawasan!$B$30*D792</f>
        <v>1190.4</v>
      </c>
      <c r="H792" s="18" t="n">
        <f aca="false">E792*Desain_Kolam!$B$16/1000</f>
        <v>128.7</v>
      </c>
      <c r="I792" s="18" t="n">
        <f aca="false">F792-G792-H792</f>
        <v>-287.42</v>
      </c>
      <c r="J792" s="18" t="n">
        <f aca="false">J791+I792</f>
        <v>47836.18</v>
      </c>
      <c r="K792" s="18" t="n">
        <f aca="false">MAX(K791,J792)</f>
        <v>50687.76</v>
      </c>
      <c r="L792" s="18" t="n">
        <f aca="false">K792-J792</f>
        <v>2851.57999999999</v>
      </c>
      <c r="M792" s="18" t="n">
        <f aca="false">MIN(Desain_Kolam!$B$21,MAX(0,M791+F792-H792-G792))</f>
        <v>12296.8</v>
      </c>
      <c r="N792" s="6" t="n">
        <f aca="false">IF(M791+F792-H792&gt;=G792,1,0)</f>
        <v>1</v>
      </c>
    </row>
    <row r="793" customFormat="false" ht="15" hidden="false" customHeight="false" outlineLevel="0" collapsed="false">
      <c r="A793" s="6" t="n">
        <v>2019</v>
      </c>
      <c r="B793" s="6" t="n">
        <v>2</v>
      </c>
      <c r="C793" s="4" t="n">
        <v>207</v>
      </c>
      <c r="D793" s="6" t="n">
        <v>28</v>
      </c>
      <c r="E793" s="4" t="n">
        <f aca="false">INDEX(Evaporasi!$B$3:$B$14,MATCH(B793,Evaporasi!$A$3:$A$14,0))</f>
        <v>120</v>
      </c>
      <c r="F793" s="18" t="n">
        <f aca="false">Kawasan!$B$11*Kawasan!$B$9*C793/1000</f>
        <v>1722.24</v>
      </c>
      <c r="G793" s="18" t="n">
        <f aca="false">Kawasan!$B$30*D793</f>
        <v>1075.2</v>
      </c>
      <c r="H793" s="18" t="n">
        <f aca="false">E793*Desain_Kolam!$B$16/1000</f>
        <v>128.7</v>
      </c>
      <c r="I793" s="18" t="n">
        <f aca="false">F793-G793-H793</f>
        <v>518.34</v>
      </c>
      <c r="J793" s="18" t="n">
        <f aca="false">J792+I793</f>
        <v>48354.52</v>
      </c>
      <c r="K793" s="18" t="n">
        <f aca="false">MAX(K792,J793)</f>
        <v>50687.76</v>
      </c>
      <c r="L793" s="18" t="n">
        <f aca="false">K793-J793</f>
        <v>2333.24</v>
      </c>
      <c r="M793" s="18" t="n">
        <f aca="false">MIN(Desain_Kolam!$B$21,MAX(0,M792+F793-H793-G793))</f>
        <v>12815.14</v>
      </c>
      <c r="N793" s="6" t="n">
        <f aca="false">IF(M792+F793-H793&gt;=G793,1,0)</f>
        <v>1</v>
      </c>
    </row>
    <row r="794" customFormat="false" ht="15" hidden="false" customHeight="false" outlineLevel="0" collapsed="false">
      <c r="A794" s="6" t="n">
        <v>2019</v>
      </c>
      <c r="B794" s="6" t="n">
        <v>3</v>
      </c>
      <c r="C794" s="4" t="n">
        <v>44</v>
      </c>
      <c r="D794" s="6" t="n">
        <v>31</v>
      </c>
      <c r="E794" s="4" t="n">
        <f aca="false">INDEX(Evaporasi!$B$3:$B$14,MATCH(B794,Evaporasi!$A$3:$A$14,0))</f>
        <v>120</v>
      </c>
      <c r="F794" s="18" t="n">
        <f aca="false">Kawasan!$B$11*Kawasan!$B$9*C794/1000</f>
        <v>366.08</v>
      </c>
      <c r="G794" s="18" t="n">
        <f aca="false">Kawasan!$B$30*D794</f>
        <v>1190.4</v>
      </c>
      <c r="H794" s="18" t="n">
        <f aca="false">E794*Desain_Kolam!$B$16/1000</f>
        <v>128.7</v>
      </c>
      <c r="I794" s="18" t="n">
        <f aca="false">F794-G794-H794</f>
        <v>-953.02</v>
      </c>
      <c r="J794" s="18" t="n">
        <f aca="false">J793+I794</f>
        <v>47401.5</v>
      </c>
      <c r="K794" s="18" t="n">
        <f aca="false">MAX(K793,J794)</f>
        <v>50687.76</v>
      </c>
      <c r="L794" s="18" t="n">
        <f aca="false">K794-J794</f>
        <v>3286.25999999999</v>
      </c>
      <c r="M794" s="18" t="n">
        <f aca="false">MIN(Desain_Kolam!$B$21,MAX(0,M793+F794-H794-G794))</f>
        <v>11862.12</v>
      </c>
      <c r="N794" s="6" t="n">
        <f aca="false">IF(M793+F794-H794&gt;=G794,1,0)</f>
        <v>1</v>
      </c>
    </row>
    <row r="795" customFormat="false" ht="15" hidden="false" customHeight="false" outlineLevel="0" collapsed="false">
      <c r="A795" s="6" t="n">
        <v>2019</v>
      </c>
      <c r="B795" s="6" t="n">
        <v>4</v>
      </c>
      <c r="C795" s="4" t="n">
        <v>151</v>
      </c>
      <c r="D795" s="6" t="n">
        <v>30</v>
      </c>
      <c r="E795" s="4" t="n">
        <f aca="false">INDEX(Evaporasi!$B$3:$B$14,MATCH(B795,Evaporasi!$A$3:$A$14,0))</f>
        <v>120</v>
      </c>
      <c r="F795" s="18" t="n">
        <f aca="false">Kawasan!$B$11*Kawasan!$B$9*C795/1000</f>
        <v>1256.32</v>
      </c>
      <c r="G795" s="18" t="n">
        <f aca="false">Kawasan!$B$30*D795</f>
        <v>1152</v>
      </c>
      <c r="H795" s="18" t="n">
        <f aca="false">E795*Desain_Kolam!$B$16/1000</f>
        <v>128.7</v>
      </c>
      <c r="I795" s="18" t="n">
        <f aca="false">F795-G795-H795</f>
        <v>-24.3800000000001</v>
      </c>
      <c r="J795" s="18" t="n">
        <f aca="false">J794+I795</f>
        <v>47377.12</v>
      </c>
      <c r="K795" s="18" t="n">
        <f aca="false">MAX(K794,J795)</f>
        <v>50687.76</v>
      </c>
      <c r="L795" s="18" t="n">
        <f aca="false">K795-J795</f>
        <v>3310.63999999999</v>
      </c>
      <c r="M795" s="18" t="n">
        <f aca="false">MIN(Desain_Kolam!$B$21,MAX(0,M794+F795-H795-G795))</f>
        <v>11837.74</v>
      </c>
      <c r="N795" s="6" t="n">
        <f aca="false">IF(M794+F795-H795&gt;=G795,1,0)</f>
        <v>1</v>
      </c>
    </row>
    <row r="796" customFormat="false" ht="15" hidden="false" customHeight="false" outlineLevel="0" collapsed="false">
      <c r="A796" s="6" t="n">
        <v>2019</v>
      </c>
      <c r="B796" s="6" t="n">
        <v>5</v>
      </c>
      <c r="C796" s="4" t="n">
        <v>118</v>
      </c>
      <c r="D796" s="6" t="n">
        <v>31</v>
      </c>
      <c r="E796" s="4" t="n">
        <f aca="false">INDEX(Evaporasi!$B$3:$B$14,MATCH(B796,Evaporasi!$A$3:$A$14,0))</f>
        <v>120</v>
      </c>
      <c r="F796" s="18" t="n">
        <f aca="false">Kawasan!$B$11*Kawasan!$B$9*C796/1000</f>
        <v>981.76</v>
      </c>
      <c r="G796" s="18" t="n">
        <f aca="false">Kawasan!$B$30*D796</f>
        <v>1190.4</v>
      </c>
      <c r="H796" s="18" t="n">
        <f aca="false">E796*Desain_Kolam!$B$16/1000</f>
        <v>128.7</v>
      </c>
      <c r="I796" s="18" t="n">
        <f aca="false">F796-G796-H796</f>
        <v>-337.34</v>
      </c>
      <c r="J796" s="18" t="n">
        <f aca="false">J795+I796</f>
        <v>47039.78</v>
      </c>
      <c r="K796" s="18" t="n">
        <f aca="false">MAX(K795,J796)</f>
        <v>50687.76</v>
      </c>
      <c r="L796" s="18" t="n">
        <f aca="false">K796-J796</f>
        <v>3647.97999999999</v>
      </c>
      <c r="M796" s="18" t="n">
        <f aca="false">MIN(Desain_Kolam!$B$21,MAX(0,M795+F796-H796-G796))</f>
        <v>11500.4</v>
      </c>
      <c r="N796" s="6" t="n">
        <f aca="false">IF(M795+F796-H796&gt;=G796,1,0)</f>
        <v>1</v>
      </c>
    </row>
    <row r="797" customFormat="false" ht="15" hidden="false" customHeight="false" outlineLevel="0" collapsed="false">
      <c r="A797" s="6" t="n">
        <v>2019</v>
      </c>
      <c r="B797" s="6" t="n">
        <v>6</v>
      </c>
      <c r="C797" s="4" t="n">
        <v>125</v>
      </c>
      <c r="D797" s="6" t="n">
        <v>30</v>
      </c>
      <c r="E797" s="4" t="n">
        <f aca="false">INDEX(Evaporasi!$B$3:$B$14,MATCH(B797,Evaporasi!$A$3:$A$14,0))</f>
        <v>120</v>
      </c>
      <c r="F797" s="18" t="n">
        <f aca="false">Kawasan!$B$11*Kawasan!$B$9*C797/1000</f>
        <v>1040</v>
      </c>
      <c r="G797" s="18" t="n">
        <f aca="false">Kawasan!$B$30*D797</f>
        <v>1152</v>
      </c>
      <c r="H797" s="18" t="n">
        <f aca="false">E797*Desain_Kolam!$B$16/1000</f>
        <v>128.7</v>
      </c>
      <c r="I797" s="18" t="n">
        <f aca="false">F797-G797-H797</f>
        <v>-240.7</v>
      </c>
      <c r="J797" s="18" t="n">
        <f aca="false">J796+I797</f>
        <v>46799.08</v>
      </c>
      <c r="K797" s="18" t="n">
        <f aca="false">MAX(K796,J797)</f>
        <v>50687.76</v>
      </c>
      <c r="L797" s="18" t="n">
        <f aca="false">K797-J797</f>
        <v>3888.67999999999</v>
      </c>
      <c r="M797" s="18" t="n">
        <f aca="false">MIN(Desain_Kolam!$B$21,MAX(0,M796+F797-H797-G797))</f>
        <v>11259.7</v>
      </c>
      <c r="N797" s="6" t="n">
        <f aca="false">IF(M796+F797-H797&gt;=G797,1,0)</f>
        <v>1</v>
      </c>
    </row>
    <row r="798" customFormat="false" ht="15" hidden="false" customHeight="false" outlineLevel="0" collapsed="false">
      <c r="A798" s="6" t="n">
        <v>2019</v>
      </c>
      <c r="B798" s="6" t="n">
        <v>7</v>
      </c>
      <c r="C798" s="4" t="n">
        <v>53</v>
      </c>
      <c r="D798" s="6" t="n">
        <v>31</v>
      </c>
      <c r="E798" s="4" t="n">
        <f aca="false">INDEX(Evaporasi!$B$3:$B$14,MATCH(B798,Evaporasi!$A$3:$A$14,0))</f>
        <v>120</v>
      </c>
      <c r="F798" s="18" t="n">
        <f aca="false">Kawasan!$B$11*Kawasan!$B$9*C798/1000</f>
        <v>440.96</v>
      </c>
      <c r="G798" s="18" t="n">
        <f aca="false">Kawasan!$B$30*D798</f>
        <v>1190.4</v>
      </c>
      <c r="H798" s="18" t="n">
        <f aca="false">E798*Desain_Kolam!$B$16/1000</f>
        <v>128.7</v>
      </c>
      <c r="I798" s="18" t="n">
        <f aca="false">F798-G798-H798</f>
        <v>-878.14</v>
      </c>
      <c r="J798" s="18" t="n">
        <f aca="false">J797+I798</f>
        <v>45920.94</v>
      </c>
      <c r="K798" s="18" t="n">
        <f aca="false">MAX(K797,J798)</f>
        <v>50687.76</v>
      </c>
      <c r="L798" s="18" t="n">
        <f aca="false">K798-J798</f>
        <v>4766.81999999999</v>
      </c>
      <c r="M798" s="18" t="n">
        <f aca="false">MIN(Desain_Kolam!$B$21,MAX(0,M797+F798-H798-G798))</f>
        <v>10381.56</v>
      </c>
      <c r="N798" s="6" t="n">
        <f aca="false">IF(M797+F798-H798&gt;=G798,1,0)</f>
        <v>1</v>
      </c>
    </row>
    <row r="799" customFormat="false" ht="15" hidden="false" customHeight="false" outlineLevel="0" collapsed="false">
      <c r="A799" s="6" t="n">
        <v>2019</v>
      </c>
      <c r="B799" s="6" t="n">
        <v>8</v>
      </c>
      <c r="C799" s="4" t="n">
        <v>76</v>
      </c>
      <c r="D799" s="6" t="n">
        <v>31</v>
      </c>
      <c r="E799" s="4" t="n">
        <f aca="false">INDEX(Evaporasi!$B$3:$B$14,MATCH(B799,Evaporasi!$A$3:$A$14,0))</f>
        <v>120</v>
      </c>
      <c r="F799" s="18" t="n">
        <f aca="false">Kawasan!$B$11*Kawasan!$B$9*C799/1000</f>
        <v>632.32</v>
      </c>
      <c r="G799" s="18" t="n">
        <f aca="false">Kawasan!$B$30*D799</f>
        <v>1190.4</v>
      </c>
      <c r="H799" s="18" t="n">
        <f aca="false">E799*Desain_Kolam!$B$16/1000</f>
        <v>128.7</v>
      </c>
      <c r="I799" s="18" t="n">
        <f aca="false">F799-G799-H799</f>
        <v>-686.78</v>
      </c>
      <c r="J799" s="18" t="n">
        <f aca="false">J798+I799</f>
        <v>45234.16</v>
      </c>
      <c r="K799" s="18" t="n">
        <f aca="false">MAX(K798,J799)</f>
        <v>50687.76</v>
      </c>
      <c r="L799" s="18" t="n">
        <f aca="false">K799-J799</f>
        <v>5453.59999999998</v>
      </c>
      <c r="M799" s="18" t="n">
        <f aca="false">MIN(Desain_Kolam!$B$21,MAX(0,M798+F799-H799-G799))</f>
        <v>9694.77999999999</v>
      </c>
      <c r="N799" s="6" t="n">
        <f aca="false">IF(M798+F799-H799&gt;=G799,1,0)</f>
        <v>1</v>
      </c>
    </row>
    <row r="800" customFormat="false" ht="15" hidden="false" customHeight="false" outlineLevel="0" collapsed="false">
      <c r="A800" s="6" t="n">
        <v>2019</v>
      </c>
      <c r="B800" s="6" t="n">
        <v>9</v>
      </c>
      <c r="C800" s="4" t="n">
        <v>41</v>
      </c>
      <c r="D800" s="6" t="n">
        <v>30</v>
      </c>
      <c r="E800" s="4" t="n">
        <f aca="false">INDEX(Evaporasi!$B$3:$B$14,MATCH(B800,Evaporasi!$A$3:$A$14,0))</f>
        <v>120</v>
      </c>
      <c r="F800" s="18" t="n">
        <f aca="false">Kawasan!$B$11*Kawasan!$B$9*C800/1000</f>
        <v>341.12</v>
      </c>
      <c r="G800" s="18" t="n">
        <f aca="false">Kawasan!$B$30*D800</f>
        <v>1152</v>
      </c>
      <c r="H800" s="18" t="n">
        <f aca="false">E800*Desain_Kolam!$B$16/1000</f>
        <v>128.7</v>
      </c>
      <c r="I800" s="18" t="n">
        <f aca="false">F800-G800-H800</f>
        <v>-939.58</v>
      </c>
      <c r="J800" s="18" t="n">
        <f aca="false">J799+I800</f>
        <v>44294.58</v>
      </c>
      <c r="K800" s="18" t="n">
        <f aca="false">MAX(K799,J800)</f>
        <v>50687.76</v>
      </c>
      <c r="L800" s="18" t="n">
        <f aca="false">K800-J800</f>
        <v>6393.17999999999</v>
      </c>
      <c r="M800" s="18" t="n">
        <f aca="false">MIN(Desain_Kolam!$B$21,MAX(0,M799+F800-H800-G800))</f>
        <v>8755.19999999999</v>
      </c>
      <c r="N800" s="6" t="n">
        <f aca="false">IF(M799+F800-H800&gt;=G800,1,0)</f>
        <v>1</v>
      </c>
    </row>
    <row r="801" customFormat="false" ht="15" hidden="false" customHeight="false" outlineLevel="0" collapsed="false">
      <c r="A801" s="6" t="n">
        <v>2019</v>
      </c>
      <c r="B801" s="6" t="n">
        <v>10</v>
      </c>
      <c r="C801" s="4" t="n">
        <v>548</v>
      </c>
      <c r="D801" s="6" t="n">
        <v>31</v>
      </c>
      <c r="E801" s="4" t="n">
        <f aca="false">INDEX(Evaporasi!$B$3:$B$14,MATCH(B801,Evaporasi!$A$3:$A$14,0))</f>
        <v>120</v>
      </c>
      <c r="F801" s="18" t="n">
        <f aca="false">Kawasan!$B$11*Kawasan!$B$9*C801/1000</f>
        <v>4559.36</v>
      </c>
      <c r="G801" s="18" t="n">
        <f aca="false">Kawasan!$B$30*D801</f>
        <v>1190.4</v>
      </c>
      <c r="H801" s="18" t="n">
        <f aca="false">E801*Desain_Kolam!$B$16/1000</f>
        <v>128.7</v>
      </c>
      <c r="I801" s="18" t="n">
        <f aca="false">F801-G801-H801</f>
        <v>3240.26</v>
      </c>
      <c r="J801" s="18" t="n">
        <f aca="false">J800+I801</f>
        <v>47534.84</v>
      </c>
      <c r="K801" s="18" t="n">
        <f aca="false">MAX(K800,J801)</f>
        <v>50687.76</v>
      </c>
      <c r="L801" s="18" t="n">
        <f aca="false">K801-J801</f>
        <v>3152.91999999998</v>
      </c>
      <c r="M801" s="18" t="n">
        <f aca="false">MIN(Desain_Kolam!$B$21,MAX(0,M800+F801-H801-G801))</f>
        <v>11995.46</v>
      </c>
      <c r="N801" s="6" t="n">
        <f aca="false">IF(M800+F801-H801&gt;=G801,1,0)</f>
        <v>1</v>
      </c>
    </row>
    <row r="802" customFormat="false" ht="15" hidden="false" customHeight="false" outlineLevel="0" collapsed="false">
      <c r="A802" s="6" t="n">
        <v>2019</v>
      </c>
      <c r="B802" s="6" t="n">
        <v>11</v>
      </c>
      <c r="C802" s="4" t="n">
        <v>469</v>
      </c>
      <c r="D802" s="6" t="n">
        <v>30</v>
      </c>
      <c r="E802" s="4" t="n">
        <f aca="false">INDEX(Evaporasi!$B$3:$B$14,MATCH(B802,Evaporasi!$A$3:$A$14,0))</f>
        <v>120</v>
      </c>
      <c r="F802" s="18" t="n">
        <f aca="false">Kawasan!$B$11*Kawasan!$B$9*C802/1000</f>
        <v>3902.08</v>
      </c>
      <c r="G802" s="18" t="n">
        <f aca="false">Kawasan!$B$30*D802</f>
        <v>1152</v>
      </c>
      <c r="H802" s="18" t="n">
        <f aca="false">E802*Desain_Kolam!$B$16/1000</f>
        <v>128.7</v>
      </c>
      <c r="I802" s="18" t="n">
        <f aca="false">F802-G802-H802</f>
        <v>2621.38</v>
      </c>
      <c r="J802" s="18" t="n">
        <f aca="false">J801+I802</f>
        <v>50156.22</v>
      </c>
      <c r="K802" s="18" t="n">
        <f aca="false">MAX(K801,J802)</f>
        <v>50687.76</v>
      </c>
      <c r="L802" s="18" t="n">
        <f aca="false">K802-J802</f>
        <v>531.539999999986</v>
      </c>
      <c r="M802" s="18" t="n">
        <f aca="false">MIN(Desain_Kolam!$B$21,MAX(0,M801+F802-H802-G802))</f>
        <v>14616.84</v>
      </c>
      <c r="N802" s="6" t="n">
        <f aca="false">IF(M801+F802-H802&gt;=G802,1,0)</f>
        <v>1</v>
      </c>
    </row>
    <row r="803" customFormat="false" ht="15" hidden="false" customHeight="false" outlineLevel="0" collapsed="false">
      <c r="A803" s="6" t="n">
        <v>2019</v>
      </c>
      <c r="B803" s="6" t="n">
        <v>12</v>
      </c>
      <c r="C803" s="4" t="n">
        <v>357</v>
      </c>
      <c r="D803" s="6" t="n">
        <v>31</v>
      </c>
      <c r="E803" s="4" t="n">
        <f aca="false">INDEX(Evaporasi!$B$3:$B$14,MATCH(B803,Evaporasi!$A$3:$A$14,0))</f>
        <v>120</v>
      </c>
      <c r="F803" s="18" t="n">
        <f aca="false">Kawasan!$B$11*Kawasan!$B$9*C803/1000</f>
        <v>2970.24</v>
      </c>
      <c r="G803" s="18" t="n">
        <f aca="false">Kawasan!$B$30*D803</f>
        <v>1190.4</v>
      </c>
      <c r="H803" s="18" t="n">
        <f aca="false">E803*Desain_Kolam!$B$16/1000</f>
        <v>128.7</v>
      </c>
      <c r="I803" s="18" t="n">
        <f aca="false">F803-G803-H803</f>
        <v>1651.14</v>
      </c>
      <c r="J803" s="18" t="n">
        <f aca="false">J802+I803</f>
        <v>51807.36</v>
      </c>
      <c r="K803" s="18" t="n">
        <f aca="false">MAX(K802,J803)</f>
        <v>51807.36</v>
      </c>
      <c r="L803" s="18" t="n">
        <f aca="false">K803-J803</f>
        <v>0</v>
      </c>
      <c r="M803" s="18" t="n">
        <f aca="false">MIN(Desain_Kolam!$B$21,MAX(0,M802+F803-H803-G803))</f>
        <v>15148.38</v>
      </c>
      <c r="N803" s="6" t="n">
        <f aca="false">IF(M802+F803-H803&gt;=G803,1,0)</f>
        <v>1</v>
      </c>
    </row>
    <row r="804" customFormat="false" ht="15" hidden="false" customHeight="false" outlineLevel="0" collapsed="false">
      <c r="A804" s="6" t="n">
        <v>2020</v>
      </c>
      <c r="B804" s="6" t="n">
        <v>1</v>
      </c>
      <c r="C804" s="4" t="n">
        <v>337</v>
      </c>
      <c r="D804" s="6" t="n">
        <v>31</v>
      </c>
      <c r="E804" s="4" t="n">
        <f aca="false">INDEX(Evaporasi!$B$3:$B$14,MATCH(B804,Evaporasi!$A$3:$A$14,0))</f>
        <v>120</v>
      </c>
      <c r="F804" s="18" t="n">
        <f aca="false">Kawasan!$B$11*Kawasan!$B$9*C804/1000</f>
        <v>2803.84</v>
      </c>
      <c r="G804" s="18" t="n">
        <f aca="false">Kawasan!$B$30*D804</f>
        <v>1190.4</v>
      </c>
      <c r="H804" s="18" t="n">
        <f aca="false">E804*Desain_Kolam!$B$16/1000</f>
        <v>128.7</v>
      </c>
      <c r="I804" s="18" t="n">
        <f aca="false">F804-G804-H804</f>
        <v>1484.74</v>
      </c>
      <c r="J804" s="18" t="n">
        <f aca="false">J803+I804</f>
        <v>53292.1</v>
      </c>
      <c r="K804" s="18" t="n">
        <f aca="false">MAX(K803,J804)</f>
        <v>53292.1</v>
      </c>
      <c r="L804" s="18" t="n">
        <f aca="false">K804-J804</f>
        <v>0</v>
      </c>
      <c r="M804" s="18" t="n">
        <f aca="false">MIN(Desain_Kolam!$B$21,MAX(0,M803+F804-H804-G804))</f>
        <v>15148.38</v>
      </c>
      <c r="N804" s="6" t="n">
        <f aca="false">IF(M803+F804-H804&gt;=G804,1,0)</f>
        <v>1</v>
      </c>
    </row>
    <row r="805" customFormat="false" ht="15" hidden="false" customHeight="false" outlineLevel="0" collapsed="false">
      <c r="A805" s="6" t="n">
        <v>2020</v>
      </c>
      <c r="B805" s="6" t="n">
        <v>2</v>
      </c>
      <c r="C805" s="4" t="n">
        <v>305</v>
      </c>
      <c r="D805" s="6" t="n">
        <v>29</v>
      </c>
      <c r="E805" s="4" t="n">
        <f aca="false">INDEX(Evaporasi!$B$3:$B$14,MATCH(B805,Evaporasi!$A$3:$A$14,0))</f>
        <v>120</v>
      </c>
      <c r="F805" s="18" t="n">
        <f aca="false">Kawasan!$B$11*Kawasan!$B$9*C805/1000</f>
        <v>2537.6</v>
      </c>
      <c r="G805" s="18" t="n">
        <f aca="false">Kawasan!$B$30*D805</f>
        <v>1113.6</v>
      </c>
      <c r="H805" s="18" t="n">
        <f aca="false">E805*Desain_Kolam!$B$16/1000</f>
        <v>128.7</v>
      </c>
      <c r="I805" s="18" t="n">
        <f aca="false">F805-G805-H805</f>
        <v>1295.3</v>
      </c>
      <c r="J805" s="18" t="n">
        <f aca="false">J804+I805</f>
        <v>54587.4</v>
      </c>
      <c r="K805" s="18" t="n">
        <f aca="false">MAX(K804,J805)</f>
        <v>54587.4</v>
      </c>
      <c r="L805" s="18" t="n">
        <f aca="false">K805-J805</f>
        <v>0</v>
      </c>
      <c r="M805" s="18" t="n">
        <f aca="false">MIN(Desain_Kolam!$B$21,MAX(0,M804+F805-H805-G805))</f>
        <v>15148.38</v>
      </c>
      <c r="N805" s="6" t="n">
        <f aca="false">IF(M804+F805-H805&gt;=G805,1,0)</f>
        <v>1</v>
      </c>
    </row>
    <row r="806" customFormat="false" ht="15" hidden="false" customHeight="false" outlineLevel="0" collapsed="false">
      <c r="A806" s="6" t="n">
        <v>2020</v>
      </c>
      <c r="B806" s="6" t="n">
        <v>3</v>
      </c>
      <c r="C806" s="4" t="n">
        <v>219</v>
      </c>
      <c r="D806" s="6" t="n">
        <v>31</v>
      </c>
      <c r="E806" s="4" t="n">
        <f aca="false">INDEX(Evaporasi!$B$3:$B$14,MATCH(B806,Evaporasi!$A$3:$A$14,0))</f>
        <v>120</v>
      </c>
      <c r="F806" s="18" t="n">
        <f aca="false">Kawasan!$B$11*Kawasan!$B$9*C806/1000</f>
        <v>1822.08</v>
      </c>
      <c r="G806" s="18" t="n">
        <f aca="false">Kawasan!$B$30*D806</f>
        <v>1190.4</v>
      </c>
      <c r="H806" s="18" t="n">
        <f aca="false">E806*Desain_Kolam!$B$16/1000</f>
        <v>128.7</v>
      </c>
      <c r="I806" s="18" t="n">
        <f aca="false">F806-G806-H806</f>
        <v>502.98</v>
      </c>
      <c r="J806" s="18" t="n">
        <f aca="false">J805+I806</f>
        <v>55090.38</v>
      </c>
      <c r="K806" s="18" t="n">
        <f aca="false">MAX(K805,J806)</f>
        <v>55090.38</v>
      </c>
      <c r="L806" s="18" t="n">
        <f aca="false">K806-J806</f>
        <v>0</v>
      </c>
      <c r="M806" s="18" t="n">
        <f aca="false">MIN(Desain_Kolam!$B$21,MAX(0,M805+F806-H806-G806))</f>
        <v>15148.38</v>
      </c>
      <c r="N806" s="6" t="n">
        <f aca="false">IF(M805+F806-H806&gt;=G806,1,0)</f>
        <v>1</v>
      </c>
    </row>
    <row r="807" customFormat="false" ht="15" hidden="false" customHeight="false" outlineLevel="0" collapsed="false">
      <c r="A807" s="6" t="n">
        <v>2020</v>
      </c>
      <c r="B807" s="6" t="n">
        <v>4</v>
      </c>
      <c r="C807" s="4" t="n">
        <v>358</v>
      </c>
      <c r="D807" s="6" t="n">
        <v>30</v>
      </c>
      <c r="E807" s="4" t="n">
        <f aca="false">INDEX(Evaporasi!$B$3:$B$14,MATCH(B807,Evaporasi!$A$3:$A$14,0))</f>
        <v>120</v>
      </c>
      <c r="F807" s="18" t="n">
        <f aca="false">Kawasan!$B$11*Kawasan!$B$9*C807/1000</f>
        <v>2978.56</v>
      </c>
      <c r="G807" s="18" t="n">
        <f aca="false">Kawasan!$B$30*D807</f>
        <v>1152</v>
      </c>
      <c r="H807" s="18" t="n">
        <f aca="false">E807*Desain_Kolam!$B$16/1000</f>
        <v>128.7</v>
      </c>
      <c r="I807" s="18" t="n">
        <f aca="false">F807-G807-H807</f>
        <v>1697.86</v>
      </c>
      <c r="J807" s="18" t="n">
        <f aca="false">J806+I807</f>
        <v>56788.24</v>
      </c>
      <c r="K807" s="18" t="n">
        <f aca="false">MAX(K806,J807)</f>
        <v>56788.24</v>
      </c>
      <c r="L807" s="18" t="n">
        <f aca="false">K807-J807</f>
        <v>0</v>
      </c>
      <c r="M807" s="18" t="n">
        <f aca="false">MIN(Desain_Kolam!$B$21,MAX(0,M806+F807-H807-G807))</f>
        <v>15148.38</v>
      </c>
      <c r="N807" s="6" t="n">
        <f aca="false">IF(M806+F807-H807&gt;=G807,1,0)</f>
        <v>1</v>
      </c>
    </row>
    <row r="808" customFormat="false" ht="15" hidden="false" customHeight="false" outlineLevel="0" collapsed="false">
      <c r="A808" s="6" t="n">
        <v>2020</v>
      </c>
      <c r="B808" s="6" t="n">
        <v>5</v>
      </c>
      <c r="C808" s="4" t="n">
        <v>305</v>
      </c>
      <c r="D808" s="6" t="n">
        <v>31</v>
      </c>
      <c r="E808" s="4" t="n">
        <f aca="false">INDEX(Evaporasi!$B$3:$B$14,MATCH(B808,Evaporasi!$A$3:$A$14,0))</f>
        <v>120</v>
      </c>
      <c r="F808" s="18" t="n">
        <f aca="false">Kawasan!$B$11*Kawasan!$B$9*C808/1000</f>
        <v>2537.6</v>
      </c>
      <c r="G808" s="18" t="n">
        <f aca="false">Kawasan!$B$30*D808</f>
        <v>1190.4</v>
      </c>
      <c r="H808" s="18" t="n">
        <f aca="false">E808*Desain_Kolam!$B$16/1000</f>
        <v>128.7</v>
      </c>
      <c r="I808" s="18" t="n">
        <f aca="false">F808-G808-H808</f>
        <v>1218.5</v>
      </c>
      <c r="J808" s="18" t="n">
        <f aca="false">J807+I808</f>
        <v>58006.74</v>
      </c>
      <c r="K808" s="18" t="n">
        <f aca="false">MAX(K807,J808)</f>
        <v>58006.74</v>
      </c>
      <c r="L808" s="18" t="n">
        <f aca="false">K808-J808</f>
        <v>0</v>
      </c>
      <c r="M808" s="18" t="n">
        <f aca="false">MIN(Desain_Kolam!$B$21,MAX(0,M807+F808-H808-G808))</f>
        <v>15148.38</v>
      </c>
      <c r="N808" s="6" t="n">
        <f aca="false">IF(M807+F808-H808&gt;=G808,1,0)</f>
        <v>1</v>
      </c>
    </row>
    <row r="809" customFormat="false" ht="15" hidden="false" customHeight="false" outlineLevel="0" collapsed="false">
      <c r="A809" s="6" t="n">
        <v>2020</v>
      </c>
      <c r="B809" s="6" t="n">
        <v>6</v>
      </c>
      <c r="C809" s="4" t="n">
        <v>388</v>
      </c>
      <c r="D809" s="6" t="n">
        <v>30</v>
      </c>
      <c r="E809" s="4" t="n">
        <f aca="false">INDEX(Evaporasi!$B$3:$B$14,MATCH(B809,Evaporasi!$A$3:$A$14,0))</f>
        <v>120</v>
      </c>
      <c r="F809" s="18" t="n">
        <f aca="false">Kawasan!$B$11*Kawasan!$B$9*C809/1000</f>
        <v>3228.16</v>
      </c>
      <c r="G809" s="18" t="n">
        <f aca="false">Kawasan!$B$30*D809</f>
        <v>1152</v>
      </c>
      <c r="H809" s="18" t="n">
        <f aca="false">E809*Desain_Kolam!$B$16/1000</f>
        <v>128.7</v>
      </c>
      <c r="I809" s="18" t="n">
        <f aca="false">F809-G809-H809</f>
        <v>1947.46</v>
      </c>
      <c r="J809" s="18" t="n">
        <f aca="false">J808+I809</f>
        <v>59954.2</v>
      </c>
      <c r="K809" s="18" t="n">
        <f aca="false">MAX(K808,J809)</f>
        <v>59954.2</v>
      </c>
      <c r="L809" s="18" t="n">
        <f aca="false">K809-J809</f>
        <v>0</v>
      </c>
      <c r="M809" s="18" t="n">
        <f aca="false">MIN(Desain_Kolam!$B$21,MAX(0,M808+F809-H809-G809))</f>
        <v>15148.38</v>
      </c>
      <c r="N809" s="6" t="n">
        <f aca="false">IF(M808+F809-H809&gt;=G809,1,0)</f>
        <v>1</v>
      </c>
    </row>
    <row r="810" customFormat="false" ht="15" hidden="false" customHeight="false" outlineLevel="0" collapsed="false">
      <c r="A810" s="6" t="n">
        <v>2020</v>
      </c>
      <c r="B810" s="6" t="n">
        <v>7</v>
      </c>
      <c r="C810" s="4" t="n">
        <v>507</v>
      </c>
      <c r="D810" s="6" t="n">
        <v>31</v>
      </c>
      <c r="E810" s="4" t="n">
        <f aca="false">INDEX(Evaporasi!$B$3:$B$14,MATCH(B810,Evaporasi!$A$3:$A$14,0))</f>
        <v>120</v>
      </c>
      <c r="F810" s="18" t="n">
        <f aca="false">Kawasan!$B$11*Kawasan!$B$9*C810/1000</f>
        <v>4218.24</v>
      </c>
      <c r="G810" s="18" t="n">
        <f aca="false">Kawasan!$B$30*D810</f>
        <v>1190.4</v>
      </c>
      <c r="H810" s="18" t="n">
        <f aca="false">E810*Desain_Kolam!$B$16/1000</f>
        <v>128.7</v>
      </c>
      <c r="I810" s="18" t="n">
        <f aca="false">F810-G810-H810</f>
        <v>2899.14</v>
      </c>
      <c r="J810" s="18" t="n">
        <f aca="false">J809+I810</f>
        <v>62853.34</v>
      </c>
      <c r="K810" s="18" t="n">
        <f aca="false">MAX(K809,J810)</f>
        <v>62853.34</v>
      </c>
      <c r="L810" s="18" t="n">
        <f aca="false">K810-J810</f>
        <v>0</v>
      </c>
      <c r="M810" s="18" t="n">
        <f aca="false">MIN(Desain_Kolam!$B$21,MAX(0,M809+F810-H810-G810))</f>
        <v>15148.38</v>
      </c>
      <c r="N810" s="6" t="n">
        <f aca="false">IF(M809+F810-H810&gt;=G810,1,0)</f>
        <v>1</v>
      </c>
    </row>
    <row r="811" customFormat="false" ht="15" hidden="false" customHeight="false" outlineLevel="0" collapsed="false">
      <c r="A811" s="6" t="n">
        <v>2020</v>
      </c>
      <c r="B811" s="6" t="n">
        <v>8</v>
      </c>
      <c r="C811" s="4" t="n">
        <v>212</v>
      </c>
      <c r="D811" s="6" t="n">
        <v>31</v>
      </c>
      <c r="E811" s="4" t="n">
        <f aca="false">INDEX(Evaporasi!$B$3:$B$14,MATCH(B811,Evaporasi!$A$3:$A$14,0))</f>
        <v>120</v>
      </c>
      <c r="F811" s="18" t="n">
        <f aca="false">Kawasan!$B$11*Kawasan!$B$9*C811/1000</f>
        <v>1763.84</v>
      </c>
      <c r="G811" s="18" t="n">
        <f aca="false">Kawasan!$B$30*D811</f>
        <v>1190.4</v>
      </c>
      <c r="H811" s="18" t="n">
        <f aca="false">E811*Desain_Kolam!$B$16/1000</f>
        <v>128.7</v>
      </c>
      <c r="I811" s="18" t="n">
        <f aca="false">F811-G811-H811</f>
        <v>444.74</v>
      </c>
      <c r="J811" s="18" t="n">
        <f aca="false">J810+I811</f>
        <v>63298.08</v>
      </c>
      <c r="K811" s="18" t="n">
        <f aca="false">MAX(K810,J811)</f>
        <v>63298.08</v>
      </c>
      <c r="L811" s="18" t="n">
        <f aca="false">K811-J811</f>
        <v>0</v>
      </c>
      <c r="M811" s="18" t="n">
        <f aca="false">MIN(Desain_Kolam!$B$21,MAX(0,M810+F811-H811-G811))</f>
        <v>15148.38</v>
      </c>
      <c r="N811" s="6" t="n">
        <f aca="false">IF(M810+F811-H811&gt;=G811,1,0)</f>
        <v>1</v>
      </c>
    </row>
    <row r="812" customFormat="false" ht="15" hidden="false" customHeight="false" outlineLevel="0" collapsed="false">
      <c r="A812" s="6" t="n">
        <v>2020</v>
      </c>
      <c r="B812" s="6" t="n">
        <v>9</v>
      </c>
      <c r="C812" s="4" t="n">
        <v>460</v>
      </c>
      <c r="D812" s="6" t="n">
        <v>30</v>
      </c>
      <c r="E812" s="4" t="n">
        <f aca="false">INDEX(Evaporasi!$B$3:$B$14,MATCH(B812,Evaporasi!$A$3:$A$14,0))</f>
        <v>120</v>
      </c>
      <c r="F812" s="18" t="n">
        <f aca="false">Kawasan!$B$11*Kawasan!$B$9*C812/1000</f>
        <v>3827.2</v>
      </c>
      <c r="G812" s="18" t="n">
        <f aca="false">Kawasan!$B$30*D812</f>
        <v>1152</v>
      </c>
      <c r="H812" s="18" t="n">
        <f aca="false">E812*Desain_Kolam!$B$16/1000</f>
        <v>128.7</v>
      </c>
      <c r="I812" s="18" t="n">
        <f aca="false">F812-G812-H812</f>
        <v>2546.5</v>
      </c>
      <c r="J812" s="18" t="n">
        <f aca="false">J811+I812</f>
        <v>65844.58</v>
      </c>
      <c r="K812" s="18" t="n">
        <f aca="false">MAX(K811,J812)</f>
        <v>65844.58</v>
      </c>
      <c r="L812" s="18" t="n">
        <f aca="false">K812-J812</f>
        <v>0</v>
      </c>
      <c r="M812" s="18" t="n">
        <f aca="false">MIN(Desain_Kolam!$B$21,MAX(0,M811+F812-H812-G812))</f>
        <v>15148.38</v>
      </c>
      <c r="N812" s="6" t="n">
        <f aca="false">IF(M811+F812-H812&gt;=G812,1,0)</f>
        <v>1</v>
      </c>
    </row>
    <row r="813" customFormat="false" ht="15" hidden="false" customHeight="false" outlineLevel="0" collapsed="false">
      <c r="A813" s="6" t="n">
        <v>2020</v>
      </c>
      <c r="B813" s="6" t="n">
        <v>10</v>
      </c>
      <c r="C813" s="4" t="n">
        <v>256</v>
      </c>
      <c r="D813" s="6" t="n">
        <v>31</v>
      </c>
      <c r="E813" s="4" t="n">
        <f aca="false">INDEX(Evaporasi!$B$3:$B$14,MATCH(B813,Evaporasi!$A$3:$A$14,0))</f>
        <v>120</v>
      </c>
      <c r="F813" s="18" t="n">
        <f aca="false">Kawasan!$B$11*Kawasan!$B$9*C813/1000</f>
        <v>2129.92</v>
      </c>
      <c r="G813" s="18" t="n">
        <f aca="false">Kawasan!$B$30*D813</f>
        <v>1190.4</v>
      </c>
      <c r="H813" s="18" t="n">
        <f aca="false">E813*Desain_Kolam!$B$16/1000</f>
        <v>128.7</v>
      </c>
      <c r="I813" s="18" t="n">
        <f aca="false">F813-G813-H813</f>
        <v>810.82</v>
      </c>
      <c r="J813" s="18" t="n">
        <f aca="false">J812+I813</f>
        <v>66655.4</v>
      </c>
      <c r="K813" s="18" t="n">
        <f aca="false">MAX(K812,J813)</f>
        <v>66655.4</v>
      </c>
      <c r="L813" s="18" t="n">
        <f aca="false">K813-J813</f>
        <v>0</v>
      </c>
      <c r="M813" s="18" t="n">
        <f aca="false">MIN(Desain_Kolam!$B$21,MAX(0,M812+F813-H813-G813))</f>
        <v>15148.38</v>
      </c>
      <c r="N813" s="6" t="n">
        <f aca="false">IF(M812+F813-H813&gt;=G813,1,0)</f>
        <v>1</v>
      </c>
    </row>
    <row r="814" customFormat="false" ht="15" hidden="false" customHeight="false" outlineLevel="0" collapsed="false">
      <c r="A814" s="6" t="n">
        <v>2020</v>
      </c>
      <c r="B814" s="6" t="n">
        <v>11</v>
      </c>
      <c r="C814" s="4" t="n">
        <v>568</v>
      </c>
      <c r="D814" s="6" t="n">
        <v>30</v>
      </c>
      <c r="E814" s="4" t="n">
        <f aca="false">INDEX(Evaporasi!$B$3:$B$14,MATCH(B814,Evaporasi!$A$3:$A$14,0))</f>
        <v>120</v>
      </c>
      <c r="F814" s="18" t="n">
        <f aca="false">Kawasan!$B$11*Kawasan!$B$9*C814/1000</f>
        <v>4725.76</v>
      </c>
      <c r="G814" s="18" t="n">
        <f aca="false">Kawasan!$B$30*D814</f>
        <v>1152</v>
      </c>
      <c r="H814" s="18" t="n">
        <f aca="false">E814*Desain_Kolam!$B$16/1000</f>
        <v>128.7</v>
      </c>
      <c r="I814" s="18" t="n">
        <f aca="false">F814-G814-H814</f>
        <v>3445.06</v>
      </c>
      <c r="J814" s="18" t="n">
        <f aca="false">J813+I814</f>
        <v>70100.46</v>
      </c>
      <c r="K814" s="18" t="n">
        <f aca="false">MAX(K813,J814)</f>
        <v>70100.46</v>
      </c>
      <c r="L814" s="18" t="n">
        <f aca="false">K814-J814</f>
        <v>0</v>
      </c>
      <c r="M814" s="18" t="n">
        <f aca="false">MIN(Desain_Kolam!$B$21,MAX(0,M813+F814-H814-G814))</f>
        <v>15148.38</v>
      </c>
      <c r="N814" s="6" t="n">
        <f aca="false">IF(M813+F814-H814&gt;=G814,1,0)</f>
        <v>1</v>
      </c>
    </row>
    <row r="815" customFormat="false" ht="15" hidden="false" customHeight="false" outlineLevel="0" collapsed="false">
      <c r="A815" s="6" t="n">
        <v>2020</v>
      </c>
      <c r="B815" s="6" t="n">
        <v>12</v>
      </c>
      <c r="C815" s="4" t="n">
        <v>274</v>
      </c>
      <c r="D815" s="6" t="n">
        <v>31</v>
      </c>
      <c r="E815" s="4" t="n">
        <f aca="false">INDEX(Evaporasi!$B$3:$B$14,MATCH(B815,Evaporasi!$A$3:$A$14,0))</f>
        <v>120</v>
      </c>
      <c r="F815" s="18" t="n">
        <f aca="false">Kawasan!$B$11*Kawasan!$B$9*C815/1000</f>
        <v>2279.68</v>
      </c>
      <c r="G815" s="18" t="n">
        <f aca="false">Kawasan!$B$30*D815</f>
        <v>1190.4</v>
      </c>
      <c r="H815" s="18" t="n">
        <f aca="false">E815*Desain_Kolam!$B$16/1000</f>
        <v>128.7</v>
      </c>
      <c r="I815" s="18" t="n">
        <f aca="false">F815-G815-H815</f>
        <v>960.58</v>
      </c>
      <c r="J815" s="18" t="n">
        <f aca="false">J814+I815</f>
        <v>71061.04</v>
      </c>
      <c r="K815" s="18" t="n">
        <f aca="false">MAX(K814,J815)</f>
        <v>71061.04</v>
      </c>
      <c r="L815" s="18" t="n">
        <f aca="false">K815-J815</f>
        <v>0</v>
      </c>
      <c r="M815" s="18" t="n">
        <f aca="false">MIN(Desain_Kolam!$B$21,MAX(0,M814+F815-H815-G815))</f>
        <v>15148.38</v>
      </c>
      <c r="N815" s="6" t="n">
        <f aca="false">IF(M814+F815-H815&gt;=G815,1,0)</f>
        <v>1</v>
      </c>
    </row>
    <row r="816" customFormat="false" ht="15" hidden="false" customHeight="false" outlineLevel="0" collapsed="false">
      <c r="A816" s="6" t="n">
        <v>2021</v>
      </c>
      <c r="B816" s="6" t="n">
        <v>1</v>
      </c>
      <c r="C816" s="4" t="n">
        <v>310</v>
      </c>
      <c r="D816" s="6" t="n">
        <v>31</v>
      </c>
      <c r="E816" s="4" t="n">
        <f aca="false">INDEX(Evaporasi!$B$3:$B$14,MATCH(B816,Evaporasi!$A$3:$A$14,0))</f>
        <v>120</v>
      </c>
      <c r="F816" s="18" t="n">
        <f aca="false">Kawasan!$B$11*Kawasan!$B$9*C816/1000</f>
        <v>2579.2</v>
      </c>
      <c r="G816" s="18" t="n">
        <f aca="false">Kawasan!$B$30*D816</f>
        <v>1190.4</v>
      </c>
      <c r="H816" s="18" t="n">
        <f aca="false">E816*Desain_Kolam!$B$16/1000</f>
        <v>128.7</v>
      </c>
      <c r="I816" s="18" t="n">
        <f aca="false">F816-G816-H816</f>
        <v>1260.1</v>
      </c>
      <c r="J816" s="18" t="n">
        <f aca="false">J815+I816</f>
        <v>72321.14</v>
      </c>
      <c r="K816" s="18" t="n">
        <f aca="false">MAX(K815,J816)</f>
        <v>72321.14</v>
      </c>
      <c r="L816" s="18" t="n">
        <f aca="false">K816-J816</f>
        <v>0</v>
      </c>
      <c r="M816" s="18" t="n">
        <f aca="false">MIN(Desain_Kolam!$B$21,MAX(0,M815+F816-H816-G816))</f>
        <v>15148.38</v>
      </c>
      <c r="N816" s="6" t="n">
        <f aca="false">IF(M815+F816-H816&gt;=G816,1,0)</f>
        <v>1</v>
      </c>
    </row>
    <row r="817" customFormat="false" ht="15" hidden="false" customHeight="false" outlineLevel="0" collapsed="false">
      <c r="A817" s="6" t="n">
        <v>2021</v>
      </c>
      <c r="B817" s="6" t="n">
        <v>2</v>
      </c>
      <c r="C817" s="4" t="n">
        <v>50</v>
      </c>
      <c r="D817" s="6" t="n">
        <v>28</v>
      </c>
      <c r="E817" s="4" t="n">
        <f aca="false">INDEX(Evaporasi!$B$3:$B$14,MATCH(B817,Evaporasi!$A$3:$A$14,0))</f>
        <v>120</v>
      </c>
      <c r="F817" s="18" t="n">
        <f aca="false">Kawasan!$B$11*Kawasan!$B$9*C817/1000</f>
        <v>416</v>
      </c>
      <c r="G817" s="18" t="n">
        <f aca="false">Kawasan!$B$30*D817</f>
        <v>1075.2</v>
      </c>
      <c r="H817" s="18" t="n">
        <f aca="false">E817*Desain_Kolam!$B$16/1000</f>
        <v>128.7</v>
      </c>
      <c r="I817" s="18" t="n">
        <f aca="false">F817-G817-H817</f>
        <v>-787.9</v>
      </c>
      <c r="J817" s="18" t="n">
        <f aca="false">J816+I817</f>
        <v>71533.2400000001</v>
      </c>
      <c r="K817" s="18" t="n">
        <f aca="false">MAX(K816,J817)</f>
        <v>72321.14</v>
      </c>
      <c r="L817" s="18" t="n">
        <f aca="false">K817-J817</f>
        <v>787.899999999994</v>
      </c>
      <c r="M817" s="18" t="n">
        <f aca="false">MIN(Desain_Kolam!$B$21,MAX(0,M816+F817-H817-G817))</f>
        <v>14360.48</v>
      </c>
      <c r="N817" s="6" t="n">
        <f aca="false">IF(M816+F817-H817&gt;=G817,1,0)</f>
        <v>1</v>
      </c>
    </row>
    <row r="818" customFormat="false" ht="15" hidden="false" customHeight="false" outlineLevel="0" collapsed="false">
      <c r="A818" s="6" t="n">
        <v>2021</v>
      </c>
      <c r="B818" s="6" t="n">
        <v>3</v>
      </c>
      <c r="C818" s="4" t="n">
        <v>263</v>
      </c>
      <c r="D818" s="6" t="n">
        <v>31</v>
      </c>
      <c r="E818" s="4" t="n">
        <f aca="false">INDEX(Evaporasi!$B$3:$B$14,MATCH(B818,Evaporasi!$A$3:$A$14,0))</f>
        <v>120</v>
      </c>
      <c r="F818" s="18" t="n">
        <f aca="false">Kawasan!$B$11*Kawasan!$B$9*C818/1000</f>
        <v>2188.16</v>
      </c>
      <c r="G818" s="18" t="n">
        <f aca="false">Kawasan!$B$30*D818</f>
        <v>1190.4</v>
      </c>
      <c r="H818" s="18" t="n">
        <f aca="false">E818*Desain_Kolam!$B$16/1000</f>
        <v>128.7</v>
      </c>
      <c r="I818" s="18" t="n">
        <f aca="false">F818-G818-H818</f>
        <v>869.06</v>
      </c>
      <c r="J818" s="18" t="n">
        <f aca="false">J817+I818</f>
        <v>72402.3000000001</v>
      </c>
      <c r="K818" s="18" t="n">
        <f aca="false">MAX(K817,J818)</f>
        <v>72402.3000000001</v>
      </c>
      <c r="L818" s="18" t="n">
        <f aca="false">K818-J818</f>
        <v>0</v>
      </c>
      <c r="M818" s="18" t="n">
        <f aca="false">MIN(Desain_Kolam!$B$21,MAX(0,M817+F818-H818-G818))</f>
        <v>15148.38</v>
      </c>
      <c r="N818" s="6" t="n">
        <f aca="false">IF(M817+F818-H818&gt;=G818,1,0)</f>
        <v>1</v>
      </c>
    </row>
    <row r="819" customFormat="false" ht="15" hidden="false" customHeight="false" outlineLevel="0" collapsed="false">
      <c r="A819" s="6" t="n">
        <v>2021</v>
      </c>
      <c r="B819" s="6" t="n">
        <v>4</v>
      </c>
      <c r="C819" s="4" t="n">
        <v>240</v>
      </c>
      <c r="D819" s="6" t="n">
        <v>30</v>
      </c>
      <c r="E819" s="4" t="n">
        <f aca="false">INDEX(Evaporasi!$B$3:$B$14,MATCH(B819,Evaporasi!$A$3:$A$14,0))</f>
        <v>120</v>
      </c>
      <c r="F819" s="18" t="n">
        <f aca="false">Kawasan!$B$11*Kawasan!$B$9*C819/1000</f>
        <v>1996.8</v>
      </c>
      <c r="G819" s="18" t="n">
        <f aca="false">Kawasan!$B$30*D819</f>
        <v>1152</v>
      </c>
      <c r="H819" s="18" t="n">
        <f aca="false">E819*Desain_Kolam!$B$16/1000</f>
        <v>128.7</v>
      </c>
      <c r="I819" s="18" t="n">
        <f aca="false">F819-G819-H819</f>
        <v>716.1</v>
      </c>
      <c r="J819" s="18" t="n">
        <f aca="false">J818+I819</f>
        <v>73118.4000000001</v>
      </c>
      <c r="K819" s="18" t="n">
        <f aca="false">MAX(K818,J819)</f>
        <v>73118.4000000001</v>
      </c>
      <c r="L819" s="18" t="n">
        <f aca="false">K819-J819</f>
        <v>0</v>
      </c>
      <c r="M819" s="18" t="n">
        <f aca="false">MIN(Desain_Kolam!$B$21,MAX(0,M818+F819-H819-G819))</f>
        <v>15148.38</v>
      </c>
      <c r="N819" s="6" t="n">
        <f aca="false">IF(M818+F819-H819&gt;=G819,1,0)</f>
        <v>1</v>
      </c>
    </row>
    <row r="820" customFormat="false" ht="15" hidden="false" customHeight="false" outlineLevel="0" collapsed="false">
      <c r="A820" s="6" t="n">
        <v>2021</v>
      </c>
      <c r="B820" s="6" t="n">
        <v>5</v>
      </c>
      <c r="C820" s="4" t="n">
        <v>465</v>
      </c>
      <c r="D820" s="6" t="n">
        <v>31</v>
      </c>
      <c r="E820" s="4" t="n">
        <f aca="false">INDEX(Evaporasi!$B$3:$B$14,MATCH(B820,Evaporasi!$A$3:$A$14,0))</f>
        <v>120</v>
      </c>
      <c r="F820" s="18" t="n">
        <f aca="false">Kawasan!$B$11*Kawasan!$B$9*C820/1000</f>
        <v>3868.8</v>
      </c>
      <c r="G820" s="18" t="n">
        <f aca="false">Kawasan!$B$30*D820</f>
        <v>1190.4</v>
      </c>
      <c r="H820" s="18" t="n">
        <f aca="false">E820*Desain_Kolam!$B$16/1000</f>
        <v>128.7</v>
      </c>
      <c r="I820" s="18" t="n">
        <f aca="false">F820-G820-H820</f>
        <v>2549.7</v>
      </c>
      <c r="J820" s="18" t="n">
        <f aca="false">J819+I820</f>
        <v>75668.1000000001</v>
      </c>
      <c r="K820" s="18" t="n">
        <f aca="false">MAX(K819,J820)</f>
        <v>75668.1000000001</v>
      </c>
      <c r="L820" s="18" t="n">
        <f aca="false">K820-J820</f>
        <v>0</v>
      </c>
      <c r="M820" s="18" t="n">
        <f aca="false">MIN(Desain_Kolam!$B$21,MAX(0,M819+F820-H820-G820))</f>
        <v>15148.38</v>
      </c>
      <c r="N820" s="6" t="n">
        <f aca="false">IF(M819+F820-H820&gt;=G820,1,0)</f>
        <v>1</v>
      </c>
    </row>
    <row r="821" customFormat="false" ht="15" hidden="false" customHeight="false" outlineLevel="0" collapsed="false">
      <c r="A821" s="6" t="n">
        <v>2021</v>
      </c>
      <c r="B821" s="6" t="n">
        <v>6</v>
      </c>
      <c r="C821" s="4" t="n">
        <v>390</v>
      </c>
      <c r="D821" s="6" t="n">
        <v>30</v>
      </c>
      <c r="E821" s="4" t="n">
        <f aca="false">INDEX(Evaporasi!$B$3:$B$14,MATCH(B821,Evaporasi!$A$3:$A$14,0))</f>
        <v>120</v>
      </c>
      <c r="F821" s="18" t="n">
        <f aca="false">Kawasan!$B$11*Kawasan!$B$9*C821/1000</f>
        <v>3244.8</v>
      </c>
      <c r="G821" s="18" t="n">
        <f aca="false">Kawasan!$B$30*D821</f>
        <v>1152</v>
      </c>
      <c r="H821" s="18" t="n">
        <f aca="false">E821*Desain_Kolam!$B$16/1000</f>
        <v>128.7</v>
      </c>
      <c r="I821" s="18" t="n">
        <f aca="false">F821-G821-H821</f>
        <v>1964.1</v>
      </c>
      <c r="J821" s="18" t="n">
        <f aca="false">J820+I821</f>
        <v>77632.2000000001</v>
      </c>
      <c r="K821" s="18" t="n">
        <f aca="false">MAX(K820,J821)</f>
        <v>77632.2000000001</v>
      </c>
      <c r="L821" s="18" t="n">
        <f aca="false">K821-J821</f>
        <v>0</v>
      </c>
      <c r="M821" s="18" t="n">
        <f aca="false">MIN(Desain_Kolam!$B$21,MAX(0,M820+F821-H821-G821))</f>
        <v>15148.38</v>
      </c>
      <c r="N821" s="6" t="n">
        <f aca="false">IF(M820+F821-H821&gt;=G821,1,0)</f>
        <v>1</v>
      </c>
    </row>
    <row r="822" customFormat="false" ht="15" hidden="false" customHeight="false" outlineLevel="0" collapsed="false">
      <c r="A822" s="6" t="n">
        <v>2021</v>
      </c>
      <c r="B822" s="6" t="n">
        <v>7</v>
      </c>
      <c r="C822" s="4" t="n">
        <v>211</v>
      </c>
      <c r="D822" s="6" t="n">
        <v>31</v>
      </c>
      <c r="E822" s="4" t="n">
        <f aca="false">INDEX(Evaporasi!$B$3:$B$14,MATCH(B822,Evaporasi!$A$3:$A$14,0))</f>
        <v>120</v>
      </c>
      <c r="F822" s="18" t="n">
        <f aca="false">Kawasan!$B$11*Kawasan!$B$9*C822/1000</f>
        <v>1755.52</v>
      </c>
      <c r="G822" s="18" t="n">
        <f aca="false">Kawasan!$B$30*D822</f>
        <v>1190.4</v>
      </c>
      <c r="H822" s="18" t="n">
        <f aca="false">E822*Desain_Kolam!$B$16/1000</f>
        <v>128.7</v>
      </c>
      <c r="I822" s="18" t="n">
        <f aca="false">F822-G822-H822</f>
        <v>436.42</v>
      </c>
      <c r="J822" s="18" t="n">
        <f aca="false">J821+I822</f>
        <v>78068.6200000001</v>
      </c>
      <c r="K822" s="18" t="n">
        <f aca="false">MAX(K821,J822)</f>
        <v>78068.6200000001</v>
      </c>
      <c r="L822" s="18" t="n">
        <f aca="false">K822-J822</f>
        <v>0</v>
      </c>
      <c r="M822" s="18" t="n">
        <f aca="false">MIN(Desain_Kolam!$B$21,MAX(0,M821+F822-H822-G822))</f>
        <v>15148.38</v>
      </c>
      <c r="N822" s="6" t="n">
        <f aca="false">IF(M821+F822-H822&gt;=G822,1,0)</f>
        <v>1</v>
      </c>
    </row>
    <row r="823" customFormat="false" ht="15" hidden="false" customHeight="false" outlineLevel="0" collapsed="false">
      <c r="A823" s="6" t="n">
        <v>2021</v>
      </c>
      <c r="B823" s="6" t="n">
        <v>8</v>
      </c>
      <c r="C823" s="4" t="n">
        <v>587</v>
      </c>
      <c r="D823" s="6" t="n">
        <v>31</v>
      </c>
      <c r="E823" s="4" t="n">
        <f aca="false">INDEX(Evaporasi!$B$3:$B$14,MATCH(B823,Evaporasi!$A$3:$A$14,0))</f>
        <v>120</v>
      </c>
      <c r="F823" s="18" t="n">
        <f aca="false">Kawasan!$B$11*Kawasan!$B$9*C823/1000</f>
        <v>4883.84</v>
      </c>
      <c r="G823" s="18" t="n">
        <f aca="false">Kawasan!$B$30*D823</f>
        <v>1190.4</v>
      </c>
      <c r="H823" s="18" t="n">
        <f aca="false">E823*Desain_Kolam!$B$16/1000</f>
        <v>128.7</v>
      </c>
      <c r="I823" s="18" t="n">
        <f aca="false">F823-G823-H823</f>
        <v>3564.74</v>
      </c>
      <c r="J823" s="18" t="n">
        <f aca="false">J822+I823</f>
        <v>81633.3600000001</v>
      </c>
      <c r="K823" s="18" t="n">
        <f aca="false">MAX(K822,J823)</f>
        <v>81633.3600000001</v>
      </c>
      <c r="L823" s="18" t="n">
        <f aca="false">K823-J823</f>
        <v>0</v>
      </c>
      <c r="M823" s="18" t="n">
        <f aca="false">MIN(Desain_Kolam!$B$21,MAX(0,M822+F823-H823-G823))</f>
        <v>15148.38</v>
      </c>
      <c r="N823" s="6" t="n">
        <f aca="false">IF(M822+F823-H823&gt;=G823,1,0)</f>
        <v>1</v>
      </c>
    </row>
    <row r="824" customFormat="false" ht="15" hidden="false" customHeight="false" outlineLevel="0" collapsed="false">
      <c r="A824" s="6" t="n">
        <v>2021</v>
      </c>
      <c r="B824" s="6" t="n">
        <v>9</v>
      </c>
      <c r="C824" s="4" t="n">
        <v>524</v>
      </c>
      <c r="D824" s="6" t="n">
        <v>30</v>
      </c>
      <c r="E824" s="4" t="n">
        <f aca="false">INDEX(Evaporasi!$B$3:$B$14,MATCH(B824,Evaporasi!$A$3:$A$14,0))</f>
        <v>120</v>
      </c>
      <c r="F824" s="18" t="n">
        <f aca="false">Kawasan!$B$11*Kawasan!$B$9*C824/1000</f>
        <v>4359.68</v>
      </c>
      <c r="G824" s="18" t="n">
        <f aca="false">Kawasan!$B$30*D824</f>
        <v>1152</v>
      </c>
      <c r="H824" s="18" t="n">
        <f aca="false">E824*Desain_Kolam!$B$16/1000</f>
        <v>128.7</v>
      </c>
      <c r="I824" s="18" t="n">
        <f aca="false">F824-G824-H824</f>
        <v>3078.98</v>
      </c>
      <c r="J824" s="18" t="n">
        <f aca="false">J823+I824</f>
        <v>84712.3400000001</v>
      </c>
      <c r="K824" s="18" t="n">
        <f aca="false">MAX(K823,J824)</f>
        <v>84712.3400000001</v>
      </c>
      <c r="L824" s="18" t="n">
        <f aca="false">K824-J824</f>
        <v>0</v>
      </c>
      <c r="M824" s="18" t="n">
        <f aca="false">MIN(Desain_Kolam!$B$21,MAX(0,M823+F824-H824-G824))</f>
        <v>15148.38</v>
      </c>
      <c r="N824" s="6" t="n">
        <f aca="false">IF(M823+F824-H824&gt;=G824,1,0)</f>
        <v>1</v>
      </c>
    </row>
    <row r="825" customFormat="false" ht="15" hidden="false" customHeight="false" outlineLevel="0" collapsed="false">
      <c r="A825" s="6" t="n">
        <v>2021</v>
      </c>
      <c r="B825" s="6" t="n">
        <v>10</v>
      </c>
      <c r="C825" s="4" t="n">
        <v>252</v>
      </c>
      <c r="D825" s="6" t="n">
        <v>31</v>
      </c>
      <c r="E825" s="4" t="n">
        <f aca="false">INDEX(Evaporasi!$B$3:$B$14,MATCH(B825,Evaporasi!$A$3:$A$14,0))</f>
        <v>120</v>
      </c>
      <c r="F825" s="18" t="n">
        <f aca="false">Kawasan!$B$11*Kawasan!$B$9*C825/1000</f>
        <v>2096.64</v>
      </c>
      <c r="G825" s="18" t="n">
        <f aca="false">Kawasan!$B$30*D825</f>
        <v>1190.4</v>
      </c>
      <c r="H825" s="18" t="n">
        <f aca="false">E825*Desain_Kolam!$B$16/1000</f>
        <v>128.7</v>
      </c>
      <c r="I825" s="18" t="n">
        <f aca="false">F825-G825-H825</f>
        <v>777.54</v>
      </c>
      <c r="J825" s="18" t="n">
        <f aca="false">J824+I825</f>
        <v>85489.8800000001</v>
      </c>
      <c r="K825" s="18" t="n">
        <f aca="false">MAX(K824,J825)</f>
        <v>85489.8800000001</v>
      </c>
      <c r="L825" s="18" t="n">
        <f aca="false">K825-J825</f>
        <v>0</v>
      </c>
      <c r="M825" s="18" t="n">
        <f aca="false">MIN(Desain_Kolam!$B$21,MAX(0,M824+F825-H825-G825))</f>
        <v>15148.38</v>
      </c>
      <c r="N825" s="6" t="n">
        <f aca="false">IF(M824+F825-H825&gt;=G825,1,0)</f>
        <v>1</v>
      </c>
    </row>
    <row r="826" customFormat="false" ht="15" hidden="false" customHeight="false" outlineLevel="0" collapsed="false">
      <c r="A826" s="6" t="n">
        <v>2021</v>
      </c>
      <c r="B826" s="6" t="n">
        <v>11</v>
      </c>
      <c r="C826" s="4" t="n">
        <v>252</v>
      </c>
      <c r="D826" s="6" t="n">
        <v>30</v>
      </c>
      <c r="E826" s="4" t="n">
        <f aca="false">INDEX(Evaporasi!$B$3:$B$14,MATCH(B826,Evaporasi!$A$3:$A$14,0))</f>
        <v>120</v>
      </c>
      <c r="F826" s="18" t="n">
        <f aca="false">Kawasan!$B$11*Kawasan!$B$9*C826/1000</f>
        <v>2096.64</v>
      </c>
      <c r="G826" s="18" t="n">
        <f aca="false">Kawasan!$B$30*D826</f>
        <v>1152</v>
      </c>
      <c r="H826" s="18" t="n">
        <f aca="false">E826*Desain_Kolam!$B$16/1000</f>
        <v>128.7</v>
      </c>
      <c r="I826" s="18" t="n">
        <f aca="false">F826-G826-H826</f>
        <v>815.94</v>
      </c>
      <c r="J826" s="18" t="n">
        <f aca="false">J825+I826</f>
        <v>86305.8200000001</v>
      </c>
      <c r="K826" s="18" t="n">
        <f aca="false">MAX(K825,J826)</f>
        <v>86305.8200000001</v>
      </c>
      <c r="L826" s="18" t="n">
        <f aca="false">K826-J826</f>
        <v>0</v>
      </c>
      <c r="M826" s="18" t="n">
        <f aca="false">MIN(Desain_Kolam!$B$21,MAX(0,M825+F826-H826-G826))</f>
        <v>15148.38</v>
      </c>
      <c r="N826" s="6" t="n">
        <f aca="false">IF(M825+F826-H826&gt;=G826,1,0)</f>
        <v>1</v>
      </c>
    </row>
    <row r="827" customFormat="false" ht="15" hidden="false" customHeight="false" outlineLevel="0" collapsed="false">
      <c r="A827" s="6" t="n">
        <v>2021</v>
      </c>
      <c r="B827" s="6" t="n">
        <v>12</v>
      </c>
      <c r="C827" s="4" t="n">
        <v>152</v>
      </c>
      <c r="D827" s="6" t="n">
        <v>31</v>
      </c>
      <c r="E827" s="4" t="n">
        <f aca="false">INDEX(Evaporasi!$B$3:$B$14,MATCH(B827,Evaporasi!$A$3:$A$14,0))</f>
        <v>120</v>
      </c>
      <c r="F827" s="18" t="n">
        <f aca="false">Kawasan!$B$11*Kawasan!$B$9*C827/1000</f>
        <v>1264.64</v>
      </c>
      <c r="G827" s="18" t="n">
        <f aca="false">Kawasan!$B$30*D827</f>
        <v>1190.4</v>
      </c>
      <c r="H827" s="18" t="n">
        <f aca="false">E827*Desain_Kolam!$B$16/1000</f>
        <v>128.7</v>
      </c>
      <c r="I827" s="18" t="n">
        <f aca="false">F827-G827-H827</f>
        <v>-54.4599999999998</v>
      </c>
      <c r="J827" s="18" t="n">
        <f aca="false">J826+I827</f>
        <v>86251.36</v>
      </c>
      <c r="K827" s="18" t="n">
        <f aca="false">MAX(K826,J827)</f>
        <v>86305.8200000001</v>
      </c>
      <c r="L827" s="18" t="n">
        <f aca="false">K827-J827</f>
        <v>54.4600000000064</v>
      </c>
      <c r="M827" s="18" t="n">
        <f aca="false">MIN(Desain_Kolam!$B$21,MAX(0,M826+F827-H827-G827))</f>
        <v>15093.92</v>
      </c>
      <c r="N827" s="6" t="n">
        <f aca="false">IF(M826+F827-H827&gt;=G827,1,0)</f>
        <v>1</v>
      </c>
    </row>
    <row r="828" customFormat="false" ht="15" hidden="false" customHeight="false" outlineLevel="0" collapsed="false">
      <c r="A828" s="6" t="n">
        <v>2022</v>
      </c>
      <c r="B828" s="6" t="n">
        <v>1</v>
      </c>
      <c r="C828" s="4" t="n">
        <v>145</v>
      </c>
      <c r="D828" s="6" t="n">
        <v>31</v>
      </c>
      <c r="E828" s="4" t="n">
        <f aca="false">INDEX(Evaporasi!$B$3:$B$14,MATCH(B828,Evaporasi!$A$3:$A$14,0))</f>
        <v>120</v>
      </c>
      <c r="F828" s="18" t="n">
        <f aca="false">Kawasan!$B$11*Kawasan!$B$9*C828/1000</f>
        <v>1206.4</v>
      </c>
      <c r="G828" s="18" t="n">
        <f aca="false">Kawasan!$B$30*D828</f>
        <v>1190.4</v>
      </c>
      <c r="H828" s="18" t="n">
        <f aca="false">E828*Desain_Kolam!$B$16/1000</f>
        <v>128.7</v>
      </c>
      <c r="I828" s="18" t="n">
        <f aca="false">F828-G828-H828</f>
        <v>-112.7</v>
      </c>
      <c r="J828" s="18" t="n">
        <f aca="false">J827+I828</f>
        <v>86138.6600000001</v>
      </c>
      <c r="K828" s="18" t="n">
        <f aca="false">MAX(K827,J828)</f>
        <v>86305.8200000001</v>
      </c>
      <c r="L828" s="18" t="n">
        <f aca="false">K828-J828</f>
        <v>167.160000000004</v>
      </c>
      <c r="M828" s="18" t="n">
        <f aca="false">MIN(Desain_Kolam!$B$21,MAX(0,M827+F828-H828-G828))</f>
        <v>14981.22</v>
      </c>
      <c r="N828" s="6" t="n">
        <f aca="false">IF(M827+F828-H828&gt;=G828,1,0)</f>
        <v>1</v>
      </c>
    </row>
    <row r="829" customFormat="false" ht="15" hidden="false" customHeight="false" outlineLevel="0" collapsed="false">
      <c r="A829" s="6" t="n">
        <v>2022</v>
      </c>
      <c r="B829" s="6" t="n">
        <v>2</v>
      </c>
      <c r="C829" s="4" t="n">
        <v>106</v>
      </c>
      <c r="D829" s="6" t="n">
        <v>28</v>
      </c>
      <c r="E829" s="4" t="n">
        <f aca="false">INDEX(Evaporasi!$B$3:$B$14,MATCH(B829,Evaporasi!$A$3:$A$14,0))</f>
        <v>120</v>
      </c>
      <c r="F829" s="18" t="n">
        <f aca="false">Kawasan!$B$11*Kawasan!$B$9*C829/1000</f>
        <v>881.92</v>
      </c>
      <c r="G829" s="18" t="n">
        <f aca="false">Kawasan!$B$30*D829</f>
        <v>1075.2</v>
      </c>
      <c r="H829" s="18" t="n">
        <f aca="false">E829*Desain_Kolam!$B$16/1000</f>
        <v>128.7</v>
      </c>
      <c r="I829" s="18" t="n">
        <f aca="false">F829-G829-H829</f>
        <v>-321.98</v>
      </c>
      <c r="J829" s="18" t="n">
        <f aca="false">J828+I829</f>
        <v>85816.6800000001</v>
      </c>
      <c r="K829" s="18" t="n">
        <f aca="false">MAX(K828,J829)</f>
        <v>86305.8200000001</v>
      </c>
      <c r="L829" s="18" t="n">
        <f aca="false">K829-J829</f>
        <v>489.139999999999</v>
      </c>
      <c r="M829" s="18" t="n">
        <f aca="false">MIN(Desain_Kolam!$B$21,MAX(0,M828+F829-H829-G829))</f>
        <v>14659.24</v>
      </c>
      <c r="N829" s="6" t="n">
        <f aca="false">IF(M828+F829-H829&gt;=G829,1,0)</f>
        <v>1</v>
      </c>
    </row>
    <row r="830" customFormat="false" ht="15" hidden="false" customHeight="false" outlineLevel="0" collapsed="false">
      <c r="A830" s="6" t="n">
        <v>2022</v>
      </c>
      <c r="B830" s="6" t="n">
        <v>3</v>
      </c>
      <c r="C830" s="4" t="n">
        <v>104</v>
      </c>
      <c r="D830" s="6" t="n">
        <v>31</v>
      </c>
      <c r="E830" s="4" t="n">
        <f aca="false">INDEX(Evaporasi!$B$3:$B$14,MATCH(B830,Evaporasi!$A$3:$A$14,0))</f>
        <v>120</v>
      </c>
      <c r="F830" s="18" t="n">
        <f aca="false">Kawasan!$B$11*Kawasan!$B$9*C830/1000</f>
        <v>865.28</v>
      </c>
      <c r="G830" s="18" t="n">
        <f aca="false">Kawasan!$B$30*D830</f>
        <v>1190.4</v>
      </c>
      <c r="H830" s="18" t="n">
        <f aca="false">E830*Desain_Kolam!$B$16/1000</f>
        <v>128.7</v>
      </c>
      <c r="I830" s="18" t="n">
        <f aca="false">F830-G830-H830</f>
        <v>-453.82</v>
      </c>
      <c r="J830" s="18" t="n">
        <f aca="false">J829+I830</f>
        <v>85362.86</v>
      </c>
      <c r="K830" s="18" t="n">
        <f aca="false">MAX(K829,J830)</f>
        <v>86305.8200000001</v>
      </c>
      <c r="L830" s="18" t="n">
        <f aca="false">K830-J830</f>
        <v>942.960000000006</v>
      </c>
      <c r="M830" s="18" t="n">
        <f aca="false">MIN(Desain_Kolam!$B$21,MAX(0,M829+F830-H830-G830))</f>
        <v>14205.42</v>
      </c>
      <c r="N830" s="6" t="n">
        <f aca="false">IF(M829+F830-H830&gt;=G830,1,0)</f>
        <v>1</v>
      </c>
    </row>
    <row r="831" customFormat="false" ht="15" hidden="false" customHeight="false" outlineLevel="0" collapsed="false">
      <c r="A831" s="6" t="n">
        <v>2022</v>
      </c>
      <c r="B831" s="6" t="n">
        <v>4</v>
      </c>
      <c r="C831" s="4" t="n">
        <v>301</v>
      </c>
      <c r="D831" s="6" t="n">
        <v>30</v>
      </c>
      <c r="E831" s="4" t="n">
        <f aca="false">INDEX(Evaporasi!$B$3:$B$14,MATCH(B831,Evaporasi!$A$3:$A$14,0))</f>
        <v>120</v>
      </c>
      <c r="F831" s="18" t="n">
        <f aca="false">Kawasan!$B$11*Kawasan!$B$9*C831/1000</f>
        <v>2504.32</v>
      </c>
      <c r="G831" s="18" t="n">
        <f aca="false">Kawasan!$B$30*D831</f>
        <v>1152</v>
      </c>
      <c r="H831" s="18" t="n">
        <f aca="false">E831*Desain_Kolam!$B$16/1000</f>
        <v>128.7</v>
      </c>
      <c r="I831" s="18" t="n">
        <f aca="false">F831-G831-H831</f>
        <v>1223.62</v>
      </c>
      <c r="J831" s="18" t="n">
        <f aca="false">J830+I831</f>
        <v>86586.48</v>
      </c>
      <c r="K831" s="18" t="n">
        <f aca="false">MAX(K830,J831)</f>
        <v>86586.48</v>
      </c>
      <c r="L831" s="18" t="n">
        <f aca="false">K831-J831</f>
        <v>0</v>
      </c>
      <c r="M831" s="18" t="n">
        <f aca="false">MIN(Desain_Kolam!$B$21,MAX(0,M830+F831-H831-G831))</f>
        <v>15148.38</v>
      </c>
      <c r="N831" s="6" t="n">
        <f aca="false">IF(M830+F831-H831&gt;=G831,1,0)</f>
        <v>1</v>
      </c>
    </row>
    <row r="832" customFormat="false" ht="15" hidden="false" customHeight="false" outlineLevel="0" collapsed="false">
      <c r="A832" s="6" t="n">
        <v>2022</v>
      </c>
      <c r="B832" s="6" t="n">
        <v>5</v>
      </c>
      <c r="C832" s="4" t="n">
        <v>201</v>
      </c>
      <c r="D832" s="6" t="n">
        <v>31</v>
      </c>
      <c r="E832" s="4" t="n">
        <f aca="false">INDEX(Evaporasi!$B$3:$B$14,MATCH(B832,Evaporasi!$A$3:$A$14,0))</f>
        <v>120</v>
      </c>
      <c r="F832" s="18" t="n">
        <f aca="false">Kawasan!$B$11*Kawasan!$B$9*C832/1000</f>
        <v>1672.32</v>
      </c>
      <c r="G832" s="18" t="n">
        <f aca="false">Kawasan!$B$30*D832</f>
        <v>1190.4</v>
      </c>
      <c r="H832" s="18" t="n">
        <f aca="false">E832*Desain_Kolam!$B$16/1000</f>
        <v>128.7</v>
      </c>
      <c r="I832" s="18" t="n">
        <f aca="false">F832-G832-H832</f>
        <v>353.22</v>
      </c>
      <c r="J832" s="18" t="n">
        <f aca="false">J831+I832</f>
        <v>86939.7</v>
      </c>
      <c r="K832" s="18" t="n">
        <f aca="false">MAX(K831,J832)</f>
        <v>86939.7</v>
      </c>
      <c r="L832" s="18" t="n">
        <f aca="false">K832-J832</f>
        <v>0</v>
      </c>
      <c r="M832" s="18" t="n">
        <f aca="false">MIN(Desain_Kolam!$B$21,MAX(0,M831+F832-H832-G832))</f>
        <v>15148.38</v>
      </c>
      <c r="N832" s="6" t="n">
        <f aca="false">IF(M831+F832-H832&gt;=G832,1,0)</f>
        <v>1</v>
      </c>
    </row>
    <row r="833" customFormat="false" ht="15" hidden="false" customHeight="false" outlineLevel="0" collapsed="false">
      <c r="A833" s="6" t="n">
        <v>2022</v>
      </c>
      <c r="B833" s="6" t="n">
        <v>6</v>
      </c>
      <c r="C833" s="4" t="n">
        <v>293</v>
      </c>
      <c r="D833" s="6" t="n">
        <v>30</v>
      </c>
      <c r="E833" s="4" t="n">
        <f aca="false">INDEX(Evaporasi!$B$3:$B$14,MATCH(B833,Evaporasi!$A$3:$A$14,0))</f>
        <v>120</v>
      </c>
      <c r="F833" s="18" t="n">
        <f aca="false">Kawasan!$B$11*Kawasan!$B$9*C833/1000</f>
        <v>2437.76</v>
      </c>
      <c r="G833" s="18" t="n">
        <f aca="false">Kawasan!$B$30*D833</f>
        <v>1152</v>
      </c>
      <c r="H833" s="18" t="n">
        <f aca="false">E833*Desain_Kolam!$B$16/1000</f>
        <v>128.7</v>
      </c>
      <c r="I833" s="18" t="n">
        <f aca="false">F833-G833-H833</f>
        <v>1157.06</v>
      </c>
      <c r="J833" s="18" t="n">
        <f aca="false">J832+I833</f>
        <v>88096.76</v>
      </c>
      <c r="K833" s="18" t="n">
        <f aca="false">MAX(K832,J833)</f>
        <v>88096.76</v>
      </c>
      <c r="L833" s="18" t="n">
        <f aca="false">K833-J833</f>
        <v>0</v>
      </c>
      <c r="M833" s="18" t="n">
        <f aca="false">MIN(Desain_Kolam!$B$21,MAX(0,M832+F833-H833-G833))</f>
        <v>15148.38</v>
      </c>
      <c r="N833" s="6" t="n">
        <f aca="false">IF(M832+F833-H833&gt;=G833,1,0)</f>
        <v>1</v>
      </c>
    </row>
    <row r="834" customFormat="false" ht="15" hidden="false" customHeight="false" outlineLevel="0" collapsed="false">
      <c r="A834" s="6" t="n">
        <v>2022</v>
      </c>
      <c r="B834" s="6" t="n">
        <v>7</v>
      </c>
      <c r="C834" s="4" t="n">
        <v>272</v>
      </c>
      <c r="D834" s="6" t="n">
        <v>31</v>
      </c>
      <c r="E834" s="4" t="n">
        <f aca="false">INDEX(Evaporasi!$B$3:$B$14,MATCH(B834,Evaporasi!$A$3:$A$14,0))</f>
        <v>120</v>
      </c>
      <c r="F834" s="18" t="n">
        <f aca="false">Kawasan!$B$11*Kawasan!$B$9*C834/1000</f>
        <v>2263.04</v>
      </c>
      <c r="G834" s="18" t="n">
        <f aca="false">Kawasan!$B$30*D834</f>
        <v>1190.4</v>
      </c>
      <c r="H834" s="18" t="n">
        <f aca="false">E834*Desain_Kolam!$B$16/1000</f>
        <v>128.7</v>
      </c>
      <c r="I834" s="18" t="n">
        <f aca="false">F834-G834-H834</f>
        <v>943.94</v>
      </c>
      <c r="J834" s="18" t="n">
        <f aca="false">J833+I834</f>
        <v>89040.7</v>
      </c>
      <c r="K834" s="18" t="n">
        <f aca="false">MAX(K833,J834)</f>
        <v>89040.7</v>
      </c>
      <c r="L834" s="18" t="n">
        <f aca="false">K834-J834</f>
        <v>0</v>
      </c>
      <c r="M834" s="18" t="n">
        <f aca="false">MIN(Desain_Kolam!$B$21,MAX(0,M833+F834-H834-G834))</f>
        <v>15148.38</v>
      </c>
      <c r="N834" s="6" t="n">
        <f aca="false">IF(M833+F834-H834&gt;=G834,1,0)</f>
        <v>1</v>
      </c>
    </row>
    <row r="835" customFormat="false" ht="15" hidden="false" customHeight="false" outlineLevel="0" collapsed="false">
      <c r="A835" s="6" t="n">
        <v>2022</v>
      </c>
      <c r="B835" s="6" t="n">
        <v>8</v>
      </c>
      <c r="C835" s="4" t="n">
        <v>354</v>
      </c>
      <c r="D835" s="6" t="n">
        <v>31</v>
      </c>
      <c r="E835" s="4" t="n">
        <f aca="false">INDEX(Evaporasi!$B$3:$B$14,MATCH(B835,Evaporasi!$A$3:$A$14,0))</f>
        <v>120</v>
      </c>
      <c r="F835" s="18" t="n">
        <f aca="false">Kawasan!$B$11*Kawasan!$B$9*C835/1000</f>
        <v>2945.28</v>
      </c>
      <c r="G835" s="18" t="n">
        <f aca="false">Kawasan!$B$30*D835</f>
        <v>1190.4</v>
      </c>
      <c r="H835" s="18" t="n">
        <f aca="false">E835*Desain_Kolam!$B$16/1000</f>
        <v>128.7</v>
      </c>
      <c r="I835" s="18" t="n">
        <f aca="false">F835-G835-H835</f>
        <v>1626.18</v>
      </c>
      <c r="J835" s="18" t="n">
        <f aca="false">J834+I835</f>
        <v>90666.88</v>
      </c>
      <c r="K835" s="18" t="n">
        <f aca="false">MAX(K834,J835)</f>
        <v>90666.88</v>
      </c>
      <c r="L835" s="18" t="n">
        <f aca="false">K835-J835</f>
        <v>0</v>
      </c>
      <c r="M835" s="18" t="n">
        <f aca="false">MIN(Desain_Kolam!$B$21,MAX(0,M834+F835-H835-G835))</f>
        <v>15148.38</v>
      </c>
      <c r="N835" s="6" t="n">
        <f aca="false">IF(M834+F835-H835&gt;=G835,1,0)</f>
        <v>1</v>
      </c>
    </row>
    <row r="836" customFormat="false" ht="15" hidden="false" customHeight="false" outlineLevel="0" collapsed="false">
      <c r="A836" s="6" t="n">
        <v>2022</v>
      </c>
      <c r="B836" s="6" t="n">
        <v>9</v>
      </c>
      <c r="C836" s="4" t="n">
        <v>275</v>
      </c>
      <c r="D836" s="6" t="n">
        <v>30</v>
      </c>
      <c r="E836" s="4" t="n">
        <f aca="false">INDEX(Evaporasi!$B$3:$B$14,MATCH(B836,Evaporasi!$A$3:$A$14,0))</f>
        <v>120</v>
      </c>
      <c r="F836" s="18" t="n">
        <f aca="false">Kawasan!$B$11*Kawasan!$B$9*C836/1000</f>
        <v>2288</v>
      </c>
      <c r="G836" s="18" t="n">
        <f aca="false">Kawasan!$B$30*D836</f>
        <v>1152</v>
      </c>
      <c r="H836" s="18" t="n">
        <f aca="false">E836*Desain_Kolam!$B$16/1000</f>
        <v>128.7</v>
      </c>
      <c r="I836" s="18" t="n">
        <f aca="false">F836-G836-H836</f>
        <v>1007.3</v>
      </c>
      <c r="J836" s="18" t="n">
        <f aca="false">J835+I836</f>
        <v>91674.18</v>
      </c>
      <c r="K836" s="18" t="n">
        <f aca="false">MAX(K835,J836)</f>
        <v>91674.18</v>
      </c>
      <c r="L836" s="18" t="n">
        <f aca="false">K836-J836</f>
        <v>0</v>
      </c>
      <c r="M836" s="18" t="n">
        <f aca="false">MIN(Desain_Kolam!$B$21,MAX(0,M835+F836-H836-G836))</f>
        <v>15148.38</v>
      </c>
      <c r="N836" s="6" t="n">
        <f aca="false">IF(M835+F836-H836&gt;=G836,1,0)</f>
        <v>1</v>
      </c>
    </row>
    <row r="837" customFormat="false" ht="15" hidden="false" customHeight="false" outlineLevel="0" collapsed="false">
      <c r="A837" s="6" t="n">
        <v>2022</v>
      </c>
      <c r="B837" s="6" t="n">
        <v>10</v>
      </c>
      <c r="C837" s="4" t="n">
        <v>423</v>
      </c>
      <c r="D837" s="6" t="n">
        <v>31</v>
      </c>
      <c r="E837" s="4" t="n">
        <f aca="false">INDEX(Evaporasi!$B$3:$B$14,MATCH(B837,Evaporasi!$A$3:$A$14,0))</f>
        <v>120</v>
      </c>
      <c r="F837" s="18" t="n">
        <f aca="false">Kawasan!$B$11*Kawasan!$B$9*C837/1000</f>
        <v>3519.36</v>
      </c>
      <c r="G837" s="18" t="n">
        <f aca="false">Kawasan!$B$30*D837</f>
        <v>1190.4</v>
      </c>
      <c r="H837" s="18" t="n">
        <f aca="false">E837*Desain_Kolam!$B$16/1000</f>
        <v>128.7</v>
      </c>
      <c r="I837" s="18" t="n">
        <f aca="false">F837-G837-H837</f>
        <v>2200.26</v>
      </c>
      <c r="J837" s="18" t="n">
        <f aca="false">J836+I837</f>
        <v>93874.44</v>
      </c>
      <c r="K837" s="18" t="n">
        <f aca="false">MAX(K836,J837)</f>
        <v>93874.44</v>
      </c>
      <c r="L837" s="18" t="n">
        <f aca="false">K837-J837</f>
        <v>0</v>
      </c>
      <c r="M837" s="18" t="n">
        <f aca="false">MIN(Desain_Kolam!$B$21,MAX(0,M836+F837-H837-G837))</f>
        <v>15148.38</v>
      </c>
      <c r="N837" s="6" t="n">
        <f aca="false">IF(M836+F837-H837&gt;=G837,1,0)</f>
        <v>1</v>
      </c>
    </row>
    <row r="838" customFormat="false" ht="15" hidden="false" customHeight="false" outlineLevel="0" collapsed="false">
      <c r="A838" s="6" t="n">
        <v>2022</v>
      </c>
      <c r="B838" s="6" t="n">
        <v>11</v>
      </c>
      <c r="C838" s="4" t="n">
        <v>237</v>
      </c>
      <c r="D838" s="6" t="n">
        <v>30</v>
      </c>
      <c r="E838" s="4" t="n">
        <f aca="false">INDEX(Evaporasi!$B$3:$B$14,MATCH(B838,Evaporasi!$A$3:$A$14,0))</f>
        <v>120</v>
      </c>
      <c r="F838" s="18" t="n">
        <f aca="false">Kawasan!$B$11*Kawasan!$B$9*C838/1000</f>
        <v>1971.84</v>
      </c>
      <c r="G838" s="18" t="n">
        <f aca="false">Kawasan!$B$30*D838</f>
        <v>1152</v>
      </c>
      <c r="H838" s="18" t="n">
        <f aca="false">E838*Desain_Kolam!$B$16/1000</f>
        <v>128.7</v>
      </c>
      <c r="I838" s="18" t="n">
        <f aca="false">F838-G838-H838</f>
        <v>691.14</v>
      </c>
      <c r="J838" s="18" t="n">
        <f aca="false">J837+I838</f>
        <v>94565.58</v>
      </c>
      <c r="K838" s="18" t="n">
        <f aca="false">MAX(K837,J838)</f>
        <v>94565.58</v>
      </c>
      <c r="L838" s="18" t="n">
        <f aca="false">K838-J838</f>
        <v>0</v>
      </c>
      <c r="M838" s="18" t="n">
        <f aca="false">MIN(Desain_Kolam!$B$21,MAX(0,M837+F838-H838-G838))</f>
        <v>15148.38</v>
      </c>
      <c r="N838" s="6" t="n">
        <f aca="false">IF(M837+F838-H838&gt;=G838,1,0)</f>
        <v>1</v>
      </c>
    </row>
    <row r="839" customFormat="false" ht="15" hidden="false" customHeight="false" outlineLevel="0" collapsed="false">
      <c r="A839" s="6" t="n">
        <v>2022</v>
      </c>
      <c r="B839" s="6" t="n">
        <v>12</v>
      </c>
      <c r="C839" s="4" t="n">
        <v>215</v>
      </c>
      <c r="D839" s="6" t="n">
        <v>31</v>
      </c>
      <c r="E839" s="4" t="n">
        <f aca="false">INDEX(Evaporasi!$B$3:$B$14,MATCH(B839,Evaporasi!$A$3:$A$14,0))</f>
        <v>120</v>
      </c>
      <c r="F839" s="18" t="n">
        <f aca="false">Kawasan!$B$11*Kawasan!$B$9*C839/1000</f>
        <v>1788.8</v>
      </c>
      <c r="G839" s="18" t="n">
        <f aca="false">Kawasan!$B$30*D839</f>
        <v>1190.4</v>
      </c>
      <c r="H839" s="18" t="n">
        <f aca="false">E839*Desain_Kolam!$B$16/1000</f>
        <v>128.7</v>
      </c>
      <c r="I839" s="18" t="n">
        <f aca="false">F839-G839-H839</f>
        <v>469.7</v>
      </c>
      <c r="J839" s="18" t="n">
        <f aca="false">J838+I839</f>
        <v>95035.28</v>
      </c>
      <c r="K839" s="18" t="n">
        <f aca="false">MAX(K838,J839)</f>
        <v>95035.28</v>
      </c>
      <c r="L839" s="18" t="n">
        <f aca="false">K839-J839</f>
        <v>0</v>
      </c>
      <c r="M839" s="18" t="n">
        <f aca="false">MIN(Desain_Kolam!$B$21,MAX(0,M838+F839-H839-G839))</f>
        <v>15148.38</v>
      </c>
      <c r="N839" s="6" t="n">
        <f aca="false">IF(M838+F839-H839&gt;=G839,1,0)</f>
        <v>1</v>
      </c>
    </row>
    <row r="840" customFormat="false" ht="15" hidden="false" customHeight="false" outlineLevel="0" collapsed="false">
      <c r="A840" s="6" t="n">
        <v>2023</v>
      </c>
      <c r="B840" s="6" t="n">
        <v>1</v>
      </c>
      <c r="C840" s="4" t="n">
        <v>258</v>
      </c>
      <c r="D840" s="6" t="n">
        <v>31</v>
      </c>
      <c r="E840" s="4" t="n">
        <f aca="false">INDEX(Evaporasi!$B$3:$B$14,MATCH(B840,Evaporasi!$A$3:$A$14,0))</f>
        <v>120</v>
      </c>
      <c r="F840" s="18" t="n">
        <f aca="false">Kawasan!$B$11*Kawasan!$B$9*C840/1000</f>
        <v>2146.56</v>
      </c>
      <c r="G840" s="18" t="n">
        <f aca="false">Kawasan!$B$30*D840</f>
        <v>1190.4</v>
      </c>
      <c r="H840" s="18" t="n">
        <f aca="false">E840*Desain_Kolam!$B$16/1000</f>
        <v>128.7</v>
      </c>
      <c r="I840" s="18" t="n">
        <f aca="false">F840-G840-H840</f>
        <v>827.46</v>
      </c>
      <c r="J840" s="18" t="n">
        <f aca="false">J839+I840</f>
        <v>95862.74</v>
      </c>
      <c r="K840" s="18" t="n">
        <f aca="false">MAX(K839,J840)</f>
        <v>95862.74</v>
      </c>
      <c r="L840" s="18" t="n">
        <f aca="false">K840-J840</f>
        <v>0</v>
      </c>
      <c r="M840" s="18" t="n">
        <f aca="false">MIN(Desain_Kolam!$B$21,MAX(0,M839+F840-H840-G840))</f>
        <v>15148.38</v>
      </c>
      <c r="N840" s="6" t="n">
        <f aca="false">IF(M839+F840-H840&gt;=G840,1,0)</f>
        <v>1</v>
      </c>
    </row>
    <row r="841" customFormat="false" ht="15" hidden="false" customHeight="false" outlineLevel="0" collapsed="false">
      <c r="A841" s="6" t="n">
        <v>2023</v>
      </c>
      <c r="B841" s="6" t="n">
        <v>2</v>
      </c>
      <c r="C841" s="4" t="n">
        <v>185</v>
      </c>
      <c r="D841" s="6" t="n">
        <v>28</v>
      </c>
      <c r="E841" s="4" t="n">
        <f aca="false">INDEX(Evaporasi!$B$3:$B$14,MATCH(B841,Evaporasi!$A$3:$A$14,0))</f>
        <v>120</v>
      </c>
      <c r="F841" s="18" t="n">
        <f aca="false">Kawasan!$B$11*Kawasan!$B$9*C841/1000</f>
        <v>1539.2</v>
      </c>
      <c r="G841" s="18" t="n">
        <f aca="false">Kawasan!$B$30*D841</f>
        <v>1075.2</v>
      </c>
      <c r="H841" s="18" t="n">
        <f aca="false">E841*Desain_Kolam!$B$16/1000</f>
        <v>128.7</v>
      </c>
      <c r="I841" s="18" t="n">
        <f aca="false">F841-G841-H841</f>
        <v>335.3</v>
      </c>
      <c r="J841" s="18" t="n">
        <f aca="false">J840+I841</f>
        <v>96198.04</v>
      </c>
      <c r="K841" s="18" t="n">
        <f aca="false">MAX(K840,J841)</f>
        <v>96198.04</v>
      </c>
      <c r="L841" s="18" t="n">
        <f aca="false">K841-J841</f>
        <v>0</v>
      </c>
      <c r="M841" s="18" t="n">
        <f aca="false">MIN(Desain_Kolam!$B$21,MAX(0,M840+F841-H841-G841))</f>
        <v>15148.38</v>
      </c>
      <c r="N841" s="6" t="n">
        <f aca="false">IF(M840+F841-H841&gt;=G841,1,0)</f>
        <v>1</v>
      </c>
    </row>
    <row r="842" customFormat="false" ht="15" hidden="false" customHeight="false" outlineLevel="0" collapsed="false">
      <c r="A842" s="6" t="n">
        <v>2023</v>
      </c>
      <c r="B842" s="6" t="n">
        <v>3</v>
      </c>
      <c r="C842" s="4" t="n">
        <v>309</v>
      </c>
      <c r="D842" s="6" t="n">
        <v>31</v>
      </c>
      <c r="E842" s="4" t="n">
        <f aca="false">INDEX(Evaporasi!$B$3:$B$14,MATCH(B842,Evaporasi!$A$3:$A$14,0))</f>
        <v>120</v>
      </c>
      <c r="F842" s="18" t="n">
        <f aca="false">Kawasan!$B$11*Kawasan!$B$9*C842/1000</f>
        <v>2570.88</v>
      </c>
      <c r="G842" s="18" t="n">
        <f aca="false">Kawasan!$B$30*D842</f>
        <v>1190.4</v>
      </c>
      <c r="H842" s="18" t="n">
        <f aca="false">E842*Desain_Kolam!$B$16/1000</f>
        <v>128.7</v>
      </c>
      <c r="I842" s="18" t="n">
        <f aca="false">F842-G842-H842</f>
        <v>1251.78</v>
      </c>
      <c r="J842" s="18" t="n">
        <f aca="false">J841+I842</f>
        <v>97449.82</v>
      </c>
      <c r="K842" s="18" t="n">
        <f aca="false">MAX(K841,J842)</f>
        <v>97449.82</v>
      </c>
      <c r="L842" s="18" t="n">
        <f aca="false">K842-J842</f>
        <v>0</v>
      </c>
      <c r="M842" s="18" t="n">
        <f aca="false">MIN(Desain_Kolam!$B$21,MAX(0,M841+F842-H842-G842))</f>
        <v>15148.38</v>
      </c>
      <c r="N842" s="6" t="n">
        <f aca="false">IF(M841+F842-H842&gt;=G842,1,0)</f>
        <v>1</v>
      </c>
    </row>
    <row r="843" customFormat="false" ht="15" hidden="false" customHeight="false" outlineLevel="0" collapsed="false">
      <c r="A843" s="6" t="n">
        <v>2023</v>
      </c>
      <c r="B843" s="6" t="n">
        <v>4</v>
      </c>
      <c r="C843" s="4" t="n">
        <v>189</v>
      </c>
      <c r="D843" s="6" t="n">
        <v>30</v>
      </c>
      <c r="E843" s="4" t="n">
        <f aca="false">INDEX(Evaporasi!$B$3:$B$14,MATCH(B843,Evaporasi!$A$3:$A$14,0))</f>
        <v>120</v>
      </c>
      <c r="F843" s="18" t="n">
        <f aca="false">Kawasan!$B$11*Kawasan!$B$9*C843/1000</f>
        <v>1572.48</v>
      </c>
      <c r="G843" s="18" t="n">
        <f aca="false">Kawasan!$B$30*D843</f>
        <v>1152</v>
      </c>
      <c r="H843" s="18" t="n">
        <f aca="false">E843*Desain_Kolam!$B$16/1000</f>
        <v>128.7</v>
      </c>
      <c r="I843" s="18" t="n">
        <f aca="false">F843-G843-H843</f>
        <v>291.78</v>
      </c>
      <c r="J843" s="18" t="n">
        <f aca="false">J842+I843</f>
        <v>97741.6</v>
      </c>
      <c r="K843" s="18" t="n">
        <f aca="false">MAX(K842,J843)</f>
        <v>97741.6</v>
      </c>
      <c r="L843" s="18" t="n">
        <f aca="false">K843-J843</f>
        <v>0</v>
      </c>
      <c r="M843" s="18" t="n">
        <f aca="false">MIN(Desain_Kolam!$B$21,MAX(0,M842+F843-H843-G843))</f>
        <v>15148.38</v>
      </c>
      <c r="N843" s="6" t="n">
        <f aca="false">IF(M842+F843-H843&gt;=G843,1,0)</f>
        <v>1</v>
      </c>
    </row>
    <row r="844" customFormat="false" ht="15" hidden="false" customHeight="false" outlineLevel="0" collapsed="false">
      <c r="A844" s="6" t="n">
        <v>2023</v>
      </c>
      <c r="B844" s="6" t="n">
        <v>5</v>
      </c>
      <c r="C844" s="4" t="n">
        <v>333</v>
      </c>
      <c r="D844" s="6" t="n">
        <v>31</v>
      </c>
      <c r="E844" s="4" t="n">
        <f aca="false">INDEX(Evaporasi!$B$3:$B$14,MATCH(B844,Evaporasi!$A$3:$A$14,0))</f>
        <v>120</v>
      </c>
      <c r="F844" s="18" t="n">
        <f aca="false">Kawasan!$B$11*Kawasan!$B$9*C844/1000</f>
        <v>2770.56</v>
      </c>
      <c r="G844" s="18" t="n">
        <f aca="false">Kawasan!$B$30*D844</f>
        <v>1190.4</v>
      </c>
      <c r="H844" s="18" t="n">
        <f aca="false">E844*Desain_Kolam!$B$16/1000</f>
        <v>128.7</v>
      </c>
      <c r="I844" s="18" t="n">
        <f aca="false">F844-G844-H844</f>
        <v>1451.46</v>
      </c>
      <c r="J844" s="18" t="n">
        <f aca="false">J843+I844</f>
        <v>99193.06</v>
      </c>
      <c r="K844" s="18" t="n">
        <f aca="false">MAX(K843,J844)</f>
        <v>99193.06</v>
      </c>
      <c r="L844" s="18" t="n">
        <f aca="false">K844-J844</f>
        <v>0</v>
      </c>
      <c r="M844" s="18" t="n">
        <f aca="false">MIN(Desain_Kolam!$B$21,MAX(0,M843+F844-H844-G844))</f>
        <v>15148.38</v>
      </c>
      <c r="N844" s="6" t="n">
        <f aca="false">IF(M843+F844-H844&gt;=G844,1,0)</f>
        <v>1</v>
      </c>
    </row>
    <row r="845" customFormat="false" ht="15" hidden="false" customHeight="false" outlineLevel="0" collapsed="false">
      <c r="A845" s="6" t="n">
        <v>2023</v>
      </c>
      <c r="B845" s="6" t="n">
        <v>6</v>
      </c>
      <c r="C845" s="4" t="n">
        <v>263</v>
      </c>
      <c r="D845" s="6" t="n">
        <v>30</v>
      </c>
      <c r="E845" s="4" t="n">
        <f aca="false">INDEX(Evaporasi!$B$3:$B$14,MATCH(B845,Evaporasi!$A$3:$A$14,0))</f>
        <v>120</v>
      </c>
      <c r="F845" s="18" t="n">
        <f aca="false">Kawasan!$B$11*Kawasan!$B$9*C845/1000</f>
        <v>2188.16</v>
      </c>
      <c r="G845" s="18" t="n">
        <f aca="false">Kawasan!$B$30*D845</f>
        <v>1152</v>
      </c>
      <c r="H845" s="18" t="n">
        <f aca="false">E845*Desain_Kolam!$B$16/1000</f>
        <v>128.7</v>
      </c>
      <c r="I845" s="18" t="n">
        <f aca="false">F845-G845-H845</f>
        <v>907.46</v>
      </c>
      <c r="J845" s="18" t="n">
        <f aca="false">J844+I845</f>
        <v>100100.52</v>
      </c>
      <c r="K845" s="18" t="n">
        <f aca="false">MAX(K844,J845)</f>
        <v>100100.52</v>
      </c>
      <c r="L845" s="18" t="n">
        <f aca="false">K845-J845</f>
        <v>0</v>
      </c>
      <c r="M845" s="18" t="n">
        <f aca="false">MIN(Desain_Kolam!$B$21,MAX(0,M844+F845-H845-G845))</f>
        <v>15148.38</v>
      </c>
      <c r="N845" s="6" t="n">
        <f aca="false">IF(M844+F845-H845&gt;=G845,1,0)</f>
        <v>1</v>
      </c>
    </row>
    <row r="846" customFormat="false" ht="15" hidden="false" customHeight="false" outlineLevel="0" collapsed="false">
      <c r="A846" s="6" t="n">
        <v>2023</v>
      </c>
      <c r="B846" s="6" t="n">
        <v>7</v>
      </c>
      <c r="C846" s="4" t="n">
        <v>405</v>
      </c>
      <c r="D846" s="6" t="n">
        <v>31</v>
      </c>
      <c r="E846" s="4" t="n">
        <f aca="false">INDEX(Evaporasi!$B$3:$B$14,MATCH(B846,Evaporasi!$A$3:$A$14,0))</f>
        <v>120</v>
      </c>
      <c r="F846" s="18" t="n">
        <f aca="false">Kawasan!$B$11*Kawasan!$B$9*C846/1000</f>
        <v>3369.6</v>
      </c>
      <c r="G846" s="18" t="n">
        <f aca="false">Kawasan!$B$30*D846</f>
        <v>1190.4</v>
      </c>
      <c r="H846" s="18" t="n">
        <f aca="false">E846*Desain_Kolam!$B$16/1000</f>
        <v>128.7</v>
      </c>
      <c r="I846" s="18" t="n">
        <f aca="false">F846-G846-H846</f>
        <v>2050.5</v>
      </c>
      <c r="J846" s="18" t="n">
        <f aca="false">J845+I846</f>
        <v>102151.02</v>
      </c>
      <c r="K846" s="18" t="n">
        <f aca="false">MAX(K845,J846)</f>
        <v>102151.02</v>
      </c>
      <c r="L846" s="18" t="n">
        <f aca="false">K846-J846</f>
        <v>0</v>
      </c>
      <c r="M846" s="18" t="n">
        <f aca="false">MIN(Desain_Kolam!$B$21,MAX(0,M845+F846-H846-G846))</f>
        <v>15148.38</v>
      </c>
      <c r="N846" s="6" t="n">
        <f aca="false">IF(M845+F846-H846&gt;=G846,1,0)</f>
        <v>1</v>
      </c>
    </row>
    <row r="847" customFormat="false" ht="15" hidden="false" customHeight="false" outlineLevel="0" collapsed="false">
      <c r="A847" s="6" t="n">
        <v>2023</v>
      </c>
      <c r="B847" s="6" t="n">
        <v>8</v>
      </c>
      <c r="C847" s="4" t="n">
        <v>164</v>
      </c>
      <c r="D847" s="6" t="n">
        <v>31</v>
      </c>
      <c r="E847" s="4" t="n">
        <f aca="false">INDEX(Evaporasi!$B$3:$B$14,MATCH(B847,Evaporasi!$A$3:$A$14,0))</f>
        <v>120</v>
      </c>
      <c r="F847" s="18" t="n">
        <f aca="false">Kawasan!$B$11*Kawasan!$B$9*C847/1000</f>
        <v>1364.48</v>
      </c>
      <c r="G847" s="18" t="n">
        <f aca="false">Kawasan!$B$30*D847</f>
        <v>1190.4</v>
      </c>
      <c r="H847" s="18" t="n">
        <f aca="false">E847*Desain_Kolam!$B$16/1000</f>
        <v>128.7</v>
      </c>
      <c r="I847" s="18" t="n">
        <f aca="false">F847-G847-H847</f>
        <v>45.3800000000002</v>
      </c>
      <c r="J847" s="18" t="n">
        <f aca="false">J846+I847</f>
        <v>102196.4</v>
      </c>
      <c r="K847" s="18" t="n">
        <f aca="false">MAX(K846,J847)</f>
        <v>102196.4</v>
      </c>
      <c r="L847" s="18" t="n">
        <f aca="false">K847-J847</f>
        <v>0</v>
      </c>
      <c r="M847" s="18" t="n">
        <f aca="false">MIN(Desain_Kolam!$B$21,MAX(0,M846+F847-H847-G847))</f>
        <v>15148.38</v>
      </c>
      <c r="N847" s="6" t="n">
        <f aca="false">IF(M846+F847-H847&gt;=G847,1,0)</f>
        <v>1</v>
      </c>
    </row>
    <row r="848" customFormat="false" ht="15" hidden="false" customHeight="false" outlineLevel="0" collapsed="false">
      <c r="A848" s="6" t="n">
        <v>2023</v>
      </c>
      <c r="B848" s="6" t="n">
        <v>9</v>
      </c>
      <c r="C848" s="4" t="n">
        <v>218</v>
      </c>
      <c r="D848" s="6" t="n">
        <v>30</v>
      </c>
      <c r="E848" s="4" t="n">
        <f aca="false">INDEX(Evaporasi!$B$3:$B$14,MATCH(B848,Evaporasi!$A$3:$A$14,0))</f>
        <v>120</v>
      </c>
      <c r="F848" s="18" t="n">
        <f aca="false">Kawasan!$B$11*Kawasan!$B$9*C848/1000</f>
        <v>1813.76</v>
      </c>
      <c r="G848" s="18" t="n">
        <f aca="false">Kawasan!$B$30*D848</f>
        <v>1152</v>
      </c>
      <c r="H848" s="18" t="n">
        <f aca="false">E848*Desain_Kolam!$B$16/1000</f>
        <v>128.7</v>
      </c>
      <c r="I848" s="18" t="n">
        <f aca="false">F848-G848-H848</f>
        <v>533.06</v>
      </c>
      <c r="J848" s="18" t="n">
        <f aca="false">J847+I848</f>
        <v>102729.46</v>
      </c>
      <c r="K848" s="18" t="n">
        <f aca="false">MAX(K847,J848)</f>
        <v>102729.46</v>
      </c>
      <c r="L848" s="18" t="n">
        <f aca="false">K848-J848</f>
        <v>0</v>
      </c>
      <c r="M848" s="18" t="n">
        <f aca="false">MIN(Desain_Kolam!$B$21,MAX(0,M847+F848-H848-G848))</f>
        <v>15148.38</v>
      </c>
      <c r="N848" s="6" t="n">
        <f aca="false">IF(M847+F848-H848&gt;=G848,1,0)</f>
        <v>1</v>
      </c>
    </row>
    <row r="849" customFormat="false" ht="15" hidden="false" customHeight="false" outlineLevel="0" collapsed="false">
      <c r="A849" s="6" t="n">
        <v>2023</v>
      </c>
      <c r="B849" s="6" t="n">
        <v>10</v>
      </c>
      <c r="C849" s="4" t="n">
        <v>250</v>
      </c>
      <c r="D849" s="6" t="n">
        <v>31</v>
      </c>
      <c r="E849" s="4" t="n">
        <f aca="false">INDEX(Evaporasi!$B$3:$B$14,MATCH(B849,Evaporasi!$A$3:$A$14,0))</f>
        <v>120</v>
      </c>
      <c r="F849" s="18" t="n">
        <f aca="false">Kawasan!$B$11*Kawasan!$B$9*C849/1000</f>
        <v>2080</v>
      </c>
      <c r="G849" s="18" t="n">
        <f aca="false">Kawasan!$B$30*D849</f>
        <v>1190.4</v>
      </c>
      <c r="H849" s="18" t="n">
        <f aca="false">E849*Desain_Kolam!$B$16/1000</f>
        <v>128.7</v>
      </c>
      <c r="I849" s="18" t="n">
        <f aca="false">F849-G849-H849</f>
        <v>760.9</v>
      </c>
      <c r="J849" s="18" t="n">
        <f aca="false">J848+I849</f>
        <v>103490.36</v>
      </c>
      <c r="K849" s="18" t="n">
        <f aca="false">MAX(K848,J849)</f>
        <v>103490.36</v>
      </c>
      <c r="L849" s="18" t="n">
        <f aca="false">K849-J849</f>
        <v>0</v>
      </c>
      <c r="M849" s="18" t="n">
        <f aca="false">MIN(Desain_Kolam!$B$21,MAX(0,M848+F849-H849-G849))</f>
        <v>15148.38</v>
      </c>
      <c r="N849" s="6" t="n">
        <f aca="false">IF(M848+F849-H849&gt;=G849,1,0)</f>
        <v>1</v>
      </c>
    </row>
    <row r="850" customFormat="false" ht="15" hidden="false" customHeight="false" outlineLevel="0" collapsed="false">
      <c r="A850" s="6" t="n">
        <v>2023</v>
      </c>
      <c r="B850" s="6" t="n">
        <v>11</v>
      </c>
      <c r="C850" s="4" t="n">
        <v>265</v>
      </c>
      <c r="D850" s="6" t="n">
        <v>30</v>
      </c>
      <c r="E850" s="4" t="n">
        <f aca="false">INDEX(Evaporasi!$B$3:$B$14,MATCH(B850,Evaporasi!$A$3:$A$14,0))</f>
        <v>120</v>
      </c>
      <c r="F850" s="18" t="n">
        <f aca="false">Kawasan!$B$11*Kawasan!$B$9*C850/1000</f>
        <v>2204.8</v>
      </c>
      <c r="G850" s="18" t="n">
        <f aca="false">Kawasan!$B$30*D850</f>
        <v>1152</v>
      </c>
      <c r="H850" s="18" t="n">
        <f aca="false">E850*Desain_Kolam!$B$16/1000</f>
        <v>128.7</v>
      </c>
      <c r="I850" s="18" t="n">
        <f aca="false">F850-G850-H850</f>
        <v>924.1</v>
      </c>
      <c r="J850" s="18" t="n">
        <f aca="false">J849+I850</f>
        <v>104414.46</v>
      </c>
      <c r="K850" s="18" t="n">
        <f aca="false">MAX(K849,J850)</f>
        <v>104414.46</v>
      </c>
      <c r="L850" s="18" t="n">
        <f aca="false">K850-J850</f>
        <v>0</v>
      </c>
      <c r="M850" s="18" t="n">
        <f aca="false">MIN(Desain_Kolam!$B$21,MAX(0,M849+F850-H850-G850))</f>
        <v>15148.38</v>
      </c>
      <c r="N850" s="6" t="n">
        <f aca="false">IF(M849+F850-H850&gt;=G850,1,0)</f>
        <v>1</v>
      </c>
    </row>
    <row r="851" customFormat="false" ht="15" hidden="false" customHeight="false" outlineLevel="0" collapsed="false">
      <c r="A851" s="6" t="n">
        <v>2023</v>
      </c>
      <c r="B851" s="6" t="n">
        <v>12</v>
      </c>
      <c r="C851" s="4" t="n">
        <v>421</v>
      </c>
      <c r="D851" s="6" t="n">
        <v>31</v>
      </c>
      <c r="E851" s="4" t="n">
        <f aca="false">INDEX(Evaporasi!$B$3:$B$14,MATCH(B851,Evaporasi!$A$3:$A$14,0))</f>
        <v>120</v>
      </c>
      <c r="F851" s="18" t="n">
        <f aca="false">Kawasan!$B$11*Kawasan!$B$9*C851/1000</f>
        <v>3502.72</v>
      </c>
      <c r="G851" s="18" t="n">
        <f aca="false">Kawasan!$B$30*D851</f>
        <v>1190.4</v>
      </c>
      <c r="H851" s="18" t="n">
        <f aca="false">E851*Desain_Kolam!$B$16/1000</f>
        <v>128.7</v>
      </c>
      <c r="I851" s="18" t="n">
        <f aca="false">F851-G851-H851</f>
        <v>2183.62</v>
      </c>
      <c r="J851" s="18" t="n">
        <f aca="false">J850+I851</f>
        <v>106598.08</v>
      </c>
      <c r="K851" s="18" t="n">
        <f aca="false">MAX(K850,J851)</f>
        <v>106598.08</v>
      </c>
      <c r="L851" s="18" t="n">
        <f aca="false">K851-J851</f>
        <v>0</v>
      </c>
      <c r="M851" s="18" t="n">
        <f aca="false">MIN(Desain_Kolam!$B$21,MAX(0,M850+F851-H851-G851))</f>
        <v>15148.38</v>
      </c>
      <c r="N851" s="6" t="n">
        <f aca="false">IF(M850+F851-H851&gt;=G851,1,0)</f>
        <v>1</v>
      </c>
    </row>
    <row r="852" customFormat="false" ht="15" hidden="false" customHeight="false" outlineLevel="0" collapsed="false">
      <c r="A852" s="6" t="n">
        <v>2024</v>
      </c>
      <c r="B852" s="6" t="n">
        <v>1</v>
      </c>
      <c r="C852" s="4" t="n">
        <v>379</v>
      </c>
      <c r="D852" s="6" t="n">
        <v>31</v>
      </c>
      <c r="E852" s="4" t="n">
        <f aca="false">INDEX(Evaporasi!$B$3:$B$14,MATCH(B852,Evaporasi!$A$3:$A$14,0))</f>
        <v>120</v>
      </c>
      <c r="F852" s="18" t="n">
        <f aca="false">Kawasan!$B$11*Kawasan!$B$9*C852/1000</f>
        <v>3153.28</v>
      </c>
      <c r="G852" s="18" t="n">
        <f aca="false">Kawasan!$B$30*D852</f>
        <v>1190.4</v>
      </c>
      <c r="H852" s="18" t="n">
        <f aca="false">E852*Desain_Kolam!$B$16/1000</f>
        <v>128.7</v>
      </c>
      <c r="I852" s="18" t="n">
        <f aca="false">F852-G852-H852</f>
        <v>1834.18</v>
      </c>
      <c r="J852" s="18" t="n">
        <f aca="false">J851+I852</f>
        <v>108432.26</v>
      </c>
      <c r="K852" s="18" t="n">
        <f aca="false">MAX(K851,J852)</f>
        <v>108432.26</v>
      </c>
      <c r="L852" s="18" t="n">
        <f aca="false">K852-J852</f>
        <v>0</v>
      </c>
      <c r="M852" s="18" t="n">
        <f aca="false">MIN(Desain_Kolam!$B$21,MAX(0,M851+F852-H852-G852))</f>
        <v>15148.38</v>
      </c>
      <c r="N852" s="6" t="n">
        <f aca="false">IF(M851+F852-H852&gt;=G852,1,0)</f>
        <v>1</v>
      </c>
    </row>
    <row r="853" customFormat="false" ht="15" hidden="false" customHeight="false" outlineLevel="0" collapsed="false">
      <c r="A853" s="6" t="n">
        <v>2024</v>
      </c>
      <c r="B853" s="6" t="n">
        <v>2</v>
      </c>
      <c r="C853" s="4" t="n">
        <v>300</v>
      </c>
      <c r="D853" s="6" t="n">
        <v>29</v>
      </c>
      <c r="E853" s="4" t="n">
        <f aca="false">INDEX(Evaporasi!$B$3:$B$14,MATCH(B853,Evaporasi!$A$3:$A$14,0))</f>
        <v>120</v>
      </c>
      <c r="F853" s="18" t="n">
        <f aca="false">Kawasan!$B$11*Kawasan!$B$9*C853/1000</f>
        <v>2496</v>
      </c>
      <c r="G853" s="18" t="n">
        <f aca="false">Kawasan!$B$30*D853</f>
        <v>1113.6</v>
      </c>
      <c r="H853" s="18" t="n">
        <f aca="false">E853*Desain_Kolam!$B$16/1000</f>
        <v>128.7</v>
      </c>
      <c r="I853" s="18" t="n">
        <f aca="false">F853-G853-H853</f>
        <v>1253.7</v>
      </c>
      <c r="J853" s="18" t="n">
        <f aca="false">J852+I853</f>
        <v>109685.96</v>
      </c>
      <c r="K853" s="18" t="n">
        <f aca="false">MAX(K852,J853)</f>
        <v>109685.96</v>
      </c>
      <c r="L853" s="18" t="n">
        <f aca="false">K853-J853</f>
        <v>0</v>
      </c>
      <c r="M853" s="18" t="n">
        <f aca="false">MIN(Desain_Kolam!$B$21,MAX(0,M852+F853-H853-G853))</f>
        <v>15148.38</v>
      </c>
      <c r="N853" s="6" t="n">
        <f aca="false">IF(M852+F853-H853&gt;=G853,1,0)</f>
        <v>1</v>
      </c>
    </row>
    <row r="854" customFormat="false" ht="15" hidden="false" customHeight="false" outlineLevel="0" collapsed="false">
      <c r="A854" s="6" t="n">
        <v>2024</v>
      </c>
      <c r="B854" s="6" t="n">
        <v>3</v>
      </c>
      <c r="C854" s="4" t="n">
        <v>512</v>
      </c>
      <c r="D854" s="6" t="n">
        <v>31</v>
      </c>
      <c r="E854" s="4" t="n">
        <f aca="false">INDEX(Evaporasi!$B$3:$B$14,MATCH(B854,Evaporasi!$A$3:$A$14,0))</f>
        <v>120</v>
      </c>
      <c r="F854" s="18" t="n">
        <f aca="false">Kawasan!$B$11*Kawasan!$B$9*C854/1000</f>
        <v>4259.84</v>
      </c>
      <c r="G854" s="18" t="n">
        <f aca="false">Kawasan!$B$30*D854</f>
        <v>1190.4</v>
      </c>
      <c r="H854" s="18" t="n">
        <f aca="false">E854*Desain_Kolam!$B$16/1000</f>
        <v>128.7</v>
      </c>
      <c r="I854" s="18" t="n">
        <f aca="false">F854-G854-H854</f>
        <v>2940.74</v>
      </c>
      <c r="J854" s="18" t="n">
        <f aca="false">J853+I854</f>
        <v>112626.7</v>
      </c>
      <c r="K854" s="18" t="n">
        <f aca="false">MAX(K853,J854)</f>
        <v>112626.7</v>
      </c>
      <c r="L854" s="18" t="n">
        <f aca="false">K854-J854</f>
        <v>0</v>
      </c>
      <c r="M854" s="18" t="n">
        <f aca="false">MIN(Desain_Kolam!$B$21,MAX(0,M853+F854-H854-G854))</f>
        <v>15148.38</v>
      </c>
      <c r="N854" s="6" t="n">
        <f aca="false">IF(M853+F854-H854&gt;=G854,1,0)</f>
        <v>1</v>
      </c>
    </row>
    <row r="855" customFormat="false" ht="15" hidden="false" customHeight="false" outlineLevel="0" collapsed="false">
      <c r="A855" s="6" t="n">
        <v>2024</v>
      </c>
      <c r="B855" s="6" t="n">
        <v>4</v>
      </c>
      <c r="C855" s="4" t="n">
        <v>327</v>
      </c>
      <c r="D855" s="6" t="n">
        <v>30</v>
      </c>
      <c r="E855" s="4" t="n">
        <f aca="false">INDEX(Evaporasi!$B$3:$B$14,MATCH(B855,Evaporasi!$A$3:$A$14,0))</f>
        <v>120</v>
      </c>
      <c r="F855" s="18" t="n">
        <f aca="false">Kawasan!$B$11*Kawasan!$B$9*C855/1000</f>
        <v>2720.64</v>
      </c>
      <c r="G855" s="18" t="n">
        <f aca="false">Kawasan!$B$30*D855</f>
        <v>1152</v>
      </c>
      <c r="H855" s="18" t="n">
        <f aca="false">E855*Desain_Kolam!$B$16/1000</f>
        <v>128.7</v>
      </c>
      <c r="I855" s="18" t="n">
        <f aca="false">F855-G855-H855</f>
        <v>1439.94</v>
      </c>
      <c r="J855" s="18" t="n">
        <f aca="false">J854+I855</f>
        <v>114066.64</v>
      </c>
      <c r="K855" s="18" t="n">
        <f aca="false">MAX(K854,J855)</f>
        <v>114066.64</v>
      </c>
      <c r="L855" s="18" t="n">
        <f aca="false">K855-J855</f>
        <v>0</v>
      </c>
      <c r="M855" s="18" t="n">
        <f aca="false">MIN(Desain_Kolam!$B$21,MAX(0,M854+F855-H855-G855))</f>
        <v>15148.38</v>
      </c>
      <c r="N855" s="6" t="n">
        <f aca="false">IF(M854+F855-H855&gt;=G855,1,0)</f>
        <v>1</v>
      </c>
    </row>
    <row r="856" customFormat="false" ht="15" hidden="false" customHeight="false" outlineLevel="0" collapsed="false">
      <c r="A856" s="6" t="n">
        <v>2024</v>
      </c>
      <c r="B856" s="6" t="n">
        <v>5</v>
      </c>
      <c r="C856" s="4" t="n">
        <v>406</v>
      </c>
      <c r="D856" s="6" t="n">
        <v>31</v>
      </c>
      <c r="E856" s="4" t="n">
        <f aca="false">INDEX(Evaporasi!$B$3:$B$14,MATCH(B856,Evaporasi!$A$3:$A$14,0))</f>
        <v>120</v>
      </c>
      <c r="F856" s="18" t="n">
        <f aca="false">Kawasan!$B$11*Kawasan!$B$9*C856/1000</f>
        <v>3377.92</v>
      </c>
      <c r="G856" s="18" t="n">
        <f aca="false">Kawasan!$B$30*D856</f>
        <v>1190.4</v>
      </c>
      <c r="H856" s="18" t="n">
        <f aca="false">E856*Desain_Kolam!$B$16/1000</f>
        <v>128.7</v>
      </c>
      <c r="I856" s="18" t="n">
        <f aca="false">F856-G856-H856</f>
        <v>2058.82</v>
      </c>
      <c r="J856" s="18" t="n">
        <f aca="false">J855+I856</f>
        <v>116125.46</v>
      </c>
      <c r="K856" s="18" t="n">
        <f aca="false">MAX(K855,J856)</f>
        <v>116125.46</v>
      </c>
      <c r="L856" s="18" t="n">
        <f aca="false">K856-J856</f>
        <v>0</v>
      </c>
      <c r="M856" s="18" t="n">
        <f aca="false">MIN(Desain_Kolam!$B$21,MAX(0,M855+F856-H856-G856))</f>
        <v>15148.38</v>
      </c>
      <c r="N856" s="6" t="n">
        <f aca="false">IF(M855+F856-H856&gt;=G856,1,0)</f>
        <v>1</v>
      </c>
    </row>
    <row r="857" customFormat="false" ht="15" hidden="false" customHeight="false" outlineLevel="0" collapsed="false">
      <c r="A857" s="6" t="n">
        <v>2024</v>
      </c>
      <c r="B857" s="6" t="n">
        <v>6</v>
      </c>
      <c r="C857" s="4" t="n">
        <v>166</v>
      </c>
      <c r="D857" s="6" t="n">
        <v>30</v>
      </c>
      <c r="E857" s="4" t="n">
        <f aca="false">INDEX(Evaporasi!$B$3:$B$14,MATCH(B857,Evaporasi!$A$3:$A$14,0))</f>
        <v>120</v>
      </c>
      <c r="F857" s="18" t="n">
        <f aca="false">Kawasan!$B$11*Kawasan!$B$9*C857/1000</f>
        <v>1381.12</v>
      </c>
      <c r="G857" s="18" t="n">
        <f aca="false">Kawasan!$B$30*D857</f>
        <v>1152</v>
      </c>
      <c r="H857" s="18" t="n">
        <f aca="false">E857*Desain_Kolam!$B$16/1000</f>
        <v>128.7</v>
      </c>
      <c r="I857" s="18" t="n">
        <f aca="false">F857-G857-H857</f>
        <v>100.42</v>
      </c>
      <c r="J857" s="18" t="n">
        <f aca="false">J856+I857</f>
        <v>116225.88</v>
      </c>
      <c r="K857" s="18" t="n">
        <f aca="false">MAX(K856,J857)</f>
        <v>116225.88</v>
      </c>
      <c r="L857" s="18" t="n">
        <f aca="false">K857-J857</f>
        <v>0</v>
      </c>
      <c r="M857" s="18" t="n">
        <f aca="false">MIN(Desain_Kolam!$B$21,MAX(0,M856+F857-H857-G857))</f>
        <v>15148.38</v>
      </c>
      <c r="N857" s="6" t="n">
        <f aca="false">IF(M856+F857-H857&gt;=G857,1,0)</f>
        <v>1</v>
      </c>
    </row>
    <row r="858" customFormat="false" ht="15" hidden="false" customHeight="false" outlineLevel="0" collapsed="false">
      <c r="A858" s="6" t="n">
        <v>2024</v>
      </c>
      <c r="B858" s="6" t="n">
        <v>7</v>
      </c>
      <c r="C858" s="4" t="n">
        <v>114</v>
      </c>
      <c r="D858" s="6" t="n">
        <v>31</v>
      </c>
      <c r="E858" s="4" t="n">
        <f aca="false">INDEX(Evaporasi!$B$3:$B$14,MATCH(B858,Evaporasi!$A$3:$A$14,0))</f>
        <v>120</v>
      </c>
      <c r="F858" s="18" t="n">
        <f aca="false">Kawasan!$B$11*Kawasan!$B$9*C858/1000</f>
        <v>948.48</v>
      </c>
      <c r="G858" s="18" t="n">
        <f aca="false">Kawasan!$B$30*D858</f>
        <v>1190.4</v>
      </c>
      <c r="H858" s="18" t="n">
        <f aca="false">E858*Desain_Kolam!$B$16/1000</f>
        <v>128.7</v>
      </c>
      <c r="I858" s="18" t="n">
        <f aca="false">F858-G858-H858</f>
        <v>-370.62</v>
      </c>
      <c r="J858" s="18" t="n">
        <f aca="false">J857+I858</f>
        <v>115855.26</v>
      </c>
      <c r="K858" s="18" t="n">
        <f aca="false">MAX(K857,J858)</f>
        <v>116225.88</v>
      </c>
      <c r="L858" s="18" t="n">
        <f aca="false">K858-J858</f>
        <v>370.619999999995</v>
      </c>
      <c r="M858" s="18" t="n">
        <f aca="false">MIN(Desain_Kolam!$B$21,MAX(0,M857+F858-H858-G858))</f>
        <v>14777.76</v>
      </c>
      <c r="N858" s="6" t="n">
        <f aca="false">IF(M857+F858-H858&gt;=G858,1,0)</f>
        <v>1</v>
      </c>
    </row>
    <row r="859" customFormat="false" ht="15" hidden="false" customHeight="false" outlineLevel="0" collapsed="false">
      <c r="A859" s="6" t="n">
        <v>2024</v>
      </c>
      <c r="B859" s="6" t="n">
        <v>8</v>
      </c>
      <c r="C859" s="4" t="n">
        <v>350</v>
      </c>
      <c r="D859" s="6" t="n">
        <v>31</v>
      </c>
      <c r="E859" s="4" t="n">
        <f aca="false">INDEX(Evaporasi!$B$3:$B$14,MATCH(B859,Evaporasi!$A$3:$A$14,0))</f>
        <v>120</v>
      </c>
      <c r="F859" s="18" t="n">
        <f aca="false">Kawasan!$B$11*Kawasan!$B$9*C859/1000</f>
        <v>2912</v>
      </c>
      <c r="G859" s="18" t="n">
        <f aca="false">Kawasan!$B$30*D859</f>
        <v>1190.4</v>
      </c>
      <c r="H859" s="18" t="n">
        <f aca="false">E859*Desain_Kolam!$B$16/1000</f>
        <v>128.7</v>
      </c>
      <c r="I859" s="18" t="n">
        <f aca="false">F859-G859-H859</f>
        <v>1592.9</v>
      </c>
      <c r="J859" s="18" t="n">
        <f aca="false">J858+I859</f>
        <v>117448.16</v>
      </c>
      <c r="K859" s="18" t="n">
        <f aca="false">MAX(K858,J859)</f>
        <v>117448.16</v>
      </c>
      <c r="L859" s="18" t="n">
        <f aca="false">K859-J859</f>
        <v>0</v>
      </c>
      <c r="M859" s="18" t="n">
        <f aca="false">MIN(Desain_Kolam!$B$21,MAX(0,M858+F859-H859-G859))</f>
        <v>15148.38</v>
      </c>
      <c r="N859" s="6" t="n">
        <f aca="false">IF(M858+F859-H859&gt;=G859,1,0)</f>
        <v>1</v>
      </c>
    </row>
    <row r="860" customFormat="false" ht="15" hidden="false" customHeight="false" outlineLevel="0" collapsed="false">
      <c r="A860" s="6" t="n">
        <v>2024</v>
      </c>
      <c r="B860" s="6" t="n">
        <v>9</v>
      </c>
      <c r="C860" s="4" t="n">
        <v>197</v>
      </c>
      <c r="D860" s="6" t="n">
        <v>30</v>
      </c>
      <c r="E860" s="4" t="n">
        <f aca="false">INDEX(Evaporasi!$B$3:$B$14,MATCH(B860,Evaporasi!$A$3:$A$14,0))</f>
        <v>120</v>
      </c>
      <c r="F860" s="18" t="n">
        <f aca="false">Kawasan!$B$11*Kawasan!$B$9*C860/1000</f>
        <v>1639.04</v>
      </c>
      <c r="G860" s="18" t="n">
        <f aca="false">Kawasan!$B$30*D860</f>
        <v>1152</v>
      </c>
      <c r="H860" s="18" t="n">
        <f aca="false">E860*Desain_Kolam!$B$16/1000</f>
        <v>128.7</v>
      </c>
      <c r="I860" s="18" t="n">
        <f aca="false">F860-G860-H860</f>
        <v>358.34</v>
      </c>
      <c r="J860" s="18" t="n">
        <f aca="false">J859+I860</f>
        <v>117806.5</v>
      </c>
      <c r="K860" s="18" t="n">
        <f aca="false">MAX(K859,J860)</f>
        <v>117806.5</v>
      </c>
      <c r="L860" s="18" t="n">
        <f aca="false">K860-J860</f>
        <v>0</v>
      </c>
      <c r="M860" s="18" t="n">
        <f aca="false">MIN(Desain_Kolam!$B$21,MAX(0,M859+F860-H860-G860))</f>
        <v>15148.38</v>
      </c>
      <c r="N860" s="6" t="n">
        <f aca="false">IF(M859+F860-H860&gt;=G860,1,0)</f>
        <v>1</v>
      </c>
    </row>
    <row r="861" customFormat="false" ht="15" hidden="false" customHeight="false" outlineLevel="0" collapsed="false">
      <c r="A861" s="6" t="n">
        <v>2024</v>
      </c>
      <c r="B861" s="6" t="n">
        <v>10</v>
      </c>
      <c r="C861" s="4" t="n">
        <v>327</v>
      </c>
      <c r="D861" s="6" t="n">
        <v>31</v>
      </c>
      <c r="E861" s="4" t="n">
        <f aca="false">INDEX(Evaporasi!$B$3:$B$14,MATCH(B861,Evaporasi!$A$3:$A$14,0))</f>
        <v>120</v>
      </c>
      <c r="F861" s="18" t="n">
        <f aca="false">Kawasan!$B$11*Kawasan!$B$9*C861/1000</f>
        <v>2720.64</v>
      </c>
      <c r="G861" s="18" t="n">
        <f aca="false">Kawasan!$B$30*D861</f>
        <v>1190.4</v>
      </c>
      <c r="H861" s="18" t="n">
        <f aca="false">E861*Desain_Kolam!$B$16/1000</f>
        <v>128.7</v>
      </c>
      <c r="I861" s="18" t="n">
        <f aca="false">F861-G861-H861</f>
        <v>1401.54</v>
      </c>
      <c r="J861" s="18" t="n">
        <f aca="false">J860+I861</f>
        <v>119208.04</v>
      </c>
      <c r="K861" s="18" t="n">
        <f aca="false">MAX(K860,J861)</f>
        <v>119208.04</v>
      </c>
      <c r="L861" s="18" t="n">
        <f aca="false">K861-J861</f>
        <v>0</v>
      </c>
      <c r="M861" s="18" t="n">
        <f aca="false">MIN(Desain_Kolam!$B$21,MAX(0,M860+F861-H861-G861))</f>
        <v>15148.38</v>
      </c>
      <c r="N861" s="6" t="n">
        <f aca="false">IF(M860+F861-H861&gt;=G861,1,0)</f>
        <v>1</v>
      </c>
    </row>
    <row r="862" customFormat="false" ht="15" hidden="false" customHeight="false" outlineLevel="0" collapsed="false">
      <c r="A862" s="6" t="n">
        <v>2024</v>
      </c>
      <c r="B862" s="6" t="n">
        <v>11</v>
      </c>
      <c r="C862" s="4" t="n">
        <v>419</v>
      </c>
      <c r="D862" s="6" t="n">
        <v>30</v>
      </c>
      <c r="E862" s="4" t="n">
        <f aca="false">INDEX(Evaporasi!$B$3:$B$14,MATCH(B862,Evaporasi!$A$3:$A$14,0))</f>
        <v>120</v>
      </c>
      <c r="F862" s="18" t="n">
        <f aca="false">Kawasan!$B$11*Kawasan!$B$9*C862/1000</f>
        <v>3486.08</v>
      </c>
      <c r="G862" s="18" t="n">
        <f aca="false">Kawasan!$B$30*D862</f>
        <v>1152</v>
      </c>
      <c r="H862" s="18" t="n">
        <f aca="false">E862*Desain_Kolam!$B$16/1000</f>
        <v>128.7</v>
      </c>
      <c r="I862" s="18" t="n">
        <f aca="false">F862-G862-H862</f>
        <v>2205.38</v>
      </c>
      <c r="J862" s="18" t="n">
        <f aca="false">J861+I862</f>
        <v>121413.42</v>
      </c>
      <c r="K862" s="18" t="n">
        <f aca="false">MAX(K861,J862)</f>
        <v>121413.42</v>
      </c>
      <c r="L862" s="18" t="n">
        <f aca="false">K862-J862</f>
        <v>0</v>
      </c>
      <c r="M862" s="18" t="n">
        <f aca="false">MIN(Desain_Kolam!$B$21,MAX(0,M861+F862-H862-G862))</f>
        <v>15148.38</v>
      </c>
      <c r="N862" s="6" t="n">
        <f aca="false">IF(M861+F862-H862&gt;=G862,1,0)</f>
        <v>1</v>
      </c>
    </row>
    <row r="863" customFormat="false" ht="15" hidden="false" customHeight="false" outlineLevel="0" collapsed="false">
      <c r="A863" s="6" t="n">
        <v>2024</v>
      </c>
      <c r="B863" s="6" t="n">
        <v>12</v>
      </c>
      <c r="C863" s="4" t="n">
        <v>214</v>
      </c>
      <c r="D863" s="6" t="n">
        <v>31</v>
      </c>
      <c r="E863" s="4" t="n">
        <f aca="false">INDEX(Evaporasi!$B$3:$B$14,MATCH(B863,Evaporasi!$A$3:$A$14,0))</f>
        <v>120</v>
      </c>
      <c r="F863" s="18" t="n">
        <f aca="false">Kawasan!$B$11*Kawasan!$B$9*C863/1000</f>
        <v>1780.48</v>
      </c>
      <c r="G863" s="18" t="n">
        <f aca="false">Kawasan!$B$30*D863</f>
        <v>1190.4</v>
      </c>
      <c r="H863" s="18" t="n">
        <f aca="false">E863*Desain_Kolam!$B$16/1000</f>
        <v>128.7</v>
      </c>
      <c r="I863" s="18" t="n">
        <f aca="false">F863-G863-H863</f>
        <v>461.38</v>
      </c>
      <c r="J863" s="18" t="n">
        <f aca="false">J862+I863</f>
        <v>121874.8</v>
      </c>
      <c r="K863" s="18" t="n">
        <f aca="false">MAX(K862,J863)</f>
        <v>121874.8</v>
      </c>
      <c r="L863" s="18" t="n">
        <f aca="false">K863-J863</f>
        <v>0</v>
      </c>
      <c r="M863" s="18" t="n">
        <f aca="false">MIN(Desain_Kolam!$B$21,MAX(0,M862+F863-H863-G863))</f>
        <v>15148.38</v>
      </c>
      <c r="N863" s="6" t="n">
        <f aca="false">IF(M862+F863-H863&gt;=G863,1,0)</f>
        <v>1</v>
      </c>
    </row>
    <row r="864" customFormat="false" ht="15" hidden="false" customHeight="false" outlineLevel="0" collapsed="false">
      <c r="A864" s="6" t="n">
        <v>2025</v>
      </c>
      <c r="B864" s="6" t="n">
        <v>1</v>
      </c>
      <c r="C864" s="4" t="n">
        <v>400</v>
      </c>
      <c r="D864" s="6" t="n">
        <v>31</v>
      </c>
      <c r="E864" s="4" t="n">
        <f aca="false">INDEX(Evaporasi!$B$3:$B$14,MATCH(B864,Evaporasi!$A$3:$A$14,0))</f>
        <v>120</v>
      </c>
      <c r="F864" s="18" t="n">
        <f aca="false">Kawasan!$B$11*Kawasan!$B$9*C864/1000</f>
        <v>3328</v>
      </c>
      <c r="G864" s="18" t="n">
        <f aca="false">Kawasan!$B$30*D864</f>
        <v>1190.4</v>
      </c>
      <c r="H864" s="18" t="n">
        <f aca="false">E864*Desain_Kolam!$B$16/1000</f>
        <v>128.7</v>
      </c>
      <c r="I864" s="18" t="n">
        <f aca="false">F864-G864-H864</f>
        <v>2008.9</v>
      </c>
      <c r="J864" s="18" t="n">
        <f aca="false">J863+I864</f>
        <v>123883.7</v>
      </c>
      <c r="K864" s="18" t="n">
        <f aca="false">MAX(K863,J864)</f>
        <v>123883.7</v>
      </c>
      <c r="L864" s="18" t="n">
        <f aca="false">K864-J864</f>
        <v>0</v>
      </c>
      <c r="M864" s="18" t="n">
        <f aca="false">MIN(Desain_Kolam!$B$21,MAX(0,M863+F864-H864-G864))</f>
        <v>15148.38</v>
      </c>
      <c r="N864" s="6" t="n">
        <f aca="false">IF(M863+F864-H864&gt;=G864,1,0)</f>
        <v>1</v>
      </c>
    </row>
    <row r="865" customFormat="false" ht="15" hidden="false" customHeight="false" outlineLevel="0" collapsed="false">
      <c r="A865" s="6" t="n">
        <v>2025</v>
      </c>
      <c r="B865" s="6" t="n">
        <v>2</v>
      </c>
      <c r="C865" s="4" t="n">
        <v>210</v>
      </c>
      <c r="D865" s="6" t="n">
        <v>28</v>
      </c>
      <c r="E865" s="4" t="n">
        <f aca="false">INDEX(Evaporasi!$B$3:$B$14,MATCH(B865,Evaporasi!$A$3:$A$14,0))</f>
        <v>120</v>
      </c>
      <c r="F865" s="18" t="n">
        <f aca="false">Kawasan!$B$11*Kawasan!$B$9*C865/1000</f>
        <v>1747.2</v>
      </c>
      <c r="G865" s="18" t="n">
        <f aca="false">Kawasan!$B$30*D865</f>
        <v>1075.2</v>
      </c>
      <c r="H865" s="18" t="n">
        <f aca="false">E865*Desain_Kolam!$B$16/1000</f>
        <v>128.7</v>
      </c>
      <c r="I865" s="18" t="n">
        <f aca="false">F865-G865-H865</f>
        <v>543.3</v>
      </c>
      <c r="J865" s="18" t="n">
        <f aca="false">J864+I865</f>
        <v>124427</v>
      </c>
      <c r="K865" s="18" t="n">
        <f aca="false">MAX(K864,J865)</f>
        <v>124427</v>
      </c>
      <c r="L865" s="18" t="n">
        <f aca="false">K865-J865</f>
        <v>0</v>
      </c>
      <c r="M865" s="18" t="n">
        <f aca="false">MIN(Desain_Kolam!$B$21,MAX(0,M864+F865-H865-G865))</f>
        <v>15148.38</v>
      </c>
      <c r="N865" s="6" t="n">
        <f aca="false">IF(M864+F865-H865&gt;=G865,1,0)</f>
        <v>1</v>
      </c>
    </row>
    <row r="866" customFormat="false" ht="15" hidden="false" customHeight="false" outlineLevel="0" collapsed="false">
      <c r="A866" s="6" t="n">
        <v>2025</v>
      </c>
      <c r="B866" s="6" t="n">
        <v>3</v>
      </c>
      <c r="C866" s="4" t="n">
        <v>302</v>
      </c>
      <c r="D866" s="6" t="n">
        <v>31</v>
      </c>
      <c r="E866" s="4" t="n">
        <f aca="false">INDEX(Evaporasi!$B$3:$B$14,MATCH(B866,Evaporasi!$A$3:$A$14,0))</f>
        <v>120</v>
      </c>
      <c r="F866" s="18" t="n">
        <f aca="false">Kawasan!$B$11*Kawasan!$B$9*C866/1000</f>
        <v>2512.64</v>
      </c>
      <c r="G866" s="18" t="n">
        <f aca="false">Kawasan!$B$30*D866</f>
        <v>1190.4</v>
      </c>
      <c r="H866" s="18" t="n">
        <f aca="false">E866*Desain_Kolam!$B$16/1000</f>
        <v>128.7</v>
      </c>
      <c r="I866" s="18" t="n">
        <f aca="false">F866-G866-H866</f>
        <v>1193.54</v>
      </c>
      <c r="J866" s="18" t="n">
        <f aca="false">J865+I866</f>
        <v>125620.54</v>
      </c>
      <c r="K866" s="18" t="n">
        <f aca="false">MAX(K865,J866)</f>
        <v>125620.54</v>
      </c>
      <c r="L866" s="18" t="n">
        <f aca="false">K866-J866</f>
        <v>0</v>
      </c>
      <c r="M866" s="18" t="n">
        <f aca="false">MIN(Desain_Kolam!$B$21,MAX(0,M865+F866-H866-G866))</f>
        <v>15148.38</v>
      </c>
      <c r="N866" s="6" t="n">
        <f aca="false">IF(M865+F866-H866&gt;=G866,1,0)</f>
        <v>1</v>
      </c>
    </row>
    <row r="867" customFormat="false" ht="15" hidden="false" customHeight="false" outlineLevel="0" collapsed="false">
      <c r="A867" s="6" t="n">
        <v>2025</v>
      </c>
      <c r="B867" s="6" t="n">
        <v>4</v>
      </c>
      <c r="C867" s="4" t="n">
        <v>231</v>
      </c>
      <c r="D867" s="6" t="n">
        <v>30</v>
      </c>
      <c r="E867" s="4" t="n">
        <f aca="false">INDEX(Evaporasi!$B$3:$B$14,MATCH(B867,Evaporasi!$A$3:$A$14,0))</f>
        <v>120</v>
      </c>
      <c r="F867" s="18" t="n">
        <f aca="false">Kawasan!$B$11*Kawasan!$B$9*C867/1000</f>
        <v>1921.92</v>
      </c>
      <c r="G867" s="18" t="n">
        <f aca="false">Kawasan!$B$30*D867</f>
        <v>1152</v>
      </c>
      <c r="H867" s="18" t="n">
        <f aca="false">E867*Desain_Kolam!$B$16/1000</f>
        <v>128.7</v>
      </c>
      <c r="I867" s="18" t="n">
        <f aca="false">F867-G867-H867</f>
        <v>641.22</v>
      </c>
      <c r="J867" s="18" t="n">
        <f aca="false">J866+I867</f>
        <v>126261.76</v>
      </c>
      <c r="K867" s="18" t="n">
        <f aca="false">MAX(K866,J867)</f>
        <v>126261.76</v>
      </c>
      <c r="L867" s="18" t="n">
        <f aca="false">K867-J867</f>
        <v>0</v>
      </c>
      <c r="M867" s="18" t="n">
        <f aca="false">MIN(Desain_Kolam!$B$21,MAX(0,M866+F867-H867-G867))</f>
        <v>15148.38</v>
      </c>
      <c r="N867" s="6" t="n">
        <f aca="false">IF(M866+F867-H867&gt;=G867,1,0)</f>
        <v>1</v>
      </c>
    </row>
    <row r="868" customFormat="false" ht="15" hidden="false" customHeight="false" outlineLevel="0" collapsed="false">
      <c r="A868" s="6" t="n">
        <v>2025</v>
      </c>
      <c r="B868" s="6" t="n">
        <v>5</v>
      </c>
      <c r="C868" s="4" t="n">
        <v>231</v>
      </c>
      <c r="D868" s="6" t="n">
        <v>31</v>
      </c>
      <c r="E868" s="4" t="n">
        <f aca="false">INDEX(Evaporasi!$B$3:$B$14,MATCH(B868,Evaporasi!$A$3:$A$14,0))</f>
        <v>120</v>
      </c>
      <c r="F868" s="18" t="n">
        <f aca="false">Kawasan!$B$11*Kawasan!$B$9*C868/1000</f>
        <v>1921.92</v>
      </c>
      <c r="G868" s="18" t="n">
        <f aca="false">Kawasan!$B$30*D868</f>
        <v>1190.4</v>
      </c>
      <c r="H868" s="18" t="n">
        <f aca="false">E868*Desain_Kolam!$B$16/1000</f>
        <v>128.7</v>
      </c>
      <c r="I868" s="18" t="n">
        <f aca="false">F868-G868-H868</f>
        <v>602.82</v>
      </c>
      <c r="J868" s="18" t="n">
        <f aca="false">J867+I868</f>
        <v>126864.58</v>
      </c>
      <c r="K868" s="18" t="n">
        <f aca="false">MAX(K867,J868)</f>
        <v>126864.58</v>
      </c>
      <c r="L868" s="18" t="n">
        <f aca="false">K868-J868</f>
        <v>0</v>
      </c>
      <c r="M868" s="18" t="n">
        <f aca="false">MIN(Desain_Kolam!$B$21,MAX(0,M867+F868-H868-G868))</f>
        <v>15148.38</v>
      </c>
      <c r="N868" s="6" t="n">
        <f aca="false">IF(M867+F868-H868&gt;=G868,1,0)</f>
        <v>1</v>
      </c>
    </row>
    <row r="869" customFormat="false" ht="15" hidden="false" customHeight="false" outlineLevel="0" collapsed="false">
      <c r="A869" s="6" t="n">
        <v>2025</v>
      </c>
      <c r="B869" s="6" t="n">
        <v>6</v>
      </c>
      <c r="C869" s="4" t="n">
        <v>167</v>
      </c>
      <c r="D869" s="6" t="n">
        <v>30</v>
      </c>
      <c r="E869" s="4" t="n">
        <f aca="false">INDEX(Evaporasi!$B$3:$B$14,MATCH(B869,Evaporasi!$A$3:$A$14,0))</f>
        <v>120</v>
      </c>
      <c r="F869" s="18" t="n">
        <f aca="false">Kawasan!$B$11*Kawasan!$B$9*C869/1000</f>
        <v>1389.44</v>
      </c>
      <c r="G869" s="18" t="n">
        <f aca="false">Kawasan!$B$30*D869</f>
        <v>1152</v>
      </c>
      <c r="H869" s="18" t="n">
        <f aca="false">E869*Desain_Kolam!$B$16/1000</f>
        <v>128.7</v>
      </c>
      <c r="I869" s="18" t="n">
        <f aca="false">F869-G869-H869</f>
        <v>108.74</v>
      </c>
      <c r="J869" s="18" t="n">
        <f aca="false">J868+I869</f>
        <v>126973.32</v>
      </c>
      <c r="K869" s="18" t="n">
        <f aca="false">MAX(K868,J869)</f>
        <v>126973.32</v>
      </c>
      <c r="L869" s="18" t="n">
        <f aca="false">K869-J869</f>
        <v>0</v>
      </c>
      <c r="M869" s="18" t="n">
        <f aca="false">MIN(Desain_Kolam!$B$21,MAX(0,M868+F869-H869-G869))</f>
        <v>15148.38</v>
      </c>
      <c r="N869" s="6" t="n">
        <f aca="false">IF(M868+F869-H869&gt;=G869,1,0)</f>
        <v>1</v>
      </c>
    </row>
    <row r="870" customFormat="false" ht="15" hidden="false" customHeight="false" outlineLevel="0" collapsed="false">
      <c r="A870" s="6" t="n">
        <v>2025</v>
      </c>
      <c r="B870" s="6" t="n">
        <v>7</v>
      </c>
      <c r="C870" s="4" t="n">
        <v>159</v>
      </c>
      <c r="D870" s="6" t="n">
        <v>31</v>
      </c>
      <c r="E870" s="4" t="n">
        <f aca="false">INDEX(Evaporasi!$B$3:$B$14,MATCH(B870,Evaporasi!$A$3:$A$14,0))</f>
        <v>120</v>
      </c>
      <c r="F870" s="18" t="n">
        <f aca="false">Kawasan!$B$11*Kawasan!$B$9*C870/1000</f>
        <v>1322.88</v>
      </c>
      <c r="G870" s="18" t="n">
        <f aca="false">Kawasan!$B$30*D870</f>
        <v>1190.4</v>
      </c>
      <c r="H870" s="18" t="n">
        <f aca="false">E870*Desain_Kolam!$B$16/1000</f>
        <v>128.7</v>
      </c>
      <c r="I870" s="18" t="n">
        <f aca="false">F870-G870-H870</f>
        <v>3.78000000000026</v>
      </c>
      <c r="J870" s="18" t="n">
        <f aca="false">J869+I870</f>
        <v>126977.1</v>
      </c>
      <c r="K870" s="18" t="n">
        <f aca="false">MAX(K869,J870)</f>
        <v>126977.1</v>
      </c>
      <c r="L870" s="18" t="n">
        <f aca="false">K870-J870</f>
        <v>0</v>
      </c>
      <c r="M870" s="18" t="n">
        <f aca="false">MIN(Desain_Kolam!$B$21,MAX(0,M869+F870-H870-G870))</f>
        <v>15148.38</v>
      </c>
      <c r="N870" s="6" t="n">
        <f aca="false">IF(M869+F870-H870&gt;=G870,1,0)</f>
        <v>1</v>
      </c>
    </row>
    <row r="871" customFormat="false" ht="15" hidden="false" customHeight="false" outlineLevel="0" collapsed="false">
      <c r="A871" s="6" t="n">
        <v>2025</v>
      </c>
      <c r="B871" s="6" t="n">
        <v>8</v>
      </c>
      <c r="C871" s="4" t="n">
        <v>392</v>
      </c>
      <c r="D871" s="6" t="n">
        <v>31</v>
      </c>
      <c r="E871" s="4" t="n">
        <f aca="false">INDEX(Evaporasi!$B$3:$B$14,MATCH(B871,Evaporasi!$A$3:$A$14,0))</f>
        <v>120</v>
      </c>
      <c r="F871" s="18" t="n">
        <f aca="false">Kawasan!$B$11*Kawasan!$B$9*C871/1000</f>
        <v>3261.44</v>
      </c>
      <c r="G871" s="18" t="n">
        <f aca="false">Kawasan!$B$30*D871</f>
        <v>1190.4</v>
      </c>
      <c r="H871" s="18" t="n">
        <f aca="false">E871*Desain_Kolam!$B$16/1000</f>
        <v>128.7</v>
      </c>
      <c r="I871" s="18" t="n">
        <f aca="false">F871-G871-H871</f>
        <v>1942.34</v>
      </c>
      <c r="J871" s="18" t="n">
        <f aca="false">J870+I871</f>
        <v>128919.44</v>
      </c>
      <c r="K871" s="18" t="n">
        <f aca="false">MAX(K870,J871)</f>
        <v>128919.44</v>
      </c>
      <c r="L871" s="18" t="n">
        <f aca="false">K871-J871</f>
        <v>0</v>
      </c>
      <c r="M871" s="18" t="n">
        <f aca="false">MIN(Desain_Kolam!$B$21,MAX(0,M870+F871-H871-G871))</f>
        <v>15148.38</v>
      </c>
      <c r="N871" s="6" t="n">
        <f aca="false">IF(M870+F871-H871&gt;=G871,1,0)</f>
        <v>1</v>
      </c>
    </row>
    <row r="872" customFormat="false" ht="15" hidden="false" customHeight="false" outlineLevel="0" collapsed="false">
      <c r="A872" s="6" t="n">
        <v>2025</v>
      </c>
      <c r="B872" s="6" t="n">
        <v>9</v>
      </c>
      <c r="C872" s="4" t="n">
        <v>360</v>
      </c>
      <c r="D872" s="6" t="n">
        <v>30</v>
      </c>
      <c r="E872" s="4" t="n">
        <f aca="false">INDEX(Evaporasi!$B$3:$B$14,MATCH(B872,Evaporasi!$A$3:$A$14,0))</f>
        <v>120</v>
      </c>
      <c r="F872" s="18" t="n">
        <f aca="false">Kawasan!$B$11*Kawasan!$B$9*C872/1000</f>
        <v>2995.2</v>
      </c>
      <c r="G872" s="18" t="n">
        <f aca="false">Kawasan!$B$30*D872</f>
        <v>1152</v>
      </c>
      <c r="H872" s="18" t="n">
        <f aca="false">E872*Desain_Kolam!$B$16/1000</f>
        <v>128.7</v>
      </c>
      <c r="I872" s="18" t="n">
        <f aca="false">F872-G872-H872</f>
        <v>1714.5</v>
      </c>
      <c r="J872" s="18" t="n">
        <f aca="false">J871+I872</f>
        <v>130633.94</v>
      </c>
      <c r="K872" s="18" t="n">
        <f aca="false">MAX(K871,J872)</f>
        <v>130633.94</v>
      </c>
      <c r="L872" s="18" t="n">
        <f aca="false">K872-J872</f>
        <v>0</v>
      </c>
      <c r="M872" s="18" t="n">
        <f aca="false">MIN(Desain_Kolam!$B$21,MAX(0,M871+F872-H872-G872))</f>
        <v>15148.38</v>
      </c>
      <c r="N872" s="6" t="n">
        <f aca="false">IF(M871+F872-H872&gt;=G872,1,0)</f>
        <v>1</v>
      </c>
    </row>
    <row r="873" customFormat="false" ht="15" hidden="false" customHeight="false" outlineLevel="0" collapsed="false">
      <c r="A873" s="6" t="n">
        <v>2025</v>
      </c>
      <c r="B873" s="6" t="n">
        <v>10</v>
      </c>
      <c r="C873" s="4" t="n">
        <v>391</v>
      </c>
      <c r="D873" s="6" t="n">
        <v>31</v>
      </c>
      <c r="E873" s="4" t="n">
        <f aca="false">INDEX(Evaporasi!$B$3:$B$14,MATCH(B873,Evaporasi!$A$3:$A$14,0))</f>
        <v>120</v>
      </c>
      <c r="F873" s="18" t="n">
        <f aca="false">Kawasan!$B$11*Kawasan!$B$9*C873/1000</f>
        <v>3253.12</v>
      </c>
      <c r="G873" s="18" t="n">
        <f aca="false">Kawasan!$B$30*D873</f>
        <v>1190.4</v>
      </c>
      <c r="H873" s="18" t="n">
        <f aca="false">E873*Desain_Kolam!$B$16/1000</f>
        <v>128.7</v>
      </c>
      <c r="I873" s="18" t="n">
        <f aca="false">F873-G873-H873</f>
        <v>1934.02</v>
      </c>
      <c r="J873" s="18" t="n">
        <f aca="false">J872+I873</f>
        <v>132567.96</v>
      </c>
      <c r="K873" s="18" t="n">
        <f aca="false">MAX(K872,J873)</f>
        <v>132567.96</v>
      </c>
      <c r="L873" s="18" t="n">
        <f aca="false">K873-J873</f>
        <v>0</v>
      </c>
      <c r="M873" s="18" t="n">
        <f aca="false">MIN(Desain_Kolam!$B$21,MAX(0,M872+F873-H873-G873))</f>
        <v>15148.38</v>
      </c>
      <c r="N873" s="6" t="n">
        <f aca="false">IF(M872+F873-H873&gt;=G873,1,0)</f>
        <v>1</v>
      </c>
    </row>
    <row r="874" customFormat="false" ht="15" hidden="false" customHeight="false" outlineLevel="0" collapsed="false">
      <c r="A874" s="6" t="n">
        <v>2025</v>
      </c>
      <c r="B874" s="6" t="n">
        <v>11</v>
      </c>
      <c r="C874" s="4" t="n">
        <v>327</v>
      </c>
      <c r="D874" s="6" t="n">
        <v>30</v>
      </c>
      <c r="E874" s="4" t="n">
        <f aca="false">INDEX(Evaporasi!$B$3:$B$14,MATCH(B874,Evaporasi!$A$3:$A$14,0))</f>
        <v>120</v>
      </c>
      <c r="F874" s="18" t="n">
        <f aca="false">Kawasan!$B$11*Kawasan!$B$9*C874/1000</f>
        <v>2720.64</v>
      </c>
      <c r="G874" s="18" t="n">
        <f aca="false">Kawasan!$B$30*D874</f>
        <v>1152</v>
      </c>
      <c r="H874" s="18" t="n">
        <f aca="false">E874*Desain_Kolam!$B$16/1000</f>
        <v>128.7</v>
      </c>
      <c r="I874" s="18" t="n">
        <f aca="false">F874-G874-H874</f>
        <v>1439.94</v>
      </c>
      <c r="J874" s="18" t="n">
        <f aca="false">J873+I874</f>
        <v>134007.9</v>
      </c>
      <c r="K874" s="18" t="n">
        <f aca="false">MAX(K873,J874)</f>
        <v>134007.9</v>
      </c>
      <c r="L874" s="18" t="n">
        <f aca="false">K874-J874</f>
        <v>0</v>
      </c>
      <c r="M874" s="18" t="n">
        <f aca="false">MIN(Desain_Kolam!$B$21,MAX(0,M873+F874-H874-G874))</f>
        <v>15148.38</v>
      </c>
      <c r="N874" s="6" t="n">
        <f aca="false">IF(M873+F874-H874&gt;=G874,1,0)</f>
        <v>1</v>
      </c>
    </row>
    <row r="875" customFormat="false" ht="15" hidden="false" customHeight="false" outlineLevel="0" collapsed="false">
      <c r="A875" s="6" t="n">
        <v>2025</v>
      </c>
      <c r="B875" s="6" t="n">
        <v>12</v>
      </c>
      <c r="C875" s="4" t="n">
        <v>140</v>
      </c>
      <c r="D875" s="6" t="n">
        <v>31</v>
      </c>
      <c r="E875" s="4" t="n">
        <f aca="false">INDEX(Evaporasi!$B$3:$B$14,MATCH(B875,Evaporasi!$A$3:$A$14,0))</f>
        <v>120</v>
      </c>
      <c r="F875" s="18" t="n">
        <f aca="false">Kawasan!$B$11*Kawasan!$B$9*C875/1000</f>
        <v>1164.8</v>
      </c>
      <c r="G875" s="18" t="n">
        <f aca="false">Kawasan!$B$30*D875</f>
        <v>1190.4</v>
      </c>
      <c r="H875" s="18" t="n">
        <f aca="false">E875*Desain_Kolam!$B$16/1000</f>
        <v>128.7</v>
      </c>
      <c r="I875" s="18" t="n">
        <f aca="false">F875-G875-H875</f>
        <v>-154.3</v>
      </c>
      <c r="J875" s="18" t="n">
        <f aca="false">J874+I875</f>
        <v>133853.6</v>
      </c>
      <c r="K875" s="18" t="n">
        <f aca="false">MAX(K874,J875)</f>
        <v>134007.9</v>
      </c>
      <c r="L875" s="18" t="n">
        <f aca="false">K875-J875</f>
        <v>154.299999999988</v>
      </c>
      <c r="M875" s="18" t="n">
        <f aca="false">MIN(Desain_Kolam!$B$21,MAX(0,M874+F875-H875-G875))</f>
        <v>14994.08</v>
      </c>
      <c r="N875" s="6" t="n">
        <f aca="false">IF(M874+F875-H875&gt;=G875,1,0)</f>
        <v>1</v>
      </c>
    </row>
    <row r="876" customFormat="false" ht="15" hidden="false" customHeight="false" outlineLevel="0" collapsed="false">
      <c r="A876" s="27" t="s">
        <v>5454</v>
      </c>
      <c r="B876" s="27"/>
      <c r="C876" s="27"/>
      <c r="D876" s="27"/>
      <c r="E876" s="28" t="n">
        <f aca="false">MAX(L708:L875)</f>
        <v>6393.17999999999</v>
      </c>
    </row>
    <row r="877" customFormat="false" ht="15" hidden="false" customHeight="false" outlineLevel="0" collapsed="false">
      <c r="A877" s="27" t="s">
        <v>5432</v>
      </c>
      <c r="B877" s="27"/>
      <c r="C877" s="27"/>
      <c r="D877" s="27"/>
      <c r="E877" s="29" t="n">
        <f aca="false">100*SUM(N708:N875)/COUNT(N708:N875)</f>
        <v>100</v>
      </c>
    </row>
    <row r="878" customFormat="false" ht="15" hidden="false" customHeight="false" outlineLevel="0" collapsed="false">
      <c r="A878" s="27" t="s">
        <v>5433</v>
      </c>
      <c r="B878" s="27"/>
      <c r="C878" s="27"/>
      <c r="D878" s="27"/>
      <c r="E878" s="30" t="n">
        <f aca="false">SUM(N708:N875)</f>
        <v>168</v>
      </c>
    </row>
    <row r="879" customFormat="false" ht="15" hidden="false" customHeight="false" outlineLevel="0" collapsed="false">
      <c r="A879" s="27" t="s">
        <v>5434</v>
      </c>
      <c r="B879" s="27"/>
      <c r="C879" s="27"/>
      <c r="D879" s="27"/>
      <c r="E879" s="28" t="n">
        <f aca="false">J875</f>
        <v>133853.6</v>
      </c>
    </row>
  </sheetData>
  <mergeCells count="22">
    <mergeCell ref="A174:D174"/>
    <mergeCell ref="A175:D175"/>
    <mergeCell ref="A176:D176"/>
    <mergeCell ref="A177:D177"/>
    <mergeCell ref="A349:D349"/>
    <mergeCell ref="A350:D350"/>
    <mergeCell ref="A351:D351"/>
    <mergeCell ref="A352:D352"/>
    <mergeCell ref="A524:D524"/>
    <mergeCell ref="A525:D525"/>
    <mergeCell ref="A526:D526"/>
    <mergeCell ref="A527:D527"/>
    <mergeCell ref="A528:D528"/>
    <mergeCell ref="A529:D529"/>
    <mergeCell ref="A701:D701"/>
    <mergeCell ref="A702:D702"/>
    <mergeCell ref="A703:D703"/>
    <mergeCell ref="A704:D704"/>
    <mergeCell ref="A876:D876"/>
    <mergeCell ref="A877:D877"/>
    <mergeCell ref="A878:D878"/>
    <mergeCell ref="A879:D8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58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5" t="s">
        <v>5455</v>
      </c>
    </row>
    <row r="2" customFormat="false" ht="15" hidden="false" customHeight="false" outlineLevel="0" collapsed="false">
      <c r="A2" s="2" t="s">
        <v>5456</v>
      </c>
    </row>
    <row r="4" customFormat="false" ht="15" hidden="false" customHeight="false" outlineLevel="0" collapsed="false">
      <c r="A4" s="1" t="s">
        <v>5213</v>
      </c>
      <c r="B4" s="1" t="s">
        <v>5129</v>
      </c>
      <c r="C4" s="1" t="s">
        <v>5214</v>
      </c>
      <c r="D4" s="1" t="s">
        <v>5316</v>
      </c>
    </row>
    <row r="5" customFormat="false" ht="15" hidden="false" customHeight="false" outlineLevel="0" collapsed="false">
      <c r="A5" s="3" t="s">
        <v>5457</v>
      </c>
      <c r="B5" s="17" t="n">
        <v>3</v>
      </c>
      <c r="C5" s="3" t="s">
        <v>5217</v>
      </c>
      <c r="D5" s="3" t="s">
        <v>5458</v>
      </c>
    </row>
    <row r="6" customFormat="false" ht="15" hidden="false" customHeight="false" outlineLevel="0" collapsed="false">
      <c r="A6" s="3" t="s">
        <v>5459</v>
      </c>
      <c r="B6" s="18" t="n">
        <f aca="false">Kawasan!$B$14</f>
        <v>0.5</v>
      </c>
      <c r="C6" s="3" t="s">
        <v>5217</v>
      </c>
      <c r="D6" s="3" t="s">
        <v>5460</v>
      </c>
    </row>
    <row r="7" customFormat="false" ht="15" hidden="false" customHeight="false" outlineLevel="0" collapsed="false">
      <c r="A7" s="3" t="s">
        <v>5461</v>
      </c>
      <c r="B7" s="4" t="n">
        <f aca="false">Kawasan!$B$15</f>
        <v>1</v>
      </c>
      <c r="C7" s="3" t="s">
        <v>5232</v>
      </c>
      <c r="D7" s="3" t="s">
        <v>5462</v>
      </c>
    </row>
    <row r="8" customFormat="false" ht="15" hidden="false" customHeight="false" outlineLevel="0" collapsed="false">
      <c r="A8" s="3" t="s">
        <v>5463</v>
      </c>
      <c r="B8" s="12" t="n">
        <f aca="false">Hidrolika_Pipa!$B$51</f>
        <v>0.886213930542575</v>
      </c>
      <c r="C8" s="3" t="s">
        <v>5253</v>
      </c>
      <c r="D8" s="3" t="s">
        <v>5464</v>
      </c>
    </row>
    <row r="9" customFormat="false" ht="15" hidden="false" customHeight="false" outlineLevel="0" collapsed="false">
      <c r="A9" s="3" t="s">
        <v>5465</v>
      </c>
      <c r="B9" s="17" t="n">
        <v>1200</v>
      </c>
      <c r="C9" s="3" t="s">
        <v>5229</v>
      </c>
      <c r="D9" s="3" t="s">
        <v>5466</v>
      </c>
    </row>
    <row r="11" customFormat="false" ht="15" hidden="false" customHeight="false" outlineLevel="0" collapsed="false">
      <c r="A11" s="7" t="s">
        <v>5467</v>
      </c>
    </row>
    <row r="12" customFormat="false" ht="15" hidden="false" customHeight="false" outlineLevel="0" collapsed="false">
      <c r="A12" s="1" t="s">
        <v>5235</v>
      </c>
      <c r="B12" s="1" t="s">
        <v>5129</v>
      </c>
      <c r="C12" s="1" t="s">
        <v>5214</v>
      </c>
      <c r="D12" s="1" t="s">
        <v>5364</v>
      </c>
    </row>
    <row r="13" customFormat="false" ht="15" hidden="false" customHeight="false" outlineLevel="0" collapsed="false">
      <c r="A13" s="3" t="s">
        <v>5468</v>
      </c>
      <c r="B13" s="18" t="n">
        <f aca="false">B8*B7*3600</f>
        <v>3190.37014995327</v>
      </c>
      <c r="C13" s="3" t="s">
        <v>5256</v>
      </c>
      <c r="D13" s="3" t="s">
        <v>5469</v>
      </c>
    </row>
    <row r="14" customFormat="false" ht="15" hidden="false" customHeight="false" outlineLevel="0" collapsed="false">
      <c r="A14" s="3" t="s">
        <v>5470</v>
      </c>
      <c r="B14" s="4" t="n">
        <f aca="false">CEILING(SQRT(B13/B5),0.5)</f>
        <v>33</v>
      </c>
      <c r="C14" s="3" t="s">
        <v>5217</v>
      </c>
      <c r="D14" s="3" t="s">
        <v>5471</v>
      </c>
    </row>
    <row r="15" customFormat="false" ht="15" hidden="false" customHeight="false" outlineLevel="0" collapsed="false">
      <c r="A15" s="3" t="s">
        <v>5472</v>
      </c>
      <c r="B15" s="4" t="n">
        <f aca="false">CEILING(B13/(B5*B14),0.5)</f>
        <v>32.5</v>
      </c>
      <c r="C15" s="3" t="s">
        <v>5217</v>
      </c>
    </row>
    <row r="16" customFormat="false" ht="15" hidden="false" customHeight="false" outlineLevel="0" collapsed="false">
      <c r="A16" s="3" t="s">
        <v>5473</v>
      </c>
      <c r="B16" s="18" t="n">
        <f aca="false">B14*B15</f>
        <v>1072.5</v>
      </c>
      <c r="C16" s="3" t="s">
        <v>5229</v>
      </c>
      <c r="D16" s="3" t="s">
        <v>5474</v>
      </c>
    </row>
    <row r="18" customFormat="false" ht="15" hidden="false" customHeight="false" outlineLevel="0" collapsed="false">
      <c r="A18" s="7" t="s">
        <v>5475</v>
      </c>
    </row>
    <row r="19" customFormat="false" ht="15" hidden="false" customHeight="false" outlineLevel="0" collapsed="false">
      <c r="A19" s="1" t="s">
        <v>5235</v>
      </c>
      <c r="B19" s="1" t="s">
        <v>5129</v>
      </c>
      <c r="C19" s="1" t="s">
        <v>5214</v>
      </c>
      <c r="D19" s="1" t="s">
        <v>5364</v>
      </c>
    </row>
    <row r="20" customFormat="false" ht="15" hidden="false" customHeight="false" outlineLevel="0" collapsed="false">
      <c r="A20" s="3" t="s">
        <v>5476</v>
      </c>
      <c r="B20" s="18" t="n">
        <f aca="false">Neraca_Air!$E$524</f>
        <v>15148.38</v>
      </c>
      <c r="C20" s="3" t="s">
        <v>5256</v>
      </c>
      <c r="D20" s="3" t="s">
        <v>5477</v>
      </c>
    </row>
    <row r="21" customFormat="false" ht="15" hidden="false" customHeight="false" outlineLevel="0" collapsed="false">
      <c r="A21" s="32" t="s">
        <v>5478</v>
      </c>
      <c r="B21" s="28" t="n">
        <f aca="false">MAX(B20,B13)</f>
        <v>15148.38</v>
      </c>
      <c r="C21" s="3" t="s">
        <v>5256</v>
      </c>
      <c r="D21" s="3" t="s">
        <v>5479</v>
      </c>
    </row>
    <row r="22" customFormat="false" ht="15" hidden="false" customHeight="false" outlineLevel="0" collapsed="false">
      <c r="A22" s="3" t="s">
        <v>5480</v>
      </c>
      <c r="B22" s="4" t="n">
        <f aca="false">CEILING(SQRT(B21/B5),0.5)</f>
        <v>71.5</v>
      </c>
      <c r="C22" s="3" t="s">
        <v>5217</v>
      </c>
    </row>
    <row r="23" customFormat="false" ht="15" hidden="false" customHeight="false" outlineLevel="0" collapsed="false">
      <c r="A23" s="3" t="s">
        <v>5481</v>
      </c>
      <c r="B23" s="4" t="n">
        <f aca="false">CEILING(B21/(B5*B22),0.5)</f>
        <v>71</v>
      </c>
      <c r="C23" s="3" t="s">
        <v>5217</v>
      </c>
    </row>
    <row r="24" customFormat="false" ht="15" hidden="false" customHeight="false" outlineLevel="0" collapsed="false">
      <c r="A24" s="3" t="s">
        <v>5482</v>
      </c>
      <c r="B24" s="18" t="n">
        <f aca="false">B22*B23</f>
        <v>5076.5</v>
      </c>
      <c r="C24" s="3" t="s">
        <v>5229</v>
      </c>
      <c r="D24" s="3" t="s">
        <v>5483</v>
      </c>
    </row>
    <row r="25" customFormat="false" ht="15" hidden="false" customHeight="false" outlineLevel="0" collapsed="false">
      <c r="A25" s="3" t="s">
        <v>5484</v>
      </c>
      <c r="B25" s="18" t="n">
        <f aca="false">B23*B22*B5</f>
        <v>15229.5</v>
      </c>
      <c r="C25" s="3" t="s">
        <v>5256</v>
      </c>
      <c r="D25" s="3" t="s">
        <v>5485</v>
      </c>
    </row>
    <row r="26" customFormat="false" ht="15" hidden="false" customHeight="false" outlineLevel="0" collapsed="false">
      <c r="A26" s="3" t="s">
        <v>5486</v>
      </c>
      <c r="B26" s="18" t="n">
        <f aca="false">B5+B6</f>
        <v>3.5</v>
      </c>
      <c r="C26" s="3" t="s">
        <v>5217</v>
      </c>
      <c r="D26" s="3" t="s">
        <v>5487</v>
      </c>
    </row>
    <row r="28" customFormat="false" ht="15" hidden="false" customHeight="false" outlineLevel="0" collapsed="false">
      <c r="A28" s="7" t="s">
        <v>5488</v>
      </c>
    </row>
    <row r="29" customFormat="false" ht="15" hidden="false" customHeight="false" outlineLevel="0" collapsed="false">
      <c r="A29" s="1" t="s">
        <v>5235</v>
      </c>
      <c r="B29" s="1" t="s">
        <v>5129</v>
      </c>
      <c r="C29" s="1" t="s">
        <v>5214</v>
      </c>
      <c r="D29" s="1" t="s">
        <v>5364</v>
      </c>
    </row>
    <row r="30" customFormat="false" ht="15" hidden="false" customHeight="false" outlineLevel="0" collapsed="false">
      <c r="A30" s="3" t="s">
        <v>5489</v>
      </c>
      <c r="B30" s="18" t="n">
        <f aca="false">Neraca_Air!$E$528</f>
        <v>35120.8</v>
      </c>
      <c r="C30" s="3" t="s">
        <v>5256</v>
      </c>
      <c r="D30" s="3" t="s">
        <v>5490</v>
      </c>
    </row>
    <row r="31" customFormat="false" ht="15" hidden="false" customHeight="false" outlineLevel="0" collapsed="false">
      <c r="A31" s="3" t="s">
        <v>5491</v>
      </c>
      <c r="B31" s="18" t="n">
        <f aca="false">MAX(B30,B13)</f>
        <v>35120.8</v>
      </c>
      <c r="C31" s="3" t="s">
        <v>5256</v>
      </c>
    </row>
    <row r="32" customFormat="false" ht="15" hidden="false" customHeight="false" outlineLevel="0" collapsed="false">
      <c r="A32" s="3" t="s">
        <v>5492</v>
      </c>
      <c r="B32" s="4" t="n">
        <f aca="false">CEILING(SQRT(B31/B5),0.5)</f>
        <v>108.5</v>
      </c>
      <c r="C32" s="3" t="s">
        <v>5217</v>
      </c>
    </row>
    <row r="33" customFormat="false" ht="15" hidden="false" customHeight="false" outlineLevel="0" collapsed="false">
      <c r="A33" s="3" t="s">
        <v>5493</v>
      </c>
      <c r="B33" s="4" t="n">
        <f aca="false">CEILING(B31/(B5*B32),0.5)</f>
        <v>108</v>
      </c>
      <c r="C33" s="3" t="s">
        <v>5217</v>
      </c>
    </row>
    <row r="34" customFormat="false" ht="15" hidden="false" customHeight="false" outlineLevel="0" collapsed="false">
      <c r="A34" s="3" t="s">
        <v>5494</v>
      </c>
      <c r="B34" s="18" t="n">
        <f aca="false">B32*B33</f>
        <v>11718</v>
      </c>
      <c r="C34" s="3" t="s">
        <v>5229</v>
      </c>
      <c r="D34" s="3" t="s">
        <v>5495</v>
      </c>
    </row>
    <row r="35" customFormat="false" ht="15" hidden="false" customHeight="false" outlineLevel="0" collapsed="false">
      <c r="A35" s="3" t="s">
        <v>5496</v>
      </c>
      <c r="B35" s="18" t="n">
        <f aca="false">Neraca_Air!$E$529</f>
        <v>139672.96</v>
      </c>
      <c r="C35" s="3" t="s">
        <v>5256</v>
      </c>
      <c r="D35" s="3" t="s">
        <v>5497</v>
      </c>
    </row>
    <row r="37" customFormat="false" ht="15" hidden="false" customHeight="false" outlineLevel="0" collapsed="false">
      <c r="A37" s="7" t="s">
        <v>5498</v>
      </c>
    </row>
    <row r="38" customFormat="false" ht="15" hidden="false" customHeight="false" outlineLevel="0" collapsed="false">
      <c r="A38" s="1" t="s">
        <v>5499</v>
      </c>
      <c r="B38" s="1" t="s">
        <v>5129</v>
      </c>
      <c r="C38" s="1" t="s">
        <v>5214</v>
      </c>
      <c r="D38" s="1" t="s">
        <v>5143</v>
      </c>
    </row>
    <row r="39" customFormat="false" ht="15" hidden="false" customHeight="false" outlineLevel="0" collapsed="false">
      <c r="A39" s="3" t="s">
        <v>5500</v>
      </c>
      <c r="B39" s="18" t="n">
        <f aca="false">B16</f>
        <v>1072.5</v>
      </c>
      <c r="C39" s="3" t="s">
        <v>5229</v>
      </c>
    </row>
    <row r="40" customFormat="false" ht="15" hidden="false" customHeight="false" outlineLevel="0" collapsed="false">
      <c r="A40" s="3" t="s">
        <v>5482</v>
      </c>
      <c r="B40" s="18" t="n">
        <f aca="false">B24</f>
        <v>5076.5</v>
      </c>
      <c r="C40" s="3" t="s">
        <v>5229</v>
      </c>
    </row>
    <row r="41" customFormat="false" ht="15" hidden="false" customHeight="false" outlineLevel="0" collapsed="false">
      <c r="A41" s="3" t="s">
        <v>5501</v>
      </c>
      <c r="B41" s="18" t="n">
        <f aca="false">B40-B9</f>
        <v>3876.5</v>
      </c>
      <c r="C41" s="3" t="s">
        <v>5229</v>
      </c>
    </row>
    <row r="42" customFormat="false" ht="15" hidden="false" customHeight="false" outlineLevel="0" collapsed="false">
      <c r="A42" s="3" t="s">
        <v>5502</v>
      </c>
      <c r="B42" s="32" t="str">
        <f aca="false">IF(ABS(B41)&lt;=0.05*B9,"KONSISTEN (&lt;=5%)","UPDATE parameter_desain.Ap_kolam")</f>
        <v>UPDATE parameter_desain.Ap_kolam</v>
      </c>
    </row>
    <row r="44" customFormat="false" ht="15" hidden="false" customHeight="false" outlineLevel="0" collapsed="false">
      <c r="A44" s="7" t="s">
        <v>5503</v>
      </c>
    </row>
    <row r="45" customFormat="false" ht="15" hidden="false" customHeight="false" outlineLevel="0" collapsed="false">
      <c r="A45" s="1" t="s">
        <v>5504</v>
      </c>
      <c r="B45" s="1" t="s">
        <v>5505</v>
      </c>
    </row>
    <row r="46" customFormat="false" ht="15" hidden="false" customHeight="false" outlineLevel="0" collapsed="false">
      <c r="A46" s="15" t="n">
        <v>0.5</v>
      </c>
      <c r="B46" s="18" t="n">
        <f aca="false">$B$8*A46*3600</f>
        <v>1595.18507497664</v>
      </c>
    </row>
    <row r="47" customFormat="false" ht="15" hidden="false" customHeight="false" outlineLevel="0" collapsed="false">
      <c r="A47" s="15" t="n">
        <v>1</v>
      </c>
      <c r="B47" s="18" t="n">
        <f aca="false">$B$8*A47*3600</f>
        <v>3190.37014995327</v>
      </c>
    </row>
    <row r="48" customFormat="false" ht="15" hidden="false" customHeight="false" outlineLevel="0" collapsed="false">
      <c r="A48" s="15" t="n">
        <v>1.5</v>
      </c>
      <c r="B48" s="18" t="n">
        <f aca="false">$B$8*A48*3600</f>
        <v>4785.55522492991</v>
      </c>
    </row>
    <row r="49" customFormat="false" ht="15" hidden="false" customHeight="false" outlineLevel="0" collapsed="false">
      <c r="A49" s="15" t="n">
        <v>2</v>
      </c>
      <c r="B49" s="18" t="n">
        <f aca="false">$B$8*A49*3600</f>
        <v>6380.74029990654</v>
      </c>
    </row>
    <row r="50" customFormat="false" ht="15" hidden="false" customHeight="false" outlineLevel="0" collapsed="false">
      <c r="A50" s="15" t="n">
        <v>3</v>
      </c>
      <c r="B50" s="18" t="n">
        <f aca="false">$B$8*A50*3600</f>
        <v>9571.11044985981</v>
      </c>
    </row>
    <row r="52" customFormat="false" ht="15" hidden="false" customHeight="false" outlineLevel="0" collapsed="false">
      <c r="A52" s="7" t="s">
        <v>5506</v>
      </c>
    </row>
    <row r="53" customFormat="false" ht="15" hidden="false" customHeight="false" outlineLevel="0" collapsed="false">
      <c r="A53" s="1" t="s">
        <v>5507</v>
      </c>
      <c r="B53" s="1" t="s">
        <v>5508</v>
      </c>
      <c r="C53" s="1" t="s">
        <v>5509</v>
      </c>
      <c r="D53" s="1" t="s">
        <v>5510</v>
      </c>
      <c r="E53" s="1" t="s">
        <v>5511</v>
      </c>
    </row>
    <row r="54" customFormat="false" ht="15" hidden="false" customHeight="false" outlineLevel="0" collapsed="false">
      <c r="A54" s="18" t="n">
        <f aca="false">Kawasan!$A$26</f>
        <v>1</v>
      </c>
      <c r="B54" s="18" t="n">
        <f aca="false">Neraca_Air!$E$174</f>
        <v>65244.5</v>
      </c>
      <c r="C54" s="4" t="n">
        <f aca="false">Neraca_Air!$E$175</f>
        <v>66.0714285714286</v>
      </c>
      <c r="D54" s="6" t="n">
        <f aca="false">Neraca_Air!$E$176</f>
        <v>111</v>
      </c>
      <c r="E54" s="18" t="n">
        <f aca="false">Neraca_Air!$E$177</f>
        <v>-62524</v>
      </c>
    </row>
    <row r="55" customFormat="false" ht="15" hidden="false" customHeight="false" outlineLevel="0" collapsed="false">
      <c r="A55" s="18" t="n">
        <f aca="false">Kawasan!$A$27</f>
        <v>0.7</v>
      </c>
      <c r="B55" s="18" t="n">
        <f aca="false">Neraca_Air!$E$349</f>
        <v>18066.78</v>
      </c>
      <c r="C55" s="4" t="n">
        <f aca="false">Neraca_Air!$E$350</f>
        <v>98.2142857142857</v>
      </c>
      <c r="D55" s="6" t="n">
        <f aca="false">Neraca_Air!$E$351</f>
        <v>165</v>
      </c>
      <c r="E55" s="18" t="n">
        <f aca="false">Neraca_Air!$E$352</f>
        <v>55302.56</v>
      </c>
    </row>
    <row r="56" customFormat="false" ht="15" hidden="false" customHeight="false" outlineLevel="0" collapsed="false">
      <c r="A56" s="18" t="n">
        <f aca="false">Kawasan!$A$28</f>
        <v>0.65</v>
      </c>
      <c r="B56" s="18" t="n">
        <f aca="false">Neraca_Air!$E$524</f>
        <v>15148.38</v>
      </c>
      <c r="C56" s="33" t="n">
        <f aca="false">Neraca_Air!$E$525</f>
        <v>99.4047619047619</v>
      </c>
      <c r="D56" s="6" t="n">
        <f aca="false">Neraca_Air!$E$526</f>
        <v>167</v>
      </c>
      <c r="E56" s="18" t="n">
        <f aca="false">Neraca_Air!$E$527</f>
        <v>74940.32</v>
      </c>
    </row>
    <row r="57" customFormat="false" ht="15" hidden="false" customHeight="false" outlineLevel="0" collapsed="false">
      <c r="A57" s="18" t="n">
        <f aca="false">Kawasan!$A$29</f>
        <v>0.6</v>
      </c>
      <c r="B57" s="18" t="n">
        <f aca="false">Neraca_Air!$E$701</f>
        <v>12229.98</v>
      </c>
      <c r="C57" s="4" t="n">
        <f aca="false">Neraca_Air!$E$702</f>
        <v>100</v>
      </c>
      <c r="D57" s="6" t="n">
        <f aca="false">Neraca_Air!$E$703</f>
        <v>168</v>
      </c>
      <c r="E57" s="18" t="n">
        <f aca="false">Neraca_Air!$E$704</f>
        <v>94578.0800000001</v>
      </c>
    </row>
    <row r="58" customFormat="false" ht="15" hidden="false" customHeight="false" outlineLevel="0" collapsed="false">
      <c r="A58" s="18" t="n">
        <f aca="false">Kawasan!$A$30</f>
        <v>0.5</v>
      </c>
      <c r="B58" s="18" t="n">
        <f aca="false">Neraca_Air!$E$876</f>
        <v>6393.17999999999</v>
      </c>
      <c r="C58" s="4" t="n">
        <f aca="false">Neraca_Air!$E$877</f>
        <v>100</v>
      </c>
      <c r="D58" s="6" t="n">
        <f aca="false">Neraca_Air!$E$878</f>
        <v>168</v>
      </c>
      <c r="E58" s="18" t="n">
        <f aca="false">Neraca_Air!$E$879</f>
        <v>133853.6</v>
      </c>
    </row>
    <row r="60" customFormat="false" ht="15" hidden="false" customHeight="false" outlineLevel="0" collapsed="false">
      <c r="A60" s="2" t="s">
        <v>5512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7" min="4" style="0" width="10"/>
  </cols>
  <sheetData>
    <row r="1" customFormat="false" ht="15" hidden="false" customHeight="false" outlineLevel="0" collapsed="false">
      <c r="A1" s="5" t="s">
        <v>5513</v>
      </c>
    </row>
    <row r="3" customFormat="false" ht="15" hidden="false" customHeight="false" outlineLevel="0" collapsed="false">
      <c r="A3" s="7" t="s">
        <v>5514</v>
      </c>
    </row>
    <row r="4" customFormat="false" ht="15" hidden="false" customHeight="false" outlineLevel="0" collapsed="false">
      <c r="A4" s="1" t="s">
        <v>5515</v>
      </c>
      <c r="B4" s="1" t="s">
        <v>5516</v>
      </c>
      <c r="C4" s="1" t="s">
        <v>5517</v>
      </c>
    </row>
    <row r="5" customFormat="false" ht="15" hidden="false" customHeight="false" outlineLevel="0" collapsed="false">
      <c r="A5" s="6" t="n">
        <v>1</v>
      </c>
      <c r="B5" s="13" t="n">
        <v>6.314</v>
      </c>
      <c r="C5" s="13" t="n">
        <v>12.706</v>
      </c>
    </row>
    <row r="6" customFormat="false" ht="15" hidden="false" customHeight="false" outlineLevel="0" collapsed="false">
      <c r="A6" s="6" t="n">
        <v>2</v>
      </c>
      <c r="B6" s="13" t="n">
        <v>2.92</v>
      </c>
      <c r="C6" s="13" t="n">
        <v>4.303</v>
      </c>
    </row>
    <row r="7" customFormat="false" ht="15" hidden="false" customHeight="false" outlineLevel="0" collapsed="false">
      <c r="A7" s="6" t="n">
        <v>3</v>
      </c>
      <c r="B7" s="13" t="n">
        <v>2.353</v>
      </c>
      <c r="C7" s="13" t="n">
        <v>3.182</v>
      </c>
    </row>
    <row r="8" customFormat="false" ht="15" hidden="false" customHeight="false" outlineLevel="0" collapsed="false">
      <c r="A8" s="6" t="n">
        <v>4</v>
      </c>
      <c r="B8" s="13" t="n">
        <v>2.132</v>
      </c>
      <c r="C8" s="13" t="n">
        <v>2.776</v>
      </c>
    </row>
    <row r="9" customFormat="false" ht="15" hidden="false" customHeight="false" outlineLevel="0" collapsed="false">
      <c r="A9" s="6" t="n">
        <v>5</v>
      </c>
      <c r="B9" s="13" t="n">
        <v>2.015</v>
      </c>
      <c r="C9" s="13" t="n">
        <v>2.571</v>
      </c>
    </row>
    <row r="10" customFormat="false" ht="15" hidden="false" customHeight="false" outlineLevel="0" collapsed="false">
      <c r="A10" s="6" t="n">
        <v>6</v>
      </c>
      <c r="B10" s="13" t="n">
        <v>1.943</v>
      </c>
      <c r="C10" s="13" t="n">
        <v>2.447</v>
      </c>
    </row>
    <row r="11" customFormat="false" ht="15" hidden="false" customHeight="false" outlineLevel="0" collapsed="false">
      <c r="A11" s="6" t="n">
        <v>7</v>
      </c>
      <c r="B11" s="13" t="n">
        <v>1.895</v>
      </c>
      <c r="C11" s="13" t="n">
        <v>2.365</v>
      </c>
    </row>
    <row r="12" customFormat="false" ht="15" hidden="false" customHeight="false" outlineLevel="0" collapsed="false">
      <c r="A12" s="6" t="n">
        <v>8</v>
      </c>
      <c r="B12" s="13" t="n">
        <v>1.86</v>
      </c>
      <c r="C12" s="13" t="n">
        <v>2.306</v>
      </c>
    </row>
    <row r="13" customFormat="false" ht="15" hidden="false" customHeight="false" outlineLevel="0" collapsed="false">
      <c r="A13" s="6" t="n">
        <v>9</v>
      </c>
      <c r="B13" s="13" t="n">
        <v>1.833</v>
      </c>
      <c r="C13" s="13" t="n">
        <v>2.262</v>
      </c>
    </row>
    <row r="14" customFormat="false" ht="15" hidden="false" customHeight="false" outlineLevel="0" collapsed="false">
      <c r="A14" s="6" t="n">
        <v>10</v>
      </c>
      <c r="B14" s="13" t="n">
        <v>1.812</v>
      </c>
      <c r="C14" s="13" t="n">
        <v>2.228</v>
      </c>
    </row>
    <row r="15" customFormat="false" ht="15" hidden="false" customHeight="false" outlineLevel="0" collapsed="false">
      <c r="A15" s="6" t="n">
        <v>11</v>
      </c>
      <c r="B15" s="13" t="n">
        <v>1.796</v>
      </c>
      <c r="C15" s="13" t="n">
        <v>2.201</v>
      </c>
    </row>
    <row r="16" customFormat="false" ht="15" hidden="false" customHeight="false" outlineLevel="0" collapsed="false">
      <c r="A16" s="6" t="n">
        <v>12</v>
      </c>
      <c r="B16" s="13" t="n">
        <v>1.782</v>
      </c>
      <c r="C16" s="13" t="n">
        <v>2.179</v>
      </c>
    </row>
    <row r="17" customFormat="false" ht="15" hidden="false" customHeight="false" outlineLevel="0" collapsed="false">
      <c r="A17" s="6" t="n">
        <v>13</v>
      </c>
      <c r="B17" s="13" t="n">
        <v>1.771</v>
      </c>
      <c r="C17" s="13" t="n">
        <v>2.16</v>
      </c>
    </row>
    <row r="18" customFormat="false" ht="15" hidden="false" customHeight="false" outlineLevel="0" collapsed="false">
      <c r="A18" s="6" t="n">
        <v>14</v>
      </c>
      <c r="B18" s="13" t="n">
        <v>1.761</v>
      </c>
      <c r="C18" s="13" t="n">
        <v>2.145</v>
      </c>
    </row>
    <row r="19" customFormat="false" ht="15" hidden="false" customHeight="false" outlineLevel="0" collapsed="false">
      <c r="A19" s="6" t="n">
        <v>15</v>
      </c>
      <c r="B19" s="13" t="n">
        <v>1.753</v>
      </c>
      <c r="C19" s="13" t="n">
        <v>2.131</v>
      </c>
    </row>
    <row r="20" customFormat="false" ht="15" hidden="false" customHeight="false" outlineLevel="0" collapsed="false">
      <c r="A20" s="6" t="n">
        <v>16</v>
      </c>
      <c r="B20" s="13" t="n">
        <v>1.746</v>
      </c>
      <c r="C20" s="13" t="n">
        <v>2.12</v>
      </c>
    </row>
    <row r="21" customFormat="false" ht="15" hidden="false" customHeight="false" outlineLevel="0" collapsed="false">
      <c r="A21" s="6" t="n">
        <v>17</v>
      </c>
      <c r="B21" s="13" t="n">
        <v>1.74</v>
      </c>
      <c r="C21" s="13" t="n">
        <v>2.11</v>
      </c>
    </row>
    <row r="22" customFormat="false" ht="15" hidden="false" customHeight="false" outlineLevel="0" collapsed="false">
      <c r="A22" s="6" t="n">
        <v>18</v>
      </c>
      <c r="B22" s="13" t="n">
        <v>1.734</v>
      </c>
      <c r="C22" s="13" t="n">
        <v>2.101</v>
      </c>
    </row>
    <row r="23" customFormat="false" ht="15" hidden="false" customHeight="false" outlineLevel="0" collapsed="false">
      <c r="A23" s="6" t="n">
        <v>19</v>
      </c>
      <c r="B23" s="13" t="n">
        <v>1.729</v>
      </c>
      <c r="C23" s="13" t="n">
        <v>2.093</v>
      </c>
    </row>
    <row r="24" customFormat="false" ht="15" hidden="false" customHeight="false" outlineLevel="0" collapsed="false">
      <c r="A24" s="6" t="n">
        <v>20</v>
      </c>
      <c r="B24" s="13" t="n">
        <v>1.725</v>
      </c>
      <c r="C24" s="13" t="n">
        <v>2.086</v>
      </c>
    </row>
    <row r="25" customFormat="false" ht="15" hidden="false" customHeight="false" outlineLevel="0" collapsed="false">
      <c r="A25" s="6" t="n">
        <v>21</v>
      </c>
      <c r="B25" s="13" t="n">
        <v>1.721</v>
      </c>
      <c r="C25" s="13" t="n">
        <v>2.08</v>
      </c>
    </row>
    <row r="26" customFormat="false" ht="15" hidden="false" customHeight="false" outlineLevel="0" collapsed="false">
      <c r="A26" s="6" t="n">
        <v>22</v>
      </c>
      <c r="B26" s="13" t="n">
        <v>1.717</v>
      </c>
      <c r="C26" s="13" t="n">
        <v>2.074</v>
      </c>
    </row>
    <row r="27" customFormat="false" ht="15" hidden="false" customHeight="false" outlineLevel="0" collapsed="false">
      <c r="A27" s="6" t="n">
        <v>23</v>
      </c>
      <c r="B27" s="13" t="n">
        <v>1.714</v>
      </c>
      <c r="C27" s="13" t="n">
        <v>2.069</v>
      </c>
    </row>
    <row r="28" customFormat="false" ht="15" hidden="false" customHeight="false" outlineLevel="0" collapsed="false">
      <c r="A28" s="6" t="n">
        <v>24</v>
      </c>
      <c r="B28" s="13" t="n">
        <v>1.711</v>
      </c>
      <c r="C28" s="13" t="n">
        <v>2.064</v>
      </c>
    </row>
    <row r="29" customFormat="false" ht="15" hidden="false" customHeight="false" outlineLevel="0" collapsed="false">
      <c r="A29" s="6" t="n">
        <v>25</v>
      </c>
      <c r="B29" s="13" t="n">
        <v>1.708</v>
      </c>
      <c r="C29" s="13" t="n">
        <v>2.06</v>
      </c>
    </row>
    <row r="30" customFormat="false" ht="15" hidden="false" customHeight="false" outlineLevel="0" collapsed="false">
      <c r="A30" s="6" t="n">
        <v>26</v>
      </c>
      <c r="B30" s="13" t="n">
        <v>1.706</v>
      </c>
      <c r="C30" s="13" t="n">
        <v>2.056</v>
      </c>
    </row>
    <row r="31" customFormat="false" ht="15" hidden="false" customHeight="false" outlineLevel="0" collapsed="false">
      <c r="A31" s="6" t="n">
        <v>27</v>
      </c>
      <c r="B31" s="13" t="n">
        <v>1.703</v>
      </c>
      <c r="C31" s="13" t="n">
        <v>2.052</v>
      </c>
    </row>
    <row r="32" customFormat="false" ht="15" hidden="false" customHeight="false" outlineLevel="0" collapsed="false">
      <c r="A32" s="6" t="n">
        <v>28</v>
      </c>
      <c r="B32" s="13" t="n">
        <v>1.701</v>
      </c>
      <c r="C32" s="13" t="n">
        <v>2.048</v>
      </c>
    </row>
    <row r="33" customFormat="false" ht="15" hidden="false" customHeight="false" outlineLevel="0" collapsed="false">
      <c r="A33" s="6" t="n">
        <v>29</v>
      </c>
      <c r="B33" s="13" t="n">
        <v>1.699</v>
      </c>
      <c r="C33" s="13" t="n">
        <v>2.045</v>
      </c>
    </row>
    <row r="34" customFormat="false" ht="15" hidden="false" customHeight="false" outlineLevel="0" collapsed="false">
      <c r="A34" s="6" t="n">
        <v>30</v>
      </c>
      <c r="B34" s="13" t="n">
        <v>1.697</v>
      </c>
      <c r="C34" s="13" t="n">
        <v>2.042</v>
      </c>
    </row>
    <row r="36" customFormat="false" ht="15" hidden="false" customHeight="false" outlineLevel="0" collapsed="false">
      <c r="A36" s="7" t="s">
        <v>5518</v>
      </c>
    </row>
    <row r="37" customFormat="false" ht="15" hidden="false" customHeight="false" outlineLevel="0" collapsed="false">
      <c r="A37" s="1" t="s">
        <v>5161</v>
      </c>
      <c r="B37" s="1" t="s">
        <v>5519</v>
      </c>
      <c r="C37" s="1" t="s">
        <v>5520</v>
      </c>
    </row>
    <row r="38" customFormat="false" ht="15" hidden="false" customHeight="false" outlineLevel="0" collapsed="false">
      <c r="A38" s="6" t="n">
        <v>10</v>
      </c>
      <c r="B38" s="18" t="n">
        <v>1.14</v>
      </c>
      <c r="C38" s="18" t="n">
        <v>1.29</v>
      </c>
    </row>
    <row r="39" customFormat="false" ht="15" hidden="false" customHeight="false" outlineLevel="0" collapsed="false">
      <c r="A39" s="6" t="n">
        <v>20</v>
      </c>
      <c r="B39" s="18" t="n">
        <v>1.22</v>
      </c>
      <c r="C39" s="18" t="n">
        <v>1.42</v>
      </c>
    </row>
    <row r="40" customFormat="false" ht="15" hidden="false" customHeight="false" outlineLevel="0" collapsed="false">
      <c r="A40" s="2" t="s">
        <v>5521</v>
      </c>
    </row>
    <row r="42" customFormat="false" ht="15" hidden="false" customHeight="false" outlineLevel="0" collapsed="false">
      <c r="A42" s="7" t="s">
        <v>5522</v>
      </c>
    </row>
    <row r="43" customFormat="false" ht="15" hidden="false" customHeight="false" outlineLevel="0" collapsed="false">
      <c r="A43" s="1" t="s">
        <v>5178</v>
      </c>
      <c r="B43" s="1" t="s">
        <v>5523</v>
      </c>
    </row>
    <row r="44" customFormat="false" ht="15" hidden="false" customHeight="false" outlineLevel="0" collapsed="false">
      <c r="A44" s="6" t="n">
        <v>2</v>
      </c>
      <c r="B44" s="13" t="n">
        <v>0</v>
      </c>
    </row>
    <row r="45" customFormat="false" ht="15" hidden="false" customHeight="false" outlineLevel="0" collapsed="false">
      <c r="A45" s="6" t="n">
        <v>5</v>
      </c>
      <c r="B45" s="13" t="n">
        <v>0.84</v>
      </c>
    </row>
    <row r="46" customFormat="false" ht="15" hidden="false" customHeight="false" outlineLevel="0" collapsed="false">
      <c r="A46" s="6" t="n">
        <v>10</v>
      </c>
      <c r="B46" s="13" t="n">
        <v>1.28</v>
      </c>
    </row>
    <row r="47" customFormat="false" ht="15" hidden="false" customHeight="false" outlineLevel="0" collapsed="false">
      <c r="A47" s="6" t="n">
        <v>25</v>
      </c>
      <c r="B47" s="13" t="n">
        <v>1.64</v>
      </c>
    </row>
    <row r="48" customFormat="false" ht="15" hidden="false" customHeight="false" outlineLevel="0" collapsed="false">
      <c r="A48" s="6" t="n">
        <v>50</v>
      </c>
      <c r="B48" s="13" t="n">
        <v>2.05</v>
      </c>
    </row>
    <row r="49" customFormat="false" ht="15" hidden="false" customHeight="false" outlineLevel="0" collapsed="false">
      <c r="A49" s="6" t="n">
        <v>100</v>
      </c>
      <c r="B49" s="13" t="n">
        <v>2.33</v>
      </c>
    </row>
    <row r="51" customFormat="false" ht="15" hidden="false" customHeight="false" outlineLevel="0" collapsed="false">
      <c r="A51" s="7" t="s">
        <v>5524</v>
      </c>
    </row>
    <row r="52" customFormat="false" ht="15" hidden="false" customHeight="false" outlineLevel="0" collapsed="false">
      <c r="A52" s="1" t="s">
        <v>5178</v>
      </c>
      <c r="B52" s="1" t="s">
        <v>5525</v>
      </c>
    </row>
    <row r="53" customFormat="false" ht="15" hidden="false" customHeight="false" outlineLevel="0" collapsed="false">
      <c r="A53" s="6" t="n">
        <v>2</v>
      </c>
      <c r="B53" s="13" t="n">
        <v>0.366</v>
      </c>
    </row>
    <row r="54" customFormat="false" ht="15" hidden="false" customHeight="false" outlineLevel="0" collapsed="false">
      <c r="A54" s="6" t="n">
        <v>5</v>
      </c>
      <c r="B54" s="13" t="n">
        <v>1.51</v>
      </c>
    </row>
    <row r="55" customFormat="false" ht="15" hidden="false" customHeight="false" outlineLevel="0" collapsed="false">
      <c r="A55" s="6" t="n">
        <v>10</v>
      </c>
      <c r="B55" s="13" t="n">
        <v>2.25</v>
      </c>
    </row>
    <row r="56" customFormat="false" ht="15" hidden="false" customHeight="false" outlineLevel="0" collapsed="false">
      <c r="A56" s="6" t="n">
        <v>25</v>
      </c>
      <c r="B56" s="13" t="n">
        <v>3.9</v>
      </c>
    </row>
    <row r="57" customFormat="false" ht="15" hidden="false" customHeight="false" outlineLevel="0" collapsed="false">
      <c r="A57" s="6" t="n">
        <v>50</v>
      </c>
      <c r="B57" s="13" t="n">
        <v>4.6</v>
      </c>
    </row>
    <row r="58" customFormat="false" ht="15" hidden="false" customHeight="false" outlineLevel="0" collapsed="false">
      <c r="A58" s="6" t="n">
        <v>100</v>
      </c>
      <c r="B58" s="13" t="n">
        <v>5.29</v>
      </c>
    </row>
    <row r="60" customFormat="false" ht="15" hidden="false" customHeight="false" outlineLevel="0" collapsed="false">
      <c r="A60" s="7" t="s">
        <v>5526</v>
      </c>
    </row>
    <row r="61" customFormat="false" ht="15" hidden="false" customHeight="false" outlineLevel="0" collapsed="false">
      <c r="A61" s="1" t="s">
        <v>5527</v>
      </c>
      <c r="B61" s="1" t="s">
        <v>5528</v>
      </c>
      <c r="C61" s="1" t="s">
        <v>5529</v>
      </c>
      <c r="D61" s="1" t="s">
        <v>5530</v>
      </c>
      <c r="E61" s="1" t="s">
        <v>5531</v>
      </c>
      <c r="F61" s="1" t="s">
        <v>5532</v>
      </c>
      <c r="G61" s="1" t="s">
        <v>5533</v>
      </c>
    </row>
    <row r="62" customFormat="false" ht="15" hidden="false" customHeight="false" outlineLevel="0" collapsed="false">
      <c r="A62" s="4" t="n">
        <v>-3</v>
      </c>
      <c r="B62" s="13" t="n">
        <v>0.396</v>
      </c>
      <c r="C62" s="13" t="n">
        <v>0.636</v>
      </c>
      <c r="D62" s="13" t="n">
        <v>0.66</v>
      </c>
      <c r="E62" s="13" t="n">
        <v>0.666</v>
      </c>
      <c r="F62" s="13" t="n">
        <v>0.666</v>
      </c>
      <c r="G62" s="13" t="n">
        <v>0.667</v>
      </c>
    </row>
    <row r="63" customFormat="false" ht="15" hidden="false" customHeight="false" outlineLevel="0" collapsed="false">
      <c r="A63" s="4" t="n">
        <v>-2.5</v>
      </c>
      <c r="B63" s="13" t="n">
        <v>0.36</v>
      </c>
      <c r="C63" s="13" t="n">
        <v>0.711</v>
      </c>
      <c r="D63" s="13" t="n">
        <v>0.771</v>
      </c>
      <c r="E63" s="13" t="n">
        <v>0.793</v>
      </c>
      <c r="F63" s="13" t="n">
        <v>0.798</v>
      </c>
      <c r="G63" s="13" t="n">
        <v>0.799</v>
      </c>
    </row>
    <row r="64" customFormat="false" ht="15" hidden="false" customHeight="false" outlineLevel="0" collapsed="false">
      <c r="A64" s="4" t="n">
        <v>-2.2</v>
      </c>
      <c r="B64" s="13" t="n">
        <v>0.33</v>
      </c>
      <c r="C64" s="13" t="n">
        <v>0.752</v>
      </c>
      <c r="D64" s="13" t="n">
        <v>0.844</v>
      </c>
      <c r="E64" s="13" t="n">
        <v>0.888</v>
      </c>
      <c r="F64" s="13" t="n">
        <v>0.9</v>
      </c>
      <c r="G64" s="13" t="n">
        <v>0.905</v>
      </c>
    </row>
    <row r="65" customFormat="false" ht="15" hidden="false" customHeight="false" outlineLevel="0" collapsed="false">
      <c r="A65" s="4" t="n">
        <v>-2</v>
      </c>
      <c r="B65" s="13" t="n">
        <v>0.307</v>
      </c>
      <c r="C65" s="13" t="n">
        <v>0.777</v>
      </c>
      <c r="D65" s="13" t="n">
        <v>0.895</v>
      </c>
      <c r="E65" s="13" t="n">
        <v>0.959</v>
      </c>
      <c r="F65" s="13" t="n">
        <v>0.98</v>
      </c>
      <c r="G65" s="13" t="n">
        <v>0.99</v>
      </c>
    </row>
    <row r="66" customFormat="false" ht="15" hidden="false" customHeight="false" outlineLevel="0" collapsed="false">
      <c r="A66" s="4" t="n">
        <v>-1.8</v>
      </c>
      <c r="B66" s="13" t="n">
        <v>0.282</v>
      </c>
      <c r="C66" s="13" t="n">
        <v>0.799</v>
      </c>
      <c r="D66" s="13" t="n">
        <v>0.945</v>
      </c>
      <c r="E66" s="13" t="n">
        <v>1.035</v>
      </c>
      <c r="F66" s="13" t="n">
        <v>1.069</v>
      </c>
      <c r="G66" s="13" t="n">
        <v>1.087</v>
      </c>
    </row>
    <row r="67" customFormat="false" ht="15" hidden="false" customHeight="false" outlineLevel="0" collapsed="false">
      <c r="A67" s="4" t="n">
        <v>-1.6</v>
      </c>
      <c r="B67" s="13" t="n">
        <v>0.254</v>
      </c>
      <c r="C67" s="13" t="n">
        <v>0.817</v>
      </c>
      <c r="D67" s="13" t="n">
        <v>0.994</v>
      </c>
      <c r="E67" s="13" t="n">
        <v>1.116</v>
      </c>
      <c r="F67" s="13" t="n">
        <v>1.166</v>
      </c>
      <c r="G67" s="13" t="n">
        <v>1.197</v>
      </c>
    </row>
    <row r="68" customFormat="false" ht="15" hidden="false" customHeight="false" outlineLevel="0" collapsed="false">
      <c r="A68" s="4" t="n">
        <v>-1.4</v>
      </c>
      <c r="B68" s="13" t="n">
        <v>0.225</v>
      </c>
      <c r="C68" s="13" t="n">
        <v>0.832</v>
      </c>
      <c r="D68" s="13" t="n">
        <v>1.041</v>
      </c>
      <c r="E68" s="13" t="n">
        <v>1.198</v>
      </c>
      <c r="F68" s="13" t="n">
        <v>1.27</v>
      </c>
      <c r="G68" s="13" t="n">
        <v>1.318</v>
      </c>
    </row>
    <row r="69" customFormat="false" ht="15" hidden="false" customHeight="false" outlineLevel="0" collapsed="false">
      <c r="A69" s="4" t="n">
        <v>-1.2</v>
      </c>
      <c r="B69" s="13" t="n">
        <v>0.195</v>
      </c>
      <c r="C69" s="13" t="n">
        <v>0.844</v>
      </c>
      <c r="D69" s="13" t="n">
        <v>1.086</v>
      </c>
      <c r="E69" s="13" t="n">
        <v>1.282</v>
      </c>
      <c r="F69" s="13" t="n">
        <v>1.379</v>
      </c>
      <c r="G69" s="13" t="n">
        <v>1.449</v>
      </c>
    </row>
    <row r="70" customFormat="false" ht="15" hidden="false" customHeight="false" outlineLevel="0" collapsed="false">
      <c r="A70" s="4" t="n">
        <v>-1</v>
      </c>
      <c r="B70" s="13" t="n">
        <v>0.164</v>
      </c>
      <c r="C70" s="13" t="n">
        <v>0.852</v>
      </c>
      <c r="D70" s="13" t="n">
        <v>1.128</v>
      </c>
      <c r="E70" s="13" t="n">
        <v>1.366</v>
      </c>
      <c r="F70" s="13" t="n">
        <v>1.492</v>
      </c>
      <c r="G70" s="13" t="n">
        <v>1.588</v>
      </c>
    </row>
    <row r="71" customFormat="false" ht="15" hidden="false" customHeight="false" outlineLevel="0" collapsed="false">
      <c r="A71" s="4" t="n">
        <v>-0.9</v>
      </c>
      <c r="B71" s="13" t="n">
        <v>0.148</v>
      </c>
      <c r="C71" s="13" t="n">
        <v>0.854</v>
      </c>
      <c r="D71" s="13" t="n">
        <v>1.147</v>
      </c>
      <c r="E71" s="13" t="n">
        <v>1.407</v>
      </c>
      <c r="F71" s="13" t="n">
        <v>1.549</v>
      </c>
      <c r="G71" s="13" t="n">
        <v>1.66</v>
      </c>
    </row>
    <row r="72" customFormat="false" ht="15" hidden="false" customHeight="false" outlineLevel="0" collapsed="false">
      <c r="A72" s="4" t="n">
        <v>-0.8</v>
      </c>
      <c r="B72" s="13" t="n">
        <v>0.132</v>
      </c>
      <c r="C72" s="13" t="n">
        <v>0.856</v>
      </c>
      <c r="D72" s="13" t="n">
        <v>1.166</v>
      </c>
      <c r="E72" s="13" t="n">
        <v>1.448</v>
      </c>
      <c r="F72" s="13" t="n">
        <v>1.606</v>
      </c>
      <c r="G72" s="13" t="n">
        <v>1.733</v>
      </c>
    </row>
    <row r="73" customFormat="false" ht="15" hidden="false" customHeight="false" outlineLevel="0" collapsed="false">
      <c r="A73" s="4" t="n">
        <v>-0.7</v>
      </c>
      <c r="B73" s="13" t="n">
        <v>0.116</v>
      </c>
      <c r="C73" s="13" t="n">
        <v>0.857</v>
      </c>
      <c r="D73" s="13" t="n">
        <v>1.183</v>
      </c>
      <c r="E73" s="13" t="n">
        <v>1.488</v>
      </c>
      <c r="F73" s="13" t="n">
        <v>1.663</v>
      </c>
      <c r="G73" s="13" t="n">
        <v>1.806</v>
      </c>
    </row>
    <row r="74" customFormat="false" ht="15" hidden="false" customHeight="false" outlineLevel="0" collapsed="false">
      <c r="A74" s="4" t="n">
        <v>-0.6</v>
      </c>
      <c r="B74" s="13" t="n">
        <v>0.099</v>
      </c>
      <c r="C74" s="13" t="n">
        <v>0.857</v>
      </c>
      <c r="D74" s="13" t="n">
        <v>1.2</v>
      </c>
      <c r="E74" s="13" t="n">
        <v>1.528</v>
      </c>
      <c r="F74" s="13" t="n">
        <v>1.72</v>
      </c>
      <c r="G74" s="13" t="n">
        <v>1.88</v>
      </c>
    </row>
    <row r="75" customFormat="false" ht="15" hidden="false" customHeight="false" outlineLevel="0" collapsed="false">
      <c r="A75" s="4" t="n">
        <v>-0.5</v>
      </c>
      <c r="B75" s="13" t="n">
        <v>0.083</v>
      </c>
      <c r="C75" s="13" t="n">
        <v>0.856</v>
      </c>
      <c r="D75" s="13" t="n">
        <v>1.216</v>
      </c>
      <c r="E75" s="13" t="n">
        <v>1.567</v>
      </c>
      <c r="F75" s="13" t="n">
        <v>1.777</v>
      </c>
      <c r="G75" s="13" t="n">
        <v>1.955</v>
      </c>
    </row>
    <row r="76" customFormat="false" ht="15" hidden="false" customHeight="false" outlineLevel="0" collapsed="false">
      <c r="A76" s="4" t="n">
        <v>-0.4</v>
      </c>
      <c r="B76" s="13" t="n">
        <v>0.066</v>
      </c>
      <c r="C76" s="13" t="n">
        <v>0.855</v>
      </c>
      <c r="D76" s="13" t="n">
        <v>1.231</v>
      </c>
      <c r="E76" s="13" t="n">
        <v>1.606</v>
      </c>
      <c r="F76" s="13" t="n">
        <v>1.834</v>
      </c>
      <c r="G76" s="13" t="n">
        <v>2.029</v>
      </c>
    </row>
    <row r="77" customFormat="false" ht="15" hidden="false" customHeight="false" outlineLevel="0" collapsed="false">
      <c r="A77" s="4" t="n">
        <v>-0.3</v>
      </c>
      <c r="B77" s="13" t="n">
        <v>0.05</v>
      </c>
      <c r="C77" s="13" t="n">
        <v>0.853</v>
      </c>
      <c r="D77" s="13" t="n">
        <v>1.245</v>
      </c>
      <c r="E77" s="13" t="n">
        <v>1.643</v>
      </c>
      <c r="F77" s="13" t="n">
        <v>1.89</v>
      </c>
      <c r="G77" s="13" t="n">
        <v>2.104</v>
      </c>
    </row>
    <row r="78" customFormat="false" ht="15" hidden="false" customHeight="false" outlineLevel="0" collapsed="false">
      <c r="A78" s="4" t="n">
        <v>-0.2</v>
      </c>
      <c r="B78" s="13" t="n">
        <v>0.033</v>
      </c>
      <c r="C78" s="13" t="n">
        <v>0.85</v>
      </c>
      <c r="D78" s="13" t="n">
        <v>1.258</v>
      </c>
      <c r="E78" s="13" t="n">
        <v>1.68</v>
      </c>
      <c r="F78" s="13" t="n">
        <v>1.945</v>
      </c>
      <c r="G78" s="13" t="n">
        <v>2.178</v>
      </c>
    </row>
    <row r="79" customFormat="false" ht="15" hidden="false" customHeight="false" outlineLevel="0" collapsed="false">
      <c r="A79" s="4" t="n">
        <v>-0.1</v>
      </c>
      <c r="B79" s="13" t="n">
        <v>0.017</v>
      </c>
      <c r="C79" s="13" t="n">
        <v>0.846</v>
      </c>
      <c r="D79" s="13" t="n">
        <v>1.27</v>
      </c>
      <c r="E79" s="13" t="n">
        <v>1.716</v>
      </c>
      <c r="F79" s="13" t="n">
        <v>2</v>
      </c>
      <c r="G79" s="13" t="n">
        <v>2.252</v>
      </c>
    </row>
    <row r="80" customFormat="false" ht="15" hidden="false" customHeight="false" outlineLevel="0" collapsed="false">
      <c r="A80" s="4" t="n">
        <v>0</v>
      </c>
      <c r="B80" s="13" t="n">
        <v>0</v>
      </c>
      <c r="C80" s="13" t="n">
        <v>0.842</v>
      </c>
      <c r="D80" s="13" t="n">
        <v>1.282</v>
      </c>
      <c r="E80" s="13" t="n">
        <v>1.751</v>
      </c>
      <c r="F80" s="13" t="n">
        <v>2.054</v>
      </c>
      <c r="G80" s="13" t="n">
        <v>2.326</v>
      </c>
    </row>
    <row r="81" customFormat="false" ht="15" hidden="false" customHeight="false" outlineLevel="0" collapsed="false">
      <c r="A81" s="4" t="n">
        <v>0.1</v>
      </c>
      <c r="B81" s="13" t="n">
        <v>-0.017</v>
      </c>
      <c r="C81" s="13" t="n">
        <v>0.836</v>
      </c>
      <c r="D81" s="13" t="n">
        <v>1.292</v>
      </c>
      <c r="E81" s="13" t="n">
        <v>1.785</v>
      </c>
      <c r="F81" s="13" t="n">
        <v>2.107</v>
      </c>
      <c r="G81" s="13" t="n">
        <v>2.4</v>
      </c>
    </row>
    <row r="82" customFormat="false" ht="15" hidden="false" customHeight="false" outlineLevel="0" collapsed="false">
      <c r="A82" s="4" t="n">
        <v>0.2</v>
      </c>
      <c r="B82" s="13" t="n">
        <v>-0.033</v>
      </c>
      <c r="C82" s="13" t="n">
        <v>0.83</v>
      </c>
      <c r="D82" s="13" t="n">
        <v>1.301</v>
      </c>
      <c r="E82" s="13" t="n">
        <v>1.818</v>
      </c>
      <c r="F82" s="13" t="n">
        <v>2.159</v>
      </c>
      <c r="G82" s="13" t="n">
        <v>2.472</v>
      </c>
    </row>
    <row r="83" customFormat="false" ht="15" hidden="false" customHeight="false" outlineLevel="0" collapsed="false">
      <c r="A83" s="4" t="n">
        <v>0.3</v>
      </c>
      <c r="B83" s="13" t="n">
        <v>-0.05</v>
      </c>
      <c r="C83" s="13" t="n">
        <v>0.824</v>
      </c>
      <c r="D83" s="13" t="n">
        <v>1.309</v>
      </c>
      <c r="E83" s="13" t="n">
        <v>1.849</v>
      </c>
      <c r="F83" s="13" t="n">
        <v>2.211</v>
      </c>
      <c r="G83" s="13" t="n">
        <v>2.544</v>
      </c>
    </row>
    <row r="84" customFormat="false" ht="15" hidden="false" customHeight="false" outlineLevel="0" collapsed="false">
      <c r="A84" s="4" t="n">
        <v>0.4</v>
      </c>
      <c r="B84" s="13" t="n">
        <v>-0.066</v>
      </c>
      <c r="C84" s="13" t="n">
        <v>0.816</v>
      </c>
      <c r="D84" s="13" t="n">
        <v>1.317</v>
      </c>
      <c r="E84" s="13" t="n">
        <v>1.88</v>
      </c>
      <c r="F84" s="13" t="n">
        <v>2.261</v>
      </c>
      <c r="G84" s="13" t="n">
        <v>2.615</v>
      </c>
    </row>
    <row r="85" customFormat="false" ht="15" hidden="false" customHeight="false" outlineLevel="0" collapsed="false">
      <c r="A85" s="4" t="n">
        <v>0.5</v>
      </c>
      <c r="B85" s="13" t="n">
        <v>-0.083</v>
      </c>
      <c r="C85" s="13" t="n">
        <v>0.808</v>
      </c>
      <c r="D85" s="13" t="n">
        <v>1.323</v>
      </c>
      <c r="E85" s="13" t="n">
        <v>1.91</v>
      </c>
      <c r="F85" s="13" t="n">
        <v>2.311</v>
      </c>
      <c r="G85" s="13" t="n">
        <v>2.686</v>
      </c>
    </row>
    <row r="86" customFormat="false" ht="15" hidden="false" customHeight="false" outlineLevel="0" collapsed="false">
      <c r="A86" s="4" t="n">
        <v>0.6</v>
      </c>
      <c r="B86" s="13" t="n">
        <v>-0.099</v>
      </c>
      <c r="C86" s="13" t="n">
        <v>0.8</v>
      </c>
      <c r="D86" s="13" t="n">
        <v>1.328</v>
      </c>
      <c r="E86" s="13" t="n">
        <v>1.939</v>
      </c>
      <c r="F86" s="13" t="n">
        <v>2.359</v>
      </c>
      <c r="G86" s="13" t="n">
        <v>2.755</v>
      </c>
    </row>
    <row r="87" customFormat="false" ht="15" hidden="false" customHeight="false" outlineLevel="0" collapsed="false">
      <c r="A87" s="4" t="n">
        <v>0.7</v>
      </c>
      <c r="B87" s="13" t="n">
        <v>-0.116</v>
      </c>
      <c r="C87" s="13" t="n">
        <v>0.79</v>
      </c>
      <c r="D87" s="13" t="n">
        <v>1.333</v>
      </c>
      <c r="E87" s="13" t="n">
        <v>1.967</v>
      </c>
      <c r="F87" s="13" t="n">
        <v>2.407</v>
      </c>
      <c r="G87" s="13" t="n">
        <v>2.824</v>
      </c>
    </row>
    <row r="88" customFormat="false" ht="15" hidden="false" customHeight="false" outlineLevel="0" collapsed="false">
      <c r="A88" s="4" t="n">
        <v>0.8</v>
      </c>
      <c r="B88" s="13" t="n">
        <v>-0.132</v>
      </c>
      <c r="C88" s="13" t="n">
        <v>0.78</v>
      </c>
      <c r="D88" s="13" t="n">
        <v>1.336</v>
      </c>
      <c r="E88" s="13" t="n">
        <v>1.998</v>
      </c>
      <c r="F88" s="13" t="n">
        <v>2.453</v>
      </c>
      <c r="G88" s="13" t="n">
        <v>2.891</v>
      </c>
    </row>
    <row r="89" customFormat="false" ht="15" hidden="false" customHeight="false" outlineLevel="0" collapsed="false">
      <c r="A89" s="4" t="n">
        <v>0.9</v>
      </c>
      <c r="B89" s="13" t="n">
        <v>-0.148</v>
      </c>
      <c r="C89" s="13" t="n">
        <v>0.769</v>
      </c>
      <c r="D89" s="13" t="n">
        <v>1.339</v>
      </c>
      <c r="E89" s="13" t="n">
        <v>2.018</v>
      </c>
      <c r="F89" s="13" t="n">
        <v>2.498</v>
      </c>
      <c r="G89" s="13" t="n">
        <v>2.957</v>
      </c>
    </row>
    <row r="90" customFormat="false" ht="15" hidden="false" customHeight="false" outlineLevel="0" collapsed="false">
      <c r="A90" s="4" t="n">
        <v>1</v>
      </c>
      <c r="B90" s="13" t="n">
        <v>-0.164</v>
      </c>
      <c r="C90" s="13" t="n">
        <v>0.758</v>
      </c>
      <c r="D90" s="13" t="n">
        <v>1.34</v>
      </c>
      <c r="E90" s="13" t="n">
        <v>2.043</v>
      </c>
      <c r="F90" s="13" t="n">
        <v>2.542</v>
      </c>
      <c r="G90" s="13" t="n">
        <v>3.022</v>
      </c>
    </row>
    <row r="91" customFormat="false" ht="15" hidden="false" customHeight="false" outlineLevel="0" collapsed="false">
      <c r="A91" s="4" t="n">
        <v>1.2</v>
      </c>
      <c r="B91" s="13" t="n">
        <v>-0.195</v>
      </c>
      <c r="C91" s="13" t="n">
        <v>0.732</v>
      </c>
      <c r="D91" s="13" t="n">
        <v>1.34</v>
      </c>
      <c r="E91" s="13" t="n">
        <v>2.087</v>
      </c>
      <c r="F91" s="13" t="n">
        <v>2.626</v>
      </c>
      <c r="G91" s="13" t="n">
        <v>3.149</v>
      </c>
    </row>
    <row r="92" customFormat="false" ht="15" hidden="false" customHeight="false" outlineLevel="0" collapsed="false">
      <c r="A92" s="4" t="n">
        <v>1.4</v>
      </c>
      <c r="B92" s="13" t="n">
        <v>-0.225</v>
      </c>
      <c r="C92" s="13" t="n">
        <v>0.705</v>
      </c>
      <c r="D92" s="13" t="n">
        <v>1.337</v>
      </c>
      <c r="E92" s="13" t="n">
        <v>2.128</v>
      </c>
      <c r="F92" s="13" t="n">
        <v>2.706</v>
      </c>
      <c r="G92" s="13" t="n">
        <v>3.271</v>
      </c>
    </row>
    <row r="93" customFormat="false" ht="15" hidden="false" customHeight="false" outlineLevel="0" collapsed="false">
      <c r="A93" s="4" t="n">
        <v>1.6</v>
      </c>
      <c r="B93" s="13" t="n">
        <v>-0.254</v>
      </c>
      <c r="C93" s="13" t="n">
        <v>0.675</v>
      </c>
      <c r="D93" s="13" t="n">
        <v>1.329</v>
      </c>
      <c r="E93" s="13" t="n">
        <v>2.163</v>
      </c>
      <c r="F93" s="13" t="n">
        <v>2.78</v>
      </c>
      <c r="G93" s="13" t="n">
        <v>3.388</v>
      </c>
    </row>
    <row r="94" customFormat="false" ht="15" hidden="false" customHeight="false" outlineLevel="0" collapsed="false">
      <c r="A94" s="4" t="n">
        <v>1.8</v>
      </c>
      <c r="B94" s="13" t="n">
        <v>-0.282</v>
      </c>
      <c r="C94" s="13" t="n">
        <v>0.643</v>
      </c>
      <c r="D94" s="13" t="n">
        <v>1.318</v>
      </c>
      <c r="E94" s="13" t="n">
        <v>2.193</v>
      </c>
      <c r="F94" s="13" t="n">
        <v>2.848</v>
      </c>
      <c r="G94" s="13" t="n">
        <v>3.499</v>
      </c>
    </row>
    <row r="95" customFormat="false" ht="15" hidden="false" customHeight="false" outlineLevel="0" collapsed="false">
      <c r="A95" s="4" t="n">
        <v>2</v>
      </c>
      <c r="B95" s="13" t="n">
        <v>-0.307</v>
      </c>
      <c r="C95" s="13" t="n">
        <v>0.609</v>
      </c>
      <c r="D95" s="13" t="n">
        <v>1.302</v>
      </c>
      <c r="E95" s="13" t="n">
        <v>2.219</v>
      </c>
      <c r="F95" s="13" t="n">
        <v>2.912</v>
      </c>
      <c r="G95" s="13" t="n">
        <v>3.605</v>
      </c>
    </row>
    <row r="96" customFormat="false" ht="15" hidden="false" customHeight="false" outlineLevel="0" collapsed="false">
      <c r="A96" s="4" t="n">
        <v>2.2</v>
      </c>
      <c r="B96" s="13" t="n">
        <v>-0.33</v>
      </c>
      <c r="C96" s="13" t="n">
        <v>0.574</v>
      </c>
      <c r="D96" s="13" t="n">
        <v>1.284</v>
      </c>
      <c r="E96" s="13" t="n">
        <v>2.24</v>
      </c>
      <c r="F96" s="13" t="n">
        <v>2.97</v>
      </c>
      <c r="G96" s="13" t="n">
        <v>3.705</v>
      </c>
    </row>
    <row r="97" customFormat="false" ht="15" hidden="false" customHeight="false" outlineLevel="0" collapsed="false">
      <c r="A97" s="4" t="n">
        <v>2.5</v>
      </c>
      <c r="B97" s="13" t="n">
        <v>-0.36</v>
      </c>
      <c r="C97" s="13" t="n">
        <v>0.518</v>
      </c>
      <c r="D97" s="13" t="n">
        <v>1.25</v>
      </c>
      <c r="E97" s="13" t="n">
        <v>2.262</v>
      </c>
      <c r="F97" s="13" t="n">
        <v>3.048</v>
      </c>
      <c r="G97" s="13" t="n">
        <v>3.845</v>
      </c>
    </row>
    <row r="98" customFormat="false" ht="15" hidden="false" customHeight="false" outlineLevel="0" collapsed="false">
      <c r="A98" s="4" t="n">
        <v>3</v>
      </c>
      <c r="B98" s="13" t="n">
        <v>-0.396</v>
      </c>
      <c r="C98" s="13" t="n">
        <v>0.42</v>
      </c>
      <c r="D98" s="13" t="n">
        <v>1.18</v>
      </c>
      <c r="E98" s="13" t="n">
        <v>2.278</v>
      </c>
      <c r="F98" s="13" t="n">
        <v>3.152</v>
      </c>
      <c r="G98" s="13" t="n">
        <v>4.051</v>
      </c>
    </row>
    <row r="100" customFormat="false" ht="15" hidden="false" customHeight="false" outlineLevel="0" collapsed="false">
      <c r="A100" s="7" t="s">
        <v>5534</v>
      </c>
    </row>
    <row r="101" customFormat="false" ht="15" hidden="false" customHeight="false" outlineLevel="0" collapsed="false">
      <c r="A101" s="1" t="s">
        <v>5189</v>
      </c>
      <c r="B101" s="1" t="s">
        <v>5535</v>
      </c>
    </row>
    <row r="102" customFormat="false" ht="15" hidden="false" customHeight="false" outlineLevel="0" collapsed="false">
      <c r="A102" s="3" t="s">
        <v>5194</v>
      </c>
      <c r="B102" s="18" t="n">
        <v>0.5</v>
      </c>
    </row>
    <row r="103" customFormat="false" ht="15" hidden="false" customHeight="false" outlineLevel="0" collapsed="false">
      <c r="A103" s="3" t="s">
        <v>5195</v>
      </c>
      <c r="B103" s="18" t="n">
        <v>0.2</v>
      </c>
    </row>
    <row r="104" customFormat="false" ht="15" hidden="false" customHeight="false" outlineLevel="0" collapsed="false">
      <c r="A104" s="3" t="s">
        <v>5196</v>
      </c>
      <c r="B104" s="18" t="n">
        <v>0.1</v>
      </c>
    </row>
    <row r="105" customFormat="false" ht="15" hidden="false" customHeight="false" outlineLevel="0" collapsed="false">
      <c r="A105" s="3" t="s">
        <v>5197</v>
      </c>
      <c r="B105" s="18" t="n">
        <v>0.06</v>
      </c>
    </row>
    <row r="106" customFormat="false" ht="15" hidden="false" customHeight="false" outlineLevel="0" collapsed="false">
      <c r="A106" s="3" t="s">
        <v>5198</v>
      </c>
      <c r="B106" s="18" t="n">
        <v>0.04</v>
      </c>
    </row>
    <row r="108" customFormat="false" ht="15" hidden="false" customHeight="false" outlineLevel="0" collapsed="false">
      <c r="A108" s="7" t="s">
        <v>5536</v>
      </c>
    </row>
    <row r="109" customFormat="false" ht="15" hidden="false" customHeight="false" outlineLevel="0" collapsed="false">
      <c r="A109" s="1" t="s">
        <v>5537</v>
      </c>
      <c r="B109" s="1" t="s">
        <v>5538</v>
      </c>
    </row>
    <row r="110" customFormat="false" ht="15" hidden="false" customHeight="false" outlineLevel="0" collapsed="false">
      <c r="A110" s="6" t="n">
        <v>1</v>
      </c>
      <c r="B110" s="13" t="n">
        <v>3.841</v>
      </c>
    </row>
    <row r="111" customFormat="false" ht="15" hidden="false" customHeight="false" outlineLevel="0" collapsed="false">
      <c r="A111" s="6" t="n">
        <v>2</v>
      </c>
      <c r="B111" s="13" t="n">
        <v>5.991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2026-10-29T16:07:17Z</dcterms:created>
  <dc:creator>openpyxl</dc:creator>
  <dc:description/>
  <dc:language>en-ID</dc:language>
  <cp:lastModifiedBy/>
  <dcterms:modified xsi:type="dcterms:W3CDTF">2026-10-29T16:07:17Z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
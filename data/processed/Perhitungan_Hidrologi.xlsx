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_Harian" sheetId="1" state="visible" r:id="rId3"/>
    <sheet name="Statistik_Tahunan" sheetId="2" state="visible" r:id="rId4"/>
    <sheet name="Statistik" sheetId="3" state="visible" r:id="rId5"/>
    <sheet name="Uji_Homogenitas" sheetId="4" state="visible" r:id="rId6"/>
    <sheet name="Uji_Konsistensi" sheetId="5" state="visible" r:id="rId7"/>
    <sheet name="Frekuensi" sheetId="6" state="visible" r:id="rId8"/>
    <sheet name="Chi_Kuadrat" sheetId="7" state="visible" r:id="rId9"/>
    <sheet name="Debit_Rencana" sheetId="8" state="visible" r:id="rId10"/>
    <sheet name="Kawasan" sheetId="9" state="visible" r:id="rId11"/>
    <sheet name="Evaporasi" sheetId="10" state="visible" r:id="rId12"/>
    <sheet name="Hidrolika_Pipa" sheetId="11" state="visible" r:id="rId13"/>
    <sheet name="Neraca_Air" sheetId="12" state="visible" r:id="rId14"/>
    <sheet name="Desain_Kolam" sheetId="13" state="visible" r:id="rId15"/>
    <sheet name="Koefisie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<sst xmlns="http://schemas.openxmlformats.org/spreadsheetml/2006/main" count="5786" uniqueCount="5521">
  <si>
    <t xml:space="preserve">Tahun</t>
  </si>
  <si>
    <t xml:space="preserve">Bulan</t>
  </si>
  <si>
    <t xml:space="preserve">Tanggal</t>
  </si>
  <si>
    <t xml:space="preserve">Tanggal (ISO)</t>
  </si>
  <si>
    <t xml:space="preserve">Curah Hujan (mm)</t>
  </si>
  <si>
    <t xml:space="preserve">Sumber: data/processed/hidrologi.db (src/build_db.py) &lt;- Curah_Hujan_Sungai_Ambawang_BWSK_2012-2025.xlsx (BWSK). Sel kosong = data hilang.</t>
  </si>
  <si>
    <t xml:space="preserve">2012-01-01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</si>
  <si>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</si>
  <si>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</si>
  <si>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</si>
  <si>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</si>
  <si>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</si>
  <si>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2012-01-07</t>
  </si>
  <si>
    <t xml:space="preserve">2012-01-08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</si>
  <si>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</si>
  <si>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</si>
  <si>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</si>
  <si>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</si>
  <si>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</si>
  <si>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2012-01-14</t>
  </si>
  <si>
    <t xml:space="preserve">2012-01-15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</si>
  <si>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</si>
  <si>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</si>
  <si>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</si>
  <si>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</si>
  <si>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</si>
  <si>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</si>
  <si>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2012-01-22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</si>
  <si>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</si>
  <si>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</si>
  <si>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</si>
  <si>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</si>
  <si>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</si>
  <si>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2012-01-28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</si>
  <si>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</si>
  <si>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</si>
  <si>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</si>
  <si>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</si>
  <si>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</si>
  <si>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</si>
  <si>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2012-02-04</t>
  </si>
  <si>
    <t xml:space="preserve">2012-02-05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</si>
  <si>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</si>
  <si>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</si>
  <si>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</si>
  <si>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</si>
  <si>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</si>
  <si>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2012-02-11</t>
  </si>
  <si>
    <t xml:space="preserve">2012-02-12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</si>
  <si>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</si>
  <si>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</si>
  <si>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</si>
  <si>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</si>
  <si>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</si>
  <si>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2012-02-18</t>
  </si>
  <si>
    <t xml:space="preserve">2012-02-19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</si>
  <si>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</si>
  <si>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</si>
  <si>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</si>
  <si>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</si>
  <si>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</si>
  <si>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2012-02-25</t>
  </si>
  <si>
    <t xml:space="preserve">2012-02-26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</si>
  <si>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</si>
  <si>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</si>
  <si>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</si>
  <si>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</si>
  <si>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</si>
  <si>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2012-03-03</t>
  </si>
  <si>
    <t xml:space="preserve">2012-03-04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</si>
  <si>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</si>
  <si>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</si>
  <si>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</si>
  <si>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</si>
  <si>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</si>
  <si>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2012-03-10</t>
  </si>
  <si>
    <t xml:space="preserve">2012-03-11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</si>
  <si>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</si>
  <si>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</si>
  <si>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</si>
  <si>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</si>
  <si>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</si>
  <si>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2012-03-17</t>
  </si>
  <si>
    <t xml:space="preserve">2012-03-18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</si>
  <si>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</si>
  <si>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</si>
  <si>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</si>
  <si>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</si>
  <si>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</si>
  <si>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2012-03-24</t>
  </si>
  <si>
    <t xml:space="preserve">2012-03-25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</si>
  <si>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</si>
  <si>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</si>
  <si>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</si>
  <si>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</si>
  <si>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</si>
  <si>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</si>
  <si>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</si>
  <si>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</si>
  <si>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</si>
  <si>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</si>
  <si>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</si>
  <si>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</si>
  <si>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2012-04-07</t>
  </si>
  <si>
    <t xml:space="preserve">2012-04-08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</si>
  <si>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</si>
  <si>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</si>
  <si>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</si>
  <si>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</si>
  <si>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</si>
  <si>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2012-04-14</t>
  </si>
  <si>
    <t xml:space="preserve">2012-04-15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</si>
  <si>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</si>
  <si>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</si>
  <si>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</si>
  <si>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</si>
  <si>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</si>
  <si>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2012-04-21</t>
  </si>
  <si>
    <t xml:space="preserve">2012-04-22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</si>
  <si>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</si>
  <si>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</si>
  <si>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</si>
  <si>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</si>
  <si>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</si>
  <si>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</si>
  <si>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2012-04-29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</si>
  <si>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</si>
  <si>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</si>
  <si>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</si>
  <si>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</si>
  <si>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</si>
  <si>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2012-05-05</t>
  </si>
  <si>
    <t xml:space="preserve">2012-05-06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</si>
  <si>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</si>
  <si>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</si>
  <si>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</si>
  <si>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</si>
  <si>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</si>
  <si>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2012-05-12</t>
  </si>
  <si>
    <t xml:space="preserve">2012-05-13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</si>
  <si>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</si>
  <si>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</si>
  <si>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</si>
  <si>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</si>
  <si>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</si>
  <si>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2012-05-19</t>
  </si>
  <si>
    <t xml:space="preserve">2012-05-20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</si>
  <si>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</si>
  <si>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</si>
  <si>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</si>
  <si>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</si>
  <si>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</si>
  <si>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2012-05-26</t>
  </si>
  <si>
    <t xml:space="preserve">2012-05-27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</si>
  <si>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</si>
  <si>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</si>
  <si>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</si>
  <si>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</si>
  <si>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</si>
  <si>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2012-06-02</t>
  </si>
  <si>
    <t xml:space="preserve">2012-06-03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</si>
  <si>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</si>
  <si>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</si>
  <si>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</si>
  <si>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</si>
  <si>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</si>
  <si>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2012-06-09</t>
  </si>
  <si>
    <t xml:space="preserve">2012-06-10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</si>
  <si>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</si>
  <si>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</si>
  <si>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</si>
  <si>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</si>
  <si>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</si>
  <si>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2012-06-16</t>
  </si>
  <si>
    <t xml:space="preserve">2012-06-17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</si>
  <si>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</si>
  <si>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</si>
  <si>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</si>
  <si>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</si>
  <si>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</si>
  <si>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2012-06-23</t>
  </si>
  <si>
    <t xml:space="preserve">2012-06-24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</si>
  <si>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</si>
  <si>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</si>
  <si>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</si>
  <si>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</si>
  <si>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</si>
  <si>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2012-06-30</t>
  </si>
  <si>
    <t xml:space="preserve">2012-07-01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</si>
  <si>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</si>
  <si>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</si>
  <si>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</si>
  <si>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</si>
  <si>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</si>
  <si>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2012-07-07</t>
  </si>
  <si>
    <t xml:space="preserve">2012-07-08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</si>
  <si>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</si>
  <si>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</si>
  <si>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</si>
  <si>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</si>
  <si>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</si>
  <si>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2012-07-14</t>
  </si>
  <si>
    <t xml:space="preserve">2012-07-15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</si>
  <si>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</si>
  <si>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</si>
  <si>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</si>
  <si>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</si>
  <si>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</si>
  <si>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2012-07-21</t>
  </si>
  <si>
    <t xml:space="preserve">2012-07-22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</si>
  <si>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</si>
  <si>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</si>
  <si>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</si>
  <si>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</si>
  <si>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</si>
  <si>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2012-07-28</t>
  </si>
  <si>
    <t xml:space="preserve">2012-07-29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</si>
  <si>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</si>
  <si>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</si>
  <si>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</si>
  <si>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</si>
  <si>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</si>
  <si>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2012-08-04</t>
  </si>
  <si>
    <t xml:space="preserve">2012-08-05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</si>
  <si>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</si>
  <si>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</si>
  <si>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</si>
  <si>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</si>
  <si>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</si>
  <si>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2012-08-11</t>
  </si>
  <si>
    <t xml:space="preserve">2012-08-12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</si>
  <si>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</si>
  <si>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</si>
  <si>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</si>
  <si>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</si>
  <si>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</si>
  <si>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2012-08-18</t>
  </si>
  <si>
    <t xml:space="preserve">2012-08-19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</si>
  <si>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</si>
  <si>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</si>
  <si>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</si>
  <si>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</si>
  <si>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</si>
  <si>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2012-08-25</t>
  </si>
  <si>
    <t xml:space="preserve">2012-08-26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</si>
  <si>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</si>
  <si>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</si>
  <si>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</si>
  <si>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</si>
  <si>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</si>
  <si>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2012-09-01</t>
  </si>
  <si>
    <t xml:space="preserve">2012-09-02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</si>
  <si>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</si>
  <si>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</si>
  <si>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</si>
  <si>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</si>
  <si>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</si>
  <si>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2012-09-08</t>
  </si>
  <si>
    <t xml:space="preserve">2012-09-09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</si>
  <si>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</si>
  <si>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</si>
  <si>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</si>
  <si>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</si>
  <si>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</si>
  <si>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2012-09-15</t>
  </si>
  <si>
    <t xml:space="preserve">2012-09-16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</si>
  <si>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</si>
  <si>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</si>
  <si>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</si>
  <si>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</si>
  <si>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</si>
  <si>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2012-09-22</t>
  </si>
  <si>
    <t xml:space="preserve">2012-09-23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</si>
  <si>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</si>
  <si>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</si>
  <si>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</si>
  <si>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</si>
  <si>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</si>
  <si>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</si>
  <si>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2012-09-30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</si>
  <si>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</si>
  <si>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</si>
  <si>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</si>
  <si>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</si>
  <si>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</si>
  <si>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2012-10-06</t>
  </si>
  <si>
    <t xml:space="preserve">2012-10-07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</si>
  <si>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</si>
  <si>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</si>
  <si>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</si>
  <si>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</si>
  <si>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</si>
  <si>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2012-10-13</t>
  </si>
  <si>
    <t xml:space="preserve">2012-10-14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</si>
  <si>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</si>
  <si>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</si>
  <si>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</si>
  <si>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</si>
  <si>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</si>
  <si>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2012-10-20</t>
  </si>
  <si>
    <t xml:space="preserve">2012-10-21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</si>
  <si>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</si>
  <si>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</si>
  <si>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</si>
  <si>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</si>
  <si>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</si>
  <si>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2012-10-27</t>
  </si>
  <si>
    <t xml:space="preserve">2012-10-28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</si>
  <si>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</si>
  <si>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</si>
  <si>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</si>
  <si>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</si>
  <si>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</si>
  <si>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2012-11-03</t>
  </si>
  <si>
    <t xml:space="preserve">2012-11-04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</si>
  <si>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</si>
  <si>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</si>
  <si>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</si>
  <si>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</si>
  <si>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</si>
  <si>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2012-11-10</t>
  </si>
  <si>
    <t xml:space="preserve">2012-11-11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</si>
  <si>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</si>
  <si>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</si>
  <si>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</si>
  <si>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</si>
  <si>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</si>
  <si>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2012-11-17</t>
  </si>
  <si>
    <t xml:space="preserve">2012-11-18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</si>
  <si>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</si>
  <si>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</si>
  <si>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</si>
  <si>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</si>
  <si>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</si>
  <si>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2012-11-24</t>
  </si>
  <si>
    <t xml:space="preserve">2012-11-25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</si>
  <si>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</si>
  <si>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</si>
  <si>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</si>
  <si>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</si>
  <si>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</si>
  <si>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2012-12-01</t>
  </si>
  <si>
    <t xml:space="preserve">2012-12-02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</si>
  <si>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</si>
  <si>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</si>
  <si>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</si>
  <si>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</si>
  <si>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</si>
  <si>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2012-12-08</t>
  </si>
  <si>
    <t xml:space="preserve">2012-12-09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</si>
  <si>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</si>
  <si>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</si>
  <si>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</si>
  <si>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</si>
  <si>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</si>
  <si>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2012-12-15</t>
  </si>
  <si>
    <t xml:space="preserve">2012-12-16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</si>
  <si>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</si>
  <si>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</si>
  <si>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</si>
  <si>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</si>
  <si>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</si>
  <si>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2012-12-22</t>
  </si>
  <si>
    <t xml:space="preserve">2012-12-23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</si>
  <si>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</si>
  <si>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</si>
  <si>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</si>
  <si>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</si>
  <si>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</si>
  <si>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2012-12-29</t>
  </si>
  <si>
    <t xml:space="preserve">2012-12-30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</si>
  <si>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</si>
  <si>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</si>
  <si>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</si>
  <si>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</si>
  <si>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</si>
  <si>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</si>
  <si>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</si>
  <si>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</si>
  <si>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</si>
  <si>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</si>
  <si>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</si>
  <si>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</si>
  <si>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2013-01-12</t>
  </si>
  <si>
    <t xml:space="preserve">2013-01-13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</si>
  <si>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</si>
  <si>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</si>
  <si>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</si>
  <si>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</si>
  <si>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</si>
  <si>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2013-01-19</t>
  </si>
  <si>
    <t xml:space="preserve">2013-01-20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</si>
  <si>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</si>
  <si>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</si>
  <si>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</si>
  <si>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</si>
  <si>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</si>
  <si>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2013-01-26</t>
  </si>
  <si>
    <t xml:space="preserve">2013-01-27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</si>
  <si>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</si>
  <si>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</si>
  <si>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</si>
  <si>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</si>
  <si>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</si>
  <si>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2013-02-02</t>
  </si>
  <si>
    <t xml:space="preserve">2013-02-03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</si>
  <si>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</si>
  <si>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</si>
  <si>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</si>
  <si>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</si>
  <si>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</si>
  <si>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2013-02-09</t>
  </si>
  <si>
    <t xml:space="preserve">2013-02-10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</si>
  <si>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</si>
  <si>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</si>
  <si>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</si>
  <si>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</si>
  <si>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</si>
  <si>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</si>
  <si>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</si>
  <si>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</si>
  <si>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</si>
  <si>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</si>
  <si>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</si>
  <si>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</si>
  <si>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2013-02-23</t>
  </si>
  <si>
    <t xml:space="preserve">2013-02-24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</si>
  <si>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</si>
  <si>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</si>
  <si>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</si>
  <si>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</si>
  <si>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</si>
  <si>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2013-03-02</t>
  </si>
  <si>
    <t xml:space="preserve">2013-03-03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</si>
  <si>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</si>
  <si>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</si>
  <si>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</si>
  <si>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</si>
  <si>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</si>
  <si>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2013-03-09</t>
  </si>
  <si>
    <t xml:space="preserve">2013-03-10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</si>
  <si>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</si>
  <si>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</si>
  <si>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</si>
  <si>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</si>
  <si>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</si>
  <si>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2013-03-16</t>
  </si>
  <si>
    <t xml:space="preserve">2013-03-17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</si>
  <si>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</si>
  <si>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</si>
  <si>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</si>
  <si>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</si>
  <si>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</si>
  <si>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2013-03-23</t>
  </si>
  <si>
    <t xml:space="preserve">2013-03-24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</si>
  <si>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</si>
  <si>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</si>
  <si>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</si>
  <si>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</si>
  <si>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</si>
  <si>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2013-03-30</t>
  </si>
  <si>
    <t xml:space="preserve">2013-03-31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</si>
  <si>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</si>
  <si>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</si>
  <si>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</si>
  <si>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</si>
  <si>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</si>
  <si>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2013-04-06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</si>
  <si>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</si>
  <si>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</si>
  <si>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</si>
  <si>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</si>
  <si>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</si>
  <si>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</si>
  <si>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2013-04-13</t>
  </si>
  <si>
    <t xml:space="preserve">2013-04-14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</si>
  <si>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</si>
  <si>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</si>
  <si>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</si>
  <si>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</si>
  <si>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</si>
  <si>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2013-04-20</t>
  </si>
  <si>
    <t xml:space="preserve">2013-04-21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</si>
  <si>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</si>
  <si>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</si>
  <si>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</si>
  <si>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</si>
  <si>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</si>
  <si>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</si>
  <si>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</si>
  <si>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</si>
  <si>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</si>
  <si>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</si>
  <si>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</si>
  <si>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</si>
  <si>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2013-05-04</t>
  </si>
  <si>
    <t xml:space="preserve">2013-05-05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</si>
  <si>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</si>
  <si>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</si>
  <si>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</si>
  <si>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</si>
  <si>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</si>
  <si>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2013-05-11</t>
  </si>
  <si>
    <t xml:space="preserve">2013-05-12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</si>
  <si>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</si>
  <si>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</si>
  <si>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</si>
  <si>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</si>
  <si>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</si>
  <si>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2013-05-18</t>
  </si>
  <si>
    <t xml:space="preserve">2013-05-19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</si>
  <si>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</si>
  <si>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</si>
  <si>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</si>
  <si>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</si>
  <si>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</si>
  <si>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2013-05-25</t>
  </si>
  <si>
    <t xml:space="preserve">2013-05-26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</si>
  <si>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</si>
  <si>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</si>
  <si>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</si>
  <si>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</si>
  <si>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</si>
  <si>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2013-06-01</t>
  </si>
  <si>
    <t xml:space="preserve">2013-06-02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</si>
  <si>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</si>
  <si>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</si>
  <si>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</si>
  <si>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</si>
  <si>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</si>
  <si>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</si>
  <si>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</si>
  <si>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</si>
  <si>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</si>
  <si>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</si>
  <si>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</si>
  <si>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</si>
  <si>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2013-06-15</t>
  </si>
  <si>
    <t xml:space="preserve">2013-06-16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</si>
  <si>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</si>
  <si>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</si>
  <si>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</si>
  <si>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</si>
  <si>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</si>
  <si>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2013-06-22</t>
  </si>
  <si>
    <t xml:space="preserve">2013-06-23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</si>
  <si>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</si>
  <si>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</si>
  <si>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</si>
  <si>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</si>
  <si>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</si>
  <si>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2013-06-29</t>
  </si>
  <si>
    <t xml:space="preserve">2013-06-30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</si>
  <si>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</si>
  <si>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</si>
  <si>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</si>
  <si>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</si>
  <si>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</si>
  <si>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2013-07-06</t>
  </si>
  <si>
    <t xml:space="preserve">2013-07-07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</si>
  <si>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</si>
  <si>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</si>
  <si>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</si>
  <si>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</si>
  <si>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</si>
  <si>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2013-07-13</t>
  </si>
  <si>
    <t xml:space="preserve">2013-07-14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</si>
  <si>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</si>
  <si>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</si>
  <si>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</si>
  <si>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</si>
  <si>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</si>
  <si>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2013-07-20</t>
  </si>
  <si>
    <t xml:space="preserve">2013-07-21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</si>
  <si>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</si>
  <si>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</si>
  <si>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</si>
  <si>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</si>
  <si>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</si>
  <si>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2013-07-27</t>
  </si>
  <si>
    <t xml:space="preserve">2013-07-28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</si>
  <si>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</si>
  <si>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</si>
  <si>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</si>
  <si>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</si>
  <si>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</si>
  <si>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2013-08-03</t>
  </si>
  <si>
    <t xml:space="preserve">2013-08-04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</si>
  <si>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</si>
  <si>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</si>
  <si>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</si>
  <si>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</si>
  <si>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</si>
  <si>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2013-08-10</t>
  </si>
  <si>
    <t xml:space="preserve">2013-08-11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</si>
  <si>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</si>
  <si>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</si>
  <si>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</si>
  <si>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</si>
  <si>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</si>
  <si>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2013-08-17</t>
  </si>
  <si>
    <t xml:space="preserve">2013-08-18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</si>
  <si>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</si>
  <si>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</si>
  <si>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</si>
  <si>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</si>
  <si>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</si>
  <si>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2013-08-24</t>
  </si>
  <si>
    <t xml:space="preserve">2013-08-25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</si>
  <si>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</si>
  <si>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</si>
  <si>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</si>
  <si>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</si>
  <si>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</si>
  <si>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2013-08-31</t>
  </si>
  <si>
    <t xml:space="preserve">2013-09-01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</si>
  <si>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</si>
  <si>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</si>
  <si>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</si>
  <si>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</si>
  <si>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</si>
  <si>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2013-09-07</t>
  </si>
  <si>
    <t xml:space="preserve">2013-09-08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</si>
  <si>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</si>
  <si>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</si>
  <si>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</si>
  <si>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</si>
  <si>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</si>
  <si>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2013-09-14</t>
  </si>
  <si>
    <t xml:space="preserve">2013-09-15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</si>
  <si>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</si>
  <si>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</si>
  <si>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</si>
  <si>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</si>
  <si>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</si>
  <si>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2013-09-21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</si>
  <si>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</si>
  <si>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</si>
  <si>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</si>
  <si>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</si>
  <si>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</si>
  <si>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</si>
  <si>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2013-09-28</t>
  </si>
  <si>
    <t xml:space="preserve">2013-09-29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</si>
  <si>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</si>
  <si>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</si>
  <si>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</si>
  <si>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</si>
  <si>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</si>
  <si>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2013-10-05</t>
  </si>
  <si>
    <t xml:space="preserve">2013-10-06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</si>
  <si>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</si>
  <si>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</si>
  <si>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</si>
  <si>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</si>
  <si>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</si>
  <si>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</si>
  <si>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2013-10-13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</si>
  <si>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</si>
  <si>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</si>
  <si>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</si>
  <si>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</si>
  <si>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</si>
  <si>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2013-10-19</t>
  </si>
  <si>
    <t xml:space="preserve">2013-10-20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</si>
  <si>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</si>
  <si>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</si>
  <si>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</si>
  <si>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</si>
  <si>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</si>
  <si>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2013-10-26</t>
  </si>
  <si>
    <t xml:space="preserve">2013-10-27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</si>
  <si>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</si>
  <si>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</si>
  <si>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</si>
  <si>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</si>
  <si>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</si>
  <si>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2013-11-02</t>
  </si>
  <si>
    <t xml:space="preserve">2013-11-03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</si>
  <si>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</si>
  <si>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</si>
  <si>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</si>
  <si>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</si>
  <si>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</si>
  <si>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2013-11-09</t>
  </si>
  <si>
    <t xml:space="preserve">2013-11-10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</si>
  <si>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</si>
  <si>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</si>
  <si>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</si>
  <si>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</si>
  <si>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</si>
  <si>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2013-11-16</t>
  </si>
  <si>
    <t xml:space="preserve">2013-11-17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</si>
  <si>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</si>
  <si>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</si>
  <si>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</si>
  <si>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</si>
  <si>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</si>
  <si>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2013-11-23</t>
  </si>
  <si>
    <t xml:space="preserve">2013-11-24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</si>
  <si>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</si>
  <si>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</si>
  <si>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</si>
  <si>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</si>
  <si>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</si>
  <si>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2013-11-30</t>
  </si>
  <si>
    <t xml:space="preserve">2013-12-01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</si>
  <si>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</si>
  <si>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</si>
  <si>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</si>
  <si>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</si>
  <si>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</si>
  <si>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2013-12-07</t>
  </si>
  <si>
    <t xml:space="preserve">2013-12-08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</si>
  <si>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</si>
  <si>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</si>
  <si>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</si>
  <si>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</si>
  <si>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</si>
  <si>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2013-12-14</t>
  </si>
  <si>
    <t xml:space="preserve">2013-12-15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</si>
  <si>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</si>
  <si>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</si>
  <si>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</si>
  <si>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</si>
  <si>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</si>
  <si>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2013-12-21</t>
  </si>
  <si>
    <t xml:space="preserve">2013-12-22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</si>
  <si>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</si>
  <si>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</si>
  <si>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</si>
  <si>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</si>
  <si>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</si>
  <si>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2013-12-28</t>
  </si>
  <si>
    <t xml:space="preserve">2013-12-29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</si>
  <si>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</si>
  <si>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</si>
  <si>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</si>
  <si>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</si>
  <si>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</si>
  <si>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2014-01-04</t>
  </si>
  <si>
    <t xml:space="preserve">2014-01-05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</si>
  <si>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</si>
  <si>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</si>
  <si>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</si>
  <si>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</si>
  <si>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</si>
  <si>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2014-01-11</t>
  </si>
  <si>
    <t xml:space="preserve">2014-01-12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</si>
  <si>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</si>
  <si>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</si>
  <si>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</si>
  <si>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</si>
  <si>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</si>
  <si>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2014-01-18</t>
  </si>
  <si>
    <t xml:space="preserve">2014-01-19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</si>
  <si>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</si>
  <si>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</si>
  <si>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</si>
  <si>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</si>
  <si>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</si>
  <si>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2014-01-25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</si>
  <si>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</si>
  <si>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</si>
  <si>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</si>
  <si>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</si>
  <si>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</si>
  <si>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</si>
  <si>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2014-02-01</t>
  </si>
  <si>
    <t xml:space="preserve">2014-02-02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</si>
  <si>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</si>
  <si>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</si>
  <si>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</si>
  <si>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</si>
  <si>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</si>
  <si>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2014-02-08</t>
  </si>
  <si>
    <t xml:space="preserve">2014-02-09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</si>
  <si>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</si>
  <si>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</si>
  <si>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</si>
  <si>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</si>
  <si>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</si>
  <si>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2014-02-15</t>
  </si>
  <si>
    <t xml:space="preserve">2014-02-16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</si>
  <si>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</si>
  <si>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</si>
  <si>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</si>
  <si>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</si>
  <si>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</si>
  <si>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2014-02-22</t>
  </si>
  <si>
    <t xml:space="preserve">2014-02-23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</si>
  <si>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</si>
  <si>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</si>
  <si>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</si>
  <si>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</si>
  <si>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</si>
  <si>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2014-03-01</t>
  </si>
  <si>
    <t xml:space="preserve">2014-03-02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</si>
  <si>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</si>
  <si>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</si>
  <si>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</si>
  <si>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</si>
  <si>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</si>
  <si>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2014-03-08</t>
  </si>
  <si>
    <t xml:space="preserve">2014-03-09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</si>
  <si>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</si>
  <si>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</si>
  <si>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</si>
  <si>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</si>
  <si>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</si>
  <si>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2014-03-15</t>
  </si>
  <si>
    <t xml:space="preserve">2014-03-16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</si>
  <si>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</si>
  <si>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</si>
  <si>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</si>
  <si>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</si>
  <si>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</si>
  <si>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2014-03-22</t>
  </si>
  <si>
    <t xml:space="preserve">2014-03-23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</si>
  <si>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</si>
  <si>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</si>
  <si>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</si>
  <si>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</si>
  <si>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</si>
  <si>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2014-03-29</t>
  </si>
  <si>
    <t xml:space="preserve">2014-03-30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</si>
  <si>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</si>
  <si>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</si>
  <si>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</si>
  <si>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</si>
  <si>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</si>
  <si>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2014-04-05</t>
  </si>
  <si>
    <t xml:space="preserve">2014-04-06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</si>
  <si>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</si>
  <si>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</si>
  <si>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</si>
  <si>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</si>
  <si>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</si>
  <si>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2014-04-12</t>
  </si>
  <si>
    <t xml:space="preserve">2014-04-13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</si>
  <si>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</si>
  <si>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</si>
  <si>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</si>
  <si>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</si>
  <si>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</si>
  <si>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2014-04-19</t>
  </si>
  <si>
    <t xml:space="preserve">2014-04-20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</si>
  <si>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</si>
  <si>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</si>
  <si>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</si>
  <si>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</si>
  <si>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</si>
  <si>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2014-04-26</t>
  </si>
  <si>
    <t xml:space="preserve">2014-04-27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</si>
  <si>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</si>
  <si>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</si>
  <si>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</si>
  <si>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</si>
  <si>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</si>
  <si>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2014-05-03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</si>
  <si>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</si>
  <si>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</si>
  <si>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</si>
  <si>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</si>
  <si>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</si>
  <si>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</si>
  <si>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2014-05-10</t>
  </si>
  <si>
    <t xml:space="preserve">2014-05-11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</si>
  <si>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</si>
  <si>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</si>
  <si>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</si>
  <si>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</si>
  <si>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</si>
  <si>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2014-05-17</t>
  </si>
  <si>
    <t xml:space="preserve">2014-05-18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</si>
  <si>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</si>
  <si>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</si>
  <si>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</si>
  <si>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</si>
  <si>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</si>
  <si>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2014-05-24</t>
  </si>
  <si>
    <t xml:space="preserve">2014-05-25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</si>
  <si>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</si>
  <si>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</si>
  <si>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</si>
  <si>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</si>
  <si>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</si>
  <si>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2014-05-31</t>
  </si>
  <si>
    <t xml:space="preserve">2014-06-01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</si>
  <si>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</si>
  <si>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</si>
  <si>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</si>
  <si>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</si>
  <si>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</si>
  <si>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2014-06-07</t>
  </si>
  <si>
    <t xml:space="preserve">2014-06-08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</si>
  <si>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</si>
  <si>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</si>
  <si>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</si>
  <si>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</si>
  <si>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</si>
  <si>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2014-06-14</t>
  </si>
  <si>
    <t xml:space="preserve">2014-06-15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</si>
  <si>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</si>
  <si>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</si>
  <si>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</si>
  <si>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</si>
  <si>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</si>
  <si>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2014-06-21</t>
  </si>
  <si>
    <t xml:space="preserve">2014-06-22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</si>
  <si>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</si>
  <si>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</si>
  <si>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</si>
  <si>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</si>
  <si>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</si>
  <si>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2014-06-28</t>
  </si>
  <si>
    <t xml:space="preserve">2014-06-29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</si>
  <si>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</si>
  <si>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</si>
  <si>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</si>
  <si>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</si>
  <si>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</si>
  <si>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2014-07-05</t>
  </si>
  <si>
    <t xml:space="preserve">2014-07-06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</si>
  <si>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</si>
  <si>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</si>
  <si>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</si>
  <si>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</si>
  <si>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</si>
  <si>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2014-07-12</t>
  </si>
  <si>
    <t xml:space="preserve">2014-07-13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</si>
  <si>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</si>
  <si>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</si>
  <si>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</si>
  <si>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</si>
  <si>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</si>
  <si>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2014-07-19</t>
  </si>
  <si>
    <t xml:space="preserve">2014-07-20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</si>
  <si>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</si>
  <si>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</si>
  <si>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</si>
  <si>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</si>
  <si>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</si>
  <si>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2014-07-26</t>
  </si>
  <si>
    <t xml:space="preserve">2014-07-27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</si>
  <si>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</si>
  <si>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</si>
  <si>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</si>
  <si>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</si>
  <si>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</si>
  <si>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2014-08-02</t>
  </si>
  <si>
    <t xml:space="preserve">2014-08-03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</si>
  <si>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</si>
  <si>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</si>
  <si>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</si>
  <si>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</si>
  <si>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</si>
  <si>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2014-08-09</t>
  </si>
  <si>
    <t xml:space="preserve">2014-08-10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</si>
  <si>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</si>
  <si>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</si>
  <si>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</si>
  <si>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</si>
  <si>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</si>
  <si>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2014-08-16</t>
  </si>
  <si>
    <t xml:space="preserve">2014-08-17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</si>
  <si>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</si>
  <si>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</si>
  <si>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</si>
  <si>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</si>
  <si>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</si>
  <si>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2014-08-23</t>
  </si>
  <si>
    <t xml:space="preserve">2014-08-24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</si>
  <si>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</si>
  <si>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</si>
  <si>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</si>
  <si>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</si>
  <si>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</si>
  <si>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2014-08-30</t>
  </si>
  <si>
    <t xml:space="preserve">2014-08-31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</si>
  <si>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</si>
  <si>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</si>
  <si>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</si>
  <si>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</si>
  <si>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</si>
  <si>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2014-09-06</t>
  </si>
  <si>
    <t xml:space="preserve">2014-09-07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</si>
  <si>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</si>
  <si>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</si>
  <si>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</si>
  <si>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</si>
  <si>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</si>
  <si>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2014-09-13</t>
  </si>
  <si>
    <t xml:space="preserve">2014-09-14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</si>
  <si>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</si>
  <si>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</si>
  <si>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</si>
  <si>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</si>
  <si>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</si>
  <si>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2014-09-20</t>
  </si>
  <si>
    <t xml:space="preserve">2014-09-21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</si>
  <si>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</si>
  <si>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</si>
  <si>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</si>
  <si>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</si>
  <si>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</si>
  <si>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2014-09-27</t>
  </si>
  <si>
    <t xml:space="preserve">2014-09-28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</si>
  <si>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</si>
  <si>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</si>
  <si>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</si>
  <si>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</si>
  <si>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</si>
  <si>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2014-10-04</t>
  </si>
  <si>
    <t xml:space="preserve">2014-10-05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</si>
  <si>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</si>
  <si>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</si>
  <si>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</si>
  <si>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</si>
  <si>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</si>
  <si>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</si>
  <si>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2014-10-12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</si>
  <si>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</si>
  <si>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</si>
  <si>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</si>
  <si>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</si>
  <si>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</si>
  <si>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2014-10-18</t>
  </si>
  <si>
    <t xml:space="preserve">2014-10-19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</si>
  <si>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</si>
  <si>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</si>
  <si>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</si>
  <si>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</si>
  <si>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</si>
  <si>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2014-10-25</t>
  </si>
  <si>
    <t xml:space="preserve">2014-10-26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</si>
  <si>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</si>
  <si>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</si>
  <si>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</si>
  <si>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</si>
  <si>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</si>
  <si>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2014-11-01</t>
  </si>
  <si>
    <t xml:space="preserve">2014-11-02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</si>
  <si>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</si>
  <si>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</si>
  <si>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</si>
  <si>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</si>
  <si>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</si>
  <si>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2014-11-08</t>
  </si>
  <si>
    <t xml:space="preserve">2014-11-09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</si>
  <si>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</si>
  <si>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</si>
  <si>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</si>
  <si>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</si>
  <si>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</si>
  <si>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2014-11-15</t>
  </si>
  <si>
    <t xml:space="preserve">2014-11-16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</si>
  <si>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</si>
  <si>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</si>
  <si>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</si>
  <si>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</si>
  <si>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</si>
  <si>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2014-11-22</t>
  </si>
  <si>
    <t xml:space="preserve">2014-11-23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</si>
  <si>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</si>
  <si>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</si>
  <si>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</si>
  <si>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</si>
  <si>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</si>
  <si>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2014-11-29</t>
  </si>
  <si>
    <t xml:space="preserve">2014-11-30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</si>
  <si>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</si>
  <si>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</si>
  <si>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</si>
  <si>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</si>
  <si>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</si>
  <si>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2014-12-06</t>
  </si>
  <si>
    <t xml:space="preserve">2014-12-07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</si>
  <si>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</si>
  <si>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</si>
  <si>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</si>
  <si>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</si>
  <si>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</si>
  <si>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2014-12-13</t>
  </si>
  <si>
    <t xml:space="preserve">2014-12-14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</si>
  <si>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</si>
  <si>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</si>
  <si>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</si>
  <si>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</si>
  <si>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</si>
  <si>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2014-12-20</t>
  </si>
  <si>
    <t xml:space="preserve">2014-12-21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</si>
  <si>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</si>
  <si>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</si>
  <si>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</si>
  <si>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</si>
  <si>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</si>
  <si>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2014-12-27</t>
  </si>
  <si>
    <t xml:space="preserve">2014-12-28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</si>
  <si>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</si>
  <si>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</si>
  <si>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</si>
  <si>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</si>
  <si>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</si>
  <si>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2015-01-03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</si>
  <si>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</si>
  <si>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</si>
  <si>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</si>
  <si>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</si>
  <si>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</si>
  <si>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</si>
  <si>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2015-01-10</t>
  </si>
  <si>
    <t xml:space="preserve">2015-01-11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</si>
  <si>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</si>
  <si>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</si>
  <si>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</si>
  <si>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</si>
  <si>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</si>
  <si>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2015-01-17</t>
  </si>
  <si>
    <t xml:space="preserve">2015-01-18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</si>
  <si>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</si>
  <si>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</si>
  <si>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</si>
  <si>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</si>
  <si>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</si>
  <si>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2015-01-24</t>
  </si>
  <si>
    <t xml:space="preserve">2015-01-25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</si>
  <si>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</si>
  <si>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</si>
  <si>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</si>
  <si>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</si>
  <si>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</si>
  <si>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2015-01-31</t>
  </si>
  <si>
    <t xml:space="preserve">2015-02-01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</si>
  <si>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</si>
  <si>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</si>
  <si>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</si>
  <si>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</si>
  <si>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</si>
  <si>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2015-02-07</t>
  </si>
  <si>
    <t xml:space="preserve">2015-02-08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</si>
  <si>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</si>
  <si>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</si>
  <si>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</si>
  <si>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</si>
  <si>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</si>
  <si>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2015-02-14</t>
  </si>
  <si>
    <t xml:space="preserve">2015-02-15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</si>
  <si>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</si>
  <si>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</si>
  <si>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</si>
  <si>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</si>
  <si>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</si>
  <si>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2015-02-21</t>
  </si>
  <si>
    <t xml:space="preserve">2015-02-22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</si>
  <si>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</si>
  <si>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</si>
  <si>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</si>
  <si>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</si>
  <si>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</si>
  <si>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</si>
  <si>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2015-03-01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</si>
  <si>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</si>
  <si>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</si>
  <si>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</si>
  <si>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</si>
  <si>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</si>
  <si>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</si>
  <si>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</si>
  <si>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</si>
  <si>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</si>
  <si>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</si>
  <si>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</si>
  <si>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</si>
  <si>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</si>
  <si>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</si>
  <si>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</si>
  <si>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</si>
  <si>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</si>
  <si>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</si>
  <si>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</si>
  <si>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</si>
  <si>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</si>
  <si>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</si>
  <si>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</si>
  <si>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</si>
  <si>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</si>
  <si>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</si>
  <si>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</si>
  <si>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</si>
  <si>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</si>
  <si>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</si>
  <si>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</si>
  <si>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</si>
  <si>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</si>
  <si>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</si>
  <si>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</si>
  <si>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</si>
  <si>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</si>
  <si>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</si>
  <si>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</si>
  <si>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</si>
  <si>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</si>
  <si>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</si>
  <si>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</si>
  <si>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</si>
  <si>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</si>
  <si>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</si>
  <si>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</si>
  <si>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</si>
  <si>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</si>
  <si>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</si>
  <si>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</si>
  <si>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</si>
  <si>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</si>
  <si>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</si>
  <si>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</si>
  <si>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</si>
  <si>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</si>
  <si>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</si>
  <si>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</si>
  <si>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</si>
  <si>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</si>
  <si>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2015-05-02</t>
  </si>
  <si>
    <t xml:space="preserve">2015-05-03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</si>
  <si>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</si>
  <si>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</si>
  <si>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</si>
  <si>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</si>
  <si>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</si>
  <si>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2015-05-09</t>
  </si>
  <si>
    <t xml:space="preserve">2015-05-10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</si>
  <si>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</si>
  <si>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</si>
  <si>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</si>
  <si>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</si>
  <si>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</si>
  <si>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2015-05-16</t>
  </si>
  <si>
    <t xml:space="preserve">2015-05-17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</si>
  <si>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</si>
  <si>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</si>
  <si>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</si>
  <si>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</si>
  <si>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</si>
  <si>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</si>
  <si>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</si>
  <si>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</si>
  <si>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</si>
  <si>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</si>
  <si>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</si>
  <si>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</si>
  <si>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2015-05-30</t>
  </si>
  <si>
    <t xml:space="preserve">2015-05-31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</si>
  <si>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</si>
  <si>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</si>
  <si>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</si>
  <si>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</si>
  <si>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</si>
  <si>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2015-06-06</t>
  </si>
  <si>
    <t xml:space="preserve">2015-06-07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</si>
  <si>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</si>
  <si>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</si>
  <si>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</si>
  <si>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</si>
  <si>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</si>
  <si>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2015-06-13</t>
  </si>
  <si>
    <t xml:space="preserve">2015-06-14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</si>
  <si>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</si>
  <si>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</si>
  <si>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</si>
  <si>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</si>
  <si>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</si>
  <si>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2015-06-20</t>
  </si>
  <si>
    <t xml:space="preserve">2015-06-21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</si>
  <si>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</si>
  <si>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</si>
  <si>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</si>
  <si>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</si>
  <si>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</si>
  <si>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2015-06-27</t>
  </si>
  <si>
    <t xml:space="preserve">2015-06-28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</si>
  <si>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</si>
  <si>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</si>
  <si>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</si>
  <si>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</si>
  <si>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</si>
  <si>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2015-07-04</t>
  </si>
  <si>
    <t xml:space="preserve">2015-07-05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</si>
  <si>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</si>
  <si>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</si>
  <si>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</si>
  <si>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</si>
  <si>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</si>
  <si>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2015-07-11</t>
  </si>
  <si>
    <t xml:space="preserve">2015-07-12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</si>
  <si>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</si>
  <si>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</si>
  <si>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</si>
  <si>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</si>
  <si>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</si>
  <si>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2015-07-18</t>
  </si>
  <si>
    <t xml:space="preserve">2015-07-19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</si>
  <si>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</si>
  <si>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</si>
  <si>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</si>
  <si>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</si>
  <si>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</si>
  <si>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2015-07-25</t>
  </si>
  <si>
    <t xml:space="preserve">2015-07-26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</si>
  <si>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</si>
  <si>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</si>
  <si>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</si>
  <si>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</si>
  <si>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</si>
  <si>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2015-08-01</t>
  </si>
  <si>
    <t xml:space="preserve">2015-08-02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</si>
  <si>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</si>
  <si>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</si>
  <si>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</si>
  <si>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</si>
  <si>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</si>
  <si>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2015-08-08</t>
  </si>
  <si>
    <t xml:space="preserve">2015-08-09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</si>
  <si>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</si>
  <si>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</si>
  <si>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</si>
  <si>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</si>
  <si>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</si>
  <si>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2015-08-15</t>
  </si>
  <si>
    <t xml:space="preserve">2015-08-16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</si>
  <si>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</si>
  <si>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</si>
  <si>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</si>
  <si>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</si>
  <si>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</si>
  <si>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2015-08-22</t>
  </si>
  <si>
    <t xml:space="preserve">2015-08-23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</si>
  <si>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</si>
  <si>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</si>
  <si>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</si>
  <si>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</si>
  <si>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</si>
  <si>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2015-08-29</t>
  </si>
  <si>
    <t xml:space="preserve">2015-08-30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</si>
  <si>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</si>
  <si>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</si>
  <si>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</si>
  <si>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</si>
  <si>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</si>
  <si>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2015-09-05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</si>
  <si>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</si>
  <si>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</si>
  <si>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</si>
  <si>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</si>
  <si>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</si>
  <si>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</si>
  <si>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2015-09-12</t>
  </si>
  <si>
    <t xml:space="preserve">2015-09-13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</si>
  <si>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</si>
  <si>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</si>
  <si>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</si>
  <si>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</si>
  <si>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</si>
  <si>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2015-09-19</t>
  </si>
  <si>
    <t xml:space="preserve">2015-09-20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</si>
  <si>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</si>
  <si>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</si>
  <si>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</si>
  <si>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</si>
  <si>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</si>
  <si>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2015-09-26</t>
  </si>
  <si>
    <t xml:space="preserve">2015-09-27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</si>
  <si>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</si>
  <si>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</si>
  <si>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</si>
  <si>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</si>
  <si>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</si>
  <si>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2015-10-03</t>
  </si>
  <si>
    <t xml:space="preserve">2015-10-04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</si>
  <si>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</si>
  <si>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</si>
  <si>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</si>
  <si>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</si>
  <si>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</si>
  <si>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2015-10-10</t>
  </si>
  <si>
    <t xml:space="preserve">2015-10-11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</si>
  <si>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</si>
  <si>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</si>
  <si>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</si>
  <si>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</si>
  <si>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</si>
  <si>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2015-10-17</t>
  </si>
  <si>
    <t xml:space="preserve">2015-10-18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</si>
  <si>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</si>
  <si>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</si>
  <si>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</si>
  <si>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</si>
  <si>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</si>
  <si>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2015-10-24</t>
  </si>
  <si>
    <t xml:space="preserve">2015-10-25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</si>
  <si>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</si>
  <si>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</si>
  <si>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</si>
  <si>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</si>
  <si>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</si>
  <si>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2015-10-31</t>
  </si>
  <si>
    <t xml:space="preserve">2015-11-01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</si>
  <si>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</si>
  <si>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</si>
  <si>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</si>
  <si>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</si>
  <si>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</si>
  <si>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2015-11-07</t>
  </si>
  <si>
    <t xml:space="preserve">2015-11-08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</si>
  <si>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</si>
  <si>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</si>
  <si>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</si>
  <si>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</si>
  <si>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</si>
  <si>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2015-11-14</t>
  </si>
  <si>
    <t xml:space="preserve">2015-11-15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</si>
  <si>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</si>
  <si>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</si>
  <si>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</si>
  <si>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</si>
  <si>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</si>
  <si>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2015-11-21</t>
  </si>
  <si>
    <t xml:space="preserve">2015-11-22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</si>
  <si>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</si>
  <si>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</si>
  <si>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</si>
  <si>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</si>
  <si>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</si>
  <si>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2015-11-28</t>
  </si>
  <si>
    <t xml:space="preserve">2015-11-29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</si>
  <si>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</si>
  <si>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</si>
  <si>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</si>
  <si>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</si>
  <si>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</si>
  <si>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2015-12-05</t>
  </si>
  <si>
    <t xml:space="preserve">2015-12-06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</si>
  <si>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</si>
  <si>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</si>
  <si>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</si>
  <si>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</si>
  <si>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</si>
  <si>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2015-12-12</t>
  </si>
  <si>
    <t xml:space="preserve">2015-12-13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</si>
  <si>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</si>
  <si>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</si>
  <si>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</si>
  <si>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</si>
  <si>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</si>
  <si>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2015-12-19</t>
  </si>
  <si>
    <t xml:space="preserve">2015-12-20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</si>
  <si>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</si>
  <si>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</si>
  <si>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</si>
  <si>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</si>
  <si>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</si>
  <si>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2015-12-26</t>
  </si>
  <si>
    <t xml:space="preserve">2015-12-27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</si>
  <si>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</si>
  <si>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</si>
  <si>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</si>
  <si>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</si>
  <si>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</si>
  <si>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2016-01-02</t>
  </si>
  <si>
    <t xml:space="preserve">2016-01-03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</si>
  <si>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</si>
  <si>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</si>
  <si>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</si>
  <si>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</si>
  <si>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</si>
  <si>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</si>
  <si>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</si>
  <si>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</si>
  <si>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</si>
  <si>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</si>
  <si>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</si>
  <si>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</si>
  <si>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2016-01-16</t>
  </si>
  <si>
    <t xml:space="preserve">2016-01-17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</si>
  <si>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</si>
  <si>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</si>
  <si>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</si>
  <si>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</si>
  <si>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</si>
  <si>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2016-01-23</t>
  </si>
  <si>
    <t xml:space="preserve">2016-01-24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</si>
  <si>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</si>
  <si>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</si>
  <si>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</si>
  <si>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</si>
  <si>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</si>
  <si>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2016-01-30</t>
  </si>
  <si>
    <t xml:space="preserve">2016-01-31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</si>
  <si>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</si>
  <si>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</si>
  <si>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</si>
  <si>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</si>
  <si>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</si>
  <si>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</si>
  <si>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2016-02-07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</si>
  <si>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</si>
  <si>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</si>
  <si>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</si>
  <si>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</si>
  <si>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</si>
  <si>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2016-02-13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</si>
  <si>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</si>
  <si>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</si>
  <si>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</si>
  <si>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</si>
  <si>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</si>
  <si>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</si>
  <si>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2016-02-20</t>
  </si>
  <si>
    <t xml:space="preserve">2016-02-21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</si>
  <si>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</si>
  <si>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</si>
  <si>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</si>
  <si>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</si>
  <si>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</si>
  <si>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2016-02-27</t>
  </si>
  <si>
    <t xml:space="preserve">2016-02-28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</si>
  <si>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</si>
  <si>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</si>
  <si>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</si>
  <si>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</si>
  <si>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</si>
  <si>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2016-03-05</t>
  </si>
  <si>
    <t xml:space="preserve">2016-03-06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</si>
  <si>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</si>
  <si>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</si>
  <si>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</si>
  <si>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</si>
  <si>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</si>
  <si>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2016-03-12</t>
  </si>
  <si>
    <t xml:space="preserve">2016-03-13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</si>
  <si>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</si>
  <si>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</si>
  <si>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</si>
  <si>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</si>
  <si>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</si>
  <si>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2016-03-19</t>
  </si>
  <si>
    <t xml:space="preserve">2016-03-20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</si>
  <si>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</si>
  <si>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</si>
  <si>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</si>
  <si>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</si>
  <si>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</si>
  <si>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2016-03-26</t>
  </si>
  <si>
    <t xml:space="preserve">2016-03-27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</si>
  <si>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</si>
  <si>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</si>
  <si>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</si>
  <si>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</si>
  <si>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</si>
  <si>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2016-04-02</t>
  </si>
  <si>
    <t xml:space="preserve">2016-04-03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</si>
  <si>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</si>
  <si>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</si>
  <si>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</si>
  <si>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</si>
  <si>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</si>
  <si>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2016-04-09</t>
  </si>
  <si>
    <t xml:space="preserve">2016-04-10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</si>
  <si>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</si>
  <si>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</si>
  <si>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</si>
  <si>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</si>
  <si>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</si>
  <si>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2016-04-16</t>
  </si>
  <si>
    <t xml:space="preserve">2016-04-17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</si>
  <si>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</si>
  <si>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</si>
  <si>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</si>
  <si>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</si>
  <si>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</si>
  <si>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2016-04-23</t>
  </si>
  <si>
    <t xml:space="preserve">2016-04-24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</si>
  <si>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</si>
  <si>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</si>
  <si>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</si>
  <si>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</si>
  <si>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</si>
  <si>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2016-04-30</t>
  </si>
  <si>
    <t xml:space="preserve">2016-05-01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</si>
  <si>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</si>
  <si>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</si>
  <si>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</si>
  <si>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</si>
  <si>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</si>
  <si>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2016-05-07</t>
  </si>
  <si>
    <t xml:space="preserve">2016-05-08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</si>
  <si>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</si>
  <si>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</si>
  <si>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</si>
  <si>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</si>
  <si>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</si>
  <si>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2016-05-14</t>
  </si>
  <si>
    <t xml:space="preserve">2016-05-15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</si>
  <si>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</si>
  <si>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</si>
  <si>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</si>
  <si>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</si>
  <si>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</si>
  <si>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2016-05-21</t>
  </si>
  <si>
    <t xml:space="preserve">2016-05-22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</si>
  <si>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</si>
  <si>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</si>
  <si>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</si>
  <si>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</si>
  <si>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</si>
  <si>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2016-05-28</t>
  </si>
  <si>
    <t xml:space="preserve">2016-05-29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</si>
  <si>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</si>
  <si>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</si>
  <si>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</si>
  <si>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</si>
  <si>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</si>
  <si>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2016-06-04</t>
  </si>
  <si>
    <t xml:space="preserve">2016-06-05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</si>
  <si>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</si>
  <si>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</si>
  <si>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</si>
  <si>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</si>
  <si>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</si>
  <si>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2016-06-11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</si>
  <si>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</si>
  <si>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</si>
  <si>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</si>
  <si>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</si>
  <si>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</si>
  <si>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</si>
  <si>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2016-06-18</t>
  </si>
  <si>
    <t xml:space="preserve">2016-06-19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</si>
  <si>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</si>
  <si>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</si>
  <si>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</si>
  <si>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</si>
  <si>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</si>
  <si>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2016-06-25</t>
  </si>
  <si>
    <t xml:space="preserve">2016-06-26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</si>
  <si>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</si>
  <si>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</si>
  <si>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</si>
  <si>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</si>
  <si>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</si>
  <si>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2016-07-02</t>
  </si>
  <si>
    <t xml:space="preserve">2016-07-03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</si>
  <si>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</si>
  <si>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</si>
  <si>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</si>
  <si>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</si>
  <si>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</si>
  <si>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2016-07-09</t>
  </si>
  <si>
    <t xml:space="preserve">2016-07-10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</si>
  <si>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</si>
  <si>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</si>
  <si>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</si>
  <si>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</si>
  <si>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</si>
  <si>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2016-07-16</t>
  </si>
  <si>
    <t xml:space="preserve">2016-07-17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</si>
  <si>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</si>
  <si>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</si>
  <si>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</si>
  <si>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</si>
  <si>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</si>
  <si>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2016-07-23</t>
  </si>
  <si>
    <t xml:space="preserve">2016-07-24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</si>
  <si>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</si>
  <si>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</si>
  <si>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</si>
  <si>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</si>
  <si>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</si>
  <si>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2016-07-30</t>
  </si>
  <si>
    <t xml:space="preserve">2016-07-31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</si>
  <si>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</si>
  <si>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</si>
  <si>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</si>
  <si>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</si>
  <si>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</si>
  <si>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2016-08-06</t>
  </si>
  <si>
    <t xml:space="preserve">2016-08-07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</si>
  <si>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</si>
  <si>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</si>
  <si>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</si>
  <si>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</si>
  <si>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</si>
  <si>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2016-08-13</t>
  </si>
  <si>
    <t xml:space="preserve">2016-08-14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</si>
  <si>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</si>
  <si>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</si>
  <si>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</si>
  <si>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</si>
  <si>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</si>
  <si>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2016-08-20</t>
  </si>
  <si>
    <t xml:space="preserve">2016-08-21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</si>
  <si>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</si>
  <si>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</si>
  <si>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</si>
  <si>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</si>
  <si>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</si>
  <si>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2016-08-27</t>
  </si>
  <si>
    <t xml:space="preserve">2016-08-28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</si>
  <si>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</si>
  <si>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</si>
  <si>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</si>
  <si>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</si>
  <si>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</si>
  <si>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2016-09-03</t>
  </si>
  <si>
    <t xml:space="preserve">2016-09-04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</si>
  <si>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</si>
  <si>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</si>
  <si>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</si>
  <si>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</si>
  <si>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</si>
  <si>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2016-09-10</t>
  </si>
  <si>
    <t xml:space="preserve">2016-09-11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</si>
  <si>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</si>
  <si>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</si>
  <si>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</si>
  <si>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</si>
  <si>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</si>
  <si>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2016-09-17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</si>
  <si>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</si>
  <si>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</si>
  <si>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</si>
  <si>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</si>
  <si>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</si>
  <si>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</si>
  <si>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2016-09-24</t>
  </si>
  <si>
    <t xml:space="preserve">2016-09-25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</si>
  <si>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</si>
  <si>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</si>
  <si>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</si>
  <si>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</si>
  <si>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</si>
  <si>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2016-10-01</t>
  </si>
  <si>
    <t xml:space="preserve">2016-10-02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</si>
  <si>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</si>
  <si>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</si>
  <si>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</si>
  <si>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</si>
  <si>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</si>
  <si>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</si>
  <si>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</si>
  <si>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</si>
  <si>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</si>
  <si>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</si>
  <si>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</si>
  <si>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</si>
  <si>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2016-10-15</t>
  </si>
  <si>
    <t xml:space="preserve">2016-10-16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</si>
  <si>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</si>
  <si>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</si>
  <si>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</si>
  <si>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</si>
  <si>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</si>
  <si>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2016-10-22</t>
  </si>
  <si>
    <t xml:space="preserve">2016-10-23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</si>
  <si>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</si>
  <si>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</si>
  <si>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</si>
  <si>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</si>
  <si>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</si>
  <si>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2016-10-29</t>
  </si>
  <si>
    <t xml:space="preserve">2016-10-30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</si>
  <si>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</si>
  <si>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</si>
  <si>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</si>
  <si>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</si>
  <si>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</si>
  <si>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2016-11-05</t>
  </si>
  <si>
    <t xml:space="preserve">2016-11-06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</si>
  <si>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</si>
  <si>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</si>
  <si>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</si>
  <si>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</si>
  <si>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</si>
  <si>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2016-11-12</t>
  </si>
  <si>
    <t xml:space="preserve">2016-11-13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</si>
  <si>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</si>
  <si>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</si>
  <si>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</si>
  <si>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</si>
  <si>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</si>
  <si>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2016-11-19</t>
  </si>
  <si>
    <t xml:space="preserve">2016-11-20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</si>
  <si>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</si>
  <si>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</si>
  <si>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</si>
  <si>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</si>
  <si>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</si>
  <si>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2016-11-26</t>
  </si>
  <si>
    <t xml:space="preserve">2016-11-27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</si>
  <si>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</si>
  <si>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</si>
  <si>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</si>
  <si>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</si>
  <si>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</si>
  <si>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2016-12-03</t>
  </si>
  <si>
    <t xml:space="preserve">2016-12-04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</si>
  <si>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</si>
  <si>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</si>
  <si>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</si>
  <si>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</si>
  <si>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</si>
  <si>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2016-12-10</t>
  </si>
  <si>
    <t xml:space="preserve">2016-12-11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</si>
  <si>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</si>
  <si>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</si>
  <si>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</si>
  <si>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</si>
  <si>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</si>
  <si>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2016-12-17</t>
  </si>
  <si>
    <t xml:space="preserve">2016-12-18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</si>
  <si>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</si>
  <si>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</si>
  <si>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</si>
  <si>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</si>
  <si>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</si>
  <si>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2016-12-24</t>
  </si>
  <si>
    <t xml:space="preserve">2016-12-25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</si>
  <si>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</si>
  <si>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</si>
  <si>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</si>
  <si>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</si>
  <si>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</si>
  <si>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</si>
  <si>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2017-01-01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</si>
  <si>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</si>
  <si>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</si>
  <si>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</si>
  <si>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</si>
  <si>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</si>
  <si>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</si>
  <si>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</si>
  <si>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</si>
  <si>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</si>
  <si>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</si>
  <si>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</si>
  <si>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</si>
  <si>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2017-01-14</t>
  </si>
  <si>
    <t xml:space="preserve">2017-01-15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</si>
  <si>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</si>
  <si>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</si>
  <si>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</si>
  <si>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</si>
  <si>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</si>
  <si>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2017-01-21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</si>
  <si>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</si>
  <si>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</si>
  <si>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</si>
  <si>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</si>
  <si>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</si>
  <si>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</si>
  <si>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2017-01-28</t>
  </si>
  <si>
    <t xml:space="preserve">2017-01-29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</si>
  <si>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</si>
  <si>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</si>
  <si>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</si>
  <si>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</si>
  <si>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</si>
  <si>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2017-02-04</t>
  </si>
  <si>
    <t xml:space="preserve">2017-02-05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</si>
  <si>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</si>
  <si>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</si>
  <si>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</si>
  <si>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</si>
  <si>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</si>
  <si>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2017-02-11</t>
  </si>
  <si>
    <t xml:space="preserve">2017-02-12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</si>
  <si>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</si>
  <si>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</si>
  <si>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</si>
  <si>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</si>
  <si>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</si>
  <si>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2017-02-18</t>
  </si>
  <si>
    <t xml:space="preserve">2017-02-19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</si>
  <si>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</si>
  <si>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</si>
  <si>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</si>
  <si>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</si>
  <si>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</si>
  <si>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2017-02-25</t>
  </si>
  <si>
    <t xml:space="preserve">2017-02-26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</si>
  <si>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</si>
  <si>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</si>
  <si>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</si>
  <si>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</si>
  <si>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</si>
  <si>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2017-03-04</t>
  </si>
  <si>
    <t xml:space="preserve">2017-03-05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</si>
  <si>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</si>
  <si>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</si>
  <si>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</si>
  <si>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</si>
  <si>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</si>
  <si>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2017-03-11</t>
  </si>
  <si>
    <t xml:space="preserve">2017-03-12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</si>
  <si>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</si>
  <si>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</si>
  <si>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</si>
  <si>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</si>
  <si>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</si>
  <si>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2017-03-18</t>
  </si>
  <si>
    <t xml:space="preserve">2017-03-19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</si>
  <si>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</si>
  <si>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</si>
  <si>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</si>
  <si>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</si>
  <si>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</si>
  <si>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2017-03-25</t>
  </si>
  <si>
    <t xml:space="preserve">2017-03-26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</si>
  <si>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</si>
  <si>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</si>
  <si>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</si>
  <si>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</si>
  <si>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</si>
  <si>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</si>
  <si>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2017-04-02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</si>
  <si>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</si>
  <si>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</si>
  <si>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</si>
  <si>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</si>
  <si>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</si>
  <si>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2017-04-08</t>
  </si>
  <si>
    <t xml:space="preserve">2017-04-09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</si>
  <si>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</si>
  <si>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</si>
  <si>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</si>
  <si>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</si>
  <si>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</si>
  <si>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2017-04-15</t>
  </si>
  <si>
    <t xml:space="preserve">2017-04-16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</si>
  <si>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</si>
  <si>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</si>
  <si>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</si>
  <si>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</si>
  <si>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</si>
  <si>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2017-04-22</t>
  </si>
  <si>
    <t xml:space="preserve">2017-04-23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</si>
  <si>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</si>
  <si>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</si>
  <si>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</si>
  <si>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</si>
  <si>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</si>
  <si>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2017-04-29</t>
  </si>
  <si>
    <t xml:space="preserve">2017-04-30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</si>
  <si>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</si>
  <si>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</si>
  <si>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</si>
  <si>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</si>
  <si>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</si>
  <si>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2017-05-06</t>
  </si>
  <si>
    <t xml:space="preserve">2017-05-07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</si>
  <si>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</si>
  <si>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</si>
  <si>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</si>
  <si>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</si>
  <si>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</si>
  <si>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2017-05-13</t>
  </si>
  <si>
    <t xml:space="preserve">2017-05-14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</si>
  <si>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</si>
  <si>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</si>
  <si>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</si>
  <si>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</si>
  <si>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</si>
  <si>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2017-05-20</t>
  </si>
  <si>
    <t xml:space="preserve">2017-05-21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</si>
  <si>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</si>
  <si>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</si>
  <si>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</si>
  <si>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</si>
  <si>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</si>
  <si>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</si>
  <si>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2017-05-28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</si>
  <si>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</si>
  <si>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</si>
  <si>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</si>
  <si>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</si>
  <si>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</si>
  <si>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2017-06-03</t>
  </si>
  <si>
    <t xml:space="preserve">2017-06-04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</si>
  <si>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</si>
  <si>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</si>
  <si>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</si>
  <si>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</si>
  <si>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</si>
  <si>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2017-06-10</t>
  </si>
  <si>
    <t xml:space="preserve">2017-06-11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</si>
  <si>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</si>
  <si>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</si>
  <si>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</si>
  <si>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</si>
  <si>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</si>
  <si>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2017-06-17</t>
  </si>
  <si>
    <t xml:space="preserve">2017-06-18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</si>
  <si>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</si>
  <si>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</si>
  <si>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</si>
  <si>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</si>
  <si>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</si>
  <si>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2017-06-24</t>
  </si>
  <si>
    <t xml:space="preserve">2017-06-25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</si>
  <si>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</si>
  <si>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</si>
  <si>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</si>
  <si>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</si>
  <si>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</si>
  <si>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2017-07-01</t>
  </si>
  <si>
    <t xml:space="preserve">2017-07-02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</si>
  <si>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</si>
  <si>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</si>
  <si>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</si>
  <si>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</si>
  <si>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</si>
  <si>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2017-07-08</t>
  </si>
  <si>
    <t xml:space="preserve">2017-07-09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</si>
  <si>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</si>
  <si>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</si>
  <si>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</si>
  <si>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</si>
  <si>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</si>
  <si>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2017-07-15</t>
  </si>
  <si>
    <t xml:space="preserve">2017-07-16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</si>
  <si>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</si>
  <si>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</si>
  <si>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</si>
  <si>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</si>
  <si>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</si>
  <si>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2017-07-22</t>
  </si>
  <si>
    <t xml:space="preserve">2017-07-23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</si>
  <si>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</si>
  <si>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</si>
  <si>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</si>
  <si>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</si>
  <si>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</si>
  <si>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2017-07-29</t>
  </si>
  <si>
    <t xml:space="preserve">2017-07-30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</si>
  <si>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</si>
  <si>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</si>
  <si>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</si>
  <si>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</si>
  <si>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</si>
  <si>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2017-08-05</t>
  </si>
  <si>
    <t xml:space="preserve">2017-08-06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</si>
  <si>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</si>
  <si>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</si>
  <si>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</si>
  <si>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</si>
  <si>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</si>
  <si>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2017-08-12</t>
  </si>
  <si>
    <t xml:space="preserve">2017-08-13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</si>
  <si>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</si>
  <si>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</si>
  <si>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</si>
  <si>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</si>
  <si>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</si>
  <si>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2017-08-19</t>
  </si>
  <si>
    <t xml:space="preserve">2017-08-20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</si>
  <si>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</si>
  <si>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</si>
  <si>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</si>
  <si>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</si>
  <si>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</si>
  <si>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2017-08-26</t>
  </si>
  <si>
    <t xml:space="preserve">2017-08-27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</si>
  <si>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</si>
  <si>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</si>
  <si>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</si>
  <si>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</si>
  <si>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</si>
  <si>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2017-09-02</t>
  </si>
  <si>
    <t xml:space="preserve">2017-09-03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</si>
  <si>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</si>
  <si>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</si>
  <si>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</si>
  <si>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</si>
  <si>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</si>
  <si>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2017-09-09</t>
  </si>
  <si>
    <t xml:space="preserve">2017-09-10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</si>
  <si>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</si>
  <si>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</si>
  <si>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</si>
  <si>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</si>
  <si>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</si>
  <si>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2017-09-16</t>
  </si>
  <si>
    <t xml:space="preserve">2017-09-17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</si>
  <si>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</si>
  <si>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</si>
  <si>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</si>
  <si>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</si>
  <si>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</si>
  <si>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2017-09-23</t>
  </si>
  <si>
    <t xml:space="preserve">2017-09-24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</si>
  <si>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</si>
  <si>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</si>
  <si>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</si>
  <si>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</si>
  <si>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</si>
  <si>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</si>
  <si>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2017-10-01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</si>
  <si>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</si>
  <si>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</si>
  <si>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</si>
  <si>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</si>
  <si>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</si>
  <si>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</si>
  <si>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</si>
  <si>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</si>
  <si>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</si>
  <si>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</si>
  <si>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</si>
  <si>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</si>
  <si>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</si>
  <si>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</si>
  <si>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</si>
  <si>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</si>
  <si>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</si>
  <si>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</si>
  <si>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</si>
  <si>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</si>
  <si>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</si>
  <si>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</si>
  <si>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</si>
  <si>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</si>
  <si>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</si>
  <si>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</si>
  <si>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</si>
  <si>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2017-10-29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</si>
  <si>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</si>
  <si>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</si>
  <si>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</si>
  <si>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</si>
  <si>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</si>
  <si>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2017-11-04</t>
  </si>
  <si>
    <t xml:space="preserve">2017-11-05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</si>
  <si>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</si>
  <si>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</si>
  <si>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</si>
  <si>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</si>
  <si>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</si>
  <si>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2017-11-11</t>
  </si>
  <si>
    <t xml:space="preserve">2017-11-12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</si>
  <si>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</si>
  <si>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</si>
  <si>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</si>
  <si>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</si>
  <si>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</si>
  <si>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</si>
  <si>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</si>
  <si>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</si>
  <si>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</si>
  <si>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</si>
  <si>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</si>
  <si>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</si>
  <si>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2017-11-25</t>
  </si>
  <si>
    <t xml:space="preserve">2017-11-26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</si>
  <si>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</si>
  <si>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</si>
  <si>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</si>
  <si>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</si>
  <si>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</si>
  <si>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2017-12-02</t>
  </si>
  <si>
    <t xml:space="preserve">2017-12-03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</si>
  <si>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</si>
  <si>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</si>
  <si>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</si>
  <si>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</si>
  <si>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</si>
  <si>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2017-12-09</t>
  </si>
  <si>
    <t xml:space="preserve">2017-12-10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</si>
  <si>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</si>
  <si>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</si>
  <si>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</si>
  <si>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</si>
  <si>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</si>
  <si>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</si>
  <si>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</si>
  <si>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</si>
  <si>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</si>
  <si>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</si>
  <si>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</si>
  <si>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</si>
  <si>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</si>
  <si>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</si>
  <si>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</si>
  <si>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</si>
  <si>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</si>
  <si>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</si>
  <si>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</si>
  <si>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</si>
  <si>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</si>
  <si>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</si>
  <si>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</si>
  <si>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</si>
  <si>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</si>
  <si>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</si>
  <si>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</si>
  <si>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</si>
  <si>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</si>
  <si>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</si>
  <si>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</si>
  <si>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</si>
  <si>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</si>
  <si>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</si>
  <si>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</si>
  <si>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</si>
  <si>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</si>
  <si>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</si>
  <si>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</si>
  <si>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</si>
  <si>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</si>
  <si>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</si>
  <si>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</si>
  <si>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</si>
  <si>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</si>
  <si>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</si>
  <si>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</si>
  <si>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</si>
  <si>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</si>
  <si>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</si>
  <si>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</si>
  <si>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</si>
  <si>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</si>
  <si>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</si>
  <si>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</si>
  <si>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</si>
  <si>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</si>
  <si>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</si>
  <si>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</si>
  <si>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</si>
  <si>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</si>
  <si>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</si>
  <si>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</si>
  <si>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</si>
  <si>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</si>
  <si>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</si>
  <si>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</si>
  <si>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</si>
  <si>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</si>
  <si>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</si>
  <si>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</si>
  <si>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</si>
  <si>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</si>
  <si>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</si>
  <si>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</si>
  <si>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</si>
  <si>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</si>
  <si>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</si>
  <si>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</si>
  <si>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</si>
  <si>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</si>
  <si>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</si>
  <si>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</si>
  <si>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</si>
  <si>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</si>
  <si>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</si>
  <si>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</si>
  <si>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</si>
  <si>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</si>
  <si>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</si>
  <si>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</si>
  <si>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</si>
  <si>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</si>
  <si>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</si>
  <si>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</si>
  <si>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</si>
  <si>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</si>
  <si>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</si>
  <si>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</si>
  <si>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</si>
  <si>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</si>
  <si>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</si>
  <si>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</si>
  <si>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</si>
  <si>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</si>
  <si>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</si>
  <si>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</si>
  <si>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</si>
  <si>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</si>
  <si>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</si>
  <si>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</si>
  <si>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</si>
  <si>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</si>
  <si>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</si>
  <si>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</si>
  <si>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</si>
  <si>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</si>
  <si>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</si>
  <si>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</si>
  <si>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</si>
  <si>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</si>
  <si>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</si>
  <si>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</si>
  <si>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</si>
  <si>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</si>
  <si>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</si>
  <si>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</si>
  <si>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</si>
  <si>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</si>
  <si>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</si>
  <si>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</si>
  <si>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</si>
  <si>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</si>
  <si>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</si>
  <si>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</si>
  <si>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</si>
  <si>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</si>
  <si>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</si>
  <si>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</si>
  <si>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</si>
  <si>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</si>
  <si>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</si>
  <si>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</si>
  <si>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</si>
  <si>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</si>
  <si>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</si>
  <si>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</si>
  <si>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</si>
  <si>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</si>
  <si>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</si>
  <si>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</si>
  <si>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</si>
  <si>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</si>
  <si>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</si>
  <si>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</si>
  <si>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</si>
  <si>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</si>
  <si>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</si>
  <si>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</si>
  <si>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</si>
  <si>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</si>
  <si>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</si>
  <si>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</si>
  <si>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</si>
  <si>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</si>
  <si>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</si>
  <si>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</si>
  <si>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</si>
  <si>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</si>
  <si>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</si>
  <si>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</si>
  <si>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</si>
  <si>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</si>
  <si>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</si>
  <si>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</si>
  <si>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</si>
  <si>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</si>
  <si>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</si>
  <si>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</si>
  <si>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</si>
  <si>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</si>
  <si>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</si>
  <si>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</si>
  <si>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</si>
  <si>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</si>
  <si>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</si>
  <si>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</si>
  <si>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</si>
  <si>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</si>
  <si>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</si>
  <si>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</si>
  <si>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</si>
  <si>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</si>
  <si>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</si>
  <si>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</si>
  <si>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</si>
  <si>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</si>
  <si>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</si>
  <si>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</si>
  <si>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</si>
  <si>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</si>
  <si>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</si>
  <si>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</si>
  <si>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</si>
  <si>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</si>
  <si>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</si>
  <si>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</si>
  <si>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</si>
  <si>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</si>
  <si>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</si>
  <si>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</si>
  <si>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</si>
  <si>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</si>
  <si>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</si>
  <si>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</si>
  <si>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</si>
  <si>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</si>
  <si>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</si>
  <si>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</si>
  <si>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</si>
  <si>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</si>
  <si>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</si>
  <si>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</si>
  <si>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</si>
  <si>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</si>
  <si>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</si>
  <si>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</si>
  <si>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</si>
  <si>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</si>
  <si>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</si>
  <si>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</si>
  <si>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</si>
  <si>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</si>
  <si>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</si>
  <si>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</si>
  <si>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</si>
  <si>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</si>
  <si>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</si>
  <si>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</si>
  <si>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</si>
  <si>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</si>
  <si>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</si>
  <si>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</si>
  <si>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</si>
  <si>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</si>
  <si>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</si>
  <si>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</si>
  <si>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</si>
  <si>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</si>
  <si>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</si>
  <si>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</si>
  <si>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</si>
  <si>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</si>
  <si>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</si>
  <si>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</si>
  <si>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</si>
  <si>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</si>
  <si>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</si>
  <si>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</si>
  <si>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</si>
  <si>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</si>
  <si>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</si>
  <si>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</si>
  <si>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</si>
  <si>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</si>
  <si>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</si>
  <si>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</si>
  <si>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</si>
  <si>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</si>
  <si>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</si>
  <si>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</si>
  <si>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</si>
  <si>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</si>
  <si>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</si>
  <si>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</si>
  <si>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</si>
  <si>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</si>
  <si>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</si>
  <si>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</si>
  <si>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</si>
  <si>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</si>
  <si>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</si>
  <si>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</si>
  <si>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</si>
  <si>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</si>
  <si>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</si>
  <si>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</si>
  <si>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</si>
  <si>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</si>
  <si>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</si>
  <si>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</si>
  <si>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</si>
  <si>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</si>
  <si>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</si>
  <si>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</si>
  <si>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</si>
  <si>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</si>
  <si>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</si>
  <si>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</si>
  <si>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</si>
  <si>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</si>
  <si>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</si>
  <si>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</si>
  <si>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</si>
  <si>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</si>
  <si>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</si>
  <si>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</si>
  <si>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</si>
  <si>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</si>
  <si>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</si>
  <si>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</si>
  <si>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</si>
  <si>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</si>
  <si>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</si>
  <si>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</si>
  <si>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</si>
  <si>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</si>
  <si>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</si>
  <si>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</si>
  <si>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</si>
  <si>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</si>
  <si>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</si>
  <si>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</si>
  <si>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</si>
  <si>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</si>
  <si>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</si>
  <si>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</si>
  <si>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</si>
  <si>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</si>
  <si>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</si>
  <si>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</si>
  <si>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</si>
  <si>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</si>
  <si>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</si>
  <si>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</si>
  <si>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</si>
  <si>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</si>
  <si>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</si>
  <si>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</si>
  <si>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</si>
  <si>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</si>
  <si>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</si>
  <si>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</si>
  <si>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</si>
  <si>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</si>
  <si>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</si>
  <si>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</si>
  <si>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</si>
  <si>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</si>
  <si>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</si>
  <si>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</si>
  <si>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</si>
  <si>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</si>
  <si>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</si>
  <si>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</si>
  <si>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</si>
  <si>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</si>
  <si>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</si>
  <si>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</si>
  <si>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</si>
  <si>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</si>
  <si>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</si>
  <si>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</si>
  <si>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</si>
  <si>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</si>
  <si>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</si>
  <si>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</si>
  <si>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</si>
  <si>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</si>
  <si>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</si>
  <si>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</si>
  <si>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</si>
  <si>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</si>
  <si>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</si>
  <si>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</si>
  <si>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</si>
  <si>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</si>
  <si>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</si>
  <si>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</si>
  <si>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</si>
  <si>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</si>
  <si>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</si>
  <si>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</si>
  <si>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</si>
  <si>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</si>
  <si>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</si>
  <si>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</si>
  <si>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</si>
  <si>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</si>
  <si>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</si>
  <si>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</si>
  <si>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</si>
  <si>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</si>
  <si>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</si>
  <si>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</si>
  <si>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</si>
  <si>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</si>
  <si>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</si>
  <si>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2019-01-13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</si>
  <si>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</si>
  <si>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</si>
  <si>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</si>
  <si>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</si>
  <si>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</si>
  <si>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</si>
  <si>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</si>
  <si>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</si>
  <si>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</si>
  <si>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</si>
  <si>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</si>
  <si>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</si>
  <si>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</si>
  <si>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</si>
  <si>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</si>
  <si>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</si>
  <si>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</si>
  <si>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</si>
  <si>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</si>
  <si>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</si>
  <si>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</si>
  <si>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</si>
  <si>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</si>
  <si>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</si>
  <si>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</si>
  <si>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</si>
  <si>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</si>
  <si>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</si>
  <si>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</si>
  <si>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</si>
  <si>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</si>
  <si>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</si>
  <si>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</si>
  <si>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</si>
  <si>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</si>
  <si>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</si>
  <si>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</si>
  <si>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</si>
  <si>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</si>
  <si>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</si>
  <si>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</si>
  <si>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</si>
  <si>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</si>
  <si>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</si>
  <si>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</si>
  <si>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</si>
  <si>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</si>
  <si>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</si>
  <si>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</si>
  <si>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</si>
  <si>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</si>
  <si>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</si>
  <si>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</si>
  <si>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</si>
  <si>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</si>
  <si>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</si>
  <si>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</si>
  <si>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</si>
  <si>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</si>
  <si>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</si>
  <si>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</si>
  <si>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</si>
  <si>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</si>
  <si>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</si>
  <si>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</si>
  <si>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</si>
  <si>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</si>
  <si>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</si>
  <si>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</si>
  <si>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</si>
  <si>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</si>
  <si>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</si>
  <si>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</si>
  <si>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</si>
  <si>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</si>
  <si>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</si>
  <si>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</si>
  <si>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</si>
  <si>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</si>
  <si>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</si>
  <si>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</si>
  <si>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</si>
  <si>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</si>
  <si>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</si>
  <si>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</si>
  <si>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</si>
  <si>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</si>
  <si>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</si>
  <si>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</si>
  <si>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</si>
  <si>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</si>
  <si>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</si>
  <si>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</si>
  <si>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</si>
  <si>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</si>
  <si>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</si>
  <si>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</si>
  <si>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</si>
  <si>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</si>
  <si>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</si>
  <si>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</si>
  <si>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</si>
  <si>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</si>
  <si>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</si>
  <si>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</si>
  <si>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</si>
  <si>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</si>
  <si>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</si>
  <si>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</si>
  <si>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</si>
  <si>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</si>
  <si>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</si>
  <si>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</si>
  <si>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</si>
  <si>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</si>
  <si>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</si>
  <si>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</si>
  <si>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</si>
  <si>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</si>
  <si>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</si>
  <si>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</si>
  <si>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</si>
  <si>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</si>
  <si>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</si>
  <si>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</si>
  <si>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</si>
  <si>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</si>
  <si>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</si>
  <si>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</si>
  <si>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</si>
  <si>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</si>
  <si>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</si>
  <si>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</si>
  <si>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</si>
  <si>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</si>
  <si>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</si>
  <si>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</si>
  <si>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</si>
  <si>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</si>
  <si>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</si>
  <si>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</si>
  <si>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</si>
  <si>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</si>
  <si>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</si>
  <si>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</si>
  <si>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</si>
  <si>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</si>
  <si>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</si>
  <si>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</si>
  <si>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</si>
  <si>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</si>
  <si>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</si>
  <si>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</si>
  <si>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</si>
  <si>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</si>
  <si>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</si>
  <si>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</si>
  <si>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</si>
  <si>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</si>
  <si>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</si>
  <si>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</si>
  <si>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</si>
  <si>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</si>
  <si>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</si>
  <si>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</si>
  <si>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</si>
  <si>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</si>
  <si>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</si>
  <si>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</si>
  <si>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</si>
  <si>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</si>
  <si>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</si>
  <si>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</si>
  <si>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</si>
  <si>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</si>
  <si>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</si>
  <si>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</si>
  <si>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</si>
  <si>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</si>
  <si>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</si>
  <si>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</si>
  <si>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</si>
  <si>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</si>
  <si>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</si>
  <si>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</si>
  <si>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</si>
  <si>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</si>
  <si>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</si>
  <si>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</si>
  <si>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</si>
  <si>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</si>
  <si>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</si>
  <si>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</si>
  <si>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</si>
  <si>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</si>
  <si>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</si>
  <si>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</si>
  <si>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</si>
  <si>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</si>
  <si>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</si>
  <si>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</si>
  <si>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</si>
  <si>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</si>
  <si>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</si>
  <si>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</si>
  <si>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</si>
  <si>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</si>
  <si>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</si>
  <si>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</si>
  <si>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</si>
  <si>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</si>
  <si>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</si>
  <si>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</si>
  <si>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</si>
  <si>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</si>
  <si>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</si>
  <si>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</si>
  <si>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</si>
  <si>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</si>
  <si>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</si>
  <si>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</si>
  <si>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</si>
  <si>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</si>
  <si>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</si>
  <si>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</si>
  <si>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</si>
  <si>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</si>
  <si>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</si>
  <si>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</si>
  <si>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</si>
  <si>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</si>
  <si>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</si>
  <si>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</si>
  <si>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</si>
  <si>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</si>
  <si>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</si>
  <si>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</si>
  <si>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</si>
  <si>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</si>
  <si>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</si>
  <si>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</si>
  <si>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</si>
  <si>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</si>
  <si>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</si>
  <si>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</si>
  <si>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</si>
  <si>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</si>
  <si>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</si>
  <si>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</si>
  <si>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</si>
  <si>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</si>
  <si>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</si>
  <si>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</si>
  <si>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</si>
  <si>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</si>
  <si>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</si>
  <si>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</si>
  <si>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</si>
  <si>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</si>
  <si>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</si>
  <si>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</si>
  <si>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</si>
  <si>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</si>
  <si>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</si>
  <si>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</si>
  <si>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</si>
  <si>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</si>
  <si>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</si>
  <si>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</si>
  <si>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</si>
  <si>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</si>
  <si>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</si>
  <si>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</si>
  <si>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</si>
  <si>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</si>
  <si>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</si>
  <si>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</si>
  <si>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</si>
  <si>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</si>
  <si>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</si>
  <si>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</si>
  <si>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</si>
  <si>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</si>
  <si>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</si>
  <si>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</si>
  <si>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</si>
  <si>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</si>
  <si>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</si>
  <si>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</si>
  <si>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</si>
  <si>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</si>
  <si>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</si>
  <si>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</si>
  <si>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</si>
  <si>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</si>
  <si>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</si>
  <si>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</si>
  <si>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</si>
  <si>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</si>
  <si>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</si>
  <si>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</si>
  <si>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</si>
  <si>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</si>
  <si>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</si>
  <si>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</si>
  <si>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</si>
  <si>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</si>
  <si>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</si>
  <si>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</si>
  <si>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</si>
  <si>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</si>
  <si>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</si>
  <si>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</si>
  <si>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</si>
  <si>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</si>
  <si>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</si>
  <si>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</si>
  <si>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</si>
  <si>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</si>
  <si>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</si>
  <si>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</si>
  <si>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2019-12-01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</si>
  <si>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</si>
  <si>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</si>
  <si>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</si>
  <si>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</si>
  <si>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</si>
  <si>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</si>
  <si>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</si>
  <si>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</si>
  <si>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</si>
  <si>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</si>
  <si>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</si>
  <si>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</si>
  <si>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</si>
  <si>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</si>
  <si>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</si>
  <si>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</si>
  <si>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</si>
  <si>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</si>
  <si>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</si>
  <si>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</si>
  <si>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</si>
  <si>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</si>
  <si>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</si>
  <si>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</si>
  <si>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</si>
  <si>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</si>
  <si>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</si>
  <si>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</si>
  <si>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</si>
  <si>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</si>
  <si>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</si>
  <si>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</si>
  <si>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</si>
  <si>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</si>
  <si>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</si>
  <si>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</si>
  <si>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</si>
  <si>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</si>
  <si>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</si>
  <si>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</si>
  <si>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</si>
  <si>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</si>
  <si>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</si>
  <si>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</si>
  <si>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</si>
  <si>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</si>
  <si>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</si>
  <si>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</si>
  <si>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</si>
  <si>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</si>
  <si>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</si>
  <si>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</si>
  <si>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</si>
  <si>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</si>
  <si>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</si>
  <si>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</si>
  <si>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</si>
  <si>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</si>
  <si>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</si>
  <si>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</si>
  <si>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</si>
  <si>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</si>
  <si>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</si>
  <si>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</si>
  <si>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</si>
  <si>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</si>
  <si>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</si>
  <si>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</si>
  <si>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</si>
  <si>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</si>
  <si>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</si>
  <si>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</si>
  <si>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</si>
  <si>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</si>
  <si>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</si>
  <si>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</si>
  <si>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</si>
  <si>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</si>
  <si>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</si>
  <si>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</si>
  <si>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</si>
  <si>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</si>
  <si>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</si>
  <si>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</si>
  <si>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</si>
  <si>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</si>
  <si>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</si>
  <si>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</si>
  <si>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</si>
  <si>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</si>
  <si>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</si>
  <si>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</si>
  <si>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</si>
  <si>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</si>
  <si>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</si>
  <si>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</si>
  <si>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</si>
  <si>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</si>
  <si>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</si>
  <si>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</si>
  <si>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</si>
  <si>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</si>
  <si>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</si>
  <si>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</si>
  <si>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</si>
  <si>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</si>
  <si>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</si>
  <si>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</si>
  <si>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</si>
  <si>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</si>
  <si>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</si>
  <si>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</si>
  <si>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</si>
  <si>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</si>
  <si>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</si>
  <si>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</si>
  <si>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</si>
  <si>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</si>
  <si>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</si>
  <si>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</si>
  <si>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</si>
  <si>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</si>
  <si>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</si>
  <si>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</si>
  <si>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</si>
  <si>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</si>
  <si>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</si>
  <si>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</si>
  <si>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</si>
  <si>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</si>
  <si>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</si>
  <si>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</si>
  <si>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</si>
  <si>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</si>
  <si>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</si>
  <si>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</si>
  <si>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</si>
  <si>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</si>
  <si>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</si>
  <si>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</si>
  <si>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</si>
  <si>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</si>
  <si>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</si>
  <si>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</si>
  <si>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</si>
  <si>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</si>
  <si>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</si>
  <si>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</si>
  <si>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</si>
  <si>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</si>
  <si>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</si>
  <si>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</si>
  <si>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</si>
  <si>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</si>
  <si>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</si>
  <si>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</si>
  <si>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</si>
  <si>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</si>
  <si>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</si>
  <si>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</si>
  <si>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</si>
  <si>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</si>
  <si>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</si>
  <si>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</si>
  <si>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</si>
  <si>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</si>
  <si>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</si>
  <si>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</si>
  <si>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</si>
  <si>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</si>
  <si>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</si>
  <si>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</si>
  <si>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</si>
  <si>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</si>
  <si>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</si>
  <si>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</si>
  <si>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</si>
  <si>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</si>
  <si>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</si>
  <si>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</si>
  <si>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</si>
  <si>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</si>
  <si>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</si>
  <si>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</si>
  <si>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</si>
  <si>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</si>
  <si>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</si>
  <si>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</si>
  <si>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</si>
  <si>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</si>
  <si>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</si>
  <si>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</si>
  <si>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</si>
  <si>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</si>
  <si>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</si>
  <si>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</si>
  <si>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</si>
  <si>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</si>
  <si>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</si>
  <si>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</si>
  <si>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</si>
  <si>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</si>
  <si>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</si>
  <si>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</si>
  <si>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</si>
  <si>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</si>
  <si>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</si>
  <si>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</si>
  <si>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</si>
  <si>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</si>
  <si>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</si>
  <si>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</si>
  <si>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</si>
  <si>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</si>
  <si>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</si>
  <si>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</si>
  <si>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</si>
  <si>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</si>
  <si>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</si>
  <si>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</si>
  <si>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</si>
  <si>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</si>
  <si>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</si>
  <si>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</si>
  <si>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</si>
  <si>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</si>
  <si>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</si>
  <si>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</si>
  <si>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</si>
  <si>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</si>
  <si>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</si>
  <si>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</si>
  <si>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</si>
  <si>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</si>
  <si>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</si>
  <si>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</si>
  <si>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</si>
  <si>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</si>
  <si>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</si>
  <si>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</si>
  <si>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</si>
  <si>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</si>
  <si>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</si>
  <si>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</si>
  <si>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</si>
  <si>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</si>
  <si>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</si>
  <si>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</si>
  <si>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</si>
  <si>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</si>
  <si>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</si>
  <si>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</si>
  <si>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</si>
  <si>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</si>
  <si>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</si>
  <si>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</si>
  <si>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</si>
  <si>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</si>
  <si>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</si>
  <si>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</si>
  <si>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</si>
  <si>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</si>
  <si>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</si>
  <si>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</si>
  <si>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</si>
  <si>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</si>
  <si>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</si>
  <si>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</si>
  <si>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</si>
  <si>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</si>
  <si>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</si>
  <si>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</si>
  <si>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</si>
  <si>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</si>
  <si>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</si>
  <si>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</si>
  <si>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</si>
  <si>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</si>
  <si>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</si>
  <si>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</si>
  <si>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</si>
  <si>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</si>
  <si>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</si>
  <si>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</si>
  <si>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</si>
  <si>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</si>
  <si>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</si>
  <si>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</si>
  <si>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</si>
  <si>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</si>
  <si>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</si>
  <si>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</si>
  <si>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</si>
  <si>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</si>
  <si>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</si>
  <si>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</si>
  <si>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</si>
  <si>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</si>
  <si>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</si>
  <si>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</si>
  <si>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</si>
  <si>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</si>
  <si>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</si>
  <si>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</si>
  <si>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</si>
  <si>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</si>
  <si>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</si>
  <si>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</si>
  <si>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</si>
  <si>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</si>
  <si>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</si>
  <si>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</si>
  <si>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</si>
  <si>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</si>
  <si>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</si>
  <si>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</si>
  <si>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</si>
  <si>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</si>
  <si>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</si>
  <si>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</si>
  <si>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</si>
  <si>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</si>
  <si>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</si>
  <si>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</si>
  <si>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</si>
  <si>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</si>
  <si>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</si>
  <si>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</si>
  <si>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</si>
  <si>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</si>
  <si>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</si>
  <si>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</si>
  <si>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</si>
  <si>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</si>
  <si>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</si>
  <si>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</si>
  <si>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</si>
  <si>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</si>
  <si>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</si>
  <si>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</si>
  <si>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</si>
  <si>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</si>
  <si>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</si>
  <si>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</si>
  <si>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</si>
  <si>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</si>
  <si>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</si>
  <si>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</si>
  <si>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</si>
  <si>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</si>
  <si>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</si>
  <si>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</si>
  <si>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</si>
  <si>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</si>
  <si>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</si>
  <si>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</si>
  <si>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</si>
  <si>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</si>
  <si>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</si>
  <si>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</si>
  <si>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</si>
  <si>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</si>
  <si>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</si>
  <si>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</si>
  <si>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</si>
  <si>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</si>
  <si>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</si>
  <si>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</si>
  <si>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</si>
  <si>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</si>
  <si>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</si>
  <si>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</si>
  <si>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</si>
  <si>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</si>
  <si>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</si>
  <si>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</si>
  <si>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</si>
  <si>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</si>
  <si>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</si>
  <si>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</si>
  <si>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</si>
  <si>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</si>
  <si>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</si>
  <si>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</si>
  <si>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</si>
  <si>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</si>
  <si>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</si>
  <si>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</si>
  <si>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</si>
  <si>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</si>
  <si>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</si>
  <si>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</si>
  <si>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</si>
  <si>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</si>
  <si>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</si>
  <si>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</si>
  <si>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</si>
  <si>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</si>
  <si>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</si>
  <si>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</si>
  <si>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</si>
  <si>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</si>
  <si>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</si>
  <si>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</si>
  <si>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</si>
  <si>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</si>
  <si>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</si>
  <si>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</si>
  <si>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</si>
  <si>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</si>
  <si>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</si>
  <si>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</si>
  <si>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</si>
  <si>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</si>
  <si>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</si>
  <si>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</si>
  <si>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</si>
  <si>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</si>
  <si>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</si>
  <si>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</si>
  <si>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</si>
  <si>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</si>
  <si>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</si>
  <si>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</si>
  <si>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</si>
  <si>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</si>
  <si>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</si>
  <si>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</si>
  <si>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</si>
  <si>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</si>
  <si>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</si>
  <si>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</si>
  <si>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</si>
  <si>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</si>
  <si>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</si>
  <si>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</si>
  <si>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</si>
  <si>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</si>
  <si>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</si>
  <si>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</si>
  <si>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</si>
  <si>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</si>
  <si>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</si>
  <si>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</si>
  <si>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</si>
  <si>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</si>
  <si>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</si>
  <si>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</si>
  <si>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</si>
  <si>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</si>
  <si>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</si>
  <si>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</si>
  <si>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</si>
  <si>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</si>
  <si>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</si>
  <si>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</si>
  <si>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</si>
  <si>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</si>
  <si>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</si>
  <si>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</si>
  <si>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</si>
  <si>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</si>
  <si>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</si>
  <si>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</si>
  <si>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</si>
  <si>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</si>
  <si>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</si>
  <si>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</si>
  <si>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</si>
  <si>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</si>
  <si>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</si>
  <si>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</si>
  <si>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</si>
  <si>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</si>
  <si>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</si>
  <si>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</si>
  <si>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</si>
  <si>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</si>
  <si>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</si>
  <si>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</si>
  <si>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</si>
  <si>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</si>
  <si>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</si>
  <si>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</si>
  <si>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</si>
  <si>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</si>
  <si>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</si>
  <si>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</si>
  <si>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</si>
  <si>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</si>
  <si>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</si>
  <si>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</si>
  <si>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</si>
  <si>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</si>
  <si>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</si>
  <si>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</si>
  <si>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</si>
  <si>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</si>
  <si>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</si>
  <si>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</si>
  <si>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</si>
  <si>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</si>
  <si>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</si>
  <si>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</si>
  <si>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</si>
  <si>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</si>
  <si>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</si>
  <si>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</si>
  <si>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</si>
  <si>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</si>
  <si>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</si>
  <si>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</si>
  <si>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</si>
  <si>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</si>
  <si>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</si>
  <si>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</si>
  <si>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</si>
  <si>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</si>
  <si>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</si>
  <si>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</si>
  <si>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</si>
  <si>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</si>
  <si>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</si>
  <si>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</si>
  <si>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</si>
  <si>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</si>
  <si>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</si>
  <si>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</si>
  <si>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</si>
  <si>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</si>
  <si>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</si>
  <si>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</si>
  <si>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</si>
  <si>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</si>
  <si>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</si>
  <si>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</si>
  <si>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</si>
  <si>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</si>
  <si>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</si>
  <si>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</si>
  <si>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</si>
  <si>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</si>
  <si>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</si>
  <si>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</si>
  <si>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</si>
  <si>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</si>
  <si>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</si>
  <si>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</si>
  <si>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</si>
  <si>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</si>
  <si>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</si>
  <si>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</si>
  <si>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</si>
  <si>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</si>
  <si>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</si>
  <si>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</si>
  <si>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</si>
  <si>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</si>
  <si>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</si>
  <si>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</si>
  <si>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</si>
  <si>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</si>
  <si>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</si>
  <si>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</si>
  <si>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</si>
  <si>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</si>
  <si>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</si>
  <si>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</si>
  <si>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</si>
  <si>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</si>
  <si>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</si>
  <si>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</si>
  <si>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</si>
  <si>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</si>
  <si>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</si>
  <si>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</si>
  <si>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</si>
  <si>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</si>
  <si>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</si>
  <si>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</si>
  <si>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</si>
  <si>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</si>
  <si>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</si>
  <si>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</si>
  <si>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</si>
  <si>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</si>
  <si>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</si>
  <si>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</si>
  <si>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</si>
  <si>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</si>
  <si>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</si>
  <si>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</si>
  <si>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</si>
  <si>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</si>
  <si>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</si>
  <si>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</si>
  <si>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</si>
  <si>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</si>
  <si>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</si>
  <si>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</si>
  <si>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</si>
  <si>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</si>
  <si>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</si>
  <si>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</si>
  <si>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</si>
  <si>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</si>
  <si>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</si>
  <si>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</si>
  <si>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</si>
  <si>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</si>
  <si>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</si>
  <si>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</si>
  <si>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</si>
  <si>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</si>
  <si>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</si>
  <si>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</si>
  <si>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</si>
  <si>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</si>
  <si>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</si>
  <si>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</si>
  <si>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</si>
  <si>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</si>
  <si>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</si>
  <si>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</si>
  <si>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</si>
  <si>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</si>
  <si>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</si>
  <si>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</si>
  <si>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</si>
  <si>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</si>
  <si>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</si>
  <si>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</si>
  <si>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</si>
  <si>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</si>
  <si>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</si>
  <si>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</si>
  <si>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</si>
  <si>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</si>
  <si>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</si>
  <si>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</si>
  <si>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</si>
  <si>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</si>
  <si>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</si>
  <si>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</si>
  <si>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</si>
  <si>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</si>
  <si>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</si>
  <si>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</si>
  <si>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</si>
  <si>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</si>
  <si>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</si>
  <si>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</si>
  <si>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</si>
  <si>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</si>
  <si>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</si>
  <si>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</si>
  <si>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</si>
  <si>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</si>
  <si>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</si>
  <si>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</si>
  <si>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</si>
  <si>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</si>
  <si>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</si>
  <si>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</si>
  <si>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</si>
  <si>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</si>
  <si>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</si>
  <si>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</si>
  <si>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</si>
  <si>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</si>
  <si>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</si>
  <si>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</si>
  <si>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</si>
  <si>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</si>
  <si>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</si>
  <si>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</si>
  <si>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</si>
  <si>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</si>
  <si>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</si>
  <si>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</si>
  <si>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</si>
  <si>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</si>
  <si>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</si>
  <si>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</si>
  <si>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</si>
  <si>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</si>
  <si>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</si>
  <si>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</si>
  <si>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</si>
  <si>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</si>
  <si>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</si>
  <si>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</si>
  <si>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</si>
  <si>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</si>
  <si>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</si>
  <si>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</si>
  <si>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</si>
  <si>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</si>
  <si>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</si>
  <si>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</si>
  <si>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</si>
  <si>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</si>
  <si>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</si>
  <si>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</si>
  <si>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</si>
  <si>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</si>
  <si>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</si>
  <si>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</si>
  <si>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</si>
  <si>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</si>
  <si>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</si>
  <si>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</si>
  <si>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</si>
  <si>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</si>
  <si>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</si>
  <si>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</si>
  <si>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</si>
  <si>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</si>
  <si>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</si>
  <si>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</si>
  <si>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</si>
  <si>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</si>
  <si>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</si>
  <si>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</si>
  <si>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</si>
  <si>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</si>
  <si>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</si>
  <si>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</si>
  <si>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</si>
  <si>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</si>
  <si>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</si>
  <si>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</si>
  <si>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</si>
  <si>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</si>
  <si>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</si>
  <si>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</si>
  <si>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</si>
  <si>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</si>
  <si>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</si>
  <si>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</si>
  <si>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</si>
  <si>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</si>
  <si>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</si>
  <si>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</si>
  <si>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</si>
  <si>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</si>
  <si>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</si>
  <si>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</si>
  <si>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</si>
  <si>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</si>
  <si>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</si>
  <si>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</si>
  <si>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</si>
  <si>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</si>
  <si>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</si>
  <si>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</si>
  <si>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</si>
  <si>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</si>
  <si>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</si>
  <si>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</si>
  <si>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</si>
  <si>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2022-01-01</t>
  </si>
  <si>
    <t xml:space="preserve">2022-01-02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</si>
  <si>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</si>
  <si>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</si>
  <si>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</si>
  <si>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</si>
  <si>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</si>
  <si>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</si>
  <si>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</si>
  <si>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</si>
  <si>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</si>
  <si>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</si>
  <si>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</si>
  <si>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</si>
  <si>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</si>
  <si>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</si>
  <si>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</si>
  <si>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</si>
  <si>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</si>
  <si>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</si>
  <si>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</si>
  <si>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</si>
  <si>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</si>
  <si>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</si>
  <si>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</si>
  <si>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</si>
  <si>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</si>
  <si>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</si>
  <si>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</si>
  <si>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</si>
  <si>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</si>
  <si>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</si>
  <si>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</si>
  <si>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</si>
  <si>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</si>
  <si>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</si>
  <si>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</si>
  <si>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</si>
  <si>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</si>
  <si>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</si>
  <si>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</si>
  <si>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</si>
  <si>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</si>
  <si>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</si>
  <si>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</si>
  <si>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</si>
  <si>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</si>
  <si>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</si>
  <si>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</si>
  <si>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</si>
  <si>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</si>
  <si>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</si>
  <si>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</si>
  <si>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</si>
  <si>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</si>
  <si>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</si>
  <si>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</si>
  <si>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</si>
  <si>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</si>
  <si>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</si>
  <si>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</si>
  <si>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</si>
  <si>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</si>
  <si>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</si>
  <si>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</si>
  <si>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</si>
  <si>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</si>
  <si>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</si>
  <si>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</si>
  <si>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</si>
  <si>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</si>
  <si>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</si>
  <si>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</si>
  <si>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</si>
  <si>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</si>
  <si>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</si>
  <si>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</si>
  <si>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</si>
  <si>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</si>
  <si>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</si>
  <si>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</si>
  <si>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</si>
  <si>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</si>
  <si>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</si>
  <si>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</si>
  <si>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</si>
  <si>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</si>
  <si>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</si>
  <si>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</si>
  <si>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</si>
  <si>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</si>
  <si>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</si>
  <si>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</si>
  <si>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</si>
  <si>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</si>
  <si>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</si>
  <si>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</si>
  <si>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</si>
  <si>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</si>
  <si>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</si>
  <si>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</si>
  <si>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</si>
  <si>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</si>
  <si>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</si>
  <si>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</si>
  <si>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</si>
  <si>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</si>
  <si>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</si>
  <si>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</si>
  <si>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</si>
  <si>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</si>
  <si>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</si>
  <si>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</si>
  <si>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</si>
  <si>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</si>
  <si>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</si>
  <si>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</si>
  <si>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</si>
  <si>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</si>
  <si>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</si>
  <si>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</si>
  <si>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</si>
  <si>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</si>
  <si>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</si>
  <si>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</si>
  <si>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</si>
  <si>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</si>
  <si>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</si>
  <si>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</si>
  <si>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</si>
  <si>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</si>
  <si>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</si>
  <si>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</si>
  <si>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</si>
  <si>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</si>
  <si>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</si>
  <si>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</si>
  <si>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</si>
  <si>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</si>
  <si>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</si>
  <si>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</si>
  <si>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</si>
  <si>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</si>
  <si>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</si>
  <si>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</si>
  <si>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</si>
  <si>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</si>
  <si>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</si>
  <si>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</si>
  <si>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</si>
  <si>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</si>
  <si>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</si>
  <si>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</si>
  <si>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</si>
  <si>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</si>
  <si>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</si>
  <si>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</si>
  <si>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</si>
  <si>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</si>
  <si>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</si>
  <si>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</si>
  <si>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</si>
  <si>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</si>
  <si>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</si>
  <si>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</si>
  <si>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</si>
  <si>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</si>
  <si>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</si>
  <si>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</si>
  <si>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</si>
  <si>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</si>
  <si>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</si>
  <si>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</si>
  <si>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</si>
  <si>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</si>
  <si>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</si>
  <si>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</si>
  <si>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</si>
  <si>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</si>
  <si>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</si>
  <si>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</si>
  <si>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</si>
  <si>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</si>
  <si>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</si>
  <si>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</si>
  <si>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</si>
  <si>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</si>
  <si>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</si>
  <si>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</si>
  <si>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</si>
  <si>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</si>
  <si>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</si>
  <si>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</si>
  <si>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</si>
  <si>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</si>
  <si>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</si>
  <si>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</si>
  <si>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</si>
  <si>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</si>
  <si>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</si>
  <si>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</si>
  <si>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</si>
  <si>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</si>
  <si>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</si>
  <si>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</si>
  <si>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</si>
  <si>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</si>
  <si>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</si>
  <si>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</si>
  <si>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</si>
  <si>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</si>
  <si>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</si>
  <si>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</si>
  <si>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</si>
  <si>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</si>
  <si>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</si>
  <si>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</si>
  <si>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</si>
  <si>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</si>
  <si>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</si>
  <si>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</si>
  <si>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</si>
  <si>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</si>
  <si>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</si>
  <si>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</si>
  <si>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</si>
  <si>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</si>
  <si>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</si>
  <si>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</si>
  <si>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</si>
  <si>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</si>
  <si>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</si>
  <si>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</si>
  <si>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</si>
  <si>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</si>
  <si>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</si>
  <si>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</si>
  <si>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</si>
  <si>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</si>
  <si>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</si>
  <si>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</si>
  <si>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</si>
  <si>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</si>
  <si>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</si>
  <si>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</si>
  <si>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</si>
  <si>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</si>
  <si>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</si>
  <si>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</si>
  <si>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</si>
  <si>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</si>
  <si>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</si>
  <si>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</si>
  <si>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</si>
  <si>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</si>
  <si>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</si>
  <si>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</si>
  <si>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</si>
  <si>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</si>
  <si>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</si>
  <si>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</si>
  <si>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</si>
  <si>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</si>
  <si>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</si>
  <si>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</si>
  <si>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</si>
  <si>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</si>
  <si>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</si>
  <si>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</si>
  <si>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</si>
  <si>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</si>
  <si>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</si>
  <si>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</si>
  <si>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</si>
  <si>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</si>
  <si>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</si>
  <si>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</si>
  <si>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</si>
  <si>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</si>
  <si>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</si>
  <si>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</si>
  <si>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</si>
  <si>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</si>
  <si>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</si>
  <si>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</si>
  <si>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</si>
  <si>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</si>
  <si>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</si>
  <si>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</si>
  <si>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</si>
  <si>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</si>
  <si>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</si>
  <si>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</si>
  <si>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</si>
  <si>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</si>
  <si>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</si>
  <si>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</si>
  <si>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</si>
  <si>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</si>
  <si>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</si>
  <si>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</si>
  <si>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</si>
  <si>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</si>
  <si>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</si>
  <si>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</si>
  <si>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</si>
  <si>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</si>
  <si>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</si>
  <si>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</si>
  <si>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</si>
  <si>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</si>
  <si>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</si>
  <si>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</si>
  <si>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</si>
  <si>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</si>
  <si>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</si>
  <si>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</si>
  <si>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</si>
  <si>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</si>
  <si>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</si>
  <si>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</si>
  <si>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</si>
  <si>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</si>
  <si>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</si>
  <si>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</si>
  <si>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</si>
  <si>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</si>
  <si>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</si>
  <si>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</si>
  <si>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</si>
  <si>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</si>
  <si>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</si>
  <si>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</si>
  <si>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</si>
  <si>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</si>
  <si>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</si>
  <si>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</si>
  <si>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</si>
  <si>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</si>
  <si>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</si>
  <si>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</si>
  <si>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</si>
  <si>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</si>
  <si>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</si>
  <si>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</si>
  <si>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</si>
  <si>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</si>
  <si>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</si>
  <si>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</si>
  <si>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</si>
  <si>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</si>
  <si>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</si>
  <si>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</si>
  <si>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</si>
  <si>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</si>
  <si>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</si>
  <si>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</si>
  <si>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</si>
  <si>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</si>
  <si>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</si>
  <si>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</si>
  <si>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</si>
  <si>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</si>
  <si>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</si>
  <si>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</si>
  <si>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</si>
  <si>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</si>
  <si>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</si>
  <si>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</si>
  <si>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</si>
  <si>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</si>
  <si>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</si>
  <si>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</si>
  <si>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</si>
  <si>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</si>
  <si>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</si>
  <si>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</si>
  <si>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</si>
  <si>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</si>
  <si>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</si>
  <si>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</si>
  <si>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</si>
  <si>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</si>
  <si>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</si>
  <si>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</si>
  <si>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</si>
  <si>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</si>
  <si>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</si>
  <si>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</si>
  <si>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</si>
  <si>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</si>
  <si>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</si>
  <si>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</si>
  <si>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</si>
  <si>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</si>
  <si>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</si>
  <si>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</si>
  <si>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</si>
  <si>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</si>
  <si>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</si>
  <si>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</si>
  <si>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</si>
  <si>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</si>
  <si>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</si>
  <si>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</si>
  <si>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</si>
  <si>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</si>
  <si>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</si>
  <si>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</si>
  <si>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</si>
  <si>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</si>
  <si>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</si>
  <si>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</si>
  <si>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</si>
  <si>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</si>
  <si>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</si>
  <si>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</si>
  <si>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</si>
  <si>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</si>
  <si>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</si>
  <si>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</si>
  <si>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</si>
  <si>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</si>
  <si>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</si>
  <si>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</si>
  <si>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</si>
  <si>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</si>
  <si>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</si>
  <si>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</si>
  <si>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</si>
  <si>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</si>
  <si>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</si>
  <si>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</si>
  <si>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</si>
  <si>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</si>
  <si>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</si>
  <si>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</si>
  <si>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</si>
  <si>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</si>
  <si>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</si>
  <si>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</si>
  <si>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</si>
  <si>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</si>
  <si>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</si>
  <si>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</si>
  <si>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</si>
  <si>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</si>
  <si>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</si>
  <si>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</si>
  <si>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</si>
  <si>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</si>
  <si>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</si>
  <si>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</si>
  <si>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</si>
  <si>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</si>
  <si>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</si>
  <si>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</si>
  <si>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</si>
  <si>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</si>
  <si>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</si>
  <si>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</si>
  <si>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</si>
  <si>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</si>
  <si>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</si>
  <si>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</si>
  <si>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</si>
  <si>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</si>
  <si>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</si>
  <si>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</si>
  <si>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</si>
  <si>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</si>
  <si>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</si>
  <si>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</si>
  <si>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</si>
  <si>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</si>
  <si>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</si>
  <si>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</si>
  <si>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</si>
  <si>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</si>
  <si>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</si>
  <si>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</si>
  <si>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</si>
  <si>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</si>
  <si>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</si>
  <si>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</si>
  <si>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</si>
  <si>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</si>
  <si>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</si>
  <si>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</si>
  <si>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</si>
  <si>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</si>
  <si>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</si>
  <si>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</si>
  <si>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</si>
  <si>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</si>
  <si>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</si>
  <si>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</si>
  <si>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</si>
  <si>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</si>
  <si>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</si>
  <si>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</si>
  <si>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</si>
  <si>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</si>
  <si>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</si>
  <si>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</si>
  <si>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</si>
  <si>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</si>
  <si>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</si>
  <si>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</si>
  <si>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</si>
  <si>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</si>
  <si>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</si>
  <si>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</si>
  <si>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</si>
  <si>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</si>
  <si>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</si>
  <si>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</si>
  <si>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</si>
  <si>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</si>
  <si>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</si>
  <si>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</si>
  <si>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</si>
  <si>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</si>
  <si>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</si>
  <si>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</si>
  <si>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</si>
  <si>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</si>
  <si>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</si>
  <si>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</si>
  <si>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</si>
  <si>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</si>
  <si>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</si>
  <si>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</si>
  <si>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</si>
  <si>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</si>
  <si>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</si>
  <si>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</si>
  <si>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</si>
  <si>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</si>
  <si>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</si>
  <si>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</si>
  <si>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</si>
  <si>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</si>
  <si>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</si>
  <si>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</si>
  <si>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</si>
  <si>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</si>
  <si>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</si>
  <si>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</si>
  <si>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</si>
  <si>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</si>
  <si>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</si>
  <si>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</si>
  <si>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</si>
  <si>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</si>
  <si>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</si>
  <si>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</si>
  <si>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</si>
  <si>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</si>
  <si>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</si>
  <si>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</si>
  <si>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</si>
  <si>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</si>
  <si>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</si>
  <si>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</si>
  <si>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</si>
  <si>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</si>
  <si>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</si>
  <si>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</si>
  <si>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</si>
  <si>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</si>
  <si>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</si>
  <si>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</si>
  <si>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</si>
  <si>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</si>
  <si>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</si>
  <si>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</si>
  <si>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</si>
  <si>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</si>
  <si>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</si>
  <si>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</si>
  <si>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</si>
  <si>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</si>
  <si>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</si>
  <si>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</si>
  <si>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</si>
  <si>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</si>
  <si>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</si>
  <si>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</si>
  <si>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</si>
  <si>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</si>
  <si>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</si>
  <si>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</si>
  <si>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</si>
  <si>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</si>
  <si>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</si>
  <si>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</si>
  <si>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</si>
  <si>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</si>
  <si>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</si>
  <si>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</si>
  <si>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</si>
  <si>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</si>
  <si>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</si>
  <si>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</si>
  <si>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</si>
  <si>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</si>
  <si>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</si>
  <si>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</si>
  <si>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</si>
  <si>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</si>
  <si>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</si>
  <si>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</si>
  <si>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</si>
  <si>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</si>
  <si>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</si>
  <si>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</si>
  <si>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</si>
  <si>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</si>
  <si>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</si>
  <si>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</si>
  <si>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</si>
  <si>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</si>
  <si>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</si>
  <si>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</si>
  <si>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</si>
  <si>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</si>
  <si>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</si>
  <si>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</si>
  <si>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</si>
  <si>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</si>
  <si>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</si>
  <si>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</si>
  <si>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</si>
  <si>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</si>
  <si>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</si>
  <si>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</si>
  <si>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</si>
  <si>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</si>
  <si>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</si>
  <si>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</si>
  <si>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</si>
  <si>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</si>
  <si>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</si>
  <si>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</si>
  <si>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</si>
  <si>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</si>
  <si>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</si>
  <si>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</si>
  <si>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</si>
  <si>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</si>
  <si>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</si>
  <si>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</si>
  <si>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</si>
  <si>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</si>
  <si>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</si>
  <si>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</si>
  <si>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</si>
  <si>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</si>
  <si>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</si>
  <si>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</si>
  <si>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</si>
  <si>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</si>
  <si>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</si>
  <si>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</si>
  <si>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</si>
  <si>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</si>
  <si>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</si>
  <si>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</si>
  <si>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</si>
  <si>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</si>
  <si>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</si>
  <si>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</si>
  <si>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</si>
  <si>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</si>
  <si>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</si>
  <si>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</si>
  <si>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</si>
  <si>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</si>
  <si>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</si>
  <si>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</si>
  <si>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</si>
  <si>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</si>
  <si>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</si>
  <si>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</si>
  <si>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</si>
  <si>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</si>
  <si>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</si>
  <si>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</si>
  <si>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</si>
  <si>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</si>
  <si>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</si>
  <si>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</si>
  <si>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</si>
  <si>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</si>
  <si>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</si>
  <si>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</si>
  <si>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</si>
  <si>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</si>
  <si>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</si>
  <si>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</si>
  <si>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</si>
  <si>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</si>
  <si>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</si>
  <si>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</si>
  <si>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</si>
  <si>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</si>
  <si>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</si>
  <si>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</si>
  <si>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</si>
  <si>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</si>
  <si>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</si>
  <si>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</si>
  <si>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</si>
  <si>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</si>
  <si>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</si>
  <si>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</si>
  <si>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</si>
  <si>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</si>
  <si>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</si>
  <si>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</si>
  <si>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</si>
  <si>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</si>
  <si>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</si>
  <si>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</si>
  <si>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</si>
  <si>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</si>
  <si>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</si>
  <si>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</si>
  <si>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</si>
  <si>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</si>
  <si>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</si>
  <si>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</si>
  <si>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</si>
  <si>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</si>
  <si>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</si>
  <si>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</si>
  <si>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</si>
  <si>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</si>
  <si>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</si>
  <si>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</si>
  <si>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</si>
  <si>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</si>
  <si>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</si>
  <si>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</si>
  <si>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</si>
  <si>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</si>
  <si>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</si>
  <si>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</si>
  <si>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</si>
  <si>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</si>
  <si>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</si>
  <si>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</si>
  <si>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</si>
  <si>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</si>
  <si>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</si>
  <si>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</si>
  <si>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</si>
  <si>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</si>
  <si>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</si>
  <si>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</si>
  <si>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</si>
  <si>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</si>
  <si>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</si>
  <si>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</si>
  <si>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</si>
  <si>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</si>
  <si>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</si>
  <si>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</si>
  <si>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</si>
  <si>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</si>
  <si>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</si>
  <si>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</si>
  <si>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</si>
  <si>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</si>
  <si>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</si>
  <si>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</si>
  <si>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</si>
  <si>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</si>
  <si>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</si>
  <si>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</si>
  <si>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</si>
  <si>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</si>
  <si>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</si>
  <si>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</si>
  <si>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</si>
  <si>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</si>
  <si>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</si>
  <si>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</si>
  <si>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</si>
  <si>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</si>
  <si>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</si>
  <si>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</si>
  <si>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</si>
  <si>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</si>
  <si>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</si>
  <si>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</si>
  <si>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</si>
  <si>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</si>
  <si>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</si>
  <si>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</si>
  <si>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</si>
  <si>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</si>
  <si>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</si>
  <si>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</si>
  <si>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</si>
  <si>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</si>
  <si>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</si>
  <si>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</si>
  <si>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</si>
  <si>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</si>
  <si>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</si>
  <si>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</si>
  <si>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</si>
  <si>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</si>
  <si>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</si>
  <si>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</si>
  <si>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</si>
  <si>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</si>
  <si>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</si>
  <si>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</si>
  <si>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</si>
  <si>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</si>
  <si>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</si>
  <si>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</si>
  <si>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</si>
  <si>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</si>
  <si>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</si>
  <si>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</si>
  <si>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</si>
  <si>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</si>
  <si>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</si>
  <si>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</si>
  <si>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</si>
  <si>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</si>
  <si>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</si>
  <si>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</si>
  <si>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</si>
  <si>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</si>
  <si>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</si>
  <si>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</si>
  <si>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</si>
  <si>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</si>
  <si>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</si>
  <si>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</si>
  <si>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</si>
  <si>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</si>
  <si>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</si>
  <si>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</si>
  <si>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</si>
  <si>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</si>
  <si>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</si>
  <si>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</si>
  <si>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</si>
  <si>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</si>
  <si>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</si>
  <si>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</si>
  <si>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</si>
  <si>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</si>
  <si>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</si>
  <si>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</si>
  <si>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</si>
  <si>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</si>
  <si>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</si>
  <si>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</si>
  <si>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</si>
  <si>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</si>
  <si>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</si>
  <si>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</si>
  <si>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</si>
  <si>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</si>
  <si>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</si>
  <si>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</si>
  <si>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</si>
  <si>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</si>
  <si>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</si>
  <si>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</si>
  <si>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</si>
  <si>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</si>
  <si>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</si>
  <si>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</si>
  <si>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</si>
  <si>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</si>
  <si>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</si>
  <si>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</si>
  <si>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</si>
  <si>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</si>
  <si>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</si>
  <si>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</si>
  <si>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</si>
  <si>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</si>
  <si>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</si>
  <si>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</si>
  <si>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</si>
  <si>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</si>
  <si>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</si>
  <si>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</si>
  <si>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</si>
  <si>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</si>
  <si>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</si>
  <si>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</si>
  <si>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</si>
  <si>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</si>
  <si>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</si>
  <si>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</si>
  <si>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</si>
  <si>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</si>
  <si>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</si>
  <si>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</si>
  <si>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</si>
  <si>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</si>
  <si>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</si>
  <si>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</si>
  <si>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</si>
  <si>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</si>
  <si>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</si>
  <si>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</si>
  <si>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</si>
  <si>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</si>
  <si>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</si>
  <si>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</si>
  <si>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</si>
  <si>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</si>
  <si>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</si>
  <si>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</si>
  <si>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</si>
  <si>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</si>
  <si>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</si>
  <si>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</si>
  <si>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</si>
  <si>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</si>
  <si>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</si>
  <si>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</si>
  <si>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</si>
  <si>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</si>
  <si>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</si>
  <si>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</si>
  <si>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</si>
  <si>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</si>
  <si>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</si>
  <si>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</si>
  <si>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</si>
  <si>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</si>
  <si>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</si>
  <si>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</si>
  <si>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</si>
  <si>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</si>
  <si>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</si>
  <si>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</si>
  <si>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</si>
  <si>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</si>
  <si>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</si>
  <si>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</si>
  <si>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</si>
  <si>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</si>
  <si>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</si>
  <si>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</si>
  <si>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</si>
  <si>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</si>
  <si>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</si>
  <si>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</si>
  <si>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</si>
  <si>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</si>
  <si>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</si>
  <si>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</si>
  <si>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</si>
  <si>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</si>
  <si>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</si>
  <si>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</si>
  <si>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</si>
  <si>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</si>
  <si>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</si>
  <si>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</si>
  <si>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</si>
  <si>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</si>
  <si>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</si>
  <si>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</si>
  <si>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</si>
  <si>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</si>
  <si>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</si>
  <si>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</si>
  <si>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</si>
  <si>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</si>
  <si>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</si>
  <si>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</si>
  <si>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</si>
  <si>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</si>
  <si>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</si>
  <si>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</si>
  <si>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</si>
  <si>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</si>
  <si>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</si>
  <si>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</si>
  <si>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</si>
  <si>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</si>
  <si>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</si>
  <si>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</si>
  <si>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</si>
  <si>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</si>
  <si>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</si>
  <si>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</si>
  <si>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</si>
  <si>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</si>
  <si>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</si>
  <si>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</si>
  <si>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</si>
  <si>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</si>
  <si>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</si>
  <si>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</si>
  <si>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</si>
  <si>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</si>
  <si>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</si>
  <si>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</si>
  <si>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</si>
  <si>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</si>
  <si>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</si>
  <si>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</si>
  <si>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</si>
  <si>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</si>
  <si>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</si>
  <si>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</si>
  <si>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</si>
  <si>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</si>
  <si>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</si>
  <si>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</si>
  <si>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</si>
  <si>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</si>
  <si>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</si>
  <si>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</si>
  <si>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</si>
  <si>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</si>
  <si>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</si>
  <si>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</si>
  <si>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</si>
  <si>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</si>
  <si>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</si>
  <si>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</si>
  <si>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</si>
  <si>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</si>
  <si>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</si>
  <si>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</si>
  <si>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</si>
  <si>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</si>
  <si>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</si>
  <si>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</si>
  <si>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</si>
  <si>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</si>
  <si>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</si>
  <si>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</si>
  <si>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</si>
  <si>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</si>
  <si>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</si>
  <si>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</si>
  <si>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</si>
  <si>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</si>
  <si>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</si>
  <si>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</si>
  <si>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</si>
  <si>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</si>
  <si>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</si>
  <si>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</si>
  <si>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</si>
  <si>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</si>
  <si>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</si>
  <si>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</si>
  <si>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</si>
  <si>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</si>
  <si>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</si>
  <si>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</si>
  <si>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</si>
  <si>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</si>
  <si>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</si>
  <si>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</si>
  <si>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</si>
  <si>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</si>
  <si>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</si>
  <si>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</si>
  <si>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</si>
  <si>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</si>
  <si>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</si>
  <si>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</si>
  <si>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</si>
  <si>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</si>
  <si>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</si>
  <si>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</si>
  <si>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</si>
  <si>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</si>
  <si>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</si>
  <si>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</si>
  <si>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</si>
  <si>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</si>
  <si>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</si>
  <si>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</si>
  <si>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</si>
  <si>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</si>
  <si>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</si>
  <si>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</si>
  <si>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</si>
  <si>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</si>
  <si>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</si>
  <si>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</si>
  <si>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</si>
  <si>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</si>
  <si>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</si>
  <si>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</si>
  <si>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</si>
  <si>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</si>
  <si>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</si>
  <si>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</si>
  <si>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</si>
  <si>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</si>
  <si>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</si>
  <si>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</si>
  <si>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</si>
  <si>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</si>
  <si>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</si>
  <si>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</si>
  <si>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</si>
  <si>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</si>
  <si>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</si>
  <si>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</si>
  <si>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</si>
  <si>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</si>
  <si>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</si>
  <si>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</si>
  <si>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</si>
  <si>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</si>
  <si>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</si>
  <si>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</si>
  <si>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</si>
  <si>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</si>
  <si>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</si>
  <si>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</si>
  <si>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</si>
  <si>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</si>
  <si>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</si>
  <si>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</si>
  <si>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</si>
  <si>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</si>
  <si>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</si>
  <si>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</si>
  <si>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</si>
  <si>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</si>
  <si>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</si>
  <si>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</si>
  <si>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</si>
  <si>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</si>
  <si>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</si>
  <si>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</si>
  <si>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</si>
  <si>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</si>
  <si>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</si>
  <si>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</si>
  <si>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</si>
  <si>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</si>
  <si>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</si>
  <si>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</si>
  <si>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</si>
  <si>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</si>
  <si>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</si>
  <si>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</si>
  <si>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</si>
  <si>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</si>
  <si>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</si>
  <si>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</si>
  <si>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</si>
  <si>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</si>
  <si>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</si>
  <si>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</si>
  <si>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</si>
  <si>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</si>
  <si>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</si>
  <si>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</si>
  <si>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</si>
  <si>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</si>
  <si>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</si>
  <si>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</si>
  <si>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</si>
  <si>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</si>
  <si>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</si>
  <si>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</si>
  <si>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</si>
  <si>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</si>
  <si>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</si>
  <si>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</si>
  <si>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</si>
  <si>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</si>
  <si>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</si>
  <si>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</si>
  <si>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</si>
  <si>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</si>
  <si>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</si>
  <si>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</si>
  <si>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</si>
  <si>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</si>
  <si>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</si>
  <si>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</si>
  <si>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</si>
  <si>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</si>
  <si>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</si>
  <si>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</si>
  <si>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</si>
  <si>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</si>
  <si>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</si>
  <si>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</si>
  <si>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</si>
  <si>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</si>
  <si>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</si>
  <si>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</si>
  <si>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</si>
  <si>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</si>
  <si>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</si>
  <si>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</si>
  <si>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</si>
  <si>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</si>
  <si>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</si>
  <si>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</si>
  <si>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</si>
  <si>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</si>
  <si>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</si>
  <si>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</si>
  <si>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</si>
  <si>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</si>
  <si>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</si>
  <si>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</si>
  <si>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</si>
  <si>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</si>
  <si>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</si>
  <si>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</si>
  <si>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</si>
  <si>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</si>
  <si>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</si>
  <si>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</si>
  <si>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</si>
  <si>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</si>
  <si>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</si>
  <si>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</si>
  <si>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</si>
  <si>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</si>
  <si>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</si>
  <si>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</si>
  <si>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</si>
  <si>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</si>
  <si>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</si>
  <si>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</si>
  <si>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</si>
  <si>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</si>
  <si>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</si>
  <si>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</si>
  <si>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</si>
  <si>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</si>
  <si>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</si>
  <si>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</si>
  <si>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</si>
  <si>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</si>
  <si>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</si>
  <si>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</si>
  <si>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</si>
  <si>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</si>
  <si>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</si>
  <si>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</si>
  <si>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</si>
  <si>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</si>
  <si>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</si>
  <si>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</si>
  <si>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</si>
  <si>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</si>
  <si>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</si>
  <si>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</si>
  <si>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</si>
  <si>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</si>
  <si>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</si>
  <si>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</si>
  <si>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</si>
  <si>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</si>
  <si>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</si>
  <si>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</si>
  <si>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</si>
  <si>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</si>
  <si>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</si>
  <si>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</si>
  <si>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</si>
  <si>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</si>
  <si>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</si>
  <si>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</si>
  <si>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</si>
  <si>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</si>
  <si>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</si>
  <si>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</si>
  <si>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</si>
  <si>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</si>
  <si>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</si>
  <si>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</si>
  <si>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</si>
  <si>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</si>
  <si>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</si>
  <si>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</si>
  <si>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</si>
  <si>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</si>
  <si>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</si>
  <si>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</si>
  <si>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</si>
  <si>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</si>
  <si>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</si>
  <si>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</si>
  <si>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</si>
  <si>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</si>
  <si>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</si>
  <si>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</si>
  <si>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</si>
  <si>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</si>
  <si>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</si>
  <si>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</si>
  <si>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</si>
  <si>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</si>
  <si>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</si>
  <si>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</si>
  <si>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</si>
  <si>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</si>
  <si>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</si>
  <si>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</si>
  <si>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</si>
  <si>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</si>
  <si>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</si>
  <si>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</si>
  <si>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</si>
  <si>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</si>
  <si>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</si>
  <si>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</si>
  <si>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</si>
  <si>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</si>
  <si>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</si>
  <si>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</si>
  <si>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</si>
  <si>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</si>
  <si>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</si>
  <si>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</si>
  <si>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</si>
  <si>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</si>
  <si>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</si>
  <si>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</si>
  <si>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</si>
  <si>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</si>
  <si>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</si>
  <si>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</si>
  <si>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</si>
  <si>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</si>
  <si>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</si>
  <si>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</si>
  <si>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</si>
  <si>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</si>
  <si>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</si>
  <si>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</si>
  <si>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</si>
  <si>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</si>
  <si>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</si>
  <si>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</si>
  <si>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</si>
  <si>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</si>
  <si>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</si>
  <si>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</si>
  <si>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</si>
  <si>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</si>
  <si>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</si>
  <si>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</si>
  <si>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</si>
  <si>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</si>
  <si>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</si>
  <si>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</si>
  <si>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</si>
  <si>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</si>
  <si>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</si>
  <si>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</si>
  <si>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</si>
  <si>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</si>
  <si>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</si>
  <si>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</si>
  <si>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</si>
  <si>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</si>
  <si>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</si>
  <si>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</si>
  <si>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</si>
  <si>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</si>
  <si>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</si>
  <si>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</si>
  <si>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</si>
  <si>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</si>
  <si>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</si>
  <si>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</si>
  <si>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</si>
  <si>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</si>
  <si>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</si>
  <si>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</si>
  <si>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</si>
  <si>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</si>
  <si>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</si>
  <si>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</si>
  <si>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</si>
  <si>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</si>
  <si>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</si>
  <si>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</si>
  <si>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</si>
  <si>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</si>
  <si>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</si>
  <si>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</si>
  <si>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</si>
  <si>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</si>
  <si>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</si>
  <si>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</si>
  <si>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</si>
  <si>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</si>
  <si>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</si>
  <si>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</si>
  <si>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</si>
  <si>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</si>
  <si>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</si>
  <si>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</si>
  <si>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</si>
  <si>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</si>
  <si>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</si>
  <si>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</si>
  <si>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</si>
  <si>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</si>
  <si>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</si>
  <si>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</si>
  <si>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</si>
  <si>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</si>
  <si>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</si>
  <si>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</si>
  <si>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</si>
  <si>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</si>
  <si>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</si>
  <si>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</si>
  <si>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</si>
  <si>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</si>
  <si>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</si>
  <si>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</si>
  <si>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</si>
  <si>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</si>
  <si>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</si>
  <si>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</si>
  <si>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</si>
  <si>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</si>
  <si>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</si>
  <si>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</si>
  <si>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</si>
  <si>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</si>
  <si>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</si>
  <si>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</si>
  <si>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</si>
  <si>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</si>
  <si>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</si>
  <si>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</si>
  <si>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</si>
  <si>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</si>
  <si>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</si>
  <si>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</si>
  <si>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</si>
  <si>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</si>
  <si>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</si>
  <si>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</si>
  <si>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STATISTIK CURAH HUJAN TAHUNAN (formula dari Data_Harian)</t>
  </si>
  <si>
    <t xml:space="preserve">Jumlah Hari</t>
  </si>
  <si>
    <t xml:space="preserve">Data Valid</t>
  </si>
  <si>
    <t xml:space="preserve">Data Hilang</t>
  </si>
  <si>
    <t xml:space="preserve">Total Curah Hujan (mm)</t>
  </si>
  <si>
    <t xml:space="preserve">X Maks Harian (mm)</t>
  </si>
  <si>
    <t xml:space="preserve">Hari Hujan (mm&gt;0)</t>
  </si>
  <si>
    <t xml:space="preserve">TOTAL</t>
  </si>
  <si>
    <t xml:space="preserve">STATISTIK DISTRIBUSI X MAKS TAHUNAN</t>
  </si>
  <si>
    <t xml:space="preserve">Nilai</t>
  </si>
  <si>
    <t xml:space="preserve">Satuan/Keterangan</t>
  </si>
  <si>
    <t xml:space="preserve">n (jumlah tahun)</t>
  </si>
  <si>
    <t xml:space="preserve">tahun</t>
  </si>
  <si>
    <t xml:space="preserve">X barat (rata-rata X maks)</t>
  </si>
  <si>
    <t xml:space="preserve">mm</t>
  </si>
  <si>
    <t xml:space="preserve">S (simpangan baku, pembagi n-1)</t>
  </si>
  <si>
    <t xml:space="preserve">Cv = S / X barat</t>
  </si>
  <si>
    <t xml:space="preserve">Cs (rumus tesis [7])</t>
  </si>
  <si>
    <t xml:space="preserve">Ck (rumus tesis [8])</t>
  </si>
  <si>
    <t xml:space="preserve">Rata-rata log10 X</t>
  </si>
  <si>
    <t xml:space="preserve">S log10</t>
  </si>
  <si>
    <t xml:space="preserve">Cs log10 (rumus [15])</t>
  </si>
  <si>
    <t xml:space="preserve">UJI HOMOGENITAS DATA (Uji-t dua sampel)</t>
  </si>
  <si>
    <t xml:space="preserve">Keterangan</t>
  </si>
  <si>
    <t xml:space="preserve">n1 (7 tahun pertama)</t>
  </si>
  <si>
    <t xml:space="preserve">2012-2018</t>
  </si>
  <si>
    <t xml:space="preserve">n2 (7 tahun terakhir)</t>
  </si>
  <si>
    <t xml:space="preserve">2019-2025</t>
  </si>
  <si>
    <t xml:space="preserve">X barat 1</t>
  </si>
  <si>
    <t xml:space="preserve">X barat 2</t>
  </si>
  <si>
    <t xml:space="preserve">S1 (pembagi n1)</t>
  </si>
  <si>
    <t xml:space="preserve">S2 (pembagi n2)</t>
  </si>
  <si>
    <t xml:space="preserve">sigma pooled</t>
  </si>
  <si>
    <t xml:space="preserve">t hitung</t>
  </si>
  <si>
    <t xml:space="preserve">dk = n1+n2-2</t>
  </si>
  <si>
    <t xml:space="preserve">t kritis (dua arah, alpha=5%)</t>
  </si>
  <si>
    <t xml:space="preserve">Tabel 2.2</t>
  </si>
  <si>
    <t xml:space="preserve">t kritis (satu arah, alpha=5%)</t>
  </si>
  <si>
    <t xml:space="preserve">Kesimpulan (dua arah)</t>
  </si>
  <si>
    <t xml:space="preserve">Kesimpulan (satu arah)</t>
  </si>
  <si>
    <t xml:space="preserve">UJI KONSISTENSI DATA (Cumulative Deviation)</t>
  </si>
  <si>
    <t xml:space="preserve">n</t>
  </si>
  <si>
    <t xml:space="preserve">X barat</t>
  </si>
  <si>
    <t xml:space="preserve">Dy = SQRT(SUM(dev^2)/n)</t>
  </si>
  <si>
    <t xml:space="preserve">Q = maks |S**k|</t>
  </si>
  <si>
    <t xml:space="preserve">Q / SQRT(n)</t>
  </si>
  <si>
    <t xml:space="preserve">Kritik 95% (interpolasi Tabel 2.3)</t>
  </si>
  <si>
    <t xml:space="preserve">Kritik 99% (interpolasi Tabel 2.3)</t>
  </si>
  <si>
    <t xml:space="preserve">Kesimpulan (95%)</t>
  </si>
  <si>
    <t xml:space="preserve">Kesimpulan (99%)</t>
  </si>
  <si>
    <t xml:space="preserve">X (mm)</t>
  </si>
  <si>
    <t xml:space="preserve">Deviasi (X-Xbar)</t>
  </si>
  <si>
    <t xml:space="preserve">S**k (kumulatif)</t>
  </si>
  <si>
    <t xml:space="preserve">S**k / Dy</t>
  </si>
  <si>
    <t xml:space="preserve">ANALISIS FREKUENSI CURAH HUJAN MAKSIMUM HARIAN TAHUNAN</t>
  </si>
  <si>
    <t xml:space="preserve">a Gumbel = S / 1,283</t>
  </si>
  <si>
    <t xml:space="preserve">Xo Gumbel = X barat - 0,577.a</t>
  </si>
  <si>
    <t xml:space="preserve">Cs log10 (dari sheet Statistik)</t>
  </si>
  <si>
    <t xml:space="preserve">T (tahun)</t>
  </si>
  <si>
    <t xml:space="preserve">K Normal</t>
  </si>
  <si>
    <t xml:space="preserve">XT Normal (mm)</t>
  </si>
  <si>
    <t xml:space="preserve">Yp Gumbel</t>
  </si>
  <si>
    <t xml:space="preserve">XT Gumbel (mm)</t>
  </si>
  <si>
    <t xml:space="preserve">K LP3</t>
  </si>
  <si>
    <t xml:space="preserve">XT LP3 (mm)</t>
  </si>
  <si>
    <t xml:space="preserve">Catatan: K Normal (Tabel 2.4), Yp Gumbel (Tabel 2.5), K LP3 (Tabel 2.6) di sheet Koefisien. XT Normal = Xbar + K.S ; XT Gumbel = Xo + Yp.a ; XT LP3 = 10^(rata2 log + K.S log).</t>
  </si>
  <si>
    <t xml:space="preserve">UJI CHI-KUADRAT PEMILIHAN DISTRIBUSI</t>
  </si>
  <si>
    <t xml:space="preserve">Kelas dibatasi R2, R5, R10, R25 (peluang di sheet Koefisien baris 102-106, menjumlah 1,00 - keputusan 5 REVISI.md)</t>
  </si>
  <si>
    <t xml:space="preserve">Distribusi Normal</t>
  </si>
  <si>
    <t xml:space="preserve">Kelas</t>
  </si>
  <si>
    <t xml:space="preserve">Batas (mm)</t>
  </si>
  <si>
    <t xml:space="preserve">O</t>
  </si>
  <si>
    <t xml:space="preserve">E = n.p</t>
  </si>
  <si>
    <t xml:space="preserve">(O-E)^2/E</t>
  </si>
  <si>
    <t xml:space="preserve">x &lt;= R2</t>
  </si>
  <si>
    <t xml:space="preserve">R2 &lt; x &lt;= R5</t>
  </si>
  <si>
    <t xml:space="preserve">R5 &lt; x &lt;= R10</t>
  </si>
  <si>
    <t xml:space="preserve">R10 &lt; x &lt;= R25</t>
  </si>
  <si>
    <t xml:space="preserve">x &gt; R25</t>
  </si>
  <si>
    <t xml:space="preserve">-</t>
  </si>
  <si>
    <t xml:space="preserve">chi-kuadrat hitung</t>
  </si>
  <si>
    <t xml:space="preserve">dk = 5-1-P</t>
  </si>
  <si>
    <t xml:space="preserve">chi-kuadrat kritis</t>
  </si>
  <si>
    <t xml:space="preserve">Kesimpulan</t>
  </si>
  <si>
    <t xml:space="preserve">chi2 kandidat (999 bila gagal)</t>
  </si>
  <si>
    <t xml:space="preserve">Distribusi Gumbel</t>
  </si>
  <si>
    <t xml:space="preserve">Distribusi LP3</t>
  </si>
  <si>
    <t xml:space="preserve">Prioritas pemilihan saat kandidat seri: LP3 (SNI 2415:2016) &gt; Gumbel &gt; Normal</t>
  </si>
  <si>
    <t xml:space="preserve">chi2 kandidat terkecil</t>
  </si>
  <si>
    <t xml:space="preserve">Distribusi terpilih</t>
  </si>
  <si>
    <t xml:space="preserve">chi2 terpilih</t>
  </si>
  <si>
    <t xml:space="preserve">Catatan E&gt;=5 (Cochran): dengan n=14 syarat E&gt;=5 terpenuhi bila kelas 2-5 digabung (E = 7 dan 7); uji gabungan ada di analisis2.py (chi.e5).</t>
  </si>
  <si>
    <t xml:space="preserve">PERHITUNGAN DEBIT BANJIR RENCANA - RINGKASAN (tautan silang)</t>
  </si>
  <si>
    <t xml:space="preserve">Nilai desain dihitung pada sheet Hidrolika_Pipa (iterasi envelope, parameter site dari tabel parameter_desain). Sheet ini merangkum dengan tautan silang. Field lama to/td/tc/I/Q (parameter Lo=200, Ss=0,002, Ld=300) telah dihapus (keputusan 4 REVISI.md).</t>
  </si>
  <si>
    <t xml:space="preserve">Parameter</t>
  </si>
  <si>
    <t xml:space="preserve">Satuan</t>
  </si>
  <si>
    <t xml:space="preserve">Keterangan/Sumber</t>
  </si>
  <si>
    <t xml:space="preserve">Lo (panjang aliran atap)</t>
  </si>
  <si>
    <t xml:space="preserve">m</t>
  </si>
  <si>
    <t xml:space="preserve">Panjang aliran permukaan ATAP titik terjauh (Tipe 36, atap 65 m2). Asumsi tipologi - WAJIB diverifikasi survei (Tesis 3.3.1)</t>
  </si>
  <si>
    <t xml:space="preserve">S_atap (kemiringan atap)</t>
  </si>
  <si>
    <t xml:space="preserve">m/m</t>
  </si>
  <si>
    <t xml:space="preserve">Kemiringan atap (asumsi 30%) - masuk Kirpich utk to</t>
  </si>
  <si>
    <t xml:space="preserve">Ld (panjang pipa penyalur)</t>
  </si>
  <si>
    <t xml:space="preserve">Panjang pipa penyalur: unit terjauh ujung timur ke kolam rencana ujung barat laut (siteplan 1:1500, bentang 330,40 m)</t>
  </si>
  <si>
    <t xml:space="preserve">S_pipa (kemiringan pipa)</t>
  </si>
  <si>
    <t xml:space="preserve">Kemiringan pipa 0,30% (asumsi topografi datar - WAJIB diverifikasi waterpass)</t>
  </si>
  <si>
    <t xml:space="preserve">n Manning pipa</t>
  </si>
  <si>
    <t xml:space="preserve">Manning pipa (Tabel 2.8)</t>
  </si>
  <si>
    <t xml:space="preserve">C (koefisien limpasan)</t>
  </si>
  <si>
    <t xml:space="preserve">link sheet Kawasan (Tabel 2.7)</t>
  </si>
  <si>
    <t xml:space="preserve">A (luas atap)</t>
  </si>
  <si>
    <t xml:space="preserve">m2</t>
  </si>
  <si>
    <t xml:space="preserve">link sheet Kawasan</t>
  </si>
  <si>
    <t xml:space="preserve">th (waktu konsentrasi tandon)</t>
  </si>
  <si>
    <t xml:space="preserve">jam</t>
  </si>
  <si>
    <t xml:space="preserve">link sheet Kawasan (Tesis 3.4.3)</t>
  </si>
  <si>
    <t xml:space="preserve">HASIL PERHITUNGAN (semua tautan silang sheet Hidrolika_Pipa/Desain_Kolam)</t>
  </si>
  <si>
    <t xml:space="preserve">Besaran</t>
  </si>
  <si>
    <t xml:space="preserve">Rumus</t>
  </si>
  <si>
    <t xml:space="preserve">R24 curah hujan (T=10 th, dist. terpilih)</t>
  </si>
  <si>
    <t xml:space="preserve">XT distribusi terpilih (sheet Frekuensi/Chi_Kuadrat)</t>
  </si>
  <si>
    <t xml:space="preserve">to (waktu konsentrasi overland) [21]</t>
  </si>
  <si>
    <t xml:space="preserve">menit</t>
  </si>
  <si>
    <t xml:space="preserve">tautan silang Hidrolika_Pipa (Kirpich pada atap)</t>
  </si>
  <si>
    <t xml:space="preserve">v pipa desain [39]</t>
  </si>
  <si>
    <t xml:space="preserve">m/dtk</t>
  </si>
  <si>
    <t xml:space="preserve">tautan silang Hidrolika_Pipa (envelope)</t>
  </si>
  <si>
    <t xml:space="preserve">td (waktu alir pipa) [22]</t>
  </si>
  <si>
    <t xml:space="preserve">tc (waktu konsentrasi) [20]</t>
  </si>
  <si>
    <t xml:space="preserve">I (intensitas Mononobe) [19]</t>
  </si>
  <si>
    <t xml:space="preserve">mm/jam</t>
  </si>
  <si>
    <t xml:space="preserve">tautan silang Hidrolika_Pipa (pada Q desain)</t>
  </si>
  <si>
    <t xml:space="preserve">Q desain (Rasional) [23]</t>
  </si>
  <si>
    <t xml:space="preserve">m3/dtk</t>
  </si>
  <si>
    <t xml:space="preserve">tautan silang Hidrolika_Pipa (maksimum iterasi)</t>
  </si>
  <si>
    <t xml:space="preserve">Va (volume atenuasi, th=1 jam) [32]</t>
  </si>
  <si>
    <t xml:space="preserve">m3</t>
  </si>
  <si>
    <t xml:space="preserve">Va = Q . th</t>
  </si>
  <si>
    <t xml:space="preserve">Catatan: R24 dari XT T=10 tahun distribusi terpilih (uji chi-kuadrat). Parameter site (Lo, S_atap, Ld, S_pipa) masih asumsi - ganti dengan data lapangan.</t>
  </si>
  <si>
    <t xml:space="preserve">PARAMETER KAWASAN &amp; KEBUTUHAN AIR (sumber: tabel kawasan di data/processed/hidrologi.db)</t>
  </si>
  <si>
    <t xml:space="preserve">Kunci</t>
  </si>
  <si>
    <t xml:space="preserve">Sumber</t>
  </si>
  <si>
    <t xml:space="preserve">nama_kawasan</t>
  </si>
  <si>
    <t xml:space="preserve">Rajawali Residence</t>
  </si>
  <si>
    <t xml:space="preserve">Tesis 1.1/3.2</t>
  </si>
  <si>
    <t xml:space="preserve">lokasi</t>
  </si>
  <si>
    <t xml:space="preserve">Jl. Wonodadi 2, Kec. Sungai Raya, Kab. Kubu Raya</t>
  </si>
  <si>
    <t xml:space="preserve">Tesis 3.2</t>
  </si>
  <si>
    <t xml:space="preserve">luas_kawasan</t>
  </si>
  <si>
    <t xml:space="preserve">Tesis 1.1 (2,88 ha); siteplan 330,40 x 85,78 m</t>
  </si>
  <si>
    <t xml:space="preserve">jumlah_unit</t>
  </si>
  <si>
    <t xml:space="preserve">unit</t>
  </si>
  <si>
    <t xml:space="preserve">Tesis 1.1/3.2 (Tipe 36)</t>
  </si>
  <si>
    <t xml:space="preserve">jiwa_per_unit</t>
  </si>
  <si>
    <t xml:space="preserve">jiwa</t>
  </si>
  <si>
    <t xml:space="preserve">Tesis 1.1</t>
  </si>
  <si>
    <t xml:space="preserve">luas_atap_per_unit</t>
  </si>
  <si>
    <t xml:space="preserve">luas_atap_total</t>
  </si>
  <si>
    <t xml:space="preserve">Tesis 1.1 (36,1% luas kawasan)</t>
  </si>
  <si>
    <t xml:space="preserve">q_kebutuhan_air</t>
  </si>
  <si>
    <t xml:space="preserve">liter/jiwa/hari</t>
  </si>
  <si>
    <t xml:space="preserve">SNI 03-7065-2005 (Tabel 2.1)</t>
  </si>
  <si>
    <t xml:space="preserve">C_atap</t>
  </si>
  <si>
    <t xml:space="preserve">Tabel 2.7 (atap logam/seng, rentang 0,70-0,90)</t>
  </si>
  <si>
    <t xml:space="preserve">fraksi_desain</t>
  </si>
  <si>
    <t xml:space="preserve">Tesis 3.4.1 (titik tengah 60-70% kebutuhan non-potabel)</t>
  </si>
  <si>
    <t xml:space="preserve">fraksi_diuji</t>
  </si>
  <si>
    <t xml:space="preserve">1.00; 0.70; 0.65; 0.60; 0.50</t>
  </si>
  <si>
    <t xml:space="preserve">Tesis 3.4.1</t>
  </si>
  <si>
    <t xml:space="preserve">freeboard</t>
  </si>
  <si>
    <t xml:space="preserve">Tesis 2.7 (Putra dkk., 2023)</t>
  </si>
  <si>
    <t xml:space="preserve">th_durasi_efektif</t>
  </si>
  <si>
    <t xml:space="preserve">Tesis 3.4.3 (sensitivitas 0,5-3 jam)</t>
  </si>
  <si>
    <t xml:space="preserve">PERHITUNGAN TURUNAN (formula hidup)</t>
  </si>
  <si>
    <t xml:space="preserve">Q kebutuhan total [36]</t>
  </si>
  <si>
    <t xml:space="preserve">liter/hari</t>
  </si>
  <si>
    <t xml:space="preserve">jumlah_unit x jiwa x q</t>
  </si>
  <si>
    <t xml:space="preserve">Q harian</t>
  </si>
  <si>
    <t xml:space="preserve">m3/hari</t>
  </si>
  <si>
    <t xml:space="preserve">Q kebutuhan / 1000</t>
  </si>
  <si>
    <t xml:space="preserve">Luas atap total</t>
  </si>
  <si>
    <t xml:space="preserve">km2</t>
  </si>
  <si>
    <t xml:space="preserve">Rasio luas atap / luas kawasan</t>
  </si>
  <si>
    <t xml:space="preserve">KEBUTUHAN AIR PER FRAKSI (Tesis 3.4.1)</t>
  </si>
  <si>
    <t xml:space="preserve">Fraksi f</t>
  </si>
  <si>
    <t xml:space="preserve">Q x f (m3/hari)</t>
  </si>
  <si>
    <t xml:space="preserve">Kebutuhan (liter/hari)</t>
  </si>
  <si>
    <t xml:space="preserve">&lt;- fraksi desain</t>
  </si>
  <si>
    <t xml:space="preserve">EVAPORASI MUKA AIR (PENMAN 1948) BULANAN</t>
  </si>
  <si>
    <t xml:space="preserve">Sumber: NOAA ISD Supadio (T, titik embun-&gt;RH, angin, tekanan) + NASA POWER CERES (Rs); agregasi harian 2012-2025 oleh src/evaporasi_penman.py. Evaporasi muka air terbuka - BUKAN ET0 rumput (keputusan 1 &amp; 10 REVISI.md).</t>
  </si>
  <si>
    <t xml:space="preserve">Evaporasi E0 (mm/bulan)</t>
  </si>
  <si>
    <t xml:space="preserve">E0 (mm/hari)</t>
  </si>
  <si>
    <t xml:space="preserve">T (oC)</t>
  </si>
  <si>
    <t xml:space="preserve">RH (%)</t>
  </si>
  <si>
    <t xml:space="preserve">u2 (m/s)</t>
  </si>
  <si>
    <t xml:space="preserve">Rs (MJ/m2/hari)</t>
  </si>
  <si>
    <t xml:space="preserve">Penman (1948) muka air - NOAA ISD Supadio (T, Td, u, P) + NASA POWER CERES (Rs)</t>
  </si>
  <si>
    <t xml:space="preserve">TOTAL SETAHUN</t>
  </si>
  <si>
    <t xml:space="preserve">RATA-RATA</t>
  </si>
  <si>
    <t xml:space="preserve">dipakai sheet Neraca_Air (INDEX/MATCH kolom bulan)</t>
  </si>
  <si>
    <t xml:space="preserve">HIDROLIKA PIPA INDUK &amp; PER UNIT - ITERASI ENVELOPE (MANNING ALIRAN PENUH)</t>
  </si>
  <si>
    <t xml:space="preserve">Aturan envelope: iterasi v&lt;-&gt;td&lt;-&gt;tc&lt;-&gt;I&lt;-&gt;Q&lt;-&gt;D (12x, seed v=1 m/dtk) ber-osilasi karena umpan balik positif + pembulatan diameter diskrit; Q desain = maksimum iterasi (konservatif), D teoritis dihitung dari Q tsb lalu dibulatkan ke atas ke pipa komersial. Pipa diperlakukan sebagai saluran bulat PENUH terisi (Manning aliran penuh [29][30][38][39]), bukan aliran terbuka.</t>
  </si>
  <si>
    <t xml:space="preserve">Sumber/Keterangan</t>
  </si>
  <si>
    <t xml:space="preserve">to (Kirpich pada atap) [21]</t>
  </si>
  <si>
    <t xml:space="preserve">to = 0,0195.(Lo/SQRT(S))^0,77</t>
  </si>
  <si>
    <t xml:space="preserve">A atap total</t>
  </si>
  <si>
    <t xml:space="preserve">R24 curah hujan rencana (T=10 th)</t>
  </si>
  <si>
    <t xml:space="preserve">ITERASI v&lt;-&gt;td&lt;-&gt;tc&lt;-&gt;I&lt;-&gt;Q&lt;-&gt;D - pipa induk (envelope)</t>
  </si>
  <si>
    <t xml:space="preserve">i</t>
  </si>
  <si>
    <t xml:space="preserve">v masuk (m/dtk)</t>
  </si>
  <si>
    <t xml:space="preserve">td (menit)</t>
  </si>
  <si>
    <t xml:space="preserve">tc (jam)</t>
  </si>
  <si>
    <t xml:space="preserve">I (mm/jam)</t>
  </si>
  <si>
    <t xml:space="preserve">Q (m3/dtk)</t>
  </si>
  <si>
    <t xml:space="preserve">D teor (m)</t>
  </si>
  <si>
    <t xml:space="preserve">D kom (mm)</t>
  </si>
  <si>
    <t xml:space="preserve">A pipa (m2)</t>
  </si>
  <si>
    <t xml:space="preserve">v keluar (m/dtk)</t>
  </si>
  <si>
    <t xml:space="preserve">TABEL PIPA STANDAR (tabel pipa_standar di hidrologi.db)</t>
  </si>
  <si>
    <t xml:space="preserve">Label</t>
  </si>
  <si>
    <t xml:space="preserve">D (mm)</t>
  </si>
  <si>
    <t xml:space="preserve">A (m2)</t>
  </si>
  <si>
    <t xml:space="preserve">4" (DN110)</t>
  </si>
  <si>
    <t xml:space="preserve">6" (DN160)</t>
  </si>
  <si>
    <t xml:space="preserve">8" (DN200)</t>
  </si>
  <si>
    <t xml:space="preserve">10" (DN250)</t>
  </si>
  <si>
    <t xml:space="preserve">12" (DN315)</t>
  </si>
  <si>
    <t xml:space="preserve">14" (DN355)</t>
  </si>
  <si>
    <t xml:space="preserve">16" (DN400)</t>
  </si>
  <si>
    <t xml:space="preserve">18" (DN450)</t>
  </si>
  <si>
    <t xml:space="preserve">20" (DN500)</t>
  </si>
  <si>
    <t xml:space="preserve">24" (DN600)</t>
  </si>
  <si>
    <t xml:space="preserve">30" (DN750)</t>
  </si>
  <si>
    <t xml:space="preserve">32" (DN800)</t>
  </si>
  <si>
    <t xml:space="preserve">36" (DN900)</t>
  </si>
  <si>
    <t xml:space="preserve">40" (DN1000)</t>
  </si>
  <si>
    <t xml:space="preserve">48" (DN1200)</t>
  </si>
  <si>
    <t xml:space="preserve">HASIL ENVELOPE - PIPA INDUK (desain konservatif)</t>
  </si>
  <si>
    <t xml:space="preserve">Rumus/Keterangan</t>
  </si>
  <si>
    <t xml:space="preserve">Q desain (maks iterasi) [23]</t>
  </si>
  <si>
    <t xml:space="preserve">envelope: Q = maksimum dari 12 iterasi</t>
  </si>
  <si>
    <t xml:space="preserve">I desain (Mononobe) [19]</t>
  </si>
  <si>
    <t xml:space="preserve">I pada baris Q maks</t>
  </si>
  <si>
    <t xml:space="preserve">td [22]</t>
  </si>
  <si>
    <t xml:space="preserve">td = Ld / (60.v)</t>
  </si>
  <si>
    <t xml:space="preserve">tc [20]</t>
  </si>
  <si>
    <t xml:space="preserve">tc = (to + td) / 60</t>
  </si>
  <si>
    <t xml:space="preserve">D teoritis [38]</t>
  </si>
  <si>
    <t xml:space="preserve">dari Q desain</t>
  </si>
  <si>
    <t xml:space="preserve">D komersial</t>
  </si>
  <si>
    <t xml:space="preserve">dibulatkan ke atas ke ukuran pipa standar</t>
  </si>
  <si>
    <t xml:space="preserve">A pipa</t>
  </si>
  <si>
    <t xml:space="preserve">pada tabel pipa standar</t>
  </si>
  <si>
    <t xml:space="preserve">v pipa [39]</t>
  </si>
  <si>
    <t xml:space="preserve">v = Q / A</t>
  </si>
  <si>
    <t xml:space="preserve">Kapasitas pipa (Manning penuh)</t>
  </si>
  <si>
    <t xml:space="preserve">Q = (1/n).A.(D/4)^(2/3).S^(1/2)</t>
  </si>
  <si>
    <t xml:space="preserve">Cek kapasitas</t>
  </si>
  <si>
    <t xml:space="preserve">kapasitas &gt;= Q desain</t>
  </si>
  <si>
    <t xml:space="preserve">D pipa pelimpah (overflow)</t>
  </si>
  <si>
    <t xml:space="preserve">untuk Q desain (sama dgn induk)</t>
  </si>
  <si>
    <t xml:space="preserve">PIPA PENYALUR PER UNIT, TALANG &amp; BAK PENAMPUNG</t>
  </si>
  <si>
    <t xml:space="preserve">Luas atap per unit</t>
  </si>
  <si>
    <t xml:space="preserve">Q per unit</t>
  </si>
  <si>
    <t xml:space="preserve">Rasional pada atap 1 unit</t>
  </si>
  <si>
    <t xml:space="preserve">D teoritis unit [38]</t>
  </si>
  <si>
    <t xml:space="preserve">Manning penuh</t>
  </si>
  <si>
    <t xml:space="preserve">D komersial unit</t>
  </si>
  <si>
    <t xml:space="preserve">pipa penyalur per unit (downspout)</t>
  </si>
  <si>
    <t xml:space="preserve">A pipa unit</t>
  </si>
  <si>
    <t xml:space="preserve">tabel pipa standar</t>
  </si>
  <si>
    <t xml:space="preserve">v unit [39]</t>
  </si>
  <si>
    <t xml:space="preserve">b talang</t>
  </si>
  <si>
    <t xml:space="preserve">Asumsi desain (cerminan analisis_desain.py)</t>
  </si>
  <si>
    <t xml:space="preserve">h talang</t>
  </si>
  <si>
    <t xml:space="preserve">Asumsi desain</t>
  </si>
  <si>
    <t xml:space="preserve">S talang</t>
  </si>
  <si>
    <t xml:space="preserve">n talang</t>
  </si>
  <si>
    <t xml:space="preserve">Tabel 2.8 - asumsi talang (aliran terbuka)</t>
  </si>
  <si>
    <t xml:space="preserve">A talang</t>
  </si>
  <si>
    <t xml:space="preserve">A = b . h</t>
  </si>
  <si>
    <t xml:space="preserve">P basah talang</t>
  </si>
  <si>
    <t xml:space="preserve">P = b + 2h</t>
  </si>
  <si>
    <t xml:space="preserve">R hidraulik talang</t>
  </si>
  <si>
    <t xml:space="preserve">R = A / P</t>
  </si>
  <si>
    <t xml:space="preserve">Q kapasitas talang [29][30]</t>
  </si>
  <si>
    <t xml:space="preserve">Manning ALIRAN TERBUKA (talang terbuka)</t>
  </si>
  <si>
    <t xml:space="preserve">v talang</t>
  </si>
  <si>
    <t xml:space="preserve">V bak penampung unit</t>
  </si>
  <si>
    <t xml:space="preserve">1,5x kebutuhan harian unit (asumsi terdokumentasi)</t>
  </si>
  <si>
    <t xml:space="preserve">NERACA AIR BULANAN - 5 FRAKSI KEBUTUHAN (Rippl [27], 2012-2025)</t>
  </si>
  <si>
    <t xml:space="preserve">E = evaporasi Penman muka air x luas kolam (Desain_Kolam B9, titik tetap iterasi Vs&lt;-&gt;Ap); hujan langsung di permukaan kolam (P x Ap) dimasukkan sebagai pemasukan (keputusan 1 REVISI.md); kolom N-O = simulasi tampungan terbatas V_desain [26][28].</t>
  </si>
  <si>
    <t xml:space="preserve">Fraksi f = 1.00</t>
  </si>
  <si>
    <t xml:space="preserve">R (mm)</t>
  </si>
  <si>
    <t xml:space="preserve">n hari</t>
  </si>
  <si>
    <t xml:space="preserve">E0 (mm)</t>
  </si>
  <si>
    <t xml:space="preserve">Supply atap (m3) [24]</t>
  </si>
  <si>
    <t xml:space="preserve">Hujan kolam (m3)</t>
  </si>
  <si>
    <t xml:space="preserve">Demand (m3) [25]</t>
  </si>
  <si>
    <t xml:space="preserve">Evaporasi E (m3)</t>
  </si>
  <si>
    <t xml:space="preserve">Net (m3)</t>
  </si>
  <si>
    <t xml:space="preserve">K kumulatif (m3)</t>
  </si>
  <si>
    <t xml:space="preserve">Sp (m3)</t>
  </si>
  <si>
    <t xml:space="preserve">Defisit (m3)</t>
  </si>
  <si>
    <t xml:space="preserve">S (m3) [26]</t>
  </si>
  <si>
    <t xml:space="preserve">Terpenuhi</t>
  </si>
  <si>
    <t xml:space="preserve">Vs fraksi 1.00 (m3) [27]</t>
  </si>
  <si>
    <t xml:space="preserve">Reliability (%) [28]</t>
  </si>
  <si>
    <t xml:space="preserve">Bulan terpenuhi (dari 168)</t>
  </si>
  <si>
    <t xml:space="preserve">Total net kumulatif (m3)</t>
  </si>
  <si>
    <t xml:space="preserve">Fraksi f = 0.70</t>
  </si>
  <si>
    <t xml:space="preserve">Vs fraksi 0.70 (m3) [27]</t>
  </si>
  <si>
    <t xml:space="preserve">Fraksi f = 0.65   (FRAKSI DESAIN)</t>
  </si>
  <si>
    <t xml:space="preserve">Vs fraksi 0.65 (m3) [27]</t>
  </si>
  <si>
    <t xml:space="preserve">Fraksi f = 0.60</t>
  </si>
  <si>
    <t xml:space="preserve">Vs fraksi 0.60 (m3) [27]</t>
  </si>
  <si>
    <t xml:space="preserve">Fraksi f = 0.50</t>
  </si>
  <si>
    <t xml:space="preserve">Vs fraksi 0.50 (m3) [27]</t>
  </si>
  <si>
    <t xml:space="preserve">DESAIN KOLAM RETENSI - DIMENSI, FREEBOARD &amp; SENSITIVITAS</t>
  </si>
  <si>
    <t xml:space="preserve">Urutan: Va [32] -&gt; neraca (E Penman + hujan kolam pada Ap) -&gt; Vs [27] -&gt; V desain [33] -&gt; dimensi [34] -&gt; iterasi Vs&lt;-&gt;Ap sampai titik tetap. B9 = Ap hasil iterasi (tabel hasil_desain, src/analisis_desain.py); blok baris 28-35 merangkum iterasi, blok 37-42 memverifikasi titik tetap secara live. Dimensi dibulatkan ke atas kelipatan 0,5 m.</t>
  </si>
  <si>
    <t xml:space="preserve">he (kedalaman efektif kolam)</t>
  </si>
  <si>
    <t xml:space="preserve">Kedalaman efektif kolam (asumsi desain)</t>
  </si>
  <si>
    <t xml:space="preserve">hf (freeboard)</t>
  </si>
  <si>
    <t xml:space="preserve">link sheet Kawasan (Tesis 2.7)</t>
  </si>
  <si>
    <t xml:space="preserve">th (durasi hujan efektif)</t>
  </si>
  <si>
    <t xml:space="preserve">Q desain</t>
  </si>
  <si>
    <t xml:space="preserve">link Hidrolika_Pipa (envelope)</t>
  </si>
  <si>
    <t xml:space="preserve">Ap hasil iterasi konvergensi</t>
  </si>
  <si>
    <t xml:space="preserve">tabel hasil_desain (titik tetap iterasi Vs&lt;-&gt;Ap) - parameter_desain.Ap_kolam dihapus (keputusan 2)</t>
  </si>
  <si>
    <t xml:space="preserve">KRITERIA ATENUASI Va [32]</t>
  </si>
  <si>
    <t xml:space="preserve">Va (volume atenuasi)</t>
  </si>
  <si>
    <t xml:space="preserve">Va = Q . th . 3600 [32]</t>
  </si>
  <si>
    <t xml:space="preserve">l (lebar kolam Va)</t>
  </si>
  <si>
    <t xml:space="preserve">dibulatkan ke atas 0,5 m</t>
  </si>
  <si>
    <t xml:space="preserve">p (panjang kolam Va)</t>
  </si>
  <si>
    <t xml:space="preserve">Ap kriteria atenuasi</t>
  </si>
  <si>
    <t xml:space="preserve">titik awal iterasi Vs&lt;-&gt;Ap (kolam kriteria atenuasi)</t>
  </si>
  <si>
    <t xml:space="preserve">NERACA &amp; DIMENSI KOLAM (fraksi desain, basis Ap B9)</t>
  </si>
  <si>
    <t xml:space="preserve">Vs [27]</t>
  </si>
  <si>
    <t xml:space="preserve">MAX defisit, sheet Neraca_Air (basis B9)</t>
  </si>
  <si>
    <t xml:space="preserve">V desain [33]</t>
  </si>
  <si>
    <t xml:space="preserve">maks(Vs, Va) pada titik tetap</t>
  </si>
  <si>
    <t xml:space="preserve">l (lebar kolam)</t>
  </si>
  <si>
    <t xml:space="preserve">p (panjang kolam)</t>
  </si>
  <si>
    <t xml:space="preserve">Ap hasil desain</t>
  </si>
  <si>
    <t xml:space="preserve">Ap dimensi live - dibandingkan dgn B9 di blok cek (baris 37-42)</t>
  </si>
  <si>
    <t xml:space="preserve">V kolam [34]</t>
  </si>
  <si>
    <t xml:space="preserve">V = p . l . he</t>
  </si>
  <si>
    <t xml:space="preserve">h total [35]</t>
  </si>
  <si>
    <t xml:space="preserve">he + hf</t>
  </si>
  <si>
    <t xml:space="preserve">CATATAN ITERASI KONVERGENSI Vs &lt;-&gt; Ap (tabel hasil_desain, src/analisis_desain.py)</t>
  </si>
  <si>
    <t xml:space="preserve">Ap masuk (m2)</t>
  </si>
  <si>
    <t xml:space="preserve">Vs (m3)</t>
  </si>
  <si>
    <t xml:space="preserve">V = maks(Vs,Va)</t>
  </si>
  <si>
    <t xml:space="preserve">l (m)</t>
  </si>
  <si>
    <t xml:space="preserve">p (m)</t>
  </si>
  <si>
    <t xml:space="preserve">Ap keluar (m2)</t>
  </si>
  <si>
    <t xml:space="preserve">Konvergen bila Ap keluar = Ap masuk (tercapai pada langkah 5). Nilai biru = catatan iterasi; blok neraca menghitung ulang keadaan tetap secara live.</t>
  </si>
  <si>
    <t xml:space="preserve">CEK KONVERGENSI ITERASI Vs &lt;-&gt; Ap (live vs tabel hasil_desain)</t>
  </si>
  <si>
    <t xml:space="preserve">Cek</t>
  </si>
  <si>
    <t xml:space="preserve">Ap hasil iterasi (B9, hasil_desain)</t>
  </si>
  <si>
    <t xml:space="preserve">Ap hasil dimensi live (B24)</t>
  </si>
  <si>
    <t xml:space="preserve">Selisih live - iterasi</t>
  </si>
  <si>
    <t xml:space="preserve">Status konvergensi</t>
  </si>
  <si>
    <t xml:space="preserve">SENSITIVITAS Va terhadap th (Tesis 3.4.3)</t>
  </si>
  <si>
    <t xml:space="preserve">th (jam)</t>
  </si>
  <si>
    <t xml:space="preserve">Va (m3)</t>
  </si>
  <si>
    <t xml:space="preserve">RINGKASAN NERACA PER FRAKSI [27][28]</t>
  </si>
  <si>
    <t xml:space="preserve">Fraksi</t>
  </si>
  <si>
    <t xml:space="preserve">Reliability (%)</t>
  </si>
  <si>
    <t xml:space="preserve">Terpenuhi (bln)</t>
  </si>
  <si>
    <t xml:space="preserve">Total net (m3)</t>
  </si>
  <si>
    <t xml:space="preserve">Catatan: fraksi desain 0,65 (highlight kuning). Evaporasi = Penman muka air dan hujan langsung di permukaan kolam (P x Ap) dimasukkan sebagai pemasukan (keputusan 1 REVISI.md), sehingga iterasi Vs&lt;-&gt;Ap konvergen pada titik tetap (blok baris 28-35, cek live baris 37-42).</t>
  </si>
  <si>
    <t xml:space="preserve">TABEL KOEFISIEN DAN NILAI KRITIS (referensi)</t>
  </si>
  <si>
    <t xml:space="preserve">Tabel 2.2 Nilai kritis distribusi t (uji-t) - Sumber: Proposal Tesis Tabel 2.2</t>
  </si>
  <si>
    <t xml:space="preserve">dk</t>
  </si>
  <si>
    <t xml:space="preserve">t (satu arah, 5%)</t>
  </si>
  <si>
    <t xml:space="preserve">t (dua arah, 5%)</t>
  </si>
  <si>
    <t xml:space="preserve">Tabel 2.3 Nilai kritik Q/SQRT(n) - Sumber: Proposal Tesis Tabel 2.3</t>
  </si>
  <si>
    <t xml:space="preserve">95%</t>
  </si>
  <si>
    <t xml:space="preserve">99%</t>
  </si>
  <si>
    <t xml:space="preserve">Untuk n di antaranya dipakai interpolasi linear.</t>
  </si>
  <si>
    <t xml:space="preserve">Tabel 2.4 Variabel reduksi Normal (Kp) - Sumber: Proposal Tesis Tabel 2.4</t>
  </si>
  <si>
    <t xml:space="preserve">Kp</t>
  </si>
  <si>
    <t xml:space="preserve">Tabel 2.5 Variabel reduksi Gumbel Tipe I (Yp) - Sumber: Proposal Tesis Tabel 2.5</t>
  </si>
  <si>
    <t xml:space="preserve">Yp</t>
  </si>
  <si>
    <t xml:space="preserve">Tabel 2.6 Koefisien K Log Pearson III - Sumber: Proposal Tesis Tabel 2.6 (Cs menaik untuk interpolasi)</t>
  </si>
  <si>
    <t xml:space="preserve">Cs</t>
  </si>
  <si>
    <t xml:space="preserve">T=2</t>
  </si>
  <si>
    <t xml:space="preserve">T=5</t>
  </si>
  <si>
    <t xml:space="preserve">T=10</t>
  </si>
  <si>
    <t xml:space="preserve">T=25</t>
  </si>
  <si>
    <t xml:space="preserve">T=50</t>
  </si>
  <si>
    <t xml:space="preserve">T=100</t>
  </si>
  <si>
    <t xml:space="preserve">Probabilitas kelas uji chi-kuadrat (5 kelas dibatasi R2, R5, R10, R25; jumlah p = 1,00)</t>
  </si>
  <si>
    <t xml:space="preserve">p</t>
  </si>
  <si>
    <t xml:space="preserve">Keputusan 5 REVISI.md: p menjumlah 1,00; syarat E&gt;=5 ditinjau dengan kelas gabungan (lihat analisis2.py, chi.e5).</t>
  </si>
  <si>
    <t xml:space="preserve">Nilai kritik chi-kuadrat</t>
  </si>
  <si>
    <t xml:space="preserve">df</t>
  </si>
  <si>
    <t xml:space="preserve">Kritik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</si>
</sst>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"/>
    <numFmt numFmtId="167" formatCode="0.0000"/>
    <numFmt numFmtId="168" formatCode="0.000"/>
    <numFmt numFmtId="169" formatCode="0.00"/>
    <numFmt numFmtId="170" formatCode="0.00000"/>
    <numFmt numFmtId="171" formatCode="0.####"/>
    <numFmt numFmtId="172" formatCode="0.000000"/>
    <numFmt numFmtId="173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n">
        <v>2012</v>
      </c>
      <c r="B2" s="3" t="n">
        <v>1</v>
      </c>
      <c r="C2" s="3" t="n">
        <v>1</v>
      </c>
      <c r="D2" s="3" t="s">
        <v>6</v>
      </c>
      <c r="E2" s="4" t="n">
        <v>0</v>
      </c>
    </row>
    <row r="3" customFormat="false" ht="15" hidden="false" customHeight="false" outlineLevel="0" collapsed="false">
      <c r="A3" s="3" t="n">
        <v>2012</v>
      </c>
      <c r="B3" s="3" t="n">
        <v>1</v>
      </c>
      <c r="C3" s="3" t="n">
        <v>2</v>
      </c>
      <c r="D3" s="3" t="s">
        <v>7</v>
      </c>
      <c r="E3" s="4" t="n">
        <v>0</v>
      </c>
    </row>
    <row r="4" customFormat="false" ht="15" hidden="false" customHeight="false" outlineLevel="0" collapsed="false">
      <c r="A4" s="3" t="n">
        <v>2012</v>
      </c>
      <c r="B4" s="3" t="n">
        <v>1</v>
      </c>
      <c r="C4" s="3" t="n">
        <v>3</v>
      </c>
      <c r="D4" s="3" t="s">
        <v>8</v>
      </c>
      <c r="E4" s="4" t="n">
        <v>0</v>
      </c>
    </row>
    <row r="5" customFormat="false" ht="15" hidden="false" customHeight="false" outlineLevel="0" collapsed="false">
      <c r="A5" s="3" t="n">
        <v>2012</v>
      </c>
      <c r="B5" s="3" t="n">
        <v>1</v>
      </c>
      <c r="C5" s="3" t="n">
        <v>4</v>
      </c>
      <c r="D5" s="3" t="s">
        <v>9</v>
      </c>
      <c r="E5" s="4" t="n">
        <v>80</v>
      </c>
    </row>
    <row r="6" customFormat="false" ht="15" hidden="false" customHeight="false" outlineLevel="0" collapsed="false">
      <c r="A6" s="3" t="n">
        <v>2012</v>
      </c>
      <c r="B6" s="3" t="n">
        <v>1</v>
      </c>
      <c r="C6" s="3" t="n">
        <v>5</v>
      </c>
      <c r="D6" s="3" t="s">
        <v>10</v>
      </c>
      <c r="E6" s="4" t="n">
        <v>0</v>
      </c>
    </row>
    <row r="7" customFormat="false" ht="15" hidden="false" customHeight="false" outlineLevel="0" collapsed="false">
      <c r="A7" s="3" t="n">
        <v>2012</v>
      </c>
      <c r="B7" s="3" t="n">
        <v>1</v>
      </c>
      <c r="C7" s="3" t="n">
        <v>6</v>
      </c>
      <c r="D7" s="3" t="s">
        <v>11</v>
      </c>
      <c r="E7" s="4" t="n">
        <v>0</v>
      </c>
    </row>
    <row r="8" customFormat="false" ht="15" hidden="false" customHeight="false" outlineLevel="0" collapsed="false">
      <c r="A8" s="3" t="n">
        <v>2012</v>
      </c>
      <c r="B8" s="3" t="n">
        <v>1</v>
      </c>
      <c r="C8" s="3" t="n">
        <v>7</v>
      </c>
      <c r="D8" s="3" t="s">
        <v>12</v>
      </c>
      <c r="E8" s="4" t="n">
        <v>43</v>
      </c>
    </row>
    <row r="9" customFormat="false" ht="15" hidden="false" customHeight="false" outlineLevel="0" collapsed="false">
      <c r="A9" s="3" t="n">
        <v>2012</v>
      </c>
      <c r="B9" s="3" t="n">
        <v>1</v>
      </c>
      <c r="C9" s="3" t="n">
        <v>8</v>
      </c>
      <c r="D9" s="3" t="s">
        <v>13</v>
      </c>
      <c r="E9" s="4" t="n">
        <v>33</v>
      </c>
    </row>
    <row r="10" customFormat="false" ht="15" hidden="false" customHeight="false" outlineLevel="0" collapsed="false">
      <c r="A10" s="3" t="n">
        <v>2012</v>
      </c>
      <c r="B10" s="3" t="n">
        <v>1</v>
      </c>
      <c r="C10" s="3" t="n">
        <v>9</v>
      </c>
      <c r="D10" s="3" t="s">
        <v>14</v>
      </c>
      <c r="E10" s="4" t="n">
        <v>1</v>
      </c>
    </row>
    <row r="11" customFormat="false" ht="15" hidden="false" customHeight="false" outlineLevel="0" collapsed="false">
      <c r="A11" s="3" t="n">
        <v>2012</v>
      </c>
      <c r="B11" s="3" t="n">
        <v>1</v>
      </c>
      <c r="C11" s="3" t="n">
        <v>10</v>
      </c>
      <c r="D11" s="3" t="s">
        <v>15</v>
      </c>
      <c r="E11" s="4" t="n">
        <v>56</v>
      </c>
    </row>
    <row r="12" customFormat="false" ht="15" hidden="false" customHeight="false" outlineLevel="0" collapsed="false">
      <c r="A12" s="3" t="n">
        <v>2012</v>
      </c>
      <c r="B12" s="3" t="n">
        <v>1</v>
      </c>
      <c r="C12" s="3" t="n">
        <v>11</v>
      </c>
      <c r="D12" s="3" t="s">
        <v>16</v>
      </c>
      <c r="E12" s="4" t="n">
        <v>0</v>
      </c>
    </row>
    <row r="13" customFormat="false" ht="15" hidden="false" customHeight="false" outlineLevel="0" collapsed="false">
      <c r="A13" s="3" t="n">
        <v>2012</v>
      </c>
      <c r="B13" s="3" t="n">
        <v>1</v>
      </c>
      <c r="C13" s="3" t="n">
        <v>12</v>
      </c>
      <c r="D13" s="3" t="s">
        <v>17</v>
      </c>
      <c r="E13" s="4" t="n">
        <v>12</v>
      </c>
    </row>
    <row r="14" customFormat="false" ht="15" hidden="false" customHeight="false" outlineLevel="0" collapsed="false">
      <c r="A14" s="3" t="n">
        <v>2012</v>
      </c>
      <c r="B14" s="3" t="n">
        <v>1</v>
      </c>
      <c r="C14" s="3" t="n">
        <v>13</v>
      </c>
      <c r="D14" s="3" t="s">
        <v>18</v>
      </c>
      <c r="E14" s="4" t="n">
        <v>33</v>
      </c>
    </row>
    <row r="15" customFormat="false" ht="15" hidden="false" customHeight="false" outlineLevel="0" collapsed="false">
      <c r="A15" s="3" t="n">
        <v>2012</v>
      </c>
      <c r="B15" s="3" t="n">
        <v>1</v>
      </c>
      <c r="C15" s="3" t="n">
        <v>14</v>
      </c>
      <c r="D15" s="3" t="s">
        <v>19</v>
      </c>
      <c r="E15" s="4" t="n">
        <v>0</v>
      </c>
    </row>
    <row r="16" customFormat="false" ht="15" hidden="false" customHeight="false" outlineLevel="0" collapsed="false">
      <c r="A16" s="3" t="n">
        <v>2012</v>
      </c>
      <c r="B16" s="3" t="n">
        <v>1</v>
      </c>
      <c r="C16" s="3" t="n">
        <v>15</v>
      </c>
      <c r="D16" s="3" t="s">
        <v>20</v>
      </c>
      <c r="E16" s="4" t="n">
        <v>0</v>
      </c>
    </row>
    <row r="17" customFormat="false" ht="15" hidden="false" customHeight="false" outlineLevel="0" collapsed="false">
      <c r="A17" s="3" t="n">
        <v>2012</v>
      </c>
      <c r="B17" s="3" t="n">
        <v>1</v>
      </c>
      <c r="C17" s="3" t="n">
        <v>16</v>
      </c>
      <c r="D17" s="3" t="s">
        <v>21</v>
      </c>
      <c r="E17" s="4" t="n">
        <v>0</v>
      </c>
    </row>
    <row r="18" customFormat="false" ht="15" hidden="false" customHeight="false" outlineLevel="0" collapsed="false">
      <c r="A18" s="3" t="n">
        <v>2012</v>
      </c>
      <c r="B18" s="3" t="n">
        <v>1</v>
      </c>
      <c r="C18" s="3" t="n">
        <v>17</v>
      </c>
      <c r="D18" s="3" t="s">
        <v>22</v>
      </c>
      <c r="E18" s="4" t="n">
        <v>0</v>
      </c>
    </row>
    <row r="19" customFormat="false" ht="15" hidden="false" customHeight="false" outlineLevel="0" collapsed="false">
      <c r="A19" s="3" t="n">
        <v>2012</v>
      </c>
      <c r="B19" s="3" t="n">
        <v>1</v>
      </c>
      <c r="C19" s="3" t="n">
        <v>18</v>
      </c>
      <c r="D19" s="3" t="s">
        <v>23</v>
      </c>
      <c r="E19" s="4" t="n">
        <v>0</v>
      </c>
    </row>
    <row r="20" customFormat="false" ht="15" hidden="false" customHeight="false" outlineLevel="0" collapsed="false">
      <c r="A20" s="3" t="n">
        <v>2012</v>
      </c>
      <c r="B20" s="3" t="n">
        <v>1</v>
      </c>
      <c r="C20" s="3" t="n">
        <v>19</v>
      </c>
      <c r="D20" s="3" t="s">
        <v>24</v>
      </c>
      <c r="E20" s="4" t="n">
        <v>0</v>
      </c>
    </row>
    <row r="21" customFormat="false" ht="15" hidden="false" customHeight="false" outlineLevel="0" collapsed="false">
      <c r="A21" s="3" t="n">
        <v>2012</v>
      </c>
      <c r="B21" s="3" t="n">
        <v>1</v>
      </c>
      <c r="C21" s="3" t="n">
        <v>20</v>
      </c>
      <c r="D21" s="3" t="s">
        <v>25</v>
      </c>
      <c r="E21" s="4" t="n">
        <v>10</v>
      </c>
    </row>
    <row r="22" customFormat="false" ht="15" hidden="false" customHeight="false" outlineLevel="0" collapsed="false">
      <c r="A22" s="3" t="n">
        <v>2012</v>
      </c>
      <c r="B22" s="3" t="n">
        <v>1</v>
      </c>
      <c r="C22" s="3" t="n">
        <v>21</v>
      </c>
      <c r="D22" s="3" t="s">
        <v>26</v>
      </c>
      <c r="E22" s="4" t="n">
        <v>0</v>
      </c>
    </row>
    <row r="23" customFormat="false" ht="15" hidden="false" customHeight="false" outlineLevel="0" collapsed="false">
      <c r="A23" s="3" t="n">
        <v>2012</v>
      </c>
      <c r="B23" s="3" t="n">
        <v>1</v>
      </c>
      <c r="C23" s="3" t="n">
        <v>22</v>
      </c>
      <c r="D23" s="3" t="s">
        <v>27</v>
      </c>
      <c r="E23" s="4" t="n">
        <v>0</v>
      </c>
    </row>
    <row r="24" customFormat="false" ht="15" hidden="false" customHeight="false" outlineLevel="0" collapsed="false">
      <c r="A24" s="3" t="n">
        <v>2012</v>
      </c>
      <c r="B24" s="3" t="n">
        <v>1</v>
      </c>
      <c r="C24" s="3" t="n">
        <v>23</v>
      </c>
      <c r="D24" s="3" t="s">
        <v>28</v>
      </c>
      <c r="E24" s="4" t="n">
        <v>8</v>
      </c>
    </row>
    <row r="25" customFormat="false" ht="15" hidden="false" customHeight="false" outlineLevel="0" collapsed="false">
      <c r="A25" s="3" t="n">
        <v>2012</v>
      </c>
      <c r="B25" s="3" t="n">
        <v>1</v>
      </c>
      <c r="C25" s="3" t="n">
        <v>24</v>
      </c>
      <c r="D25" s="3" t="s">
        <v>29</v>
      </c>
      <c r="E25" s="4" t="n">
        <v>30</v>
      </c>
    </row>
    <row r="26" customFormat="false" ht="15" hidden="false" customHeight="false" outlineLevel="0" collapsed="false">
      <c r="A26" s="3" t="n">
        <v>2012</v>
      </c>
      <c r="B26" s="3" t="n">
        <v>1</v>
      </c>
      <c r="C26" s="3" t="n">
        <v>25</v>
      </c>
      <c r="D26" s="3" t="s">
        <v>30</v>
      </c>
      <c r="E26" s="4" t="n">
        <v>0</v>
      </c>
    </row>
    <row r="27" customFormat="false" ht="15" hidden="false" customHeight="false" outlineLevel="0" collapsed="false">
      <c r="A27" s="3" t="n">
        <v>2012</v>
      </c>
      <c r="B27" s="3" t="n">
        <v>1</v>
      </c>
      <c r="C27" s="3" t="n">
        <v>26</v>
      </c>
      <c r="D27" s="3" t="s">
        <v>31</v>
      </c>
      <c r="E27" s="4" t="n">
        <v>6</v>
      </c>
    </row>
    <row r="28" customFormat="false" ht="15" hidden="false" customHeight="false" outlineLevel="0" collapsed="false">
      <c r="A28" s="3" t="n">
        <v>2012</v>
      </c>
      <c r="B28" s="3" t="n">
        <v>1</v>
      </c>
      <c r="C28" s="3" t="n">
        <v>27</v>
      </c>
      <c r="D28" s="3" t="s">
        <v>32</v>
      </c>
      <c r="E28" s="4" t="n">
        <v>7</v>
      </c>
    </row>
    <row r="29" customFormat="false" ht="15" hidden="false" customHeight="false" outlineLevel="0" collapsed="false">
      <c r="A29" s="3" t="n">
        <v>2012</v>
      </c>
      <c r="B29" s="3" t="n">
        <v>1</v>
      </c>
      <c r="C29" s="3" t="n">
        <v>28</v>
      </c>
      <c r="D29" s="3" t="s">
        <v>33</v>
      </c>
      <c r="E29" s="4" t="n">
        <v>30</v>
      </c>
    </row>
    <row r="30" customFormat="false" ht="15" hidden="false" customHeight="false" outlineLevel="0" collapsed="false">
      <c r="A30" s="3" t="n">
        <v>2012</v>
      </c>
      <c r="B30" s="3" t="n">
        <v>1</v>
      </c>
      <c r="C30" s="3" t="n">
        <v>29</v>
      </c>
      <c r="D30" s="3" t="s">
        <v>34</v>
      </c>
      <c r="E30" s="4" t="n">
        <v>0</v>
      </c>
    </row>
    <row r="31" customFormat="false" ht="15" hidden="false" customHeight="false" outlineLevel="0" collapsed="false">
      <c r="A31" s="3" t="n">
        <v>2012</v>
      </c>
      <c r="B31" s="3" t="n">
        <v>1</v>
      </c>
      <c r="C31" s="3" t="n">
        <v>30</v>
      </c>
      <c r="D31" s="3" t="s">
        <v>35</v>
      </c>
      <c r="E31" s="4" t="n">
        <v>0</v>
      </c>
    </row>
    <row r="32" customFormat="false" ht="15" hidden="false" customHeight="false" outlineLevel="0" collapsed="false">
      <c r="A32" s="3" t="n">
        <v>2012</v>
      </c>
      <c r="B32" s="3" t="n">
        <v>1</v>
      </c>
      <c r="C32" s="3" t="n">
        <v>31</v>
      </c>
      <c r="D32" s="3" t="s">
        <v>36</v>
      </c>
      <c r="E32" s="4" t="n">
        <v>0</v>
      </c>
    </row>
    <row r="33" customFormat="false" ht="15" hidden="false" customHeight="false" outlineLevel="0" collapsed="false">
      <c r="A33" s="3" t="n">
        <v>2012</v>
      </c>
      <c r="B33" s="3" t="n">
        <v>2</v>
      </c>
      <c r="C33" s="3" t="n">
        <v>1</v>
      </c>
      <c r="D33" s="3" t="s">
        <v>37</v>
      </c>
      <c r="E33" s="4" t="n">
        <v>3</v>
      </c>
    </row>
    <row r="34" customFormat="false" ht="15" hidden="false" customHeight="false" outlineLevel="0" collapsed="false">
      <c r="A34" s="3" t="n">
        <v>2012</v>
      </c>
      <c r="B34" s="3" t="n">
        <v>2</v>
      </c>
      <c r="C34" s="3" t="n">
        <v>2</v>
      </c>
      <c r="D34" s="3" t="s">
        <v>38</v>
      </c>
      <c r="E34" s="4" t="n">
        <v>0</v>
      </c>
    </row>
    <row r="35" customFormat="false" ht="15" hidden="false" customHeight="false" outlineLevel="0" collapsed="false">
      <c r="A35" s="3" t="n">
        <v>2012</v>
      </c>
      <c r="B35" s="3" t="n">
        <v>2</v>
      </c>
      <c r="C35" s="3" t="n">
        <v>3</v>
      </c>
      <c r="D35" s="3" t="s">
        <v>39</v>
      </c>
      <c r="E35" s="4" t="n">
        <v>30</v>
      </c>
    </row>
    <row r="36" customFormat="false" ht="15" hidden="false" customHeight="false" outlineLevel="0" collapsed="false">
      <c r="A36" s="3" t="n">
        <v>2012</v>
      </c>
      <c r="B36" s="3" t="n">
        <v>2</v>
      </c>
      <c r="C36" s="3" t="n">
        <v>4</v>
      </c>
      <c r="D36" s="3" t="s">
        <v>40</v>
      </c>
      <c r="E36" s="4" t="n">
        <v>32</v>
      </c>
    </row>
    <row r="37" customFormat="false" ht="15" hidden="false" customHeight="false" outlineLevel="0" collapsed="false">
      <c r="A37" s="3" t="n">
        <v>2012</v>
      </c>
      <c r="B37" s="3" t="n">
        <v>2</v>
      </c>
      <c r="C37" s="3" t="n">
        <v>5</v>
      </c>
      <c r="D37" s="3" t="s">
        <v>41</v>
      </c>
      <c r="E37" s="4" t="n">
        <v>35</v>
      </c>
    </row>
    <row r="38" customFormat="false" ht="15" hidden="false" customHeight="false" outlineLevel="0" collapsed="false">
      <c r="A38" s="3" t="n">
        <v>2012</v>
      </c>
      <c r="B38" s="3" t="n">
        <v>2</v>
      </c>
      <c r="C38" s="3" t="n">
        <v>6</v>
      </c>
      <c r="D38" s="3" t="s">
        <v>42</v>
      </c>
      <c r="E38" s="4" t="n">
        <v>0</v>
      </c>
    </row>
    <row r="39" customFormat="false" ht="15" hidden="false" customHeight="false" outlineLevel="0" collapsed="false">
      <c r="A39" s="3" t="n">
        <v>2012</v>
      </c>
      <c r="B39" s="3" t="n">
        <v>2</v>
      </c>
      <c r="C39" s="3" t="n">
        <v>7</v>
      </c>
      <c r="D39" s="3" t="s">
        <v>43</v>
      </c>
      <c r="E39" s="4" t="n">
        <v>28</v>
      </c>
    </row>
    <row r="40" customFormat="false" ht="15" hidden="false" customHeight="false" outlineLevel="0" collapsed="false">
      <c r="A40" s="3" t="n">
        <v>2012</v>
      </c>
      <c r="B40" s="3" t="n">
        <v>2</v>
      </c>
      <c r="C40" s="3" t="n">
        <v>8</v>
      </c>
      <c r="D40" s="3" t="s">
        <v>44</v>
      </c>
      <c r="E40" s="4" t="n">
        <v>16</v>
      </c>
    </row>
    <row r="41" customFormat="false" ht="15" hidden="false" customHeight="false" outlineLevel="0" collapsed="false">
      <c r="A41" s="3" t="n">
        <v>2012</v>
      </c>
      <c r="B41" s="3" t="n">
        <v>2</v>
      </c>
      <c r="C41" s="3" t="n">
        <v>9</v>
      </c>
      <c r="D41" s="3" t="s">
        <v>45</v>
      </c>
      <c r="E41" s="4" t="n">
        <v>0</v>
      </c>
    </row>
    <row r="42" customFormat="false" ht="15" hidden="false" customHeight="false" outlineLevel="0" collapsed="false">
      <c r="A42" s="3" t="n">
        <v>2012</v>
      </c>
      <c r="B42" s="3" t="n">
        <v>2</v>
      </c>
      <c r="C42" s="3" t="n">
        <v>10</v>
      </c>
      <c r="D42" s="3" t="s">
        <v>46</v>
      </c>
      <c r="E42" s="4" t="n">
        <v>0</v>
      </c>
    </row>
    <row r="43" customFormat="false" ht="15" hidden="false" customHeight="false" outlineLevel="0" collapsed="false">
      <c r="A43" s="3" t="n">
        <v>2012</v>
      </c>
      <c r="B43" s="3" t="n">
        <v>2</v>
      </c>
      <c r="C43" s="3" t="n">
        <v>11</v>
      </c>
      <c r="D43" s="3" t="s">
        <v>47</v>
      </c>
      <c r="E43" s="4" t="n">
        <v>0</v>
      </c>
    </row>
    <row r="44" customFormat="false" ht="15" hidden="false" customHeight="false" outlineLevel="0" collapsed="false">
      <c r="A44" s="3" t="n">
        <v>2012</v>
      </c>
      <c r="B44" s="3" t="n">
        <v>2</v>
      </c>
      <c r="C44" s="3" t="n">
        <v>12</v>
      </c>
      <c r="D44" s="3" t="s">
        <v>48</v>
      </c>
      <c r="E44" s="4" t="n">
        <v>10</v>
      </c>
    </row>
    <row r="45" customFormat="false" ht="15" hidden="false" customHeight="false" outlineLevel="0" collapsed="false">
      <c r="A45" s="3" t="n">
        <v>2012</v>
      </c>
      <c r="B45" s="3" t="n">
        <v>2</v>
      </c>
      <c r="C45" s="3" t="n">
        <v>13</v>
      </c>
      <c r="D45" s="3" t="s">
        <v>49</v>
      </c>
      <c r="E45" s="4" t="n">
        <v>10</v>
      </c>
    </row>
    <row r="46" customFormat="false" ht="15" hidden="false" customHeight="false" outlineLevel="0" collapsed="false">
      <c r="A46" s="3" t="n">
        <v>2012</v>
      </c>
      <c r="B46" s="3" t="n">
        <v>2</v>
      </c>
      <c r="C46" s="3" t="n">
        <v>14</v>
      </c>
      <c r="D46" s="3" t="s">
        <v>50</v>
      </c>
      <c r="E46" s="4" t="n">
        <v>30</v>
      </c>
    </row>
    <row r="47" customFormat="false" ht="15" hidden="false" customHeight="false" outlineLevel="0" collapsed="false">
      <c r="A47" s="3" t="n">
        <v>2012</v>
      </c>
      <c r="B47" s="3" t="n">
        <v>2</v>
      </c>
      <c r="C47" s="3" t="n">
        <v>15</v>
      </c>
      <c r="D47" s="3" t="s">
        <v>51</v>
      </c>
      <c r="E47" s="4" t="n">
        <v>0</v>
      </c>
    </row>
    <row r="48" customFormat="false" ht="15" hidden="false" customHeight="false" outlineLevel="0" collapsed="false">
      <c r="A48" s="3" t="n">
        <v>2012</v>
      </c>
      <c r="B48" s="3" t="n">
        <v>2</v>
      </c>
      <c r="C48" s="3" t="n">
        <v>16</v>
      </c>
      <c r="D48" s="3" t="s">
        <v>52</v>
      </c>
      <c r="E48" s="4" t="n">
        <v>0</v>
      </c>
    </row>
    <row r="49" customFormat="false" ht="15" hidden="false" customHeight="false" outlineLevel="0" collapsed="false">
      <c r="A49" s="3" t="n">
        <v>2012</v>
      </c>
      <c r="B49" s="3" t="n">
        <v>2</v>
      </c>
      <c r="C49" s="3" t="n">
        <v>17</v>
      </c>
      <c r="D49" s="3" t="s">
        <v>53</v>
      </c>
      <c r="E49" s="4" t="n">
        <v>0</v>
      </c>
    </row>
    <row r="50" customFormat="false" ht="15" hidden="false" customHeight="false" outlineLevel="0" collapsed="false">
      <c r="A50" s="3" t="n">
        <v>2012</v>
      </c>
      <c r="B50" s="3" t="n">
        <v>2</v>
      </c>
      <c r="C50" s="3" t="n">
        <v>18</v>
      </c>
      <c r="D50" s="3" t="s">
        <v>54</v>
      </c>
      <c r="E50" s="4" t="n">
        <v>2</v>
      </c>
    </row>
    <row r="51" customFormat="false" ht="15" hidden="false" customHeight="false" outlineLevel="0" collapsed="false">
      <c r="A51" s="3" t="n">
        <v>2012</v>
      </c>
      <c r="B51" s="3" t="n">
        <v>2</v>
      </c>
      <c r="C51" s="3" t="n">
        <v>19</v>
      </c>
      <c r="D51" s="3" t="s">
        <v>55</v>
      </c>
      <c r="E51" s="4" t="n">
        <v>3</v>
      </c>
    </row>
    <row r="52" customFormat="false" ht="15" hidden="false" customHeight="false" outlineLevel="0" collapsed="false">
      <c r="A52" s="3" t="n">
        <v>2012</v>
      </c>
      <c r="B52" s="3" t="n">
        <v>2</v>
      </c>
      <c r="C52" s="3" t="n">
        <v>20</v>
      </c>
      <c r="D52" s="3" t="s">
        <v>56</v>
      </c>
      <c r="E52" s="4" t="n">
        <v>5</v>
      </c>
    </row>
    <row r="53" customFormat="false" ht="15" hidden="false" customHeight="false" outlineLevel="0" collapsed="false">
      <c r="A53" s="3" t="n">
        <v>2012</v>
      </c>
      <c r="B53" s="3" t="n">
        <v>2</v>
      </c>
      <c r="C53" s="3" t="n">
        <v>21</v>
      </c>
      <c r="D53" s="3" t="s">
        <v>57</v>
      </c>
      <c r="E53" s="4" t="n">
        <v>0</v>
      </c>
    </row>
    <row r="54" customFormat="false" ht="15" hidden="false" customHeight="false" outlineLevel="0" collapsed="false">
      <c r="A54" s="3" t="n">
        <v>2012</v>
      </c>
      <c r="B54" s="3" t="n">
        <v>2</v>
      </c>
      <c r="C54" s="3" t="n">
        <v>22</v>
      </c>
      <c r="D54" s="3" t="s">
        <v>58</v>
      </c>
      <c r="E54" s="4" t="n">
        <v>0</v>
      </c>
    </row>
    <row r="55" customFormat="false" ht="15" hidden="false" customHeight="false" outlineLevel="0" collapsed="false">
      <c r="A55" s="3" t="n">
        <v>2012</v>
      </c>
      <c r="B55" s="3" t="n">
        <v>2</v>
      </c>
      <c r="C55" s="3" t="n">
        <v>23</v>
      </c>
      <c r="D55" s="3" t="s">
        <v>59</v>
      </c>
      <c r="E55" s="4" t="n">
        <v>10</v>
      </c>
    </row>
    <row r="56" customFormat="false" ht="15" hidden="false" customHeight="false" outlineLevel="0" collapsed="false">
      <c r="A56" s="3" t="n">
        <v>2012</v>
      </c>
      <c r="B56" s="3" t="n">
        <v>2</v>
      </c>
      <c r="C56" s="3" t="n">
        <v>24</v>
      </c>
      <c r="D56" s="3" t="s">
        <v>60</v>
      </c>
      <c r="E56" s="4" t="n">
        <v>0</v>
      </c>
    </row>
    <row r="57" customFormat="false" ht="15" hidden="false" customHeight="false" outlineLevel="0" collapsed="false">
      <c r="A57" s="3" t="n">
        <v>2012</v>
      </c>
      <c r="B57" s="3" t="n">
        <v>2</v>
      </c>
      <c r="C57" s="3" t="n">
        <v>25</v>
      </c>
      <c r="D57" s="3" t="s">
        <v>61</v>
      </c>
      <c r="E57" s="4" t="n">
        <v>30</v>
      </c>
    </row>
    <row r="58" customFormat="false" ht="15" hidden="false" customHeight="false" outlineLevel="0" collapsed="false">
      <c r="A58" s="3" t="n">
        <v>2012</v>
      </c>
      <c r="B58" s="3" t="n">
        <v>2</v>
      </c>
      <c r="C58" s="3" t="n">
        <v>26</v>
      </c>
      <c r="D58" s="3" t="s">
        <v>62</v>
      </c>
      <c r="E58" s="4" t="n">
        <v>35</v>
      </c>
    </row>
    <row r="59" customFormat="false" ht="15" hidden="false" customHeight="false" outlineLevel="0" collapsed="false">
      <c r="A59" s="3" t="n">
        <v>2012</v>
      </c>
      <c r="B59" s="3" t="n">
        <v>2</v>
      </c>
      <c r="C59" s="3" t="n">
        <v>27</v>
      </c>
      <c r="D59" s="3" t="s">
        <v>63</v>
      </c>
      <c r="E59" s="4" t="n">
        <v>42</v>
      </c>
    </row>
    <row r="60" customFormat="false" ht="15" hidden="false" customHeight="false" outlineLevel="0" collapsed="false">
      <c r="A60" s="3" t="n">
        <v>2012</v>
      </c>
      <c r="B60" s="3" t="n">
        <v>2</v>
      </c>
      <c r="C60" s="3" t="n">
        <v>28</v>
      </c>
      <c r="D60" s="3" t="s">
        <v>64</v>
      </c>
      <c r="E60" s="4" t="n">
        <v>19</v>
      </c>
    </row>
    <row r="61" customFormat="false" ht="15" hidden="false" customHeight="false" outlineLevel="0" collapsed="false">
      <c r="A61" s="3" t="n">
        <v>2012</v>
      </c>
      <c r="B61" s="3" t="n">
        <v>2</v>
      </c>
      <c r="C61" s="3" t="n">
        <v>29</v>
      </c>
      <c r="D61" s="3" t="s">
        <v>65</v>
      </c>
      <c r="E61" s="4" t="n">
        <v>0</v>
      </c>
    </row>
    <row r="62" customFormat="false" ht="15" hidden="false" customHeight="false" outlineLevel="0" collapsed="false">
      <c r="A62" s="3" t="n">
        <v>2012</v>
      </c>
      <c r="B62" s="3" t="n">
        <v>3</v>
      </c>
      <c r="C62" s="3" t="n">
        <v>1</v>
      </c>
      <c r="D62" s="3" t="s">
        <v>66</v>
      </c>
      <c r="E62" s="4" t="n">
        <v>0</v>
      </c>
    </row>
    <row r="63" customFormat="false" ht="15" hidden="false" customHeight="false" outlineLevel="0" collapsed="false">
      <c r="A63" s="3" t="n">
        <v>2012</v>
      </c>
      <c r="B63" s="3" t="n">
        <v>3</v>
      </c>
      <c r="C63" s="3" t="n">
        <v>2</v>
      </c>
      <c r="D63" s="3" t="s">
        <v>67</v>
      </c>
      <c r="E63" s="4" t="n">
        <v>20</v>
      </c>
    </row>
    <row r="64" customFormat="false" ht="15" hidden="false" customHeight="false" outlineLevel="0" collapsed="false">
      <c r="A64" s="3" t="n">
        <v>2012</v>
      </c>
      <c r="B64" s="3" t="n">
        <v>3</v>
      </c>
      <c r="C64" s="3" t="n">
        <v>3</v>
      </c>
      <c r="D64" s="3" t="s">
        <v>68</v>
      </c>
      <c r="E64" s="4" t="n">
        <v>0</v>
      </c>
    </row>
    <row r="65" customFormat="false" ht="15" hidden="false" customHeight="false" outlineLevel="0" collapsed="false">
      <c r="A65" s="3" t="n">
        <v>2012</v>
      </c>
      <c r="B65" s="3" t="n">
        <v>3</v>
      </c>
      <c r="C65" s="3" t="n">
        <v>4</v>
      </c>
      <c r="D65" s="3" t="s">
        <v>69</v>
      </c>
      <c r="E65" s="4" t="n">
        <v>0</v>
      </c>
    </row>
    <row r="66" customFormat="false" ht="15" hidden="false" customHeight="false" outlineLevel="0" collapsed="false">
      <c r="A66" s="3" t="n">
        <v>2012</v>
      </c>
      <c r="B66" s="3" t="n">
        <v>3</v>
      </c>
      <c r="C66" s="3" t="n">
        <v>5</v>
      </c>
      <c r="D66" s="3" t="s">
        <v>70</v>
      </c>
      <c r="E66" s="4" t="n">
        <v>0</v>
      </c>
    </row>
    <row r="67" customFormat="false" ht="15" hidden="false" customHeight="false" outlineLevel="0" collapsed="false">
      <c r="A67" s="3" t="n">
        <v>2012</v>
      </c>
      <c r="B67" s="3" t="n">
        <v>3</v>
      </c>
      <c r="C67" s="3" t="n">
        <v>6</v>
      </c>
      <c r="D67" s="3" t="s">
        <v>71</v>
      </c>
      <c r="E67" s="4" t="n">
        <v>0</v>
      </c>
    </row>
    <row r="68" customFormat="false" ht="15" hidden="false" customHeight="false" outlineLevel="0" collapsed="false">
      <c r="A68" s="3" t="n">
        <v>2012</v>
      </c>
      <c r="B68" s="3" t="n">
        <v>3</v>
      </c>
      <c r="C68" s="3" t="n">
        <v>7</v>
      </c>
      <c r="D68" s="3" t="s">
        <v>72</v>
      </c>
      <c r="E68" s="4" t="n">
        <v>0</v>
      </c>
    </row>
    <row r="69" customFormat="false" ht="15" hidden="false" customHeight="false" outlineLevel="0" collapsed="false">
      <c r="A69" s="3" t="n">
        <v>2012</v>
      </c>
      <c r="B69" s="3" t="n">
        <v>3</v>
      </c>
      <c r="C69" s="3" t="n">
        <v>8</v>
      </c>
      <c r="D69" s="3" t="s">
        <v>73</v>
      </c>
      <c r="E69" s="4" t="n">
        <v>80</v>
      </c>
    </row>
    <row r="70" customFormat="false" ht="15" hidden="false" customHeight="false" outlineLevel="0" collapsed="false">
      <c r="A70" s="3" t="n">
        <v>2012</v>
      </c>
      <c r="B70" s="3" t="n">
        <v>3</v>
      </c>
      <c r="C70" s="3" t="n">
        <v>9</v>
      </c>
      <c r="D70" s="3" t="s">
        <v>74</v>
      </c>
      <c r="E70" s="4" t="n">
        <v>0</v>
      </c>
    </row>
    <row r="71" customFormat="false" ht="15" hidden="false" customHeight="false" outlineLevel="0" collapsed="false">
      <c r="A71" s="3" t="n">
        <v>2012</v>
      </c>
      <c r="B71" s="3" t="n">
        <v>3</v>
      </c>
      <c r="C71" s="3" t="n">
        <v>10</v>
      </c>
      <c r="D71" s="3" t="s">
        <v>75</v>
      </c>
      <c r="E71" s="4" t="n">
        <v>0</v>
      </c>
    </row>
    <row r="72" customFormat="false" ht="15" hidden="false" customHeight="false" outlineLevel="0" collapsed="false">
      <c r="A72" s="3" t="n">
        <v>2012</v>
      </c>
      <c r="B72" s="3" t="n">
        <v>3</v>
      </c>
      <c r="C72" s="3" t="n">
        <v>11</v>
      </c>
      <c r="D72" s="3" t="s">
        <v>76</v>
      </c>
      <c r="E72" s="4" t="n">
        <v>0</v>
      </c>
    </row>
    <row r="73" customFormat="false" ht="15" hidden="false" customHeight="false" outlineLevel="0" collapsed="false">
      <c r="A73" s="3" t="n">
        <v>2012</v>
      </c>
      <c r="B73" s="3" t="n">
        <v>3</v>
      </c>
      <c r="C73" s="3" t="n">
        <v>12</v>
      </c>
      <c r="D73" s="3" t="s">
        <v>77</v>
      </c>
      <c r="E73" s="4" t="n">
        <v>0</v>
      </c>
    </row>
    <row r="74" customFormat="false" ht="15" hidden="false" customHeight="false" outlineLevel="0" collapsed="false">
      <c r="A74" s="3" t="n">
        <v>2012</v>
      </c>
      <c r="B74" s="3" t="n">
        <v>3</v>
      </c>
      <c r="C74" s="3" t="n">
        <v>13</v>
      </c>
      <c r="D74" s="3" t="s">
        <v>78</v>
      </c>
      <c r="E74" s="4" t="n">
        <v>30</v>
      </c>
    </row>
    <row r="75" customFormat="false" ht="15" hidden="false" customHeight="false" outlineLevel="0" collapsed="false">
      <c r="A75" s="3" t="n">
        <v>2012</v>
      </c>
      <c r="B75" s="3" t="n">
        <v>3</v>
      </c>
      <c r="C75" s="3" t="n">
        <v>14</v>
      </c>
      <c r="D75" s="3" t="s">
        <v>79</v>
      </c>
      <c r="E75" s="4" t="n">
        <v>50</v>
      </c>
    </row>
    <row r="76" customFormat="false" ht="15" hidden="false" customHeight="false" outlineLevel="0" collapsed="false">
      <c r="A76" s="3" t="n">
        <v>2012</v>
      </c>
      <c r="B76" s="3" t="n">
        <v>3</v>
      </c>
      <c r="C76" s="3" t="n">
        <v>15</v>
      </c>
      <c r="D76" s="3" t="s">
        <v>80</v>
      </c>
      <c r="E76" s="4" t="n">
        <v>11</v>
      </c>
    </row>
    <row r="77" customFormat="false" ht="15" hidden="false" customHeight="false" outlineLevel="0" collapsed="false">
      <c r="A77" s="3" t="n">
        <v>2012</v>
      </c>
      <c r="B77" s="3" t="n">
        <v>3</v>
      </c>
      <c r="C77" s="3" t="n">
        <v>16</v>
      </c>
      <c r="D77" s="3" t="s">
        <v>81</v>
      </c>
      <c r="E77" s="4" t="n">
        <v>0</v>
      </c>
    </row>
    <row r="78" customFormat="false" ht="15" hidden="false" customHeight="false" outlineLevel="0" collapsed="false">
      <c r="A78" s="3" t="n">
        <v>2012</v>
      </c>
      <c r="B78" s="3" t="n">
        <v>3</v>
      </c>
      <c r="C78" s="3" t="n">
        <v>17</v>
      </c>
      <c r="D78" s="3" t="s">
        <v>82</v>
      </c>
      <c r="E78" s="4" t="n">
        <v>0</v>
      </c>
    </row>
    <row r="79" customFormat="false" ht="15" hidden="false" customHeight="false" outlineLevel="0" collapsed="false">
      <c r="A79" s="3" t="n">
        <v>2012</v>
      </c>
      <c r="B79" s="3" t="n">
        <v>3</v>
      </c>
      <c r="C79" s="3" t="n">
        <v>18</v>
      </c>
      <c r="D79" s="3" t="s">
        <v>83</v>
      </c>
      <c r="E79" s="4" t="n">
        <v>0</v>
      </c>
    </row>
    <row r="80" customFormat="false" ht="15" hidden="false" customHeight="false" outlineLevel="0" collapsed="false">
      <c r="A80" s="3" t="n">
        <v>2012</v>
      </c>
      <c r="B80" s="3" t="n">
        <v>3</v>
      </c>
      <c r="C80" s="3" t="n">
        <v>19</v>
      </c>
      <c r="D80" s="3" t="s">
        <v>84</v>
      </c>
      <c r="E80" s="4" t="n">
        <v>0</v>
      </c>
    </row>
    <row r="81" customFormat="false" ht="15" hidden="false" customHeight="false" outlineLevel="0" collapsed="false">
      <c r="A81" s="3" t="n">
        <v>2012</v>
      </c>
      <c r="B81" s="3" t="n">
        <v>3</v>
      </c>
      <c r="C81" s="3" t="n">
        <v>20</v>
      </c>
      <c r="D81" s="3" t="s">
        <v>85</v>
      </c>
      <c r="E81" s="4" t="n">
        <v>0</v>
      </c>
    </row>
    <row r="82" customFormat="false" ht="15" hidden="false" customHeight="false" outlineLevel="0" collapsed="false">
      <c r="A82" s="3" t="n">
        <v>2012</v>
      </c>
      <c r="B82" s="3" t="n">
        <v>3</v>
      </c>
      <c r="C82" s="3" t="n">
        <v>21</v>
      </c>
      <c r="D82" s="3" t="s">
        <v>86</v>
      </c>
      <c r="E82" s="4" t="n">
        <v>0</v>
      </c>
    </row>
    <row r="83" customFormat="false" ht="15" hidden="false" customHeight="false" outlineLevel="0" collapsed="false">
      <c r="A83" s="3" t="n">
        <v>2012</v>
      </c>
      <c r="B83" s="3" t="n">
        <v>3</v>
      </c>
      <c r="C83" s="3" t="n">
        <v>22</v>
      </c>
      <c r="D83" s="3" t="s">
        <v>87</v>
      </c>
      <c r="E83" s="4" t="n">
        <v>0</v>
      </c>
    </row>
    <row r="84" customFormat="false" ht="15" hidden="false" customHeight="false" outlineLevel="0" collapsed="false">
      <c r="A84" s="3" t="n">
        <v>2012</v>
      </c>
      <c r="B84" s="3" t="n">
        <v>3</v>
      </c>
      <c r="C84" s="3" t="n">
        <v>23</v>
      </c>
      <c r="D84" s="3" t="s">
        <v>88</v>
      </c>
      <c r="E84" s="4" t="n">
        <v>0</v>
      </c>
    </row>
    <row r="85" customFormat="false" ht="15" hidden="false" customHeight="false" outlineLevel="0" collapsed="false">
      <c r="A85" s="3" t="n">
        <v>2012</v>
      </c>
      <c r="B85" s="3" t="n">
        <v>3</v>
      </c>
      <c r="C85" s="3" t="n">
        <v>24</v>
      </c>
      <c r="D85" s="3" t="s">
        <v>89</v>
      </c>
      <c r="E85" s="4" t="n">
        <v>0</v>
      </c>
    </row>
    <row r="86" customFormat="false" ht="15" hidden="false" customHeight="false" outlineLevel="0" collapsed="false">
      <c r="A86" s="3" t="n">
        <v>2012</v>
      </c>
      <c r="B86" s="3" t="n">
        <v>3</v>
      </c>
      <c r="C86" s="3" t="n">
        <v>25</v>
      </c>
      <c r="D86" s="3" t="s">
        <v>90</v>
      </c>
      <c r="E86" s="4" t="n">
        <v>0</v>
      </c>
    </row>
    <row r="87" customFormat="false" ht="15" hidden="false" customHeight="false" outlineLevel="0" collapsed="false">
      <c r="A87" s="3" t="n">
        <v>2012</v>
      </c>
      <c r="B87" s="3" t="n">
        <v>3</v>
      </c>
      <c r="C87" s="3" t="n">
        <v>26</v>
      </c>
      <c r="D87" s="3" t="s">
        <v>91</v>
      </c>
      <c r="E87" s="4" t="n">
        <v>0</v>
      </c>
    </row>
    <row r="88" customFormat="false" ht="15" hidden="false" customHeight="false" outlineLevel="0" collapsed="false">
      <c r="A88" s="3" t="n">
        <v>2012</v>
      </c>
      <c r="B88" s="3" t="n">
        <v>3</v>
      </c>
      <c r="C88" s="3" t="n">
        <v>27</v>
      </c>
      <c r="D88" s="3" t="s">
        <v>92</v>
      </c>
      <c r="E88" s="4" t="n">
        <v>0</v>
      </c>
    </row>
    <row r="89" customFormat="false" ht="15" hidden="false" customHeight="false" outlineLevel="0" collapsed="false">
      <c r="A89" s="3" t="n">
        <v>2012</v>
      </c>
      <c r="B89" s="3" t="n">
        <v>3</v>
      </c>
      <c r="C89" s="3" t="n">
        <v>28</v>
      </c>
      <c r="D89" s="3" t="s">
        <v>93</v>
      </c>
      <c r="E89" s="4" t="n">
        <v>48</v>
      </c>
    </row>
    <row r="90" customFormat="false" ht="15" hidden="false" customHeight="false" outlineLevel="0" collapsed="false">
      <c r="A90" s="3" t="n">
        <v>2012</v>
      </c>
      <c r="B90" s="3" t="n">
        <v>3</v>
      </c>
      <c r="C90" s="3" t="n">
        <v>29</v>
      </c>
      <c r="D90" s="3" t="s">
        <v>94</v>
      </c>
      <c r="E90" s="4" t="n">
        <v>5</v>
      </c>
    </row>
    <row r="91" customFormat="false" ht="15" hidden="false" customHeight="false" outlineLevel="0" collapsed="false">
      <c r="A91" s="3" t="n">
        <v>2012</v>
      </c>
      <c r="B91" s="3" t="n">
        <v>3</v>
      </c>
      <c r="C91" s="3" t="n">
        <v>30</v>
      </c>
      <c r="D91" s="3" t="s">
        <v>95</v>
      </c>
      <c r="E91" s="4" t="n">
        <v>0</v>
      </c>
    </row>
    <row r="92" customFormat="false" ht="15" hidden="false" customHeight="false" outlineLevel="0" collapsed="false">
      <c r="A92" s="3" t="n">
        <v>2012</v>
      </c>
      <c r="B92" s="3" t="n">
        <v>3</v>
      </c>
      <c r="C92" s="3" t="n">
        <v>31</v>
      </c>
      <c r="D92" s="3" t="s">
        <v>96</v>
      </c>
      <c r="E92" s="4" t="n">
        <v>0</v>
      </c>
    </row>
    <row r="93" customFormat="false" ht="15" hidden="false" customHeight="false" outlineLevel="0" collapsed="false">
      <c r="A93" s="3" t="n">
        <v>2012</v>
      </c>
      <c r="B93" s="3" t="n">
        <v>4</v>
      </c>
      <c r="C93" s="3" t="n">
        <v>1</v>
      </c>
      <c r="D93" s="3" t="s">
        <v>97</v>
      </c>
      <c r="E93" s="4" t="n">
        <v>0</v>
      </c>
    </row>
    <row r="94" customFormat="false" ht="15" hidden="false" customHeight="false" outlineLevel="0" collapsed="false">
      <c r="A94" s="3" t="n">
        <v>2012</v>
      </c>
      <c r="B94" s="3" t="n">
        <v>4</v>
      </c>
      <c r="C94" s="3" t="n">
        <v>2</v>
      </c>
      <c r="D94" s="3" t="s">
        <v>98</v>
      </c>
      <c r="E94" s="4" t="n">
        <v>8</v>
      </c>
    </row>
    <row r="95" customFormat="false" ht="15" hidden="false" customHeight="false" outlineLevel="0" collapsed="false">
      <c r="A95" s="3" t="n">
        <v>2012</v>
      </c>
      <c r="B95" s="3" t="n">
        <v>4</v>
      </c>
      <c r="C95" s="3" t="n">
        <v>3</v>
      </c>
      <c r="D95" s="3" t="s">
        <v>99</v>
      </c>
      <c r="E95" s="4" t="n">
        <v>0</v>
      </c>
    </row>
    <row r="96" customFormat="false" ht="15" hidden="false" customHeight="false" outlineLevel="0" collapsed="false">
      <c r="A96" s="3" t="n">
        <v>2012</v>
      </c>
      <c r="B96" s="3" t="n">
        <v>4</v>
      </c>
      <c r="C96" s="3" t="n">
        <v>4</v>
      </c>
      <c r="D96" s="3" t="s">
        <v>100</v>
      </c>
      <c r="E96" s="4" t="n">
        <v>0</v>
      </c>
    </row>
    <row r="97" customFormat="false" ht="15" hidden="false" customHeight="false" outlineLevel="0" collapsed="false">
      <c r="A97" s="3" t="n">
        <v>2012</v>
      </c>
      <c r="B97" s="3" t="n">
        <v>4</v>
      </c>
      <c r="C97" s="3" t="n">
        <v>5</v>
      </c>
      <c r="D97" s="3" t="s">
        <v>101</v>
      </c>
      <c r="E97" s="4" t="n">
        <v>0</v>
      </c>
    </row>
    <row r="98" customFormat="false" ht="15" hidden="false" customHeight="false" outlineLevel="0" collapsed="false">
      <c r="A98" s="3" t="n">
        <v>2012</v>
      </c>
      <c r="B98" s="3" t="n">
        <v>4</v>
      </c>
      <c r="C98" s="3" t="n">
        <v>6</v>
      </c>
      <c r="D98" s="3" t="s">
        <v>102</v>
      </c>
      <c r="E98" s="4" t="n">
        <v>0</v>
      </c>
    </row>
    <row r="99" customFormat="false" ht="15" hidden="false" customHeight="false" outlineLevel="0" collapsed="false">
      <c r="A99" s="3" t="n">
        <v>2012</v>
      </c>
      <c r="B99" s="3" t="n">
        <v>4</v>
      </c>
      <c r="C99" s="3" t="n">
        <v>7</v>
      </c>
      <c r="D99" s="3" t="s">
        <v>103</v>
      </c>
      <c r="E99" s="4" t="n">
        <v>0</v>
      </c>
    </row>
    <row r="100" customFormat="false" ht="15" hidden="false" customHeight="false" outlineLevel="0" collapsed="false">
      <c r="A100" s="3" t="n">
        <v>2012</v>
      </c>
      <c r="B100" s="3" t="n">
        <v>4</v>
      </c>
      <c r="C100" s="3" t="n">
        <v>8</v>
      </c>
      <c r="D100" s="3" t="s">
        <v>104</v>
      </c>
      <c r="E100" s="4" t="n">
        <v>29</v>
      </c>
    </row>
    <row r="101" customFormat="false" ht="15" hidden="false" customHeight="false" outlineLevel="0" collapsed="false">
      <c r="A101" s="3" t="n">
        <v>2012</v>
      </c>
      <c r="B101" s="3" t="n">
        <v>4</v>
      </c>
      <c r="C101" s="3" t="n">
        <v>9</v>
      </c>
      <c r="D101" s="3" t="s">
        <v>105</v>
      </c>
      <c r="E101" s="4" t="n">
        <v>0</v>
      </c>
    </row>
    <row r="102" customFormat="false" ht="15" hidden="false" customHeight="false" outlineLevel="0" collapsed="false">
      <c r="A102" s="3" t="n">
        <v>2012</v>
      </c>
      <c r="B102" s="3" t="n">
        <v>4</v>
      </c>
      <c r="C102" s="3" t="n">
        <v>10</v>
      </c>
      <c r="D102" s="3" t="s">
        <v>106</v>
      </c>
      <c r="E102" s="4" t="n">
        <v>0</v>
      </c>
    </row>
    <row r="103" customFormat="false" ht="15" hidden="false" customHeight="false" outlineLevel="0" collapsed="false">
      <c r="A103" s="3" t="n">
        <v>2012</v>
      </c>
      <c r="B103" s="3" t="n">
        <v>4</v>
      </c>
      <c r="C103" s="3" t="n">
        <v>11</v>
      </c>
      <c r="D103" s="3" t="s">
        <v>107</v>
      </c>
      <c r="E103" s="4" t="n">
        <v>59</v>
      </c>
    </row>
    <row r="104" customFormat="false" ht="15" hidden="false" customHeight="false" outlineLevel="0" collapsed="false">
      <c r="A104" s="3" t="n">
        <v>2012</v>
      </c>
      <c r="B104" s="3" t="n">
        <v>4</v>
      </c>
      <c r="C104" s="3" t="n">
        <v>12</v>
      </c>
      <c r="D104" s="3" t="s">
        <v>108</v>
      </c>
      <c r="E104" s="4" t="n">
        <v>0</v>
      </c>
    </row>
    <row r="105" customFormat="false" ht="15" hidden="false" customHeight="false" outlineLevel="0" collapsed="false">
      <c r="A105" s="3" t="n">
        <v>2012</v>
      </c>
      <c r="B105" s="3" t="n">
        <v>4</v>
      </c>
      <c r="C105" s="3" t="n">
        <v>13</v>
      </c>
      <c r="D105" s="3" t="s">
        <v>109</v>
      </c>
      <c r="E105" s="4" t="n">
        <v>0</v>
      </c>
    </row>
    <row r="106" customFormat="false" ht="15" hidden="false" customHeight="false" outlineLevel="0" collapsed="false">
      <c r="A106" s="3" t="n">
        <v>2012</v>
      </c>
      <c r="B106" s="3" t="n">
        <v>4</v>
      </c>
      <c r="C106" s="3" t="n">
        <v>14</v>
      </c>
      <c r="D106" s="3" t="s">
        <v>110</v>
      </c>
      <c r="E106" s="4" t="n">
        <v>65</v>
      </c>
    </row>
    <row r="107" customFormat="false" ht="15" hidden="false" customHeight="false" outlineLevel="0" collapsed="false">
      <c r="A107" s="3" t="n">
        <v>2012</v>
      </c>
      <c r="B107" s="3" t="n">
        <v>4</v>
      </c>
      <c r="C107" s="3" t="n">
        <v>15</v>
      </c>
      <c r="D107" s="3" t="s">
        <v>111</v>
      </c>
      <c r="E107" s="4" t="n">
        <v>0</v>
      </c>
    </row>
    <row r="108" customFormat="false" ht="15" hidden="false" customHeight="false" outlineLevel="0" collapsed="false">
      <c r="A108" s="3" t="n">
        <v>2012</v>
      </c>
      <c r="B108" s="3" t="n">
        <v>4</v>
      </c>
      <c r="C108" s="3" t="n">
        <v>16</v>
      </c>
      <c r="D108" s="3" t="s">
        <v>112</v>
      </c>
      <c r="E108" s="4" t="n">
        <v>0</v>
      </c>
    </row>
    <row r="109" customFormat="false" ht="15" hidden="false" customHeight="false" outlineLevel="0" collapsed="false">
      <c r="A109" s="3" t="n">
        <v>2012</v>
      </c>
      <c r="B109" s="3" t="n">
        <v>4</v>
      </c>
      <c r="C109" s="3" t="n">
        <v>17</v>
      </c>
      <c r="D109" s="3" t="s">
        <v>113</v>
      </c>
      <c r="E109" s="4" t="n">
        <v>37</v>
      </c>
    </row>
    <row r="110" customFormat="false" ht="15" hidden="false" customHeight="false" outlineLevel="0" collapsed="false">
      <c r="A110" s="3" t="n">
        <v>2012</v>
      </c>
      <c r="B110" s="3" t="n">
        <v>4</v>
      </c>
      <c r="C110" s="3" t="n">
        <v>18</v>
      </c>
      <c r="D110" s="3" t="s">
        <v>114</v>
      </c>
      <c r="E110" s="4" t="n">
        <v>0</v>
      </c>
    </row>
    <row r="111" customFormat="false" ht="15" hidden="false" customHeight="false" outlineLevel="0" collapsed="false">
      <c r="A111" s="3" t="n">
        <v>2012</v>
      </c>
      <c r="B111" s="3" t="n">
        <v>4</v>
      </c>
      <c r="C111" s="3" t="n">
        <v>19</v>
      </c>
      <c r="D111" s="3" t="s">
        <v>115</v>
      </c>
      <c r="E111" s="4" t="n">
        <v>15</v>
      </c>
    </row>
    <row r="112" customFormat="false" ht="15" hidden="false" customHeight="false" outlineLevel="0" collapsed="false">
      <c r="A112" s="3" t="n">
        <v>2012</v>
      </c>
      <c r="B112" s="3" t="n">
        <v>4</v>
      </c>
      <c r="C112" s="3" t="n">
        <v>20</v>
      </c>
      <c r="D112" s="3" t="s">
        <v>116</v>
      </c>
      <c r="E112" s="4" t="n">
        <v>0</v>
      </c>
    </row>
    <row r="113" customFormat="false" ht="15" hidden="false" customHeight="false" outlineLevel="0" collapsed="false">
      <c r="A113" s="3" t="n">
        <v>2012</v>
      </c>
      <c r="B113" s="3" t="n">
        <v>4</v>
      </c>
      <c r="C113" s="3" t="n">
        <v>21</v>
      </c>
      <c r="D113" s="3" t="s">
        <v>117</v>
      </c>
      <c r="E113" s="4" t="n">
        <v>0</v>
      </c>
    </row>
    <row r="114" customFormat="false" ht="15" hidden="false" customHeight="false" outlineLevel="0" collapsed="false">
      <c r="A114" s="3" t="n">
        <v>2012</v>
      </c>
      <c r="B114" s="3" t="n">
        <v>4</v>
      </c>
      <c r="C114" s="3" t="n">
        <v>22</v>
      </c>
      <c r="D114" s="3" t="s">
        <v>118</v>
      </c>
      <c r="E114" s="4" t="n">
        <v>25</v>
      </c>
    </row>
    <row r="115" customFormat="false" ht="15" hidden="false" customHeight="false" outlineLevel="0" collapsed="false">
      <c r="A115" s="3" t="n">
        <v>2012</v>
      </c>
      <c r="B115" s="3" t="n">
        <v>4</v>
      </c>
      <c r="C115" s="3" t="n">
        <v>23</v>
      </c>
      <c r="D115" s="3" t="s">
        <v>119</v>
      </c>
      <c r="E115" s="4" t="n">
        <v>0</v>
      </c>
    </row>
    <row r="116" customFormat="false" ht="15" hidden="false" customHeight="false" outlineLevel="0" collapsed="false">
      <c r="A116" s="3" t="n">
        <v>2012</v>
      </c>
      <c r="B116" s="3" t="n">
        <v>4</v>
      </c>
      <c r="C116" s="3" t="n">
        <v>24</v>
      </c>
      <c r="D116" s="3" t="s">
        <v>120</v>
      </c>
      <c r="E116" s="4" t="n">
        <v>8</v>
      </c>
    </row>
    <row r="117" customFormat="false" ht="15" hidden="false" customHeight="false" outlineLevel="0" collapsed="false">
      <c r="A117" s="3" t="n">
        <v>2012</v>
      </c>
      <c r="B117" s="3" t="n">
        <v>4</v>
      </c>
      <c r="C117" s="3" t="n">
        <v>25</v>
      </c>
      <c r="D117" s="3" t="s">
        <v>121</v>
      </c>
      <c r="E117" s="4" t="n">
        <v>0</v>
      </c>
    </row>
    <row r="118" customFormat="false" ht="15" hidden="false" customHeight="false" outlineLevel="0" collapsed="false">
      <c r="A118" s="3" t="n">
        <v>2012</v>
      </c>
      <c r="B118" s="3" t="n">
        <v>4</v>
      </c>
      <c r="C118" s="3" t="n">
        <v>26</v>
      </c>
      <c r="D118" s="3" t="s">
        <v>122</v>
      </c>
      <c r="E118" s="4" t="n">
        <v>0</v>
      </c>
    </row>
    <row r="119" customFormat="false" ht="15" hidden="false" customHeight="false" outlineLevel="0" collapsed="false">
      <c r="A119" s="3" t="n">
        <v>2012</v>
      </c>
      <c r="B119" s="3" t="n">
        <v>4</v>
      </c>
      <c r="C119" s="3" t="n">
        <v>27</v>
      </c>
      <c r="D119" s="3" t="s">
        <v>123</v>
      </c>
      <c r="E119" s="4" t="n">
        <v>0</v>
      </c>
    </row>
    <row r="120" customFormat="false" ht="15" hidden="false" customHeight="false" outlineLevel="0" collapsed="false">
      <c r="A120" s="3" t="n">
        <v>2012</v>
      </c>
      <c r="B120" s="3" t="n">
        <v>4</v>
      </c>
      <c r="C120" s="3" t="n">
        <v>28</v>
      </c>
      <c r="D120" s="3" t="s">
        <v>124</v>
      </c>
      <c r="E120" s="4" t="n">
        <v>0</v>
      </c>
    </row>
    <row r="121" customFormat="false" ht="15" hidden="false" customHeight="false" outlineLevel="0" collapsed="false">
      <c r="A121" s="3" t="n">
        <v>2012</v>
      </c>
      <c r="B121" s="3" t="n">
        <v>4</v>
      </c>
      <c r="C121" s="3" t="n">
        <v>29</v>
      </c>
      <c r="D121" s="3" t="s">
        <v>125</v>
      </c>
      <c r="E121" s="4" t="n">
        <v>20</v>
      </c>
    </row>
    <row r="122" customFormat="false" ht="15" hidden="false" customHeight="false" outlineLevel="0" collapsed="false">
      <c r="A122" s="3" t="n">
        <v>2012</v>
      </c>
      <c r="B122" s="3" t="n">
        <v>4</v>
      </c>
      <c r="C122" s="3" t="n">
        <v>30</v>
      </c>
      <c r="D122" s="3" t="s">
        <v>126</v>
      </c>
      <c r="E122" s="4" t="n">
        <v>16</v>
      </c>
    </row>
    <row r="123" customFormat="false" ht="15" hidden="false" customHeight="false" outlineLevel="0" collapsed="false">
      <c r="A123" s="3" t="n">
        <v>2012</v>
      </c>
      <c r="B123" s="3" t="n">
        <v>5</v>
      </c>
      <c r="C123" s="3" t="n">
        <v>1</v>
      </c>
      <c r="D123" s="3" t="s">
        <v>127</v>
      </c>
      <c r="E123" s="4" t="n">
        <v>10</v>
      </c>
    </row>
    <row r="124" customFormat="false" ht="15" hidden="false" customHeight="false" outlineLevel="0" collapsed="false">
      <c r="A124" s="3" t="n">
        <v>2012</v>
      </c>
      <c r="B124" s="3" t="n">
        <v>5</v>
      </c>
      <c r="C124" s="3" t="n">
        <v>2</v>
      </c>
      <c r="D124" s="3" t="s">
        <v>128</v>
      </c>
      <c r="E124" s="4" t="n">
        <v>0</v>
      </c>
    </row>
    <row r="125" customFormat="false" ht="15" hidden="false" customHeight="false" outlineLevel="0" collapsed="false">
      <c r="A125" s="3" t="n">
        <v>2012</v>
      </c>
      <c r="B125" s="3" t="n">
        <v>5</v>
      </c>
      <c r="C125" s="3" t="n">
        <v>3</v>
      </c>
      <c r="D125" s="3" t="s">
        <v>129</v>
      </c>
      <c r="E125" s="4" t="n">
        <v>0</v>
      </c>
    </row>
    <row r="126" customFormat="false" ht="15" hidden="false" customHeight="false" outlineLevel="0" collapsed="false">
      <c r="A126" s="3" t="n">
        <v>2012</v>
      </c>
      <c r="B126" s="3" t="n">
        <v>5</v>
      </c>
      <c r="C126" s="3" t="n">
        <v>4</v>
      </c>
      <c r="D126" s="3" t="s">
        <v>130</v>
      </c>
      <c r="E126" s="4" t="n">
        <v>5</v>
      </c>
    </row>
    <row r="127" customFormat="false" ht="15" hidden="false" customHeight="false" outlineLevel="0" collapsed="false">
      <c r="A127" s="3" t="n">
        <v>2012</v>
      </c>
      <c r="B127" s="3" t="n">
        <v>5</v>
      </c>
      <c r="C127" s="3" t="n">
        <v>5</v>
      </c>
      <c r="D127" s="3" t="s">
        <v>131</v>
      </c>
      <c r="E127" s="4" t="n">
        <v>0</v>
      </c>
    </row>
    <row r="128" customFormat="false" ht="15" hidden="false" customHeight="false" outlineLevel="0" collapsed="false">
      <c r="A128" s="3" t="n">
        <v>2012</v>
      </c>
      <c r="B128" s="3" t="n">
        <v>5</v>
      </c>
      <c r="C128" s="3" t="n">
        <v>6</v>
      </c>
      <c r="D128" s="3" t="s">
        <v>132</v>
      </c>
      <c r="E128" s="4" t="n">
        <v>0</v>
      </c>
    </row>
    <row r="129" customFormat="false" ht="15" hidden="false" customHeight="false" outlineLevel="0" collapsed="false">
      <c r="A129" s="3" t="n">
        <v>2012</v>
      </c>
      <c r="B129" s="3" t="n">
        <v>5</v>
      </c>
      <c r="C129" s="3" t="n">
        <v>7</v>
      </c>
      <c r="D129" s="3" t="s">
        <v>133</v>
      </c>
      <c r="E129" s="4" t="n">
        <v>0</v>
      </c>
    </row>
    <row r="130" customFormat="false" ht="15" hidden="false" customHeight="false" outlineLevel="0" collapsed="false">
      <c r="A130" s="3" t="n">
        <v>2012</v>
      </c>
      <c r="B130" s="3" t="n">
        <v>5</v>
      </c>
      <c r="C130" s="3" t="n">
        <v>8</v>
      </c>
      <c r="D130" s="3" t="s">
        <v>134</v>
      </c>
      <c r="E130" s="4" t="n">
        <v>3</v>
      </c>
    </row>
    <row r="131" customFormat="false" ht="15" hidden="false" customHeight="false" outlineLevel="0" collapsed="false">
      <c r="A131" s="3" t="n">
        <v>2012</v>
      </c>
      <c r="B131" s="3" t="n">
        <v>5</v>
      </c>
      <c r="C131" s="3" t="n">
        <v>9</v>
      </c>
      <c r="D131" s="3" t="s">
        <v>135</v>
      </c>
      <c r="E131" s="4" t="n">
        <v>0</v>
      </c>
    </row>
    <row r="132" customFormat="false" ht="15" hidden="false" customHeight="false" outlineLevel="0" collapsed="false">
      <c r="A132" s="3" t="n">
        <v>2012</v>
      </c>
      <c r="B132" s="3" t="n">
        <v>5</v>
      </c>
      <c r="C132" s="3" t="n">
        <v>10</v>
      </c>
      <c r="D132" s="3" t="s">
        <v>136</v>
      </c>
      <c r="E132" s="4" t="n">
        <v>0</v>
      </c>
    </row>
    <row r="133" customFormat="false" ht="15" hidden="false" customHeight="false" outlineLevel="0" collapsed="false">
      <c r="A133" s="3" t="n">
        <v>2012</v>
      </c>
      <c r="B133" s="3" t="n">
        <v>5</v>
      </c>
      <c r="C133" s="3" t="n">
        <v>11</v>
      </c>
      <c r="D133" s="3" t="s">
        <v>137</v>
      </c>
      <c r="E133" s="4" t="n">
        <v>0</v>
      </c>
    </row>
    <row r="134" customFormat="false" ht="15" hidden="false" customHeight="false" outlineLevel="0" collapsed="false">
      <c r="A134" s="3" t="n">
        <v>2012</v>
      </c>
      <c r="B134" s="3" t="n">
        <v>5</v>
      </c>
      <c r="C134" s="3" t="n">
        <v>12</v>
      </c>
      <c r="D134" s="3" t="s">
        <v>138</v>
      </c>
      <c r="E134" s="4" t="n">
        <v>0</v>
      </c>
    </row>
    <row r="135" customFormat="false" ht="15" hidden="false" customHeight="false" outlineLevel="0" collapsed="false">
      <c r="A135" s="3" t="n">
        <v>2012</v>
      </c>
      <c r="B135" s="3" t="n">
        <v>5</v>
      </c>
      <c r="C135" s="3" t="n">
        <v>13</v>
      </c>
      <c r="D135" s="3" t="s">
        <v>139</v>
      </c>
      <c r="E135" s="4" t="n">
        <v>20</v>
      </c>
    </row>
    <row r="136" customFormat="false" ht="15" hidden="false" customHeight="false" outlineLevel="0" collapsed="false">
      <c r="A136" s="3" t="n">
        <v>2012</v>
      </c>
      <c r="B136" s="3" t="n">
        <v>5</v>
      </c>
      <c r="C136" s="3" t="n">
        <v>14</v>
      </c>
      <c r="D136" s="3" t="s">
        <v>140</v>
      </c>
      <c r="E136" s="4" t="n">
        <v>81</v>
      </c>
    </row>
    <row r="137" customFormat="false" ht="15" hidden="false" customHeight="false" outlineLevel="0" collapsed="false">
      <c r="A137" s="3" t="n">
        <v>2012</v>
      </c>
      <c r="B137" s="3" t="n">
        <v>5</v>
      </c>
      <c r="C137" s="3" t="n">
        <v>15</v>
      </c>
      <c r="D137" s="3" t="s">
        <v>141</v>
      </c>
      <c r="E137" s="4" t="n">
        <v>0</v>
      </c>
    </row>
    <row r="138" customFormat="false" ht="15" hidden="false" customHeight="false" outlineLevel="0" collapsed="false">
      <c r="A138" s="3" t="n">
        <v>2012</v>
      </c>
      <c r="B138" s="3" t="n">
        <v>5</v>
      </c>
      <c r="C138" s="3" t="n">
        <v>16</v>
      </c>
      <c r="D138" s="3" t="s">
        <v>142</v>
      </c>
      <c r="E138" s="4" t="n">
        <v>0</v>
      </c>
    </row>
    <row r="139" customFormat="false" ht="15" hidden="false" customHeight="false" outlineLevel="0" collapsed="false">
      <c r="A139" s="3" t="n">
        <v>2012</v>
      </c>
      <c r="B139" s="3" t="n">
        <v>5</v>
      </c>
      <c r="C139" s="3" t="n">
        <v>17</v>
      </c>
      <c r="D139" s="3" t="s">
        <v>143</v>
      </c>
      <c r="E139" s="4" t="n">
        <v>0</v>
      </c>
    </row>
    <row r="140" customFormat="false" ht="15" hidden="false" customHeight="false" outlineLevel="0" collapsed="false">
      <c r="A140" s="3" t="n">
        <v>2012</v>
      </c>
      <c r="B140" s="3" t="n">
        <v>5</v>
      </c>
      <c r="C140" s="3" t="n">
        <v>18</v>
      </c>
      <c r="D140" s="3" t="s">
        <v>144</v>
      </c>
      <c r="E140" s="4" t="n">
        <v>0</v>
      </c>
    </row>
    <row r="141" customFormat="false" ht="15" hidden="false" customHeight="false" outlineLevel="0" collapsed="false">
      <c r="A141" s="3" t="n">
        <v>2012</v>
      </c>
      <c r="B141" s="3" t="n">
        <v>5</v>
      </c>
      <c r="C141" s="3" t="n">
        <v>19</v>
      </c>
      <c r="D141" s="3" t="s">
        <v>145</v>
      </c>
      <c r="E141" s="4" t="n">
        <v>21</v>
      </c>
    </row>
    <row r="142" customFormat="false" ht="15" hidden="false" customHeight="false" outlineLevel="0" collapsed="false">
      <c r="A142" s="3" t="n">
        <v>2012</v>
      </c>
      <c r="B142" s="3" t="n">
        <v>5</v>
      </c>
      <c r="C142" s="3" t="n">
        <v>20</v>
      </c>
      <c r="D142" s="3" t="s">
        <v>146</v>
      </c>
      <c r="E142" s="4" t="n">
        <v>41</v>
      </c>
    </row>
    <row r="143" customFormat="false" ht="15" hidden="false" customHeight="false" outlineLevel="0" collapsed="false">
      <c r="A143" s="3" t="n">
        <v>2012</v>
      </c>
      <c r="B143" s="3" t="n">
        <v>5</v>
      </c>
      <c r="C143" s="3" t="n">
        <v>21</v>
      </c>
      <c r="D143" s="3" t="s">
        <v>147</v>
      </c>
      <c r="E143" s="4" t="n">
        <v>0</v>
      </c>
    </row>
    <row r="144" customFormat="false" ht="15" hidden="false" customHeight="false" outlineLevel="0" collapsed="false">
      <c r="A144" s="3" t="n">
        <v>2012</v>
      </c>
      <c r="B144" s="3" t="n">
        <v>5</v>
      </c>
      <c r="C144" s="3" t="n">
        <v>22</v>
      </c>
      <c r="D144" s="3" t="s">
        <v>148</v>
      </c>
      <c r="E144" s="4" t="n">
        <v>0</v>
      </c>
    </row>
    <row r="145" customFormat="false" ht="15" hidden="false" customHeight="false" outlineLevel="0" collapsed="false">
      <c r="A145" s="3" t="n">
        <v>2012</v>
      </c>
      <c r="B145" s="3" t="n">
        <v>5</v>
      </c>
      <c r="C145" s="3" t="n">
        <v>23</v>
      </c>
      <c r="D145" s="3" t="s">
        <v>149</v>
      </c>
      <c r="E145" s="4" t="n">
        <v>15</v>
      </c>
    </row>
    <row r="146" customFormat="false" ht="15" hidden="false" customHeight="false" outlineLevel="0" collapsed="false">
      <c r="A146" s="3" t="n">
        <v>2012</v>
      </c>
      <c r="B146" s="3" t="n">
        <v>5</v>
      </c>
      <c r="C146" s="3" t="n">
        <v>24</v>
      </c>
      <c r="D146" s="3" t="s">
        <v>150</v>
      </c>
      <c r="E146" s="4" t="n">
        <v>0</v>
      </c>
    </row>
    <row r="147" customFormat="false" ht="15" hidden="false" customHeight="false" outlineLevel="0" collapsed="false">
      <c r="A147" s="3" t="n">
        <v>2012</v>
      </c>
      <c r="B147" s="3" t="n">
        <v>5</v>
      </c>
      <c r="C147" s="3" t="n">
        <v>25</v>
      </c>
      <c r="D147" s="3" t="s">
        <v>151</v>
      </c>
      <c r="E147" s="4" t="n">
        <v>0</v>
      </c>
    </row>
    <row r="148" customFormat="false" ht="15" hidden="false" customHeight="false" outlineLevel="0" collapsed="false">
      <c r="A148" s="3" t="n">
        <v>2012</v>
      </c>
      <c r="B148" s="3" t="n">
        <v>5</v>
      </c>
      <c r="C148" s="3" t="n">
        <v>26</v>
      </c>
      <c r="D148" s="3" t="s">
        <v>152</v>
      </c>
      <c r="E148" s="4" t="n">
        <v>0</v>
      </c>
    </row>
    <row r="149" customFormat="false" ht="15" hidden="false" customHeight="false" outlineLevel="0" collapsed="false">
      <c r="A149" s="3" t="n">
        <v>2012</v>
      </c>
      <c r="B149" s="3" t="n">
        <v>5</v>
      </c>
      <c r="C149" s="3" t="n">
        <v>27</v>
      </c>
      <c r="D149" s="3" t="s">
        <v>153</v>
      </c>
      <c r="E149" s="4" t="n">
        <v>30</v>
      </c>
    </row>
    <row r="150" customFormat="false" ht="15" hidden="false" customHeight="false" outlineLevel="0" collapsed="false">
      <c r="A150" s="3" t="n">
        <v>2012</v>
      </c>
      <c r="B150" s="3" t="n">
        <v>5</v>
      </c>
      <c r="C150" s="3" t="n">
        <v>28</v>
      </c>
      <c r="D150" s="3" t="s">
        <v>154</v>
      </c>
      <c r="E150" s="4" t="n">
        <v>40</v>
      </c>
    </row>
    <row r="151" customFormat="false" ht="15" hidden="false" customHeight="false" outlineLevel="0" collapsed="false">
      <c r="A151" s="3" t="n">
        <v>2012</v>
      </c>
      <c r="B151" s="3" t="n">
        <v>5</v>
      </c>
      <c r="C151" s="3" t="n">
        <v>29</v>
      </c>
      <c r="D151" s="3" t="s">
        <v>155</v>
      </c>
      <c r="E151" s="4" t="n">
        <v>13</v>
      </c>
    </row>
    <row r="152" customFormat="false" ht="15" hidden="false" customHeight="false" outlineLevel="0" collapsed="false">
      <c r="A152" s="3" t="n">
        <v>2012</v>
      </c>
      <c r="B152" s="3" t="n">
        <v>5</v>
      </c>
      <c r="C152" s="3" t="n">
        <v>30</v>
      </c>
      <c r="D152" s="3" t="s">
        <v>156</v>
      </c>
      <c r="E152" s="4" t="n">
        <v>30</v>
      </c>
    </row>
    <row r="153" customFormat="false" ht="15" hidden="false" customHeight="false" outlineLevel="0" collapsed="false">
      <c r="A153" s="3" t="n">
        <v>2012</v>
      </c>
      <c r="B153" s="3" t="n">
        <v>5</v>
      </c>
      <c r="C153" s="3" t="n">
        <v>31</v>
      </c>
      <c r="D153" s="3" t="s">
        <v>157</v>
      </c>
      <c r="E153" s="4" t="n">
        <v>10</v>
      </c>
    </row>
    <row r="154" customFormat="false" ht="15" hidden="false" customHeight="false" outlineLevel="0" collapsed="false">
      <c r="A154" s="3" t="n">
        <v>2012</v>
      </c>
      <c r="B154" s="3" t="n">
        <v>6</v>
      </c>
      <c r="C154" s="3" t="n">
        <v>1</v>
      </c>
      <c r="D154" s="3" t="s">
        <v>158</v>
      </c>
      <c r="E154" s="4" t="n">
        <v>15</v>
      </c>
    </row>
    <row r="155" customFormat="false" ht="15" hidden="false" customHeight="false" outlineLevel="0" collapsed="false">
      <c r="A155" s="3" t="n">
        <v>2012</v>
      </c>
      <c r="B155" s="3" t="n">
        <v>6</v>
      </c>
      <c r="C155" s="3" t="n">
        <v>2</v>
      </c>
      <c r="D155" s="3" t="s">
        <v>159</v>
      </c>
      <c r="E155" s="4" t="n">
        <v>0</v>
      </c>
    </row>
    <row r="156" customFormat="false" ht="15" hidden="false" customHeight="false" outlineLevel="0" collapsed="false">
      <c r="A156" s="3" t="n">
        <v>2012</v>
      </c>
      <c r="B156" s="3" t="n">
        <v>6</v>
      </c>
      <c r="C156" s="3" t="n">
        <v>3</v>
      </c>
      <c r="D156" s="3" t="s">
        <v>160</v>
      </c>
      <c r="E156" s="4" t="n">
        <v>0</v>
      </c>
    </row>
    <row r="157" customFormat="false" ht="15" hidden="false" customHeight="false" outlineLevel="0" collapsed="false">
      <c r="A157" s="3" t="n">
        <v>2012</v>
      </c>
      <c r="B157" s="3" t="n">
        <v>6</v>
      </c>
      <c r="C157" s="3" t="n">
        <v>4</v>
      </c>
      <c r="D157" s="3" t="s">
        <v>161</v>
      </c>
      <c r="E157" s="4" t="n">
        <v>0</v>
      </c>
    </row>
    <row r="158" customFormat="false" ht="15" hidden="false" customHeight="false" outlineLevel="0" collapsed="false">
      <c r="A158" s="3" t="n">
        <v>2012</v>
      </c>
      <c r="B158" s="3" t="n">
        <v>6</v>
      </c>
      <c r="C158" s="3" t="n">
        <v>5</v>
      </c>
      <c r="D158" s="3" t="s">
        <v>162</v>
      </c>
      <c r="E158" s="4" t="n">
        <v>20</v>
      </c>
    </row>
    <row r="159" customFormat="false" ht="15" hidden="false" customHeight="false" outlineLevel="0" collapsed="false">
      <c r="A159" s="3" t="n">
        <v>2012</v>
      </c>
      <c r="B159" s="3" t="n">
        <v>6</v>
      </c>
      <c r="C159" s="3" t="n">
        <v>6</v>
      </c>
      <c r="D159" s="3" t="s">
        <v>163</v>
      </c>
      <c r="E159" s="4" t="n">
        <v>0</v>
      </c>
    </row>
    <row r="160" customFormat="false" ht="15" hidden="false" customHeight="false" outlineLevel="0" collapsed="false">
      <c r="A160" s="3" t="n">
        <v>2012</v>
      </c>
      <c r="B160" s="3" t="n">
        <v>6</v>
      </c>
      <c r="C160" s="3" t="n">
        <v>7</v>
      </c>
      <c r="D160" s="3" t="s">
        <v>164</v>
      </c>
      <c r="E160" s="4" t="n">
        <v>0</v>
      </c>
    </row>
    <row r="161" customFormat="false" ht="15" hidden="false" customHeight="false" outlineLevel="0" collapsed="false">
      <c r="A161" s="3" t="n">
        <v>2012</v>
      </c>
      <c r="B161" s="3" t="n">
        <v>6</v>
      </c>
      <c r="C161" s="3" t="n">
        <v>8</v>
      </c>
      <c r="D161" s="3" t="s">
        <v>165</v>
      </c>
      <c r="E161" s="4" t="n">
        <v>20</v>
      </c>
    </row>
    <row r="162" customFormat="false" ht="15" hidden="false" customHeight="false" outlineLevel="0" collapsed="false">
      <c r="A162" s="3" t="n">
        <v>2012</v>
      </c>
      <c r="B162" s="3" t="n">
        <v>6</v>
      </c>
      <c r="C162" s="3" t="n">
        <v>9</v>
      </c>
      <c r="D162" s="3" t="s">
        <v>166</v>
      </c>
      <c r="E162" s="4" t="n">
        <v>41</v>
      </c>
    </row>
    <row r="163" customFormat="false" ht="15" hidden="false" customHeight="false" outlineLevel="0" collapsed="false">
      <c r="A163" s="3" t="n">
        <v>2012</v>
      </c>
      <c r="B163" s="3" t="n">
        <v>6</v>
      </c>
      <c r="C163" s="3" t="n">
        <v>10</v>
      </c>
      <c r="D163" s="3" t="s">
        <v>167</v>
      </c>
      <c r="E163" s="4" t="n">
        <v>0</v>
      </c>
    </row>
    <row r="164" customFormat="false" ht="15" hidden="false" customHeight="false" outlineLevel="0" collapsed="false">
      <c r="A164" s="3" t="n">
        <v>2012</v>
      </c>
      <c r="B164" s="3" t="n">
        <v>6</v>
      </c>
      <c r="C164" s="3" t="n">
        <v>11</v>
      </c>
      <c r="D164" s="3" t="s">
        <v>168</v>
      </c>
      <c r="E164" s="4" t="n">
        <v>0</v>
      </c>
    </row>
    <row r="165" customFormat="false" ht="15" hidden="false" customHeight="false" outlineLevel="0" collapsed="false">
      <c r="A165" s="3" t="n">
        <v>2012</v>
      </c>
      <c r="B165" s="3" t="n">
        <v>6</v>
      </c>
      <c r="C165" s="3" t="n">
        <v>12</v>
      </c>
      <c r="D165" s="3" t="s">
        <v>169</v>
      </c>
      <c r="E165" s="4" t="n">
        <v>0</v>
      </c>
    </row>
    <row r="166" customFormat="false" ht="15" hidden="false" customHeight="false" outlineLevel="0" collapsed="false">
      <c r="A166" s="3" t="n">
        <v>2012</v>
      </c>
      <c r="B166" s="3" t="n">
        <v>6</v>
      </c>
      <c r="C166" s="3" t="n">
        <v>13</v>
      </c>
      <c r="D166" s="3" t="s">
        <v>170</v>
      </c>
      <c r="E166" s="4" t="n">
        <v>0</v>
      </c>
    </row>
    <row r="167" customFormat="false" ht="15" hidden="false" customHeight="false" outlineLevel="0" collapsed="false">
      <c r="A167" s="3" t="n">
        <v>2012</v>
      </c>
      <c r="B167" s="3" t="n">
        <v>6</v>
      </c>
      <c r="C167" s="3" t="n">
        <v>14</v>
      </c>
      <c r="D167" s="3" t="s">
        <v>171</v>
      </c>
      <c r="E167" s="4" t="n">
        <v>0</v>
      </c>
    </row>
    <row r="168" customFormat="false" ht="15" hidden="false" customHeight="false" outlineLevel="0" collapsed="false">
      <c r="A168" s="3" t="n">
        <v>2012</v>
      </c>
      <c r="B168" s="3" t="n">
        <v>6</v>
      </c>
      <c r="C168" s="3" t="n">
        <v>15</v>
      </c>
      <c r="D168" s="3" t="s">
        <v>172</v>
      </c>
      <c r="E168" s="4" t="n">
        <v>0</v>
      </c>
    </row>
    <row r="169" customFormat="false" ht="15" hidden="false" customHeight="false" outlineLevel="0" collapsed="false">
      <c r="A169" s="3" t="n">
        <v>2012</v>
      </c>
      <c r="B169" s="3" t="n">
        <v>6</v>
      </c>
      <c r="C169" s="3" t="n">
        <v>16</v>
      </c>
      <c r="D169" s="3" t="s">
        <v>173</v>
      </c>
      <c r="E169" s="4" t="n">
        <v>0</v>
      </c>
    </row>
    <row r="170" customFormat="false" ht="15" hidden="false" customHeight="false" outlineLevel="0" collapsed="false">
      <c r="A170" s="3" t="n">
        <v>2012</v>
      </c>
      <c r="B170" s="3" t="n">
        <v>6</v>
      </c>
      <c r="C170" s="3" t="n">
        <v>17</v>
      </c>
      <c r="D170" s="3" t="s">
        <v>174</v>
      </c>
      <c r="E170" s="4" t="n">
        <v>0</v>
      </c>
    </row>
    <row r="171" customFormat="false" ht="15" hidden="false" customHeight="false" outlineLevel="0" collapsed="false">
      <c r="A171" s="3" t="n">
        <v>2012</v>
      </c>
      <c r="B171" s="3" t="n">
        <v>6</v>
      </c>
      <c r="C171" s="3" t="n">
        <v>18</v>
      </c>
      <c r="D171" s="3" t="s">
        <v>175</v>
      </c>
      <c r="E171" s="4" t="n">
        <v>0</v>
      </c>
    </row>
    <row r="172" customFormat="false" ht="15" hidden="false" customHeight="false" outlineLevel="0" collapsed="false">
      <c r="A172" s="3" t="n">
        <v>2012</v>
      </c>
      <c r="B172" s="3" t="n">
        <v>6</v>
      </c>
      <c r="C172" s="3" t="n">
        <v>19</v>
      </c>
      <c r="D172" s="3" t="s">
        <v>176</v>
      </c>
      <c r="E172" s="4" t="n">
        <v>0</v>
      </c>
    </row>
    <row r="173" customFormat="false" ht="15" hidden="false" customHeight="false" outlineLevel="0" collapsed="false">
      <c r="A173" s="3" t="n">
        <v>2012</v>
      </c>
      <c r="B173" s="3" t="n">
        <v>6</v>
      </c>
      <c r="C173" s="3" t="n">
        <v>20</v>
      </c>
      <c r="D173" s="3" t="s">
        <v>177</v>
      </c>
      <c r="E173" s="4" t="n">
        <v>0</v>
      </c>
    </row>
    <row r="174" customFormat="false" ht="15" hidden="false" customHeight="false" outlineLevel="0" collapsed="false">
      <c r="A174" s="3" t="n">
        <v>2012</v>
      </c>
      <c r="B174" s="3" t="n">
        <v>6</v>
      </c>
      <c r="C174" s="3" t="n">
        <v>21</v>
      </c>
      <c r="D174" s="3" t="s">
        <v>178</v>
      </c>
      <c r="E174" s="4" t="n">
        <v>0</v>
      </c>
    </row>
    <row r="175" customFormat="false" ht="15" hidden="false" customHeight="false" outlineLevel="0" collapsed="false">
      <c r="A175" s="3" t="n">
        <v>2012</v>
      </c>
      <c r="B175" s="3" t="n">
        <v>6</v>
      </c>
      <c r="C175" s="3" t="n">
        <v>22</v>
      </c>
      <c r="D175" s="3" t="s">
        <v>179</v>
      </c>
      <c r="E175" s="4" t="n">
        <v>0</v>
      </c>
    </row>
    <row r="176" customFormat="false" ht="15" hidden="false" customHeight="false" outlineLevel="0" collapsed="false">
      <c r="A176" s="3" t="n">
        <v>2012</v>
      </c>
      <c r="B176" s="3" t="n">
        <v>6</v>
      </c>
      <c r="C176" s="3" t="n">
        <v>23</v>
      </c>
      <c r="D176" s="3" t="s">
        <v>180</v>
      </c>
      <c r="E176" s="4" t="n">
        <v>0</v>
      </c>
    </row>
    <row r="177" customFormat="false" ht="15" hidden="false" customHeight="false" outlineLevel="0" collapsed="false">
      <c r="A177" s="3" t="n">
        <v>2012</v>
      </c>
      <c r="B177" s="3" t="n">
        <v>6</v>
      </c>
      <c r="C177" s="3" t="n">
        <v>24</v>
      </c>
      <c r="D177" s="3" t="s">
        <v>181</v>
      </c>
      <c r="E177" s="4" t="n">
        <v>0</v>
      </c>
    </row>
    <row r="178" customFormat="false" ht="15" hidden="false" customHeight="false" outlineLevel="0" collapsed="false">
      <c r="A178" s="3" t="n">
        <v>2012</v>
      </c>
      <c r="B178" s="3" t="n">
        <v>6</v>
      </c>
      <c r="C178" s="3" t="n">
        <v>25</v>
      </c>
      <c r="D178" s="3" t="s">
        <v>182</v>
      </c>
      <c r="E178" s="4" t="n">
        <v>0</v>
      </c>
    </row>
    <row r="179" customFormat="false" ht="15" hidden="false" customHeight="false" outlineLevel="0" collapsed="false">
      <c r="A179" s="3" t="n">
        <v>2012</v>
      </c>
      <c r="B179" s="3" t="n">
        <v>6</v>
      </c>
      <c r="C179" s="3" t="n">
        <v>26</v>
      </c>
      <c r="D179" s="3" t="s">
        <v>183</v>
      </c>
      <c r="E179" s="4" t="n">
        <v>0</v>
      </c>
    </row>
    <row r="180" customFormat="false" ht="15" hidden="false" customHeight="false" outlineLevel="0" collapsed="false">
      <c r="A180" s="3" t="n">
        <v>2012</v>
      </c>
      <c r="B180" s="3" t="n">
        <v>6</v>
      </c>
      <c r="C180" s="3" t="n">
        <v>27</v>
      </c>
      <c r="D180" s="3" t="s">
        <v>184</v>
      </c>
      <c r="E180" s="4" t="n">
        <v>0</v>
      </c>
    </row>
    <row r="181" customFormat="false" ht="15" hidden="false" customHeight="false" outlineLevel="0" collapsed="false">
      <c r="A181" s="3" t="n">
        <v>2012</v>
      </c>
      <c r="B181" s="3" t="n">
        <v>6</v>
      </c>
      <c r="C181" s="3" t="n">
        <v>28</v>
      </c>
      <c r="D181" s="3" t="s">
        <v>185</v>
      </c>
      <c r="E181" s="4" t="n">
        <v>0</v>
      </c>
    </row>
    <row r="182" customFormat="false" ht="15" hidden="false" customHeight="false" outlineLevel="0" collapsed="false">
      <c r="A182" s="3" t="n">
        <v>2012</v>
      </c>
      <c r="B182" s="3" t="n">
        <v>6</v>
      </c>
      <c r="C182" s="3" t="n">
        <v>29</v>
      </c>
      <c r="D182" s="3" t="s">
        <v>186</v>
      </c>
      <c r="E182" s="4" t="n">
        <v>11</v>
      </c>
    </row>
    <row r="183" customFormat="false" ht="15" hidden="false" customHeight="false" outlineLevel="0" collapsed="false">
      <c r="A183" s="3" t="n">
        <v>2012</v>
      </c>
      <c r="B183" s="3" t="n">
        <v>6</v>
      </c>
      <c r="C183" s="3" t="n">
        <v>30</v>
      </c>
      <c r="D183" s="3" t="s">
        <v>187</v>
      </c>
      <c r="E183" s="4" t="n">
        <v>0</v>
      </c>
    </row>
    <row r="184" customFormat="false" ht="15" hidden="false" customHeight="false" outlineLevel="0" collapsed="false">
      <c r="A184" s="3" t="n">
        <v>2012</v>
      </c>
      <c r="B184" s="3" t="n">
        <v>7</v>
      </c>
      <c r="C184" s="3" t="n">
        <v>1</v>
      </c>
      <c r="D184" s="3" t="s">
        <v>188</v>
      </c>
      <c r="E184" s="4" t="n">
        <v>0</v>
      </c>
    </row>
    <row r="185" customFormat="false" ht="15" hidden="false" customHeight="false" outlineLevel="0" collapsed="false">
      <c r="A185" s="3" t="n">
        <v>2012</v>
      </c>
      <c r="B185" s="3" t="n">
        <v>7</v>
      </c>
      <c r="C185" s="3" t="n">
        <v>2</v>
      </c>
      <c r="D185" s="3" t="s">
        <v>189</v>
      </c>
      <c r="E185" s="4" t="n">
        <v>10</v>
      </c>
    </row>
    <row r="186" customFormat="false" ht="15" hidden="false" customHeight="false" outlineLevel="0" collapsed="false">
      <c r="A186" s="3" t="n">
        <v>2012</v>
      </c>
      <c r="B186" s="3" t="n">
        <v>7</v>
      </c>
      <c r="C186" s="3" t="n">
        <v>3</v>
      </c>
      <c r="D186" s="3" t="s">
        <v>190</v>
      </c>
      <c r="E186" s="4" t="n">
        <v>0</v>
      </c>
    </row>
    <row r="187" customFormat="false" ht="15" hidden="false" customHeight="false" outlineLevel="0" collapsed="false">
      <c r="A187" s="3" t="n">
        <v>2012</v>
      </c>
      <c r="B187" s="3" t="n">
        <v>7</v>
      </c>
      <c r="C187" s="3" t="n">
        <v>4</v>
      </c>
      <c r="D187" s="3" t="s">
        <v>191</v>
      </c>
      <c r="E187" s="4" t="n">
        <v>0</v>
      </c>
    </row>
    <row r="188" customFormat="false" ht="15" hidden="false" customHeight="false" outlineLevel="0" collapsed="false">
      <c r="A188" s="3" t="n">
        <v>2012</v>
      </c>
      <c r="B188" s="3" t="n">
        <v>7</v>
      </c>
      <c r="C188" s="3" t="n">
        <v>5</v>
      </c>
      <c r="D188" s="3" t="s">
        <v>192</v>
      </c>
      <c r="E188" s="4" t="n">
        <v>0</v>
      </c>
    </row>
    <row r="189" customFormat="false" ht="15" hidden="false" customHeight="false" outlineLevel="0" collapsed="false">
      <c r="A189" s="3" t="n">
        <v>2012</v>
      </c>
      <c r="B189" s="3" t="n">
        <v>7</v>
      </c>
      <c r="C189" s="3" t="n">
        <v>6</v>
      </c>
      <c r="D189" s="3" t="s">
        <v>193</v>
      </c>
      <c r="E189" s="4" t="n">
        <v>6</v>
      </c>
    </row>
    <row r="190" customFormat="false" ht="15" hidden="false" customHeight="false" outlineLevel="0" collapsed="false">
      <c r="A190" s="3" t="n">
        <v>2012</v>
      </c>
      <c r="B190" s="3" t="n">
        <v>7</v>
      </c>
      <c r="C190" s="3" t="n">
        <v>7</v>
      </c>
      <c r="D190" s="3" t="s">
        <v>194</v>
      </c>
      <c r="E190" s="4" t="n">
        <v>0</v>
      </c>
    </row>
    <row r="191" customFormat="false" ht="15" hidden="false" customHeight="false" outlineLevel="0" collapsed="false">
      <c r="A191" s="3" t="n">
        <v>2012</v>
      </c>
      <c r="B191" s="3" t="n">
        <v>7</v>
      </c>
      <c r="C191" s="3" t="n">
        <v>8</v>
      </c>
      <c r="D191" s="3" t="s">
        <v>195</v>
      </c>
      <c r="E191" s="4" t="n">
        <v>0</v>
      </c>
    </row>
    <row r="192" customFormat="false" ht="15" hidden="false" customHeight="false" outlineLevel="0" collapsed="false">
      <c r="A192" s="3" t="n">
        <v>2012</v>
      </c>
      <c r="B192" s="3" t="n">
        <v>7</v>
      </c>
      <c r="C192" s="3" t="n">
        <v>9</v>
      </c>
      <c r="D192" s="3" t="s">
        <v>196</v>
      </c>
      <c r="E192" s="4" t="n">
        <v>0</v>
      </c>
    </row>
    <row r="193" customFormat="false" ht="15" hidden="false" customHeight="false" outlineLevel="0" collapsed="false">
      <c r="A193" s="3" t="n">
        <v>2012</v>
      </c>
      <c r="B193" s="3" t="n">
        <v>7</v>
      </c>
      <c r="C193" s="3" t="n">
        <v>10</v>
      </c>
      <c r="D193" s="3" t="s">
        <v>197</v>
      </c>
      <c r="E193" s="4" t="n">
        <v>6</v>
      </c>
    </row>
    <row r="194" customFormat="false" ht="15" hidden="false" customHeight="false" outlineLevel="0" collapsed="false">
      <c r="A194" s="3" t="n">
        <v>2012</v>
      </c>
      <c r="B194" s="3" t="n">
        <v>7</v>
      </c>
      <c r="C194" s="3" t="n">
        <v>11</v>
      </c>
      <c r="D194" s="3" t="s">
        <v>198</v>
      </c>
      <c r="E194" s="4" t="n">
        <v>0</v>
      </c>
    </row>
    <row r="195" customFormat="false" ht="15" hidden="false" customHeight="false" outlineLevel="0" collapsed="false">
      <c r="A195" s="3" t="n">
        <v>2012</v>
      </c>
      <c r="B195" s="3" t="n">
        <v>7</v>
      </c>
      <c r="C195" s="3" t="n">
        <v>12</v>
      </c>
      <c r="D195" s="3" t="s">
        <v>199</v>
      </c>
      <c r="E195" s="4" t="n">
        <v>10</v>
      </c>
    </row>
    <row r="196" customFormat="false" ht="15" hidden="false" customHeight="false" outlineLevel="0" collapsed="false">
      <c r="A196" s="3" t="n">
        <v>2012</v>
      </c>
      <c r="B196" s="3" t="n">
        <v>7</v>
      </c>
      <c r="C196" s="3" t="n">
        <v>13</v>
      </c>
      <c r="D196" s="3" t="s">
        <v>200</v>
      </c>
      <c r="E196" s="4" t="n">
        <v>30</v>
      </c>
    </row>
    <row r="197" customFormat="false" ht="15" hidden="false" customHeight="false" outlineLevel="0" collapsed="false">
      <c r="A197" s="3" t="n">
        <v>2012</v>
      </c>
      <c r="B197" s="3" t="n">
        <v>7</v>
      </c>
      <c r="C197" s="3" t="n">
        <v>14</v>
      </c>
      <c r="D197" s="3" t="s">
        <v>201</v>
      </c>
      <c r="E197" s="4" t="n">
        <v>50</v>
      </c>
    </row>
    <row r="198" customFormat="false" ht="15" hidden="false" customHeight="false" outlineLevel="0" collapsed="false">
      <c r="A198" s="3" t="n">
        <v>2012</v>
      </c>
      <c r="B198" s="3" t="n">
        <v>7</v>
      </c>
      <c r="C198" s="3" t="n">
        <v>15</v>
      </c>
      <c r="D198" s="3" t="s">
        <v>202</v>
      </c>
      <c r="E198" s="4" t="n">
        <v>0</v>
      </c>
    </row>
    <row r="199" customFormat="false" ht="15" hidden="false" customHeight="false" outlineLevel="0" collapsed="false">
      <c r="A199" s="3" t="n">
        <v>2012</v>
      </c>
      <c r="B199" s="3" t="n">
        <v>7</v>
      </c>
      <c r="C199" s="3" t="n">
        <v>16</v>
      </c>
      <c r="D199" s="3" t="s">
        <v>203</v>
      </c>
      <c r="E199" s="4" t="n">
        <v>10</v>
      </c>
    </row>
    <row r="200" customFormat="false" ht="15" hidden="false" customHeight="false" outlineLevel="0" collapsed="false">
      <c r="A200" s="3" t="n">
        <v>2012</v>
      </c>
      <c r="B200" s="3" t="n">
        <v>7</v>
      </c>
      <c r="C200" s="3" t="n">
        <v>17</v>
      </c>
      <c r="D200" s="3" t="s">
        <v>204</v>
      </c>
      <c r="E200" s="4" t="n">
        <v>11</v>
      </c>
    </row>
    <row r="201" customFormat="false" ht="15" hidden="false" customHeight="false" outlineLevel="0" collapsed="false">
      <c r="A201" s="3" t="n">
        <v>2012</v>
      </c>
      <c r="B201" s="3" t="n">
        <v>7</v>
      </c>
      <c r="C201" s="3" t="n">
        <v>18</v>
      </c>
      <c r="D201" s="3" t="s">
        <v>205</v>
      </c>
      <c r="E201" s="4" t="n">
        <v>0</v>
      </c>
    </row>
    <row r="202" customFormat="false" ht="15" hidden="false" customHeight="false" outlineLevel="0" collapsed="false">
      <c r="A202" s="3" t="n">
        <v>2012</v>
      </c>
      <c r="B202" s="3" t="n">
        <v>7</v>
      </c>
      <c r="C202" s="3" t="n">
        <v>19</v>
      </c>
      <c r="D202" s="3" t="s">
        <v>206</v>
      </c>
      <c r="E202" s="4" t="n">
        <v>0</v>
      </c>
    </row>
    <row r="203" customFormat="false" ht="15" hidden="false" customHeight="false" outlineLevel="0" collapsed="false">
      <c r="A203" s="3" t="n">
        <v>2012</v>
      </c>
      <c r="B203" s="3" t="n">
        <v>7</v>
      </c>
      <c r="C203" s="3" t="n">
        <v>20</v>
      </c>
      <c r="D203" s="3" t="s">
        <v>207</v>
      </c>
      <c r="E203" s="4" t="n">
        <v>0</v>
      </c>
    </row>
    <row r="204" customFormat="false" ht="15" hidden="false" customHeight="false" outlineLevel="0" collapsed="false">
      <c r="A204" s="3" t="n">
        <v>2012</v>
      </c>
      <c r="B204" s="3" t="n">
        <v>7</v>
      </c>
      <c r="C204" s="3" t="n">
        <v>21</v>
      </c>
      <c r="D204" s="3" t="s">
        <v>208</v>
      </c>
      <c r="E204" s="4" t="n">
        <v>0</v>
      </c>
    </row>
    <row r="205" customFormat="false" ht="15" hidden="false" customHeight="false" outlineLevel="0" collapsed="false">
      <c r="A205" s="3" t="n">
        <v>2012</v>
      </c>
      <c r="B205" s="3" t="n">
        <v>7</v>
      </c>
      <c r="C205" s="3" t="n">
        <v>22</v>
      </c>
      <c r="D205" s="3" t="s">
        <v>209</v>
      </c>
      <c r="E205" s="4" t="n">
        <v>0</v>
      </c>
    </row>
    <row r="206" customFormat="false" ht="15" hidden="false" customHeight="false" outlineLevel="0" collapsed="false">
      <c r="A206" s="3" t="n">
        <v>2012</v>
      </c>
      <c r="B206" s="3" t="n">
        <v>7</v>
      </c>
      <c r="C206" s="3" t="n">
        <v>23</v>
      </c>
      <c r="D206" s="3" t="s">
        <v>210</v>
      </c>
      <c r="E206" s="4" t="n">
        <v>0</v>
      </c>
    </row>
    <row r="207" customFormat="false" ht="15" hidden="false" customHeight="false" outlineLevel="0" collapsed="false">
      <c r="A207" s="3" t="n">
        <v>2012</v>
      </c>
      <c r="B207" s="3" t="n">
        <v>7</v>
      </c>
      <c r="C207" s="3" t="n">
        <v>24</v>
      </c>
      <c r="D207" s="3" t="s">
        <v>211</v>
      </c>
      <c r="E207" s="4" t="n">
        <v>0</v>
      </c>
    </row>
    <row r="208" customFormat="false" ht="15" hidden="false" customHeight="false" outlineLevel="0" collapsed="false">
      <c r="A208" s="3" t="n">
        <v>2012</v>
      </c>
      <c r="B208" s="3" t="n">
        <v>7</v>
      </c>
      <c r="C208" s="3" t="n">
        <v>25</v>
      </c>
      <c r="D208" s="3" t="s">
        <v>212</v>
      </c>
      <c r="E208" s="4" t="n">
        <v>0</v>
      </c>
    </row>
    <row r="209" customFormat="false" ht="15" hidden="false" customHeight="false" outlineLevel="0" collapsed="false">
      <c r="A209" s="3" t="n">
        <v>2012</v>
      </c>
      <c r="B209" s="3" t="n">
        <v>7</v>
      </c>
      <c r="C209" s="3" t="n">
        <v>26</v>
      </c>
      <c r="D209" s="3" t="s">
        <v>213</v>
      </c>
      <c r="E209" s="4" t="n">
        <v>0</v>
      </c>
    </row>
    <row r="210" customFormat="false" ht="15" hidden="false" customHeight="false" outlineLevel="0" collapsed="false">
      <c r="A210" s="3" t="n">
        <v>2012</v>
      </c>
      <c r="B210" s="3" t="n">
        <v>7</v>
      </c>
      <c r="C210" s="3" t="n">
        <v>27</v>
      </c>
      <c r="D210" s="3" t="s">
        <v>214</v>
      </c>
      <c r="E210" s="4" t="n">
        <v>0</v>
      </c>
    </row>
    <row r="211" customFormat="false" ht="15" hidden="false" customHeight="false" outlineLevel="0" collapsed="false">
      <c r="A211" s="3" t="n">
        <v>2012</v>
      </c>
      <c r="B211" s="3" t="n">
        <v>7</v>
      </c>
      <c r="C211" s="3" t="n">
        <v>28</v>
      </c>
      <c r="D211" s="3" t="s">
        <v>215</v>
      </c>
      <c r="E211" s="4" t="n">
        <v>0</v>
      </c>
    </row>
    <row r="212" customFormat="false" ht="15" hidden="false" customHeight="false" outlineLevel="0" collapsed="false">
      <c r="A212" s="3" t="n">
        <v>2012</v>
      </c>
      <c r="B212" s="3" t="n">
        <v>7</v>
      </c>
      <c r="C212" s="3" t="n">
        <v>29</v>
      </c>
      <c r="D212" s="3" t="s">
        <v>216</v>
      </c>
      <c r="E212" s="4" t="n">
        <v>0</v>
      </c>
    </row>
    <row r="213" customFormat="false" ht="15" hidden="false" customHeight="false" outlineLevel="0" collapsed="false">
      <c r="A213" s="3" t="n">
        <v>2012</v>
      </c>
      <c r="B213" s="3" t="n">
        <v>7</v>
      </c>
      <c r="C213" s="3" t="n">
        <v>30</v>
      </c>
      <c r="D213" s="3" t="s">
        <v>217</v>
      </c>
      <c r="E213" s="4" t="n">
        <v>0</v>
      </c>
    </row>
    <row r="214" customFormat="false" ht="15" hidden="false" customHeight="false" outlineLevel="0" collapsed="false">
      <c r="A214" s="3" t="n">
        <v>2012</v>
      </c>
      <c r="B214" s="3" t="n">
        <v>7</v>
      </c>
      <c r="C214" s="3" t="n">
        <v>31</v>
      </c>
      <c r="D214" s="3" t="s">
        <v>218</v>
      </c>
      <c r="E214" s="4" t="n">
        <v>0</v>
      </c>
    </row>
    <row r="215" customFormat="false" ht="15" hidden="false" customHeight="false" outlineLevel="0" collapsed="false">
      <c r="A215" s="3" t="n">
        <v>2012</v>
      </c>
      <c r="B215" s="3" t="n">
        <v>8</v>
      </c>
      <c r="C215" s="3" t="n">
        <v>1</v>
      </c>
      <c r="D215" s="3" t="s">
        <v>219</v>
      </c>
      <c r="E215" s="4" t="n">
        <v>0</v>
      </c>
    </row>
    <row r="216" customFormat="false" ht="15" hidden="false" customHeight="false" outlineLevel="0" collapsed="false">
      <c r="A216" s="3" t="n">
        <v>2012</v>
      </c>
      <c r="B216" s="3" t="n">
        <v>8</v>
      </c>
      <c r="C216" s="3" t="n">
        <v>2</v>
      </c>
      <c r="D216" s="3" t="s">
        <v>220</v>
      </c>
      <c r="E216" s="4" t="n">
        <v>0</v>
      </c>
    </row>
    <row r="217" customFormat="false" ht="15" hidden="false" customHeight="false" outlineLevel="0" collapsed="false">
      <c r="A217" s="3" t="n">
        <v>2012</v>
      </c>
      <c r="B217" s="3" t="n">
        <v>8</v>
      </c>
      <c r="C217" s="3" t="n">
        <v>3</v>
      </c>
      <c r="D217" s="3" t="s">
        <v>221</v>
      </c>
      <c r="E217" s="4" t="n">
        <v>0</v>
      </c>
    </row>
    <row r="218" customFormat="false" ht="15" hidden="false" customHeight="false" outlineLevel="0" collapsed="false">
      <c r="A218" s="3" t="n">
        <v>2012</v>
      </c>
      <c r="B218" s="3" t="n">
        <v>8</v>
      </c>
      <c r="C218" s="3" t="n">
        <v>4</v>
      </c>
      <c r="D218" s="3" t="s">
        <v>222</v>
      </c>
      <c r="E218" s="4" t="n">
        <v>0</v>
      </c>
    </row>
    <row r="219" customFormat="false" ht="15" hidden="false" customHeight="false" outlineLevel="0" collapsed="false">
      <c r="A219" s="3" t="n">
        <v>2012</v>
      </c>
      <c r="B219" s="3" t="n">
        <v>8</v>
      </c>
      <c r="C219" s="3" t="n">
        <v>5</v>
      </c>
      <c r="D219" s="3" t="s">
        <v>223</v>
      </c>
      <c r="E219" s="4" t="n">
        <v>0</v>
      </c>
    </row>
    <row r="220" customFormat="false" ht="15" hidden="false" customHeight="false" outlineLevel="0" collapsed="false">
      <c r="A220" s="3" t="n">
        <v>2012</v>
      </c>
      <c r="B220" s="3" t="n">
        <v>8</v>
      </c>
      <c r="C220" s="3" t="n">
        <v>6</v>
      </c>
      <c r="D220" s="3" t="s">
        <v>224</v>
      </c>
      <c r="E220" s="4" t="n">
        <v>0</v>
      </c>
    </row>
    <row r="221" customFormat="false" ht="15" hidden="false" customHeight="false" outlineLevel="0" collapsed="false">
      <c r="A221" s="3" t="n">
        <v>2012</v>
      </c>
      <c r="B221" s="3" t="n">
        <v>8</v>
      </c>
      <c r="C221" s="3" t="n">
        <v>7</v>
      </c>
      <c r="D221" s="3" t="s">
        <v>225</v>
      </c>
      <c r="E221" s="4" t="n">
        <v>0</v>
      </c>
    </row>
    <row r="222" customFormat="false" ht="15" hidden="false" customHeight="false" outlineLevel="0" collapsed="false">
      <c r="A222" s="3" t="n">
        <v>2012</v>
      </c>
      <c r="B222" s="3" t="n">
        <v>8</v>
      </c>
      <c r="C222" s="3" t="n">
        <v>8</v>
      </c>
      <c r="D222" s="3" t="s">
        <v>226</v>
      </c>
      <c r="E222" s="4" t="n">
        <v>0</v>
      </c>
    </row>
    <row r="223" customFormat="false" ht="15" hidden="false" customHeight="false" outlineLevel="0" collapsed="false">
      <c r="A223" s="3" t="n">
        <v>2012</v>
      </c>
      <c r="B223" s="3" t="n">
        <v>8</v>
      </c>
      <c r="C223" s="3" t="n">
        <v>9</v>
      </c>
      <c r="D223" s="3" t="s">
        <v>227</v>
      </c>
      <c r="E223" s="4" t="n">
        <v>0</v>
      </c>
    </row>
    <row r="224" customFormat="false" ht="15" hidden="false" customHeight="false" outlineLevel="0" collapsed="false">
      <c r="A224" s="3" t="n">
        <v>2012</v>
      </c>
      <c r="B224" s="3" t="n">
        <v>8</v>
      </c>
      <c r="C224" s="3" t="n">
        <v>10</v>
      </c>
      <c r="D224" s="3" t="s">
        <v>228</v>
      </c>
      <c r="E224" s="4" t="n">
        <v>20</v>
      </c>
    </row>
    <row r="225" customFormat="false" ht="15" hidden="false" customHeight="false" outlineLevel="0" collapsed="false">
      <c r="A225" s="3" t="n">
        <v>2012</v>
      </c>
      <c r="B225" s="3" t="n">
        <v>8</v>
      </c>
      <c r="C225" s="3" t="n">
        <v>11</v>
      </c>
      <c r="D225" s="3" t="s">
        <v>229</v>
      </c>
      <c r="E225" s="4" t="n">
        <v>0</v>
      </c>
    </row>
    <row r="226" customFormat="false" ht="15" hidden="false" customHeight="false" outlineLevel="0" collapsed="false">
      <c r="A226" s="3" t="n">
        <v>2012</v>
      </c>
      <c r="B226" s="3" t="n">
        <v>8</v>
      </c>
      <c r="C226" s="3" t="n">
        <v>12</v>
      </c>
      <c r="D226" s="3" t="s">
        <v>230</v>
      </c>
      <c r="E226" s="4" t="n">
        <v>0</v>
      </c>
    </row>
    <row r="227" customFormat="false" ht="15" hidden="false" customHeight="false" outlineLevel="0" collapsed="false">
      <c r="A227" s="3" t="n">
        <v>2012</v>
      </c>
      <c r="B227" s="3" t="n">
        <v>8</v>
      </c>
      <c r="C227" s="3" t="n">
        <v>13</v>
      </c>
      <c r="D227" s="3" t="s">
        <v>231</v>
      </c>
      <c r="E227" s="4" t="n">
        <v>0</v>
      </c>
    </row>
    <row r="228" customFormat="false" ht="15" hidden="false" customHeight="false" outlineLevel="0" collapsed="false">
      <c r="A228" s="3" t="n">
        <v>2012</v>
      </c>
      <c r="B228" s="3" t="n">
        <v>8</v>
      </c>
      <c r="C228" s="3" t="n">
        <v>14</v>
      </c>
      <c r="D228" s="3" t="s">
        <v>232</v>
      </c>
      <c r="E228" s="4" t="n">
        <v>0</v>
      </c>
    </row>
    <row r="229" customFormat="false" ht="15" hidden="false" customHeight="false" outlineLevel="0" collapsed="false">
      <c r="A229" s="3" t="n">
        <v>2012</v>
      </c>
      <c r="B229" s="3" t="n">
        <v>8</v>
      </c>
      <c r="C229" s="3" t="n">
        <v>15</v>
      </c>
      <c r="D229" s="3" t="s">
        <v>233</v>
      </c>
      <c r="E229" s="4" t="n">
        <v>0</v>
      </c>
    </row>
    <row r="230" customFormat="false" ht="15" hidden="false" customHeight="false" outlineLevel="0" collapsed="false">
      <c r="A230" s="3" t="n">
        <v>2012</v>
      </c>
      <c r="B230" s="3" t="n">
        <v>8</v>
      </c>
      <c r="C230" s="3" t="n">
        <v>16</v>
      </c>
      <c r="D230" s="3" t="s">
        <v>234</v>
      </c>
      <c r="E230" s="4" t="n">
        <v>0</v>
      </c>
    </row>
    <row r="231" customFormat="false" ht="15" hidden="false" customHeight="false" outlineLevel="0" collapsed="false">
      <c r="A231" s="3" t="n">
        <v>2012</v>
      </c>
      <c r="B231" s="3" t="n">
        <v>8</v>
      </c>
      <c r="C231" s="3" t="n">
        <v>17</v>
      </c>
      <c r="D231" s="3" t="s">
        <v>235</v>
      </c>
      <c r="E231" s="4" t="n">
        <v>0</v>
      </c>
    </row>
    <row r="232" customFormat="false" ht="15" hidden="false" customHeight="false" outlineLevel="0" collapsed="false">
      <c r="A232" s="3" t="n">
        <v>2012</v>
      </c>
      <c r="B232" s="3" t="n">
        <v>8</v>
      </c>
      <c r="C232" s="3" t="n">
        <v>18</v>
      </c>
      <c r="D232" s="3" t="s">
        <v>236</v>
      </c>
      <c r="E232" s="4" t="n">
        <v>0</v>
      </c>
    </row>
    <row r="233" customFormat="false" ht="15" hidden="false" customHeight="false" outlineLevel="0" collapsed="false">
      <c r="A233" s="3" t="n">
        <v>2012</v>
      </c>
      <c r="B233" s="3" t="n">
        <v>8</v>
      </c>
      <c r="C233" s="3" t="n">
        <v>19</v>
      </c>
      <c r="D233" s="3" t="s">
        <v>237</v>
      </c>
      <c r="E233" s="4" t="n">
        <v>0</v>
      </c>
    </row>
    <row r="234" customFormat="false" ht="15" hidden="false" customHeight="false" outlineLevel="0" collapsed="false">
      <c r="A234" s="3" t="n">
        <v>2012</v>
      </c>
      <c r="B234" s="3" t="n">
        <v>8</v>
      </c>
      <c r="C234" s="3" t="n">
        <v>20</v>
      </c>
      <c r="D234" s="3" t="s">
        <v>238</v>
      </c>
      <c r="E234" s="4" t="n">
        <v>0</v>
      </c>
    </row>
    <row r="235" customFormat="false" ht="15" hidden="false" customHeight="false" outlineLevel="0" collapsed="false">
      <c r="A235" s="3" t="n">
        <v>2012</v>
      </c>
      <c r="B235" s="3" t="n">
        <v>8</v>
      </c>
      <c r="C235" s="3" t="n">
        <v>21</v>
      </c>
      <c r="D235" s="3" t="s">
        <v>239</v>
      </c>
      <c r="E235" s="4" t="n">
        <v>20</v>
      </c>
    </row>
    <row r="236" customFormat="false" ht="15" hidden="false" customHeight="false" outlineLevel="0" collapsed="false">
      <c r="A236" s="3" t="n">
        <v>2012</v>
      </c>
      <c r="B236" s="3" t="n">
        <v>8</v>
      </c>
      <c r="C236" s="3" t="n">
        <v>22</v>
      </c>
      <c r="D236" s="3" t="s">
        <v>240</v>
      </c>
      <c r="E236" s="4" t="n">
        <v>0</v>
      </c>
    </row>
    <row r="237" customFormat="false" ht="15" hidden="false" customHeight="false" outlineLevel="0" collapsed="false">
      <c r="A237" s="3" t="n">
        <v>2012</v>
      </c>
      <c r="B237" s="3" t="n">
        <v>8</v>
      </c>
      <c r="C237" s="3" t="n">
        <v>23</v>
      </c>
      <c r="D237" s="3" t="s">
        <v>241</v>
      </c>
      <c r="E237" s="4" t="n">
        <v>0</v>
      </c>
    </row>
    <row r="238" customFormat="false" ht="15" hidden="false" customHeight="false" outlineLevel="0" collapsed="false">
      <c r="A238" s="3" t="n">
        <v>2012</v>
      </c>
      <c r="B238" s="3" t="n">
        <v>8</v>
      </c>
      <c r="C238" s="3" t="n">
        <v>24</v>
      </c>
      <c r="D238" s="3" t="s">
        <v>242</v>
      </c>
      <c r="E238" s="4" t="n">
        <v>0</v>
      </c>
    </row>
    <row r="239" customFormat="false" ht="15" hidden="false" customHeight="false" outlineLevel="0" collapsed="false">
      <c r="A239" s="3" t="n">
        <v>2012</v>
      </c>
      <c r="B239" s="3" t="n">
        <v>8</v>
      </c>
      <c r="C239" s="3" t="n">
        <v>25</v>
      </c>
      <c r="D239" s="3" t="s">
        <v>243</v>
      </c>
      <c r="E239" s="4" t="n">
        <v>15</v>
      </c>
    </row>
    <row r="240" customFormat="false" ht="15" hidden="false" customHeight="false" outlineLevel="0" collapsed="false">
      <c r="A240" s="3" t="n">
        <v>2012</v>
      </c>
      <c r="B240" s="3" t="n">
        <v>8</v>
      </c>
      <c r="C240" s="3" t="n">
        <v>26</v>
      </c>
      <c r="D240" s="3" t="s">
        <v>244</v>
      </c>
      <c r="E240" s="4" t="n">
        <v>10</v>
      </c>
    </row>
    <row r="241" customFormat="false" ht="15" hidden="false" customHeight="false" outlineLevel="0" collapsed="false">
      <c r="A241" s="3" t="n">
        <v>2012</v>
      </c>
      <c r="B241" s="3" t="n">
        <v>8</v>
      </c>
      <c r="C241" s="3" t="n">
        <v>27</v>
      </c>
      <c r="D241" s="3" t="s">
        <v>245</v>
      </c>
      <c r="E241" s="4" t="n">
        <v>30</v>
      </c>
    </row>
    <row r="242" customFormat="false" ht="15" hidden="false" customHeight="false" outlineLevel="0" collapsed="false">
      <c r="A242" s="3" t="n">
        <v>2012</v>
      </c>
      <c r="B242" s="3" t="n">
        <v>8</v>
      </c>
      <c r="C242" s="3" t="n">
        <v>28</v>
      </c>
      <c r="D242" s="3" t="s">
        <v>246</v>
      </c>
      <c r="E242" s="4" t="n">
        <v>0</v>
      </c>
    </row>
    <row r="243" customFormat="false" ht="15" hidden="false" customHeight="false" outlineLevel="0" collapsed="false">
      <c r="A243" s="3" t="n">
        <v>2012</v>
      </c>
      <c r="B243" s="3" t="n">
        <v>8</v>
      </c>
      <c r="C243" s="3" t="n">
        <v>29</v>
      </c>
      <c r="D243" s="3" t="s">
        <v>247</v>
      </c>
      <c r="E243" s="4" t="n">
        <v>0</v>
      </c>
    </row>
    <row r="244" customFormat="false" ht="15" hidden="false" customHeight="false" outlineLevel="0" collapsed="false">
      <c r="A244" s="3" t="n">
        <v>2012</v>
      </c>
      <c r="B244" s="3" t="n">
        <v>8</v>
      </c>
      <c r="C244" s="3" t="n">
        <v>30</v>
      </c>
      <c r="D244" s="3" t="s">
        <v>248</v>
      </c>
      <c r="E244" s="4" t="n">
        <v>10</v>
      </c>
    </row>
    <row r="245" customFormat="false" ht="15" hidden="false" customHeight="false" outlineLevel="0" collapsed="false">
      <c r="A245" s="3" t="n">
        <v>2012</v>
      </c>
      <c r="B245" s="3" t="n">
        <v>8</v>
      </c>
      <c r="C245" s="3" t="n">
        <v>31</v>
      </c>
      <c r="D245" s="3" t="s">
        <v>249</v>
      </c>
      <c r="E245" s="4" t="n">
        <v>0</v>
      </c>
    </row>
    <row r="246" customFormat="false" ht="15" hidden="false" customHeight="false" outlineLevel="0" collapsed="false">
      <c r="A246" s="3" t="n">
        <v>2012</v>
      </c>
      <c r="B246" s="3" t="n">
        <v>9</v>
      </c>
      <c r="C246" s="3" t="n">
        <v>1</v>
      </c>
      <c r="D246" s="3" t="s">
        <v>250</v>
      </c>
      <c r="E246" s="4" t="n">
        <v>0</v>
      </c>
    </row>
    <row r="247" customFormat="false" ht="15" hidden="false" customHeight="false" outlineLevel="0" collapsed="false">
      <c r="A247" s="3" t="n">
        <v>2012</v>
      </c>
      <c r="B247" s="3" t="n">
        <v>9</v>
      </c>
      <c r="C247" s="3" t="n">
        <v>2</v>
      </c>
      <c r="D247" s="3" t="s">
        <v>251</v>
      </c>
      <c r="E247" s="4" t="n">
        <v>0</v>
      </c>
    </row>
    <row r="248" customFormat="false" ht="15" hidden="false" customHeight="false" outlineLevel="0" collapsed="false">
      <c r="A248" s="3" t="n">
        <v>2012</v>
      </c>
      <c r="B248" s="3" t="n">
        <v>9</v>
      </c>
      <c r="C248" s="3" t="n">
        <v>3</v>
      </c>
      <c r="D248" s="3" t="s">
        <v>252</v>
      </c>
      <c r="E248" s="4" t="n">
        <v>0</v>
      </c>
    </row>
    <row r="249" customFormat="false" ht="15" hidden="false" customHeight="false" outlineLevel="0" collapsed="false">
      <c r="A249" s="3" t="n">
        <v>2012</v>
      </c>
      <c r="B249" s="3" t="n">
        <v>9</v>
      </c>
      <c r="C249" s="3" t="n">
        <v>4</v>
      </c>
      <c r="D249" s="3" t="s">
        <v>253</v>
      </c>
      <c r="E249" s="4" t="n">
        <v>0</v>
      </c>
    </row>
    <row r="250" customFormat="false" ht="15" hidden="false" customHeight="false" outlineLevel="0" collapsed="false">
      <c r="A250" s="3" t="n">
        <v>2012</v>
      </c>
      <c r="B250" s="3" t="n">
        <v>9</v>
      </c>
      <c r="C250" s="3" t="n">
        <v>5</v>
      </c>
      <c r="D250" s="3" t="s">
        <v>254</v>
      </c>
      <c r="E250" s="4" t="n">
        <v>36</v>
      </c>
    </row>
    <row r="251" customFormat="false" ht="15" hidden="false" customHeight="false" outlineLevel="0" collapsed="false">
      <c r="A251" s="3" t="n">
        <v>2012</v>
      </c>
      <c r="B251" s="3" t="n">
        <v>9</v>
      </c>
      <c r="C251" s="3" t="n">
        <v>6</v>
      </c>
      <c r="D251" s="3" t="s">
        <v>255</v>
      </c>
      <c r="E251" s="4" t="n">
        <v>20</v>
      </c>
    </row>
    <row r="252" customFormat="false" ht="15" hidden="false" customHeight="false" outlineLevel="0" collapsed="false">
      <c r="A252" s="3" t="n">
        <v>2012</v>
      </c>
      <c r="B252" s="3" t="n">
        <v>9</v>
      </c>
      <c r="C252" s="3" t="n">
        <v>7</v>
      </c>
      <c r="D252" s="3" t="s">
        <v>256</v>
      </c>
      <c r="E252" s="4" t="n">
        <v>50</v>
      </c>
    </row>
    <row r="253" customFormat="false" ht="15" hidden="false" customHeight="false" outlineLevel="0" collapsed="false">
      <c r="A253" s="3" t="n">
        <v>2012</v>
      </c>
      <c r="B253" s="3" t="n">
        <v>9</v>
      </c>
      <c r="C253" s="3" t="n">
        <v>8</v>
      </c>
      <c r="D253" s="3" t="s">
        <v>257</v>
      </c>
      <c r="E253" s="4" t="n">
        <v>40</v>
      </c>
    </row>
    <row r="254" customFormat="false" ht="15" hidden="false" customHeight="false" outlineLevel="0" collapsed="false">
      <c r="A254" s="3" t="n">
        <v>2012</v>
      </c>
      <c r="B254" s="3" t="n">
        <v>9</v>
      </c>
      <c r="C254" s="3" t="n">
        <v>9</v>
      </c>
      <c r="D254" s="3" t="s">
        <v>258</v>
      </c>
      <c r="E254" s="4" t="n">
        <v>10</v>
      </c>
    </row>
    <row r="255" customFormat="false" ht="15" hidden="false" customHeight="false" outlineLevel="0" collapsed="false">
      <c r="A255" s="3" t="n">
        <v>2012</v>
      </c>
      <c r="B255" s="3" t="n">
        <v>9</v>
      </c>
      <c r="C255" s="3" t="n">
        <v>10</v>
      </c>
      <c r="D255" s="3" t="s">
        <v>259</v>
      </c>
      <c r="E255" s="4" t="n">
        <v>0</v>
      </c>
    </row>
    <row r="256" customFormat="false" ht="15" hidden="false" customHeight="false" outlineLevel="0" collapsed="false">
      <c r="A256" s="3" t="n">
        <v>2012</v>
      </c>
      <c r="B256" s="3" t="n">
        <v>9</v>
      </c>
      <c r="C256" s="3" t="n">
        <v>11</v>
      </c>
      <c r="D256" s="3" t="s">
        <v>260</v>
      </c>
      <c r="E256" s="4" t="n">
        <v>0</v>
      </c>
    </row>
    <row r="257" customFormat="false" ht="15" hidden="false" customHeight="false" outlineLevel="0" collapsed="false">
      <c r="A257" s="3" t="n">
        <v>2012</v>
      </c>
      <c r="B257" s="3" t="n">
        <v>9</v>
      </c>
      <c r="C257" s="3" t="n">
        <v>12</v>
      </c>
      <c r="D257" s="3" t="s">
        <v>261</v>
      </c>
      <c r="E257" s="4" t="n">
        <v>0</v>
      </c>
    </row>
    <row r="258" customFormat="false" ht="15" hidden="false" customHeight="false" outlineLevel="0" collapsed="false">
      <c r="A258" s="3" t="n">
        <v>2012</v>
      </c>
      <c r="B258" s="3" t="n">
        <v>9</v>
      </c>
      <c r="C258" s="3" t="n">
        <v>13</v>
      </c>
      <c r="D258" s="3" t="s">
        <v>262</v>
      </c>
      <c r="E258" s="4" t="n">
        <v>0</v>
      </c>
    </row>
    <row r="259" customFormat="false" ht="15" hidden="false" customHeight="false" outlineLevel="0" collapsed="false">
      <c r="A259" s="3" t="n">
        <v>2012</v>
      </c>
      <c r="B259" s="3" t="n">
        <v>9</v>
      </c>
      <c r="C259" s="3" t="n">
        <v>14</v>
      </c>
      <c r="D259" s="3" t="s">
        <v>263</v>
      </c>
      <c r="E259" s="4" t="n">
        <v>0</v>
      </c>
    </row>
    <row r="260" customFormat="false" ht="15" hidden="false" customHeight="false" outlineLevel="0" collapsed="false">
      <c r="A260" s="3" t="n">
        <v>2012</v>
      </c>
      <c r="B260" s="3" t="n">
        <v>9</v>
      </c>
      <c r="C260" s="3" t="n">
        <v>15</v>
      </c>
      <c r="D260" s="3" t="s">
        <v>264</v>
      </c>
      <c r="E260" s="4" t="n">
        <v>0</v>
      </c>
    </row>
    <row r="261" customFormat="false" ht="15" hidden="false" customHeight="false" outlineLevel="0" collapsed="false">
      <c r="A261" s="3" t="n">
        <v>2012</v>
      </c>
      <c r="B261" s="3" t="n">
        <v>9</v>
      </c>
      <c r="C261" s="3" t="n">
        <v>16</v>
      </c>
      <c r="D261" s="3" t="s">
        <v>265</v>
      </c>
      <c r="E261" s="4" t="n">
        <v>0</v>
      </c>
    </row>
    <row r="262" customFormat="false" ht="15" hidden="false" customHeight="false" outlineLevel="0" collapsed="false">
      <c r="A262" s="3" t="n">
        <v>2012</v>
      </c>
      <c r="B262" s="3" t="n">
        <v>9</v>
      </c>
      <c r="C262" s="3" t="n">
        <v>17</v>
      </c>
      <c r="D262" s="3" t="s">
        <v>266</v>
      </c>
      <c r="E262" s="4" t="n">
        <v>0</v>
      </c>
    </row>
    <row r="263" customFormat="false" ht="15" hidden="false" customHeight="false" outlineLevel="0" collapsed="false">
      <c r="A263" s="3" t="n">
        <v>2012</v>
      </c>
      <c r="B263" s="3" t="n">
        <v>9</v>
      </c>
      <c r="C263" s="3" t="n">
        <v>18</v>
      </c>
      <c r="D263" s="3" t="s">
        <v>267</v>
      </c>
      <c r="E263" s="4" t="n">
        <v>0</v>
      </c>
    </row>
    <row r="264" customFormat="false" ht="15" hidden="false" customHeight="false" outlineLevel="0" collapsed="false">
      <c r="A264" s="3" t="n">
        <v>2012</v>
      </c>
      <c r="B264" s="3" t="n">
        <v>9</v>
      </c>
      <c r="C264" s="3" t="n">
        <v>19</v>
      </c>
      <c r="D264" s="3" t="s">
        <v>268</v>
      </c>
      <c r="E264" s="4" t="n">
        <v>0</v>
      </c>
    </row>
    <row r="265" customFormat="false" ht="15" hidden="false" customHeight="false" outlineLevel="0" collapsed="false">
      <c r="A265" s="3" t="n">
        <v>2012</v>
      </c>
      <c r="B265" s="3" t="n">
        <v>9</v>
      </c>
      <c r="C265" s="3" t="n">
        <v>20</v>
      </c>
      <c r="D265" s="3" t="s">
        <v>269</v>
      </c>
      <c r="E265" s="4" t="n">
        <v>8</v>
      </c>
    </row>
    <row r="266" customFormat="false" ht="15" hidden="false" customHeight="false" outlineLevel="0" collapsed="false">
      <c r="A266" s="3" t="n">
        <v>2012</v>
      </c>
      <c r="B266" s="3" t="n">
        <v>9</v>
      </c>
      <c r="C266" s="3" t="n">
        <v>21</v>
      </c>
      <c r="D266" s="3" t="s">
        <v>270</v>
      </c>
      <c r="E266" s="4" t="n">
        <v>0</v>
      </c>
    </row>
    <row r="267" customFormat="false" ht="15" hidden="false" customHeight="false" outlineLevel="0" collapsed="false">
      <c r="A267" s="3" t="n">
        <v>2012</v>
      </c>
      <c r="B267" s="3" t="n">
        <v>9</v>
      </c>
      <c r="C267" s="3" t="n">
        <v>22</v>
      </c>
      <c r="D267" s="3" t="s">
        <v>271</v>
      </c>
      <c r="E267" s="4" t="n">
        <v>0</v>
      </c>
    </row>
    <row r="268" customFormat="false" ht="15" hidden="false" customHeight="false" outlineLevel="0" collapsed="false">
      <c r="A268" s="3" t="n">
        <v>2012</v>
      </c>
      <c r="B268" s="3" t="n">
        <v>9</v>
      </c>
      <c r="C268" s="3" t="n">
        <v>23</v>
      </c>
      <c r="D268" s="3" t="s">
        <v>272</v>
      </c>
      <c r="E268" s="4" t="n">
        <v>10</v>
      </c>
    </row>
    <row r="269" customFormat="false" ht="15" hidden="false" customHeight="false" outlineLevel="0" collapsed="false">
      <c r="A269" s="3" t="n">
        <v>2012</v>
      </c>
      <c r="B269" s="3" t="n">
        <v>9</v>
      </c>
      <c r="C269" s="3" t="n">
        <v>24</v>
      </c>
      <c r="D269" s="3" t="s">
        <v>273</v>
      </c>
      <c r="E269" s="4" t="n">
        <v>0</v>
      </c>
    </row>
    <row r="270" customFormat="false" ht="15" hidden="false" customHeight="false" outlineLevel="0" collapsed="false">
      <c r="A270" s="3" t="n">
        <v>2012</v>
      </c>
      <c r="B270" s="3" t="n">
        <v>9</v>
      </c>
      <c r="C270" s="3" t="n">
        <v>25</v>
      </c>
      <c r="D270" s="3" t="s">
        <v>274</v>
      </c>
      <c r="E270" s="4" t="n">
        <v>0</v>
      </c>
    </row>
    <row r="271" customFormat="false" ht="15" hidden="false" customHeight="false" outlineLevel="0" collapsed="false">
      <c r="A271" s="3" t="n">
        <v>2012</v>
      </c>
      <c r="B271" s="3" t="n">
        <v>9</v>
      </c>
      <c r="C271" s="3" t="n">
        <v>26</v>
      </c>
      <c r="D271" s="3" t="s">
        <v>275</v>
      </c>
      <c r="E271" s="4" t="n">
        <v>0</v>
      </c>
    </row>
    <row r="272" customFormat="false" ht="15" hidden="false" customHeight="false" outlineLevel="0" collapsed="false">
      <c r="A272" s="3" t="n">
        <v>2012</v>
      </c>
      <c r="B272" s="3" t="n">
        <v>9</v>
      </c>
      <c r="C272" s="3" t="n">
        <v>27</v>
      </c>
      <c r="D272" s="3" t="s">
        <v>276</v>
      </c>
      <c r="E272" s="4" t="n">
        <v>0</v>
      </c>
    </row>
    <row r="273" customFormat="false" ht="15" hidden="false" customHeight="false" outlineLevel="0" collapsed="false">
      <c r="A273" s="3" t="n">
        <v>2012</v>
      </c>
      <c r="B273" s="3" t="n">
        <v>9</v>
      </c>
      <c r="C273" s="3" t="n">
        <v>28</v>
      </c>
      <c r="D273" s="3" t="s">
        <v>277</v>
      </c>
      <c r="E273" s="4" t="n">
        <v>0</v>
      </c>
    </row>
    <row r="274" customFormat="false" ht="15" hidden="false" customHeight="false" outlineLevel="0" collapsed="false">
      <c r="A274" s="3" t="n">
        <v>2012</v>
      </c>
      <c r="B274" s="3" t="n">
        <v>9</v>
      </c>
      <c r="C274" s="3" t="n">
        <v>29</v>
      </c>
      <c r="D274" s="3" t="s">
        <v>278</v>
      </c>
      <c r="E274" s="4" t="n">
        <v>0</v>
      </c>
    </row>
    <row r="275" customFormat="false" ht="15" hidden="false" customHeight="false" outlineLevel="0" collapsed="false">
      <c r="A275" s="3" t="n">
        <v>2012</v>
      </c>
      <c r="B275" s="3" t="n">
        <v>9</v>
      </c>
      <c r="C275" s="3" t="n">
        <v>30</v>
      </c>
      <c r="D275" s="3" t="s">
        <v>279</v>
      </c>
      <c r="E275" s="4" t="n">
        <v>0</v>
      </c>
    </row>
    <row r="276" customFormat="false" ht="15" hidden="false" customHeight="false" outlineLevel="0" collapsed="false">
      <c r="A276" s="3" t="n">
        <v>2012</v>
      </c>
      <c r="B276" s="3" t="n">
        <v>10</v>
      </c>
      <c r="C276" s="3" t="n">
        <v>1</v>
      </c>
      <c r="D276" s="3" t="s">
        <v>280</v>
      </c>
      <c r="E276" s="4" t="n">
        <v>11</v>
      </c>
    </row>
    <row r="277" customFormat="false" ht="15" hidden="false" customHeight="false" outlineLevel="0" collapsed="false">
      <c r="A277" s="3" t="n">
        <v>2012</v>
      </c>
      <c r="B277" s="3" t="n">
        <v>10</v>
      </c>
      <c r="C277" s="3" t="n">
        <v>2</v>
      </c>
      <c r="D277" s="3" t="s">
        <v>281</v>
      </c>
      <c r="E277" s="4" t="n">
        <v>30</v>
      </c>
    </row>
    <row r="278" customFormat="false" ht="15" hidden="false" customHeight="false" outlineLevel="0" collapsed="false">
      <c r="A278" s="3" t="n">
        <v>2012</v>
      </c>
      <c r="B278" s="3" t="n">
        <v>10</v>
      </c>
      <c r="C278" s="3" t="n">
        <v>3</v>
      </c>
      <c r="D278" s="3" t="s">
        <v>282</v>
      </c>
      <c r="E278" s="4" t="n">
        <v>21</v>
      </c>
    </row>
    <row r="279" customFormat="false" ht="15" hidden="false" customHeight="false" outlineLevel="0" collapsed="false">
      <c r="A279" s="3" t="n">
        <v>2012</v>
      </c>
      <c r="B279" s="3" t="n">
        <v>10</v>
      </c>
      <c r="C279" s="3" t="n">
        <v>4</v>
      </c>
      <c r="D279" s="3" t="s">
        <v>283</v>
      </c>
      <c r="E279" s="4" t="n">
        <v>0</v>
      </c>
    </row>
    <row r="280" customFormat="false" ht="15" hidden="false" customHeight="false" outlineLevel="0" collapsed="false">
      <c r="A280" s="3" t="n">
        <v>2012</v>
      </c>
      <c r="B280" s="3" t="n">
        <v>10</v>
      </c>
      <c r="C280" s="3" t="n">
        <v>5</v>
      </c>
      <c r="D280" s="3" t="s">
        <v>284</v>
      </c>
      <c r="E280" s="4" t="n">
        <v>0</v>
      </c>
    </row>
    <row r="281" customFormat="false" ht="15" hidden="false" customHeight="false" outlineLevel="0" collapsed="false">
      <c r="A281" s="3" t="n">
        <v>2012</v>
      </c>
      <c r="B281" s="3" t="n">
        <v>10</v>
      </c>
      <c r="C281" s="3" t="n">
        <v>6</v>
      </c>
      <c r="D281" s="3" t="s">
        <v>285</v>
      </c>
      <c r="E281" s="4" t="n">
        <v>30</v>
      </c>
    </row>
    <row r="282" customFormat="false" ht="15" hidden="false" customHeight="false" outlineLevel="0" collapsed="false">
      <c r="A282" s="3" t="n">
        <v>2012</v>
      </c>
      <c r="B282" s="3" t="n">
        <v>10</v>
      </c>
      <c r="C282" s="3" t="n">
        <v>7</v>
      </c>
      <c r="D282" s="3" t="s">
        <v>286</v>
      </c>
      <c r="E282" s="4" t="n">
        <v>24</v>
      </c>
    </row>
    <row r="283" customFormat="false" ht="15" hidden="false" customHeight="false" outlineLevel="0" collapsed="false">
      <c r="A283" s="3" t="n">
        <v>2012</v>
      </c>
      <c r="B283" s="3" t="n">
        <v>10</v>
      </c>
      <c r="C283" s="3" t="n">
        <v>8</v>
      </c>
      <c r="D283" s="3" t="s">
        <v>287</v>
      </c>
      <c r="E283" s="4" t="n">
        <v>0</v>
      </c>
    </row>
    <row r="284" customFormat="false" ht="15" hidden="false" customHeight="false" outlineLevel="0" collapsed="false">
      <c r="A284" s="3" t="n">
        <v>2012</v>
      </c>
      <c r="B284" s="3" t="n">
        <v>10</v>
      </c>
      <c r="C284" s="3" t="n">
        <v>9</v>
      </c>
      <c r="D284" s="3" t="s">
        <v>288</v>
      </c>
      <c r="E284" s="4" t="n">
        <v>30</v>
      </c>
    </row>
    <row r="285" customFormat="false" ht="15" hidden="false" customHeight="false" outlineLevel="0" collapsed="false">
      <c r="A285" s="3" t="n">
        <v>2012</v>
      </c>
      <c r="B285" s="3" t="n">
        <v>10</v>
      </c>
      <c r="C285" s="3" t="n">
        <v>10</v>
      </c>
      <c r="D285" s="3" t="s">
        <v>289</v>
      </c>
      <c r="E285" s="4" t="n">
        <v>0</v>
      </c>
    </row>
    <row r="286" customFormat="false" ht="15" hidden="false" customHeight="false" outlineLevel="0" collapsed="false">
      <c r="A286" s="3" t="n">
        <v>2012</v>
      </c>
      <c r="B286" s="3" t="n">
        <v>10</v>
      </c>
      <c r="C286" s="3" t="n">
        <v>11</v>
      </c>
      <c r="D286" s="3" t="s">
        <v>290</v>
      </c>
      <c r="E286" s="4" t="n">
        <v>40</v>
      </c>
    </row>
    <row r="287" customFormat="false" ht="15" hidden="false" customHeight="false" outlineLevel="0" collapsed="false">
      <c r="A287" s="3" t="n">
        <v>2012</v>
      </c>
      <c r="B287" s="3" t="n">
        <v>10</v>
      </c>
      <c r="C287" s="3" t="n">
        <v>12</v>
      </c>
      <c r="D287" s="3" t="s">
        <v>291</v>
      </c>
      <c r="E287" s="4" t="n">
        <v>40</v>
      </c>
    </row>
    <row r="288" customFormat="false" ht="15" hidden="false" customHeight="false" outlineLevel="0" collapsed="false">
      <c r="A288" s="3" t="n">
        <v>2012</v>
      </c>
      <c r="B288" s="3" t="n">
        <v>10</v>
      </c>
      <c r="C288" s="3" t="n">
        <v>13</v>
      </c>
      <c r="D288" s="3" t="s">
        <v>292</v>
      </c>
      <c r="E288" s="4" t="n">
        <v>30</v>
      </c>
    </row>
    <row r="289" customFormat="false" ht="15" hidden="false" customHeight="false" outlineLevel="0" collapsed="false">
      <c r="A289" s="3" t="n">
        <v>2012</v>
      </c>
      <c r="B289" s="3" t="n">
        <v>10</v>
      </c>
      <c r="C289" s="3" t="n">
        <v>14</v>
      </c>
      <c r="D289" s="3" t="s">
        <v>293</v>
      </c>
      <c r="E289" s="4" t="n">
        <v>10</v>
      </c>
    </row>
    <row r="290" customFormat="false" ht="15" hidden="false" customHeight="false" outlineLevel="0" collapsed="false">
      <c r="A290" s="3" t="n">
        <v>2012</v>
      </c>
      <c r="B290" s="3" t="n">
        <v>10</v>
      </c>
      <c r="C290" s="3" t="n">
        <v>15</v>
      </c>
      <c r="D290" s="3" t="s">
        <v>294</v>
      </c>
      <c r="E290" s="4" t="n">
        <v>0</v>
      </c>
    </row>
    <row r="291" customFormat="false" ht="15" hidden="false" customHeight="false" outlineLevel="0" collapsed="false">
      <c r="A291" s="3" t="n">
        <v>2012</v>
      </c>
      <c r="B291" s="3" t="n">
        <v>10</v>
      </c>
      <c r="C291" s="3" t="n">
        <v>16</v>
      </c>
      <c r="D291" s="3" t="s">
        <v>295</v>
      </c>
      <c r="E291" s="4" t="n">
        <v>10</v>
      </c>
    </row>
    <row r="292" customFormat="false" ht="15" hidden="false" customHeight="false" outlineLevel="0" collapsed="false">
      <c r="A292" s="3" t="n">
        <v>2012</v>
      </c>
      <c r="B292" s="3" t="n">
        <v>10</v>
      </c>
      <c r="C292" s="3" t="n">
        <v>17</v>
      </c>
      <c r="D292" s="3" t="s">
        <v>296</v>
      </c>
      <c r="E292" s="4" t="n">
        <v>30</v>
      </c>
    </row>
    <row r="293" customFormat="false" ht="15" hidden="false" customHeight="false" outlineLevel="0" collapsed="false">
      <c r="A293" s="3" t="n">
        <v>2012</v>
      </c>
      <c r="B293" s="3" t="n">
        <v>10</v>
      </c>
      <c r="C293" s="3" t="n">
        <v>18</v>
      </c>
      <c r="D293" s="3" t="s">
        <v>297</v>
      </c>
      <c r="E293" s="4" t="n">
        <v>15</v>
      </c>
    </row>
    <row r="294" customFormat="false" ht="15" hidden="false" customHeight="false" outlineLevel="0" collapsed="false">
      <c r="A294" s="3" t="n">
        <v>2012</v>
      </c>
      <c r="B294" s="3" t="n">
        <v>10</v>
      </c>
      <c r="C294" s="3" t="n">
        <v>19</v>
      </c>
      <c r="D294" s="3" t="s">
        <v>298</v>
      </c>
      <c r="E294" s="4" t="n">
        <v>30</v>
      </c>
    </row>
    <row r="295" customFormat="false" ht="15" hidden="false" customHeight="false" outlineLevel="0" collapsed="false">
      <c r="A295" s="3" t="n">
        <v>2012</v>
      </c>
      <c r="B295" s="3" t="n">
        <v>10</v>
      </c>
      <c r="C295" s="3" t="n">
        <v>20</v>
      </c>
      <c r="D295" s="3" t="s">
        <v>299</v>
      </c>
      <c r="E295" s="4" t="n">
        <v>35</v>
      </c>
    </row>
    <row r="296" customFormat="false" ht="15" hidden="false" customHeight="false" outlineLevel="0" collapsed="false">
      <c r="A296" s="3" t="n">
        <v>2012</v>
      </c>
      <c r="B296" s="3" t="n">
        <v>10</v>
      </c>
      <c r="C296" s="3" t="n">
        <v>21</v>
      </c>
      <c r="D296" s="3" t="s">
        <v>300</v>
      </c>
      <c r="E296" s="4" t="n">
        <v>0</v>
      </c>
    </row>
    <row r="297" customFormat="false" ht="15" hidden="false" customHeight="false" outlineLevel="0" collapsed="false">
      <c r="A297" s="3" t="n">
        <v>2012</v>
      </c>
      <c r="B297" s="3" t="n">
        <v>10</v>
      </c>
      <c r="C297" s="3" t="n">
        <v>22</v>
      </c>
      <c r="D297" s="3" t="s">
        <v>301</v>
      </c>
      <c r="E297" s="4" t="n">
        <v>10</v>
      </c>
    </row>
    <row r="298" customFormat="false" ht="15" hidden="false" customHeight="false" outlineLevel="0" collapsed="false">
      <c r="A298" s="3" t="n">
        <v>2012</v>
      </c>
      <c r="B298" s="3" t="n">
        <v>10</v>
      </c>
      <c r="C298" s="3" t="n">
        <v>23</v>
      </c>
      <c r="D298" s="3" t="s">
        <v>302</v>
      </c>
      <c r="E298" s="4" t="n">
        <v>0</v>
      </c>
    </row>
    <row r="299" customFormat="false" ht="15" hidden="false" customHeight="false" outlineLevel="0" collapsed="false">
      <c r="A299" s="3" t="n">
        <v>2012</v>
      </c>
      <c r="B299" s="3" t="n">
        <v>10</v>
      </c>
      <c r="C299" s="3" t="n">
        <v>24</v>
      </c>
      <c r="D299" s="3" t="s">
        <v>303</v>
      </c>
      <c r="E299" s="4" t="n">
        <v>0</v>
      </c>
    </row>
    <row r="300" customFormat="false" ht="15" hidden="false" customHeight="false" outlineLevel="0" collapsed="false">
      <c r="A300" s="3" t="n">
        <v>2012</v>
      </c>
      <c r="B300" s="3" t="n">
        <v>10</v>
      </c>
      <c r="C300" s="3" t="n">
        <v>25</v>
      </c>
      <c r="D300" s="3" t="s">
        <v>304</v>
      </c>
      <c r="E300" s="4" t="n">
        <v>0</v>
      </c>
    </row>
    <row r="301" customFormat="false" ht="15" hidden="false" customHeight="false" outlineLevel="0" collapsed="false">
      <c r="A301" s="3" t="n">
        <v>2012</v>
      </c>
      <c r="B301" s="3" t="n">
        <v>10</v>
      </c>
      <c r="C301" s="3" t="n">
        <v>26</v>
      </c>
      <c r="D301" s="3" t="s">
        <v>305</v>
      </c>
      <c r="E301" s="4" t="n">
        <v>0</v>
      </c>
    </row>
    <row r="302" customFormat="false" ht="15" hidden="false" customHeight="false" outlineLevel="0" collapsed="false">
      <c r="A302" s="3" t="n">
        <v>2012</v>
      </c>
      <c r="B302" s="3" t="n">
        <v>10</v>
      </c>
      <c r="C302" s="3" t="n">
        <v>27</v>
      </c>
      <c r="D302" s="3" t="s">
        <v>306</v>
      </c>
      <c r="E302" s="4" t="n">
        <v>0</v>
      </c>
    </row>
    <row r="303" customFormat="false" ht="15" hidden="false" customHeight="false" outlineLevel="0" collapsed="false">
      <c r="A303" s="3" t="n">
        <v>2012</v>
      </c>
      <c r="B303" s="3" t="n">
        <v>10</v>
      </c>
      <c r="C303" s="3" t="n">
        <v>28</v>
      </c>
      <c r="D303" s="3" t="s">
        <v>307</v>
      </c>
      <c r="E303" s="4" t="n">
        <v>0</v>
      </c>
    </row>
    <row r="304" customFormat="false" ht="15" hidden="false" customHeight="false" outlineLevel="0" collapsed="false">
      <c r="A304" s="3" t="n">
        <v>2012</v>
      </c>
      <c r="B304" s="3" t="n">
        <v>10</v>
      </c>
      <c r="C304" s="3" t="n">
        <v>29</v>
      </c>
      <c r="D304" s="3" t="s">
        <v>308</v>
      </c>
      <c r="E304" s="4" t="n">
        <v>0</v>
      </c>
    </row>
    <row r="305" customFormat="false" ht="15" hidden="false" customHeight="false" outlineLevel="0" collapsed="false">
      <c r="A305" s="3" t="n">
        <v>2012</v>
      </c>
      <c r="B305" s="3" t="n">
        <v>10</v>
      </c>
      <c r="C305" s="3" t="n">
        <v>30</v>
      </c>
      <c r="D305" s="3" t="s">
        <v>309</v>
      </c>
      <c r="E305" s="4" t="n">
        <v>0</v>
      </c>
    </row>
    <row r="306" customFormat="false" ht="15" hidden="false" customHeight="false" outlineLevel="0" collapsed="false">
      <c r="A306" s="3" t="n">
        <v>2012</v>
      </c>
      <c r="B306" s="3" t="n">
        <v>10</v>
      </c>
      <c r="C306" s="3" t="n">
        <v>31</v>
      </c>
      <c r="D306" s="3" t="s">
        <v>310</v>
      </c>
      <c r="E306" s="4" t="n">
        <v>40</v>
      </c>
    </row>
    <row r="307" customFormat="false" ht="15" hidden="false" customHeight="false" outlineLevel="0" collapsed="false">
      <c r="A307" s="3" t="n">
        <v>2012</v>
      </c>
      <c r="B307" s="3" t="n">
        <v>11</v>
      </c>
      <c r="C307" s="3" t="n">
        <v>1</v>
      </c>
      <c r="D307" s="3" t="s">
        <v>311</v>
      </c>
      <c r="E307" s="4" t="n">
        <v>31</v>
      </c>
    </row>
    <row r="308" customFormat="false" ht="15" hidden="false" customHeight="false" outlineLevel="0" collapsed="false">
      <c r="A308" s="3" t="n">
        <v>2012</v>
      </c>
      <c r="B308" s="3" t="n">
        <v>11</v>
      </c>
      <c r="C308" s="3" t="n">
        <v>2</v>
      </c>
      <c r="D308" s="3" t="s">
        <v>312</v>
      </c>
      <c r="E308" s="4" t="n">
        <v>10</v>
      </c>
    </row>
    <row r="309" customFormat="false" ht="15" hidden="false" customHeight="false" outlineLevel="0" collapsed="false">
      <c r="A309" s="3" t="n">
        <v>2012</v>
      </c>
      <c r="B309" s="3" t="n">
        <v>11</v>
      </c>
      <c r="C309" s="3" t="n">
        <v>3</v>
      </c>
      <c r="D309" s="3" t="s">
        <v>313</v>
      </c>
      <c r="E309" s="4" t="n">
        <v>0</v>
      </c>
    </row>
    <row r="310" customFormat="false" ht="15" hidden="false" customHeight="false" outlineLevel="0" collapsed="false">
      <c r="A310" s="3" t="n">
        <v>2012</v>
      </c>
      <c r="B310" s="3" t="n">
        <v>11</v>
      </c>
      <c r="C310" s="3" t="n">
        <v>4</v>
      </c>
      <c r="D310" s="3" t="s">
        <v>314</v>
      </c>
      <c r="E310" s="4" t="n">
        <v>10</v>
      </c>
    </row>
    <row r="311" customFormat="false" ht="15" hidden="false" customHeight="false" outlineLevel="0" collapsed="false">
      <c r="A311" s="3" t="n">
        <v>2012</v>
      </c>
      <c r="B311" s="3" t="n">
        <v>11</v>
      </c>
      <c r="C311" s="3" t="n">
        <v>5</v>
      </c>
      <c r="D311" s="3" t="s">
        <v>315</v>
      </c>
      <c r="E311" s="4" t="n">
        <v>9</v>
      </c>
    </row>
    <row r="312" customFormat="false" ht="15" hidden="false" customHeight="false" outlineLevel="0" collapsed="false">
      <c r="A312" s="3" t="n">
        <v>2012</v>
      </c>
      <c r="B312" s="3" t="n">
        <v>11</v>
      </c>
      <c r="C312" s="3" t="n">
        <v>6</v>
      </c>
      <c r="D312" s="3" t="s">
        <v>316</v>
      </c>
      <c r="E312" s="4" t="n">
        <v>8</v>
      </c>
    </row>
    <row r="313" customFormat="false" ht="15" hidden="false" customHeight="false" outlineLevel="0" collapsed="false">
      <c r="A313" s="3" t="n">
        <v>2012</v>
      </c>
      <c r="B313" s="3" t="n">
        <v>11</v>
      </c>
      <c r="C313" s="3" t="n">
        <v>7</v>
      </c>
      <c r="D313" s="3" t="s">
        <v>317</v>
      </c>
      <c r="E313" s="4" t="n">
        <v>12</v>
      </c>
    </row>
    <row r="314" customFormat="false" ht="15" hidden="false" customHeight="false" outlineLevel="0" collapsed="false">
      <c r="A314" s="3" t="n">
        <v>2012</v>
      </c>
      <c r="B314" s="3" t="n">
        <v>11</v>
      </c>
      <c r="C314" s="3" t="n">
        <v>8</v>
      </c>
      <c r="D314" s="3" t="s">
        <v>318</v>
      </c>
      <c r="E314" s="4" t="n">
        <v>0</v>
      </c>
    </row>
    <row r="315" customFormat="false" ht="15" hidden="false" customHeight="false" outlineLevel="0" collapsed="false">
      <c r="A315" s="3" t="n">
        <v>2012</v>
      </c>
      <c r="B315" s="3" t="n">
        <v>11</v>
      </c>
      <c r="C315" s="3" t="n">
        <v>9</v>
      </c>
      <c r="D315" s="3" t="s">
        <v>319</v>
      </c>
      <c r="E315" s="4" t="n">
        <v>0</v>
      </c>
    </row>
    <row r="316" customFormat="false" ht="15" hidden="false" customHeight="false" outlineLevel="0" collapsed="false">
      <c r="A316" s="3" t="n">
        <v>2012</v>
      </c>
      <c r="B316" s="3" t="n">
        <v>11</v>
      </c>
      <c r="C316" s="3" t="n">
        <v>10</v>
      </c>
      <c r="D316" s="3" t="s">
        <v>320</v>
      </c>
      <c r="E316" s="4" t="n">
        <v>15</v>
      </c>
    </row>
    <row r="317" customFormat="false" ht="15" hidden="false" customHeight="false" outlineLevel="0" collapsed="false">
      <c r="A317" s="3" t="n">
        <v>2012</v>
      </c>
      <c r="B317" s="3" t="n">
        <v>11</v>
      </c>
      <c r="C317" s="3" t="n">
        <v>11</v>
      </c>
      <c r="D317" s="3" t="s">
        <v>321</v>
      </c>
      <c r="E317" s="4" t="n">
        <v>18</v>
      </c>
    </row>
    <row r="318" customFormat="false" ht="15" hidden="false" customHeight="false" outlineLevel="0" collapsed="false">
      <c r="A318" s="3" t="n">
        <v>2012</v>
      </c>
      <c r="B318" s="3" t="n">
        <v>11</v>
      </c>
      <c r="C318" s="3" t="n">
        <v>12</v>
      </c>
      <c r="D318" s="3" t="s">
        <v>322</v>
      </c>
      <c r="E318" s="4" t="n">
        <v>20</v>
      </c>
    </row>
    <row r="319" customFormat="false" ht="15" hidden="false" customHeight="false" outlineLevel="0" collapsed="false">
      <c r="A319" s="3" t="n">
        <v>2012</v>
      </c>
      <c r="B319" s="3" t="n">
        <v>11</v>
      </c>
      <c r="C319" s="3" t="n">
        <v>13</v>
      </c>
      <c r="D319" s="3" t="s">
        <v>323</v>
      </c>
      <c r="E319" s="4" t="n">
        <v>21</v>
      </c>
    </row>
    <row r="320" customFormat="false" ht="15" hidden="false" customHeight="false" outlineLevel="0" collapsed="false">
      <c r="A320" s="3" t="n">
        <v>2012</v>
      </c>
      <c r="B320" s="3" t="n">
        <v>11</v>
      </c>
      <c r="C320" s="3" t="n">
        <v>14</v>
      </c>
      <c r="D320" s="3" t="s">
        <v>324</v>
      </c>
      <c r="E320" s="4" t="n">
        <v>0</v>
      </c>
    </row>
    <row r="321" customFormat="false" ht="15" hidden="false" customHeight="false" outlineLevel="0" collapsed="false">
      <c r="A321" s="3" t="n">
        <v>2012</v>
      </c>
      <c r="B321" s="3" t="n">
        <v>11</v>
      </c>
      <c r="C321" s="3" t="n">
        <v>15</v>
      </c>
      <c r="D321" s="3" t="s">
        <v>325</v>
      </c>
      <c r="E321" s="4" t="n">
        <v>8</v>
      </c>
    </row>
    <row r="322" customFormat="false" ht="15" hidden="false" customHeight="false" outlineLevel="0" collapsed="false">
      <c r="A322" s="3" t="n">
        <v>2012</v>
      </c>
      <c r="B322" s="3" t="n">
        <v>11</v>
      </c>
      <c r="C322" s="3" t="n">
        <v>16</v>
      </c>
      <c r="D322" s="3" t="s">
        <v>326</v>
      </c>
      <c r="E322" s="4" t="n">
        <v>6</v>
      </c>
    </row>
    <row r="323" customFormat="false" ht="15" hidden="false" customHeight="false" outlineLevel="0" collapsed="false">
      <c r="A323" s="3" t="n">
        <v>2012</v>
      </c>
      <c r="B323" s="3" t="n">
        <v>11</v>
      </c>
      <c r="C323" s="3" t="n">
        <v>17</v>
      </c>
      <c r="D323" s="3" t="s">
        <v>327</v>
      </c>
      <c r="E323" s="4" t="n">
        <v>9</v>
      </c>
    </row>
    <row r="324" customFormat="false" ht="15" hidden="false" customHeight="false" outlineLevel="0" collapsed="false">
      <c r="A324" s="3" t="n">
        <v>2012</v>
      </c>
      <c r="B324" s="3" t="n">
        <v>11</v>
      </c>
      <c r="C324" s="3" t="n">
        <v>18</v>
      </c>
      <c r="D324" s="3" t="s">
        <v>328</v>
      </c>
      <c r="E324" s="4" t="n">
        <v>0</v>
      </c>
    </row>
    <row r="325" customFormat="false" ht="15" hidden="false" customHeight="false" outlineLevel="0" collapsed="false">
      <c r="A325" s="3" t="n">
        <v>2012</v>
      </c>
      <c r="B325" s="3" t="n">
        <v>11</v>
      </c>
      <c r="C325" s="3" t="n">
        <v>19</v>
      </c>
      <c r="D325" s="3" t="s">
        <v>329</v>
      </c>
      <c r="E325" s="4" t="n">
        <v>8</v>
      </c>
    </row>
    <row r="326" customFormat="false" ht="15" hidden="false" customHeight="false" outlineLevel="0" collapsed="false">
      <c r="A326" s="3" t="n">
        <v>2012</v>
      </c>
      <c r="B326" s="3" t="n">
        <v>11</v>
      </c>
      <c r="C326" s="3" t="n">
        <v>20</v>
      </c>
      <c r="D326" s="3" t="s">
        <v>330</v>
      </c>
      <c r="E326" s="4" t="n">
        <v>0</v>
      </c>
    </row>
    <row r="327" customFormat="false" ht="15" hidden="false" customHeight="false" outlineLevel="0" collapsed="false">
      <c r="A327" s="3" t="n">
        <v>2012</v>
      </c>
      <c r="B327" s="3" t="n">
        <v>11</v>
      </c>
      <c r="C327" s="3" t="n">
        <v>21</v>
      </c>
      <c r="D327" s="3" t="s">
        <v>331</v>
      </c>
      <c r="E327" s="4" t="n">
        <v>26</v>
      </c>
    </row>
    <row r="328" customFormat="false" ht="15" hidden="false" customHeight="false" outlineLevel="0" collapsed="false">
      <c r="A328" s="3" t="n">
        <v>2012</v>
      </c>
      <c r="B328" s="3" t="n">
        <v>11</v>
      </c>
      <c r="C328" s="3" t="n">
        <v>22</v>
      </c>
      <c r="D328" s="3" t="s">
        <v>332</v>
      </c>
      <c r="E328" s="4" t="n">
        <v>20</v>
      </c>
    </row>
    <row r="329" customFormat="false" ht="15" hidden="false" customHeight="false" outlineLevel="0" collapsed="false">
      <c r="A329" s="3" t="n">
        <v>2012</v>
      </c>
      <c r="B329" s="3" t="n">
        <v>11</v>
      </c>
      <c r="C329" s="3" t="n">
        <v>23</v>
      </c>
      <c r="D329" s="3" t="s">
        <v>333</v>
      </c>
      <c r="E329" s="4" t="n">
        <v>0</v>
      </c>
    </row>
    <row r="330" customFormat="false" ht="15" hidden="false" customHeight="false" outlineLevel="0" collapsed="false">
      <c r="A330" s="3" t="n">
        <v>2012</v>
      </c>
      <c r="B330" s="3" t="n">
        <v>11</v>
      </c>
      <c r="C330" s="3" t="n">
        <v>24</v>
      </c>
      <c r="D330" s="3" t="s">
        <v>334</v>
      </c>
      <c r="E330" s="4" t="n">
        <v>20</v>
      </c>
    </row>
    <row r="331" customFormat="false" ht="15" hidden="false" customHeight="false" outlineLevel="0" collapsed="false">
      <c r="A331" s="3" t="n">
        <v>2012</v>
      </c>
      <c r="B331" s="3" t="n">
        <v>11</v>
      </c>
      <c r="C331" s="3" t="n">
        <v>25</v>
      </c>
      <c r="D331" s="3" t="s">
        <v>335</v>
      </c>
      <c r="E331" s="4" t="n">
        <v>24</v>
      </c>
    </row>
    <row r="332" customFormat="false" ht="15" hidden="false" customHeight="false" outlineLevel="0" collapsed="false">
      <c r="A332" s="3" t="n">
        <v>2012</v>
      </c>
      <c r="B332" s="3" t="n">
        <v>11</v>
      </c>
      <c r="C332" s="3" t="n">
        <v>26</v>
      </c>
      <c r="D332" s="3" t="s">
        <v>336</v>
      </c>
      <c r="E332" s="4" t="n">
        <v>0</v>
      </c>
    </row>
    <row r="333" customFormat="false" ht="15" hidden="false" customHeight="false" outlineLevel="0" collapsed="false">
      <c r="A333" s="3" t="n">
        <v>2012</v>
      </c>
      <c r="B333" s="3" t="n">
        <v>11</v>
      </c>
      <c r="C333" s="3" t="n">
        <v>27</v>
      </c>
      <c r="D333" s="3" t="s">
        <v>337</v>
      </c>
      <c r="E333" s="4" t="n">
        <v>28</v>
      </c>
    </row>
    <row r="334" customFormat="false" ht="15" hidden="false" customHeight="false" outlineLevel="0" collapsed="false">
      <c r="A334" s="3" t="n">
        <v>2012</v>
      </c>
      <c r="B334" s="3" t="n">
        <v>11</v>
      </c>
      <c r="C334" s="3" t="n">
        <v>28</v>
      </c>
      <c r="D334" s="3" t="s">
        <v>338</v>
      </c>
      <c r="E334" s="4" t="n">
        <v>20</v>
      </c>
    </row>
    <row r="335" customFormat="false" ht="15" hidden="false" customHeight="false" outlineLevel="0" collapsed="false">
      <c r="A335" s="3" t="n">
        <v>2012</v>
      </c>
      <c r="B335" s="3" t="n">
        <v>11</v>
      </c>
      <c r="C335" s="3" t="n">
        <v>29</v>
      </c>
      <c r="D335" s="3" t="s">
        <v>339</v>
      </c>
      <c r="E335" s="4" t="n">
        <v>0</v>
      </c>
    </row>
    <row r="336" customFormat="false" ht="15" hidden="false" customHeight="false" outlineLevel="0" collapsed="false">
      <c r="A336" s="3" t="n">
        <v>2012</v>
      </c>
      <c r="B336" s="3" t="n">
        <v>11</v>
      </c>
      <c r="C336" s="3" t="n">
        <v>30</v>
      </c>
      <c r="D336" s="3" t="s">
        <v>340</v>
      </c>
      <c r="E336" s="4" t="n">
        <v>0</v>
      </c>
    </row>
    <row r="337" customFormat="false" ht="15" hidden="false" customHeight="false" outlineLevel="0" collapsed="false">
      <c r="A337" s="3" t="n">
        <v>2012</v>
      </c>
      <c r="B337" s="3" t="n">
        <v>12</v>
      </c>
      <c r="C337" s="3" t="n">
        <v>1</v>
      </c>
      <c r="D337" s="3" t="s">
        <v>341</v>
      </c>
      <c r="E337" s="4" t="n">
        <v>0</v>
      </c>
    </row>
    <row r="338" customFormat="false" ht="15" hidden="false" customHeight="false" outlineLevel="0" collapsed="false">
      <c r="A338" s="3" t="n">
        <v>2012</v>
      </c>
      <c r="B338" s="3" t="n">
        <v>12</v>
      </c>
      <c r="C338" s="3" t="n">
        <v>2</v>
      </c>
      <c r="D338" s="3" t="s">
        <v>342</v>
      </c>
      <c r="E338" s="4" t="n">
        <v>11</v>
      </c>
    </row>
    <row r="339" customFormat="false" ht="15" hidden="false" customHeight="false" outlineLevel="0" collapsed="false">
      <c r="A339" s="3" t="n">
        <v>2012</v>
      </c>
      <c r="B339" s="3" t="n">
        <v>12</v>
      </c>
      <c r="C339" s="3" t="n">
        <v>3</v>
      </c>
      <c r="D339" s="3" t="s">
        <v>343</v>
      </c>
      <c r="E339" s="4" t="n">
        <v>8</v>
      </c>
    </row>
    <row r="340" customFormat="false" ht="15" hidden="false" customHeight="false" outlineLevel="0" collapsed="false">
      <c r="A340" s="3" t="n">
        <v>2012</v>
      </c>
      <c r="B340" s="3" t="n">
        <v>12</v>
      </c>
      <c r="C340" s="3" t="n">
        <v>4</v>
      </c>
      <c r="D340" s="3" t="s">
        <v>344</v>
      </c>
      <c r="E340" s="4" t="n">
        <v>10</v>
      </c>
    </row>
    <row r="341" customFormat="false" ht="15" hidden="false" customHeight="false" outlineLevel="0" collapsed="false">
      <c r="A341" s="3" t="n">
        <v>2012</v>
      </c>
      <c r="B341" s="3" t="n">
        <v>12</v>
      </c>
      <c r="C341" s="3" t="n">
        <v>5</v>
      </c>
      <c r="D341" s="3" t="s">
        <v>345</v>
      </c>
      <c r="E341" s="4" t="n">
        <v>0</v>
      </c>
    </row>
    <row r="342" customFormat="false" ht="15" hidden="false" customHeight="false" outlineLevel="0" collapsed="false">
      <c r="A342" s="3" t="n">
        <v>2012</v>
      </c>
      <c r="B342" s="3" t="n">
        <v>12</v>
      </c>
      <c r="C342" s="3" t="n">
        <v>6</v>
      </c>
      <c r="D342" s="3" t="s">
        <v>346</v>
      </c>
      <c r="E342" s="4" t="n">
        <v>7</v>
      </c>
    </row>
    <row r="343" customFormat="false" ht="15" hidden="false" customHeight="false" outlineLevel="0" collapsed="false">
      <c r="A343" s="3" t="n">
        <v>2012</v>
      </c>
      <c r="B343" s="3" t="n">
        <v>12</v>
      </c>
      <c r="C343" s="3" t="n">
        <v>7</v>
      </c>
      <c r="D343" s="3" t="s">
        <v>347</v>
      </c>
      <c r="E343" s="4" t="n">
        <v>0</v>
      </c>
    </row>
    <row r="344" customFormat="false" ht="15" hidden="false" customHeight="false" outlineLevel="0" collapsed="false">
      <c r="A344" s="3" t="n">
        <v>2012</v>
      </c>
      <c r="B344" s="3" t="n">
        <v>12</v>
      </c>
      <c r="C344" s="3" t="n">
        <v>8</v>
      </c>
      <c r="D344" s="3" t="s">
        <v>348</v>
      </c>
      <c r="E344" s="4" t="n">
        <v>16</v>
      </c>
    </row>
    <row r="345" customFormat="false" ht="15" hidden="false" customHeight="false" outlineLevel="0" collapsed="false">
      <c r="A345" s="3" t="n">
        <v>2012</v>
      </c>
      <c r="B345" s="3" t="n">
        <v>12</v>
      </c>
      <c r="C345" s="3" t="n">
        <v>9</v>
      </c>
      <c r="D345" s="3" t="s">
        <v>349</v>
      </c>
      <c r="E345" s="4" t="n">
        <v>0</v>
      </c>
    </row>
    <row r="346" customFormat="false" ht="15" hidden="false" customHeight="false" outlineLevel="0" collapsed="false">
      <c r="A346" s="3" t="n">
        <v>2012</v>
      </c>
      <c r="B346" s="3" t="n">
        <v>12</v>
      </c>
      <c r="C346" s="3" t="n">
        <v>10</v>
      </c>
      <c r="D346" s="3" t="s">
        <v>350</v>
      </c>
      <c r="E346" s="4" t="n">
        <v>14</v>
      </c>
    </row>
    <row r="347" customFormat="false" ht="15" hidden="false" customHeight="false" outlineLevel="0" collapsed="false">
      <c r="A347" s="3" t="n">
        <v>2012</v>
      </c>
      <c r="B347" s="3" t="n">
        <v>12</v>
      </c>
      <c r="C347" s="3" t="n">
        <v>11</v>
      </c>
      <c r="D347" s="3" t="s">
        <v>351</v>
      </c>
      <c r="E347" s="4" t="n">
        <v>8</v>
      </c>
    </row>
    <row r="348" customFormat="false" ht="15" hidden="false" customHeight="false" outlineLevel="0" collapsed="false">
      <c r="A348" s="3" t="n">
        <v>2012</v>
      </c>
      <c r="B348" s="3" t="n">
        <v>12</v>
      </c>
      <c r="C348" s="3" t="n">
        <v>12</v>
      </c>
      <c r="D348" s="3" t="s">
        <v>352</v>
      </c>
      <c r="E348" s="4" t="n">
        <v>6</v>
      </c>
    </row>
    <row r="349" customFormat="false" ht="15" hidden="false" customHeight="false" outlineLevel="0" collapsed="false">
      <c r="A349" s="3" t="n">
        <v>2012</v>
      </c>
      <c r="B349" s="3" t="n">
        <v>12</v>
      </c>
      <c r="C349" s="3" t="n">
        <v>13</v>
      </c>
      <c r="D349" s="3" t="s">
        <v>353</v>
      </c>
      <c r="E349" s="4" t="n">
        <v>0</v>
      </c>
    </row>
    <row r="350" customFormat="false" ht="15" hidden="false" customHeight="false" outlineLevel="0" collapsed="false">
      <c r="A350" s="3" t="n">
        <v>2012</v>
      </c>
      <c r="B350" s="3" t="n">
        <v>12</v>
      </c>
      <c r="C350" s="3" t="n">
        <v>14</v>
      </c>
      <c r="D350" s="3" t="s">
        <v>354</v>
      </c>
      <c r="E350" s="4" t="n">
        <v>3</v>
      </c>
    </row>
    <row r="351" customFormat="false" ht="15" hidden="false" customHeight="false" outlineLevel="0" collapsed="false">
      <c r="A351" s="3" t="n">
        <v>2012</v>
      </c>
      <c r="B351" s="3" t="n">
        <v>12</v>
      </c>
      <c r="C351" s="3" t="n">
        <v>15</v>
      </c>
      <c r="D351" s="3" t="s">
        <v>355</v>
      </c>
      <c r="E351" s="4" t="n">
        <v>0</v>
      </c>
    </row>
    <row r="352" customFormat="false" ht="15" hidden="false" customHeight="false" outlineLevel="0" collapsed="false">
      <c r="A352" s="3" t="n">
        <v>2012</v>
      </c>
      <c r="B352" s="3" t="n">
        <v>12</v>
      </c>
      <c r="C352" s="3" t="n">
        <v>16</v>
      </c>
      <c r="D352" s="3" t="s">
        <v>356</v>
      </c>
      <c r="E352" s="4" t="n">
        <v>26</v>
      </c>
    </row>
    <row r="353" customFormat="false" ht="15" hidden="false" customHeight="false" outlineLevel="0" collapsed="false">
      <c r="A353" s="3" t="n">
        <v>2012</v>
      </c>
      <c r="B353" s="3" t="n">
        <v>12</v>
      </c>
      <c r="C353" s="3" t="n">
        <v>17</v>
      </c>
      <c r="D353" s="3" t="s">
        <v>357</v>
      </c>
      <c r="E353" s="4" t="n">
        <v>26</v>
      </c>
    </row>
    <row r="354" customFormat="false" ht="15" hidden="false" customHeight="false" outlineLevel="0" collapsed="false">
      <c r="A354" s="3" t="n">
        <v>2012</v>
      </c>
      <c r="B354" s="3" t="n">
        <v>12</v>
      </c>
      <c r="C354" s="3" t="n">
        <v>18</v>
      </c>
      <c r="D354" s="3" t="s">
        <v>358</v>
      </c>
      <c r="E354" s="4" t="n">
        <v>35</v>
      </c>
    </row>
    <row r="355" customFormat="false" ht="15" hidden="false" customHeight="false" outlineLevel="0" collapsed="false">
      <c r="A355" s="3" t="n">
        <v>2012</v>
      </c>
      <c r="B355" s="3" t="n">
        <v>12</v>
      </c>
      <c r="C355" s="3" t="n">
        <v>19</v>
      </c>
      <c r="D355" s="3" t="s">
        <v>359</v>
      </c>
      <c r="E355" s="4" t="n">
        <v>20</v>
      </c>
    </row>
    <row r="356" customFormat="false" ht="15" hidden="false" customHeight="false" outlineLevel="0" collapsed="false">
      <c r="A356" s="3" t="n">
        <v>2012</v>
      </c>
      <c r="B356" s="3" t="n">
        <v>12</v>
      </c>
      <c r="C356" s="3" t="n">
        <v>20</v>
      </c>
      <c r="D356" s="3" t="s">
        <v>360</v>
      </c>
      <c r="E356" s="4" t="n">
        <v>0</v>
      </c>
    </row>
    <row r="357" customFormat="false" ht="15" hidden="false" customHeight="false" outlineLevel="0" collapsed="false">
      <c r="A357" s="3" t="n">
        <v>2012</v>
      </c>
      <c r="B357" s="3" t="n">
        <v>12</v>
      </c>
      <c r="C357" s="3" t="n">
        <v>21</v>
      </c>
      <c r="D357" s="3" t="s">
        <v>361</v>
      </c>
      <c r="E357" s="4" t="n">
        <v>0</v>
      </c>
    </row>
    <row r="358" customFormat="false" ht="15" hidden="false" customHeight="false" outlineLevel="0" collapsed="false">
      <c r="A358" s="3" t="n">
        <v>2012</v>
      </c>
      <c r="B358" s="3" t="n">
        <v>12</v>
      </c>
      <c r="C358" s="3" t="n">
        <v>22</v>
      </c>
      <c r="D358" s="3" t="s">
        <v>362</v>
      </c>
      <c r="E358" s="4" t="n">
        <v>16</v>
      </c>
    </row>
    <row r="359" customFormat="false" ht="15" hidden="false" customHeight="false" outlineLevel="0" collapsed="false">
      <c r="A359" s="3" t="n">
        <v>2012</v>
      </c>
      <c r="B359" s="3" t="n">
        <v>12</v>
      </c>
      <c r="C359" s="3" t="n">
        <v>23</v>
      </c>
      <c r="D359" s="3" t="s">
        <v>363</v>
      </c>
      <c r="E359" s="4" t="n">
        <v>15</v>
      </c>
    </row>
    <row r="360" customFormat="false" ht="15" hidden="false" customHeight="false" outlineLevel="0" collapsed="false">
      <c r="A360" s="3" t="n">
        <v>2012</v>
      </c>
      <c r="B360" s="3" t="n">
        <v>12</v>
      </c>
      <c r="C360" s="3" t="n">
        <v>24</v>
      </c>
      <c r="D360" s="3" t="s">
        <v>364</v>
      </c>
      <c r="E360" s="4" t="n">
        <v>12</v>
      </c>
    </row>
    <row r="361" customFormat="false" ht="15" hidden="false" customHeight="false" outlineLevel="0" collapsed="false">
      <c r="A361" s="3" t="n">
        <v>2012</v>
      </c>
      <c r="B361" s="3" t="n">
        <v>12</v>
      </c>
      <c r="C361" s="3" t="n">
        <v>25</v>
      </c>
      <c r="D361" s="3" t="s">
        <v>365</v>
      </c>
      <c r="E361" s="4" t="n">
        <v>10</v>
      </c>
    </row>
    <row r="362" customFormat="false" ht="15" hidden="false" customHeight="false" outlineLevel="0" collapsed="false">
      <c r="A362" s="3" t="n">
        <v>2012</v>
      </c>
      <c r="B362" s="3" t="n">
        <v>12</v>
      </c>
      <c r="C362" s="3" t="n">
        <v>26</v>
      </c>
      <c r="D362" s="3" t="s">
        <v>366</v>
      </c>
      <c r="E362" s="4" t="n">
        <v>0</v>
      </c>
    </row>
    <row r="363" customFormat="false" ht="15" hidden="false" customHeight="false" outlineLevel="0" collapsed="false">
      <c r="A363" s="3" t="n">
        <v>2012</v>
      </c>
      <c r="B363" s="3" t="n">
        <v>12</v>
      </c>
      <c r="C363" s="3" t="n">
        <v>27</v>
      </c>
      <c r="D363" s="3" t="s">
        <v>367</v>
      </c>
      <c r="E363" s="4" t="n">
        <v>0</v>
      </c>
    </row>
    <row r="364" customFormat="false" ht="15" hidden="false" customHeight="false" outlineLevel="0" collapsed="false">
      <c r="A364" s="3" t="n">
        <v>2012</v>
      </c>
      <c r="B364" s="3" t="n">
        <v>12</v>
      </c>
      <c r="C364" s="3" t="n">
        <v>28</v>
      </c>
      <c r="D364" s="3" t="s">
        <v>368</v>
      </c>
      <c r="E364" s="4" t="n">
        <v>0</v>
      </c>
    </row>
    <row r="365" customFormat="false" ht="15" hidden="false" customHeight="false" outlineLevel="0" collapsed="false">
      <c r="A365" s="3" t="n">
        <v>2012</v>
      </c>
      <c r="B365" s="3" t="n">
        <v>12</v>
      </c>
      <c r="C365" s="3" t="n">
        <v>29</v>
      </c>
      <c r="D365" s="3" t="s">
        <v>369</v>
      </c>
      <c r="E365" s="4" t="n">
        <v>0</v>
      </c>
    </row>
    <row r="366" customFormat="false" ht="15" hidden="false" customHeight="false" outlineLevel="0" collapsed="false">
      <c r="A366" s="3" t="n">
        <v>2012</v>
      </c>
      <c r="B366" s="3" t="n">
        <v>12</v>
      </c>
      <c r="C366" s="3" t="n">
        <v>30</v>
      </c>
      <c r="D366" s="3" t="s">
        <v>370</v>
      </c>
      <c r="E366" s="4" t="n">
        <v>6</v>
      </c>
    </row>
    <row r="367" customFormat="false" ht="15" hidden="false" customHeight="false" outlineLevel="0" collapsed="false">
      <c r="A367" s="3" t="n">
        <v>2012</v>
      </c>
      <c r="B367" s="3" t="n">
        <v>12</v>
      </c>
      <c r="C367" s="3" t="n">
        <v>31</v>
      </c>
      <c r="D367" s="3" t="s">
        <v>371</v>
      </c>
      <c r="E367" s="4" t="n">
        <v>48</v>
      </c>
    </row>
    <row r="368" customFormat="false" ht="15" hidden="false" customHeight="false" outlineLevel="0" collapsed="false">
      <c r="A368" s="3" t="n">
        <v>2013</v>
      </c>
      <c r="B368" s="3" t="n">
        <v>1</v>
      </c>
      <c r="C368" s="3" t="n">
        <v>1</v>
      </c>
      <c r="D368" s="3" t="s">
        <v>372</v>
      </c>
      <c r="E368" s="4" t="n">
        <v>38</v>
      </c>
    </row>
    <row r="369" customFormat="false" ht="15" hidden="false" customHeight="false" outlineLevel="0" collapsed="false">
      <c r="A369" s="3" t="n">
        <v>2013</v>
      </c>
      <c r="B369" s="3" t="n">
        <v>1</v>
      </c>
      <c r="C369" s="3" t="n">
        <v>2</v>
      </c>
      <c r="D369" s="3" t="s">
        <v>373</v>
      </c>
      <c r="E369" s="4" t="n">
        <v>0</v>
      </c>
    </row>
    <row r="370" customFormat="false" ht="15" hidden="false" customHeight="false" outlineLevel="0" collapsed="false">
      <c r="A370" s="3" t="n">
        <v>2013</v>
      </c>
      <c r="B370" s="3" t="n">
        <v>1</v>
      </c>
      <c r="C370" s="3" t="n">
        <v>3</v>
      </c>
      <c r="D370" s="3" t="s">
        <v>374</v>
      </c>
      <c r="E370" s="4" t="n">
        <v>3</v>
      </c>
    </row>
    <row r="371" customFormat="false" ht="15" hidden="false" customHeight="false" outlineLevel="0" collapsed="false">
      <c r="A371" s="3" t="n">
        <v>2013</v>
      </c>
      <c r="B371" s="3" t="n">
        <v>1</v>
      </c>
      <c r="C371" s="3" t="n">
        <v>4</v>
      </c>
      <c r="D371" s="3" t="s">
        <v>375</v>
      </c>
      <c r="E371" s="4" t="n">
        <v>2</v>
      </c>
    </row>
    <row r="372" customFormat="false" ht="15" hidden="false" customHeight="false" outlineLevel="0" collapsed="false">
      <c r="A372" s="3" t="n">
        <v>2013</v>
      </c>
      <c r="B372" s="3" t="n">
        <v>1</v>
      </c>
      <c r="C372" s="3" t="n">
        <v>5</v>
      </c>
      <c r="D372" s="3" t="s">
        <v>376</v>
      </c>
      <c r="E372" s="4" t="n">
        <v>3</v>
      </c>
    </row>
    <row r="373" customFormat="false" ht="15" hidden="false" customHeight="false" outlineLevel="0" collapsed="false">
      <c r="A373" s="3" t="n">
        <v>2013</v>
      </c>
      <c r="B373" s="3" t="n">
        <v>1</v>
      </c>
      <c r="C373" s="3" t="n">
        <v>6</v>
      </c>
      <c r="D373" s="3" t="s">
        <v>377</v>
      </c>
      <c r="E373" s="4" t="n">
        <v>0</v>
      </c>
    </row>
    <row r="374" customFormat="false" ht="15" hidden="false" customHeight="false" outlineLevel="0" collapsed="false">
      <c r="A374" s="3" t="n">
        <v>2013</v>
      </c>
      <c r="B374" s="3" t="n">
        <v>1</v>
      </c>
      <c r="C374" s="3" t="n">
        <v>7</v>
      </c>
      <c r="D374" s="3" t="s">
        <v>378</v>
      </c>
      <c r="E374" s="4" t="n">
        <v>0</v>
      </c>
    </row>
    <row r="375" customFormat="false" ht="15" hidden="false" customHeight="false" outlineLevel="0" collapsed="false">
      <c r="A375" s="3" t="n">
        <v>2013</v>
      </c>
      <c r="B375" s="3" t="n">
        <v>1</v>
      </c>
      <c r="C375" s="3" t="n">
        <v>8</v>
      </c>
      <c r="D375" s="3" t="s">
        <v>379</v>
      </c>
      <c r="E375" s="4" t="n">
        <v>0</v>
      </c>
    </row>
    <row r="376" customFormat="false" ht="15" hidden="false" customHeight="false" outlineLevel="0" collapsed="false">
      <c r="A376" s="3" t="n">
        <v>2013</v>
      </c>
      <c r="B376" s="3" t="n">
        <v>1</v>
      </c>
      <c r="C376" s="3" t="n">
        <v>9</v>
      </c>
      <c r="D376" s="3" t="s">
        <v>380</v>
      </c>
      <c r="E376" s="4" t="n">
        <v>0</v>
      </c>
    </row>
    <row r="377" customFormat="false" ht="15" hidden="false" customHeight="false" outlineLevel="0" collapsed="false">
      <c r="A377" s="3" t="n">
        <v>2013</v>
      </c>
      <c r="B377" s="3" t="n">
        <v>1</v>
      </c>
      <c r="C377" s="3" t="n">
        <v>10</v>
      </c>
      <c r="D377" s="3" t="s">
        <v>381</v>
      </c>
      <c r="E377" s="4" t="n">
        <v>6</v>
      </c>
    </row>
    <row r="378" customFormat="false" ht="15" hidden="false" customHeight="false" outlineLevel="0" collapsed="false">
      <c r="A378" s="3" t="n">
        <v>2013</v>
      </c>
      <c r="B378" s="3" t="n">
        <v>1</v>
      </c>
      <c r="C378" s="3" t="n">
        <v>11</v>
      </c>
      <c r="D378" s="3" t="s">
        <v>382</v>
      </c>
      <c r="E378" s="4" t="n">
        <v>4</v>
      </c>
    </row>
    <row r="379" customFormat="false" ht="15" hidden="false" customHeight="false" outlineLevel="0" collapsed="false">
      <c r="A379" s="3" t="n">
        <v>2013</v>
      </c>
      <c r="B379" s="3" t="n">
        <v>1</v>
      </c>
      <c r="C379" s="3" t="n">
        <v>12</v>
      </c>
      <c r="D379" s="3" t="s">
        <v>383</v>
      </c>
      <c r="E379" s="4" t="n">
        <v>0</v>
      </c>
    </row>
    <row r="380" customFormat="false" ht="15" hidden="false" customHeight="false" outlineLevel="0" collapsed="false">
      <c r="A380" s="3" t="n">
        <v>2013</v>
      </c>
      <c r="B380" s="3" t="n">
        <v>1</v>
      </c>
      <c r="C380" s="3" t="n">
        <v>13</v>
      </c>
      <c r="D380" s="3" t="s">
        <v>384</v>
      </c>
      <c r="E380" s="4" t="n">
        <v>0</v>
      </c>
    </row>
    <row r="381" customFormat="false" ht="15" hidden="false" customHeight="false" outlineLevel="0" collapsed="false">
      <c r="A381" s="3" t="n">
        <v>2013</v>
      </c>
      <c r="B381" s="3" t="n">
        <v>1</v>
      </c>
      <c r="C381" s="3" t="n">
        <v>14</v>
      </c>
      <c r="D381" s="3" t="s">
        <v>385</v>
      </c>
      <c r="E381" s="4" t="n">
        <v>0</v>
      </c>
    </row>
    <row r="382" customFormat="false" ht="15" hidden="false" customHeight="false" outlineLevel="0" collapsed="false">
      <c r="A382" s="3" t="n">
        <v>2013</v>
      </c>
      <c r="B382" s="3" t="n">
        <v>1</v>
      </c>
      <c r="C382" s="3" t="n">
        <v>15</v>
      </c>
      <c r="D382" s="3" t="s">
        <v>386</v>
      </c>
      <c r="E382" s="4" t="n">
        <v>0</v>
      </c>
    </row>
    <row r="383" customFormat="false" ht="15" hidden="false" customHeight="false" outlineLevel="0" collapsed="false">
      <c r="A383" s="3" t="n">
        <v>2013</v>
      </c>
      <c r="B383" s="3" t="n">
        <v>1</v>
      </c>
      <c r="C383" s="3" t="n">
        <v>16</v>
      </c>
      <c r="D383" s="3" t="s">
        <v>387</v>
      </c>
      <c r="E383" s="4" t="n">
        <v>0</v>
      </c>
    </row>
    <row r="384" customFormat="false" ht="15" hidden="false" customHeight="false" outlineLevel="0" collapsed="false">
      <c r="A384" s="3" t="n">
        <v>2013</v>
      </c>
      <c r="B384" s="3" t="n">
        <v>1</v>
      </c>
      <c r="C384" s="3" t="n">
        <v>17</v>
      </c>
      <c r="D384" s="3" t="s">
        <v>388</v>
      </c>
      <c r="E384" s="4" t="n">
        <v>0</v>
      </c>
    </row>
    <row r="385" customFormat="false" ht="15" hidden="false" customHeight="false" outlineLevel="0" collapsed="false">
      <c r="A385" s="3" t="n">
        <v>2013</v>
      </c>
      <c r="B385" s="3" t="n">
        <v>1</v>
      </c>
      <c r="C385" s="3" t="n">
        <v>18</v>
      </c>
      <c r="D385" s="3" t="s">
        <v>389</v>
      </c>
      <c r="E385" s="4" t="n">
        <v>0</v>
      </c>
    </row>
    <row r="386" customFormat="false" ht="15" hidden="false" customHeight="false" outlineLevel="0" collapsed="false">
      <c r="A386" s="3" t="n">
        <v>2013</v>
      </c>
      <c r="B386" s="3" t="n">
        <v>1</v>
      </c>
      <c r="C386" s="3" t="n">
        <v>19</v>
      </c>
      <c r="D386" s="3" t="s">
        <v>390</v>
      </c>
      <c r="E386" s="4" t="n">
        <v>0</v>
      </c>
    </row>
    <row r="387" customFormat="false" ht="15" hidden="false" customHeight="false" outlineLevel="0" collapsed="false">
      <c r="A387" s="3" t="n">
        <v>2013</v>
      </c>
      <c r="B387" s="3" t="n">
        <v>1</v>
      </c>
      <c r="C387" s="3" t="n">
        <v>20</v>
      </c>
      <c r="D387" s="3" t="s">
        <v>391</v>
      </c>
      <c r="E387" s="4" t="n">
        <v>33</v>
      </c>
    </row>
    <row r="388" customFormat="false" ht="15" hidden="false" customHeight="false" outlineLevel="0" collapsed="false">
      <c r="A388" s="3" t="n">
        <v>2013</v>
      </c>
      <c r="B388" s="3" t="n">
        <v>1</v>
      </c>
      <c r="C388" s="3" t="n">
        <v>21</v>
      </c>
      <c r="D388" s="3" t="s">
        <v>392</v>
      </c>
      <c r="E388" s="4" t="n">
        <v>0</v>
      </c>
    </row>
    <row r="389" customFormat="false" ht="15" hidden="false" customHeight="false" outlineLevel="0" collapsed="false">
      <c r="A389" s="3" t="n">
        <v>2013</v>
      </c>
      <c r="B389" s="3" t="n">
        <v>1</v>
      </c>
      <c r="C389" s="3" t="n">
        <v>22</v>
      </c>
      <c r="D389" s="3" t="s">
        <v>393</v>
      </c>
      <c r="E389" s="4" t="n">
        <v>0</v>
      </c>
    </row>
    <row r="390" customFormat="false" ht="15" hidden="false" customHeight="false" outlineLevel="0" collapsed="false">
      <c r="A390" s="3" t="n">
        <v>2013</v>
      </c>
      <c r="B390" s="3" t="n">
        <v>1</v>
      </c>
      <c r="C390" s="3" t="n">
        <v>23</v>
      </c>
      <c r="D390" s="3" t="s">
        <v>394</v>
      </c>
      <c r="E390" s="4" t="n">
        <v>5</v>
      </c>
    </row>
    <row r="391" customFormat="false" ht="15" hidden="false" customHeight="false" outlineLevel="0" collapsed="false">
      <c r="A391" s="3" t="n">
        <v>2013</v>
      </c>
      <c r="B391" s="3" t="n">
        <v>1</v>
      </c>
      <c r="C391" s="3" t="n">
        <v>24</v>
      </c>
      <c r="D391" s="3" t="s">
        <v>395</v>
      </c>
      <c r="E391" s="4" t="n">
        <v>20</v>
      </c>
    </row>
    <row r="392" customFormat="false" ht="15" hidden="false" customHeight="false" outlineLevel="0" collapsed="false">
      <c r="A392" s="3" t="n">
        <v>2013</v>
      </c>
      <c r="B392" s="3" t="n">
        <v>1</v>
      </c>
      <c r="C392" s="3" t="n">
        <v>25</v>
      </c>
      <c r="D392" s="3" t="s">
        <v>396</v>
      </c>
      <c r="E392" s="4" t="n">
        <v>0</v>
      </c>
    </row>
    <row r="393" customFormat="false" ht="15" hidden="false" customHeight="false" outlineLevel="0" collapsed="false">
      <c r="A393" s="3" t="n">
        <v>2013</v>
      </c>
      <c r="B393" s="3" t="n">
        <v>1</v>
      </c>
      <c r="C393" s="3" t="n">
        <v>26</v>
      </c>
      <c r="D393" s="3" t="s">
        <v>397</v>
      </c>
      <c r="E393" s="4" t="n">
        <v>0</v>
      </c>
    </row>
    <row r="394" customFormat="false" ht="15" hidden="false" customHeight="false" outlineLevel="0" collapsed="false">
      <c r="A394" s="3" t="n">
        <v>2013</v>
      </c>
      <c r="B394" s="3" t="n">
        <v>1</v>
      </c>
      <c r="C394" s="3" t="n">
        <v>27</v>
      </c>
      <c r="D394" s="3" t="s">
        <v>398</v>
      </c>
      <c r="E394" s="4" t="n">
        <v>0</v>
      </c>
    </row>
    <row r="395" customFormat="false" ht="15" hidden="false" customHeight="false" outlineLevel="0" collapsed="false">
      <c r="A395" s="3" t="n">
        <v>2013</v>
      </c>
      <c r="B395" s="3" t="n">
        <v>1</v>
      </c>
      <c r="C395" s="3" t="n">
        <v>28</v>
      </c>
      <c r="D395" s="3" t="s">
        <v>399</v>
      </c>
      <c r="E395" s="4" t="n">
        <v>0</v>
      </c>
    </row>
    <row r="396" customFormat="false" ht="15" hidden="false" customHeight="false" outlineLevel="0" collapsed="false">
      <c r="A396" s="3" t="n">
        <v>2013</v>
      </c>
      <c r="B396" s="3" t="n">
        <v>1</v>
      </c>
      <c r="C396" s="3" t="n">
        <v>29</v>
      </c>
      <c r="D396" s="3" t="s">
        <v>400</v>
      </c>
      <c r="E396" s="4" t="n">
        <v>0</v>
      </c>
    </row>
    <row r="397" customFormat="false" ht="15" hidden="false" customHeight="false" outlineLevel="0" collapsed="false">
      <c r="A397" s="3" t="n">
        <v>2013</v>
      </c>
      <c r="B397" s="3" t="n">
        <v>1</v>
      </c>
      <c r="C397" s="3" t="n">
        <v>30</v>
      </c>
      <c r="D397" s="3" t="s">
        <v>401</v>
      </c>
      <c r="E397" s="4" t="n">
        <v>27</v>
      </c>
    </row>
    <row r="398" customFormat="false" ht="15" hidden="false" customHeight="false" outlineLevel="0" collapsed="false">
      <c r="A398" s="3" t="n">
        <v>2013</v>
      </c>
      <c r="B398" s="3" t="n">
        <v>1</v>
      </c>
      <c r="C398" s="3" t="n">
        <v>31</v>
      </c>
      <c r="D398" s="3" t="s">
        <v>402</v>
      </c>
      <c r="E398" s="4" t="n">
        <v>0</v>
      </c>
    </row>
    <row r="399" customFormat="false" ht="15" hidden="false" customHeight="false" outlineLevel="0" collapsed="false">
      <c r="A399" s="3" t="n">
        <v>2013</v>
      </c>
      <c r="B399" s="3" t="n">
        <v>2</v>
      </c>
      <c r="C399" s="3" t="n">
        <v>1</v>
      </c>
      <c r="D399" s="3" t="s">
        <v>403</v>
      </c>
      <c r="E399" s="4" t="n">
        <v>0</v>
      </c>
    </row>
    <row r="400" customFormat="false" ht="15" hidden="false" customHeight="false" outlineLevel="0" collapsed="false">
      <c r="A400" s="3" t="n">
        <v>2013</v>
      </c>
      <c r="B400" s="3" t="n">
        <v>2</v>
      </c>
      <c r="C400" s="3" t="n">
        <v>2</v>
      </c>
      <c r="D400" s="3" t="s">
        <v>404</v>
      </c>
      <c r="E400" s="4" t="n">
        <v>0</v>
      </c>
    </row>
    <row r="401" customFormat="false" ht="15" hidden="false" customHeight="false" outlineLevel="0" collapsed="false">
      <c r="A401" s="3" t="n">
        <v>2013</v>
      </c>
      <c r="B401" s="3" t="n">
        <v>2</v>
      </c>
      <c r="C401" s="3" t="n">
        <v>3</v>
      </c>
      <c r="D401" s="3" t="s">
        <v>405</v>
      </c>
      <c r="E401" s="4" t="n">
        <v>4</v>
      </c>
    </row>
    <row r="402" customFormat="false" ht="15" hidden="false" customHeight="false" outlineLevel="0" collapsed="false">
      <c r="A402" s="3" t="n">
        <v>2013</v>
      </c>
      <c r="B402" s="3" t="n">
        <v>2</v>
      </c>
      <c r="C402" s="3" t="n">
        <v>4</v>
      </c>
      <c r="D402" s="3" t="s">
        <v>406</v>
      </c>
      <c r="E402" s="4" t="n">
        <v>33</v>
      </c>
    </row>
    <row r="403" customFormat="false" ht="15" hidden="false" customHeight="false" outlineLevel="0" collapsed="false">
      <c r="A403" s="3" t="n">
        <v>2013</v>
      </c>
      <c r="B403" s="3" t="n">
        <v>2</v>
      </c>
      <c r="C403" s="3" t="n">
        <v>5</v>
      </c>
      <c r="D403" s="3" t="s">
        <v>407</v>
      </c>
      <c r="E403" s="4" t="n">
        <v>0</v>
      </c>
    </row>
    <row r="404" customFormat="false" ht="15" hidden="false" customHeight="false" outlineLevel="0" collapsed="false">
      <c r="A404" s="3" t="n">
        <v>2013</v>
      </c>
      <c r="B404" s="3" t="n">
        <v>2</v>
      </c>
      <c r="C404" s="3" t="n">
        <v>6</v>
      </c>
      <c r="D404" s="3" t="s">
        <v>408</v>
      </c>
      <c r="E404" s="4" t="n">
        <v>70</v>
      </c>
    </row>
    <row r="405" customFormat="false" ht="15" hidden="false" customHeight="false" outlineLevel="0" collapsed="false">
      <c r="A405" s="3" t="n">
        <v>2013</v>
      </c>
      <c r="B405" s="3" t="n">
        <v>2</v>
      </c>
      <c r="C405" s="3" t="n">
        <v>7</v>
      </c>
      <c r="D405" s="3" t="s">
        <v>409</v>
      </c>
      <c r="E405" s="4" t="n">
        <v>0</v>
      </c>
    </row>
    <row r="406" customFormat="false" ht="15" hidden="false" customHeight="false" outlineLevel="0" collapsed="false">
      <c r="A406" s="3" t="n">
        <v>2013</v>
      </c>
      <c r="B406" s="3" t="n">
        <v>2</v>
      </c>
      <c r="C406" s="3" t="n">
        <v>8</v>
      </c>
      <c r="D406" s="3" t="s">
        <v>410</v>
      </c>
      <c r="E406" s="4" t="n">
        <v>0</v>
      </c>
    </row>
    <row r="407" customFormat="false" ht="15" hidden="false" customHeight="false" outlineLevel="0" collapsed="false">
      <c r="A407" s="3" t="n">
        <v>2013</v>
      </c>
      <c r="B407" s="3" t="n">
        <v>2</v>
      </c>
      <c r="C407" s="3" t="n">
        <v>9</v>
      </c>
      <c r="D407" s="3" t="s">
        <v>411</v>
      </c>
      <c r="E407" s="4" t="n">
        <v>0</v>
      </c>
    </row>
    <row r="408" customFormat="false" ht="15" hidden="false" customHeight="false" outlineLevel="0" collapsed="false">
      <c r="A408" s="3" t="n">
        <v>2013</v>
      </c>
      <c r="B408" s="3" t="n">
        <v>2</v>
      </c>
      <c r="C408" s="3" t="n">
        <v>10</v>
      </c>
      <c r="D408" s="3" t="s">
        <v>412</v>
      </c>
      <c r="E408" s="4" t="n">
        <v>63</v>
      </c>
    </row>
    <row r="409" customFormat="false" ht="15" hidden="false" customHeight="false" outlineLevel="0" collapsed="false">
      <c r="A409" s="3" t="n">
        <v>2013</v>
      </c>
      <c r="B409" s="3" t="n">
        <v>2</v>
      </c>
      <c r="C409" s="3" t="n">
        <v>11</v>
      </c>
      <c r="D409" s="3" t="s">
        <v>413</v>
      </c>
      <c r="E409" s="4" t="n">
        <v>7</v>
      </c>
    </row>
    <row r="410" customFormat="false" ht="15" hidden="false" customHeight="false" outlineLevel="0" collapsed="false">
      <c r="A410" s="3" t="n">
        <v>2013</v>
      </c>
      <c r="B410" s="3" t="n">
        <v>2</v>
      </c>
      <c r="C410" s="3" t="n">
        <v>12</v>
      </c>
      <c r="D410" s="3" t="s">
        <v>414</v>
      </c>
      <c r="E410" s="4" t="n">
        <v>0</v>
      </c>
    </row>
    <row r="411" customFormat="false" ht="15" hidden="false" customHeight="false" outlineLevel="0" collapsed="false">
      <c r="A411" s="3" t="n">
        <v>2013</v>
      </c>
      <c r="B411" s="3" t="n">
        <v>2</v>
      </c>
      <c r="C411" s="3" t="n">
        <v>13</v>
      </c>
      <c r="D411" s="3" t="s">
        <v>415</v>
      </c>
      <c r="E411" s="4" t="n">
        <v>0</v>
      </c>
    </row>
    <row r="412" customFormat="false" ht="15" hidden="false" customHeight="false" outlineLevel="0" collapsed="false">
      <c r="A412" s="3" t="n">
        <v>2013</v>
      </c>
      <c r="B412" s="3" t="n">
        <v>2</v>
      </c>
      <c r="C412" s="3" t="n">
        <v>14</v>
      </c>
      <c r="D412" s="3" t="s">
        <v>416</v>
      </c>
      <c r="E412" s="4" t="n">
        <v>20</v>
      </c>
    </row>
    <row r="413" customFormat="false" ht="15" hidden="false" customHeight="false" outlineLevel="0" collapsed="false">
      <c r="A413" s="3" t="n">
        <v>2013</v>
      </c>
      <c r="B413" s="3" t="n">
        <v>2</v>
      </c>
      <c r="C413" s="3" t="n">
        <v>15</v>
      </c>
      <c r="D413" s="3" t="s">
        <v>417</v>
      </c>
      <c r="E413" s="4" t="n">
        <v>2</v>
      </c>
    </row>
    <row r="414" customFormat="false" ht="15" hidden="false" customHeight="false" outlineLevel="0" collapsed="false">
      <c r="A414" s="3" t="n">
        <v>2013</v>
      </c>
      <c r="B414" s="3" t="n">
        <v>2</v>
      </c>
      <c r="C414" s="3" t="n">
        <v>16</v>
      </c>
      <c r="D414" s="3" t="s">
        <v>418</v>
      </c>
      <c r="E414" s="4" t="n">
        <v>0</v>
      </c>
    </row>
    <row r="415" customFormat="false" ht="15" hidden="false" customHeight="false" outlineLevel="0" collapsed="false">
      <c r="A415" s="3" t="n">
        <v>2013</v>
      </c>
      <c r="B415" s="3" t="n">
        <v>2</v>
      </c>
      <c r="C415" s="3" t="n">
        <v>17</v>
      </c>
      <c r="D415" s="3" t="s">
        <v>419</v>
      </c>
      <c r="E415" s="4" t="n">
        <v>4</v>
      </c>
    </row>
    <row r="416" customFormat="false" ht="15" hidden="false" customHeight="false" outlineLevel="0" collapsed="false">
      <c r="A416" s="3" t="n">
        <v>2013</v>
      </c>
      <c r="B416" s="3" t="n">
        <v>2</v>
      </c>
      <c r="C416" s="3" t="n">
        <v>18</v>
      </c>
      <c r="D416" s="3" t="s">
        <v>420</v>
      </c>
      <c r="E416" s="4" t="n">
        <v>67</v>
      </c>
    </row>
    <row r="417" customFormat="false" ht="15" hidden="false" customHeight="false" outlineLevel="0" collapsed="false">
      <c r="A417" s="3" t="n">
        <v>2013</v>
      </c>
      <c r="B417" s="3" t="n">
        <v>2</v>
      </c>
      <c r="C417" s="3" t="n">
        <v>19</v>
      </c>
      <c r="D417" s="3" t="s">
        <v>421</v>
      </c>
      <c r="E417" s="4" t="n">
        <v>0</v>
      </c>
    </row>
    <row r="418" customFormat="false" ht="15" hidden="false" customHeight="false" outlineLevel="0" collapsed="false">
      <c r="A418" s="3" t="n">
        <v>2013</v>
      </c>
      <c r="B418" s="3" t="n">
        <v>2</v>
      </c>
      <c r="C418" s="3" t="n">
        <v>20</v>
      </c>
      <c r="D418" s="3" t="s">
        <v>422</v>
      </c>
      <c r="E418" s="4" t="n">
        <v>1</v>
      </c>
    </row>
    <row r="419" customFormat="false" ht="15" hidden="false" customHeight="false" outlineLevel="0" collapsed="false">
      <c r="A419" s="3" t="n">
        <v>2013</v>
      </c>
      <c r="B419" s="3" t="n">
        <v>2</v>
      </c>
      <c r="C419" s="3" t="n">
        <v>21</v>
      </c>
      <c r="D419" s="3" t="s">
        <v>423</v>
      </c>
      <c r="E419" s="4" t="n">
        <v>0</v>
      </c>
    </row>
    <row r="420" customFormat="false" ht="15" hidden="false" customHeight="false" outlineLevel="0" collapsed="false">
      <c r="A420" s="3" t="n">
        <v>2013</v>
      </c>
      <c r="B420" s="3" t="n">
        <v>2</v>
      </c>
      <c r="C420" s="3" t="n">
        <v>22</v>
      </c>
      <c r="D420" s="3" t="s">
        <v>424</v>
      </c>
      <c r="E420" s="4" t="n">
        <v>3</v>
      </c>
    </row>
    <row r="421" customFormat="false" ht="15" hidden="false" customHeight="false" outlineLevel="0" collapsed="false">
      <c r="A421" s="3" t="n">
        <v>2013</v>
      </c>
      <c r="B421" s="3" t="n">
        <v>2</v>
      </c>
      <c r="C421" s="3" t="n">
        <v>23</v>
      </c>
      <c r="D421" s="3" t="s">
        <v>425</v>
      </c>
      <c r="E421" s="4" t="n">
        <v>0</v>
      </c>
    </row>
    <row r="422" customFormat="false" ht="15" hidden="false" customHeight="false" outlineLevel="0" collapsed="false">
      <c r="A422" s="3" t="n">
        <v>2013</v>
      </c>
      <c r="B422" s="3" t="n">
        <v>2</v>
      </c>
      <c r="C422" s="3" t="n">
        <v>24</v>
      </c>
      <c r="D422" s="3" t="s">
        <v>426</v>
      </c>
      <c r="E422" s="4" t="n">
        <v>2</v>
      </c>
    </row>
    <row r="423" customFormat="false" ht="15" hidden="false" customHeight="false" outlineLevel="0" collapsed="false">
      <c r="A423" s="3" t="n">
        <v>2013</v>
      </c>
      <c r="B423" s="3" t="n">
        <v>2</v>
      </c>
      <c r="C423" s="3" t="n">
        <v>25</v>
      </c>
      <c r="D423" s="3" t="s">
        <v>427</v>
      </c>
      <c r="E423" s="4" t="n">
        <v>15</v>
      </c>
    </row>
    <row r="424" customFormat="false" ht="15" hidden="false" customHeight="false" outlineLevel="0" collapsed="false">
      <c r="A424" s="3" t="n">
        <v>2013</v>
      </c>
      <c r="B424" s="3" t="n">
        <v>2</v>
      </c>
      <c r="C424" s="3" t="n">
        <v>26</v>
      </c>
      <c r="D424" s="3" t="s">
        <v>428</v>
      </c>
      <c r="E424" s="4" t="n">
        <v>0</v>
      </c>
    </row>
    <row r="425" customFormat="false" ht="15" hidden="false" customHeight="false" outlineLevel="0" collapsed="false">
      <c r="A425" s="3" t="n">
        <v>2013</v>
      </c>
      <c r="B425" s="3" t="n">
        <v>2</v>
      </c>
      <c r="C425" s="3" t="n">
        <v>27</v>
      </c>
      <c r="D425" s="3" t="s">
        <v>429</v>
      </c>
      <c r="E425" s="4" t="n">
        <v>0</v>
      </c>
    </row>
    <row r="426" customFormat="false" ht="15" hidden="false" customHeight="false" outlineLevel="0" collapsed="false">
      <c r="A426" s="3" t="n">
        <v>2013</v>
      </c>
      <c r="B426" s="3" t="n">
        <v>2</v>
      </c>
      <c r="C426" s="3" t="n">
        <v>28</v>
      </c>
      <c r="D426" s="3" t="s">
        <v>430</v>
      </c>
      <c r="E426" s="4" t="n">
        <v>0</v>
      </c>
    </row>
    <row r="427" customFormat="false" ht="15" hidden="false" customHeight="false" outlineLevel="0" collapsed="false">
      <c r="A427" s="3" t="n">
        <v>2013</v>
      </c>
      <c r="B427" s="3" t="n">
        <v>3</v>
      </c>
      <c r="C427" s="3" t="n">
        <v>1</v>
      </c>
      <c r="D427" s="3" t="s">
        <v>431</v>
      </c>
      <c r="E427" s="4" t="n">
        <v>0</v>
      </c>
    </row>
    <row r="428" customFormat="false" ht="15" hidden="false" customHeight="false" outlineLevel="0" collapsed="false">
      <c r="A428" s="3" t="n">
        <v>2013</v>
      </c>
      <c r="B428" s="3" t="n">
        <v>3</v>
      </c>
      <c r="C428" s="3" t="n">
        <v>2</v>
      </c>
      <c r="D428" s="3" t="s">
        <v>432</v>
      </c>
      <c r="E428" s="4" t="n">
        <v>0</v>
      </c>
    </row>
    <row r="429" customFormat="false" ht="15" hidden="false" customHeight="false" outlineLevel="0" collapsed="false">
      <c r="A429" s="3" t="n">
        <v>2013</v>
      </c>
      <c r="B429" s="3" t="n">
        <v>3</v>
      </c>
      <c r="C429" s="3" t="n">
        <v>3</v>
      </c>
      <c r="D429" s="3" t="s">
        <v>433</v>
      </c>
      <c r="E429" s="4" t="n">
        <v>0</v>
      </c>
    </row>
    <row r="430" customFormat="false" ht="15" hidden="false" customHeight="false" outlineLevel="0" collapsed="false">
      <c r="A430" s="3" t="n">
        <v>2013</v>
      </c>
      <c r="B430" s="3" t="n">
        <v>3</v>
      </c>
      <c r="C430" s="3" t="n">
        <v>4</v>
      </c>
      <c r="D430" s="3" t="s">
        <v>434</v>
      </c>
      <c r="E430" s="4" t="n">
        <v>0</v>
      </c>
    </row>
    <row r="431" customFormat="false" ht="15" hidden="false" customHeight="false" outlineLevel="0" collapsed="false">
      <c r="A431" s="3" t="n">
        <v>2013</v>
      </c>
      <c r="B431" s="3" t="n">
        <v>3</v>
      </c>
      <c r="C431" s="3" t="n">
        <v>5</v>
      </c>
      <c r="D431" s="3" t="s">
        <v>435</v>
      </c>
      <c r="E431" s="4" t="n">
        <v>0</v>
      </c>
    </row>
    <row r="432" customFormat="false" ht="15" hidden="false" customHeight="false" outlineLevel="0" collapsed="false">
      <c r="A432" s="3" t="n">
        <v>2013</v>
      </c>
      <c r="B432" s="3" t="n">
        <v>3</v>
      </c>
      <c r="C432" s="3" t="n">
        <v>6</v>
      </c>
      <c r="D432" s="3" t="s">
        <v>436</v>
      </c>
      <c r="E432" s="4" t="n">
        <v>4</v>
      </c>
    </row>
    <row r="433" customFormat="false" ht="15" hidden="false" customHeight="false" outlineLevel="0" collapsed="false">
      <c r="A433" s="3" t="n">
        <v>2013</v>
      </c>
      <c r="B433" s="3" t="n">
        <v>3</v>
      </c>
      <c r="C433" s="3" t="n">
        <v>7</v>
      </c>
      <c r="D433" s="3" t="s">
        <v>437</v>
      </c>
      <c r="E433" s="4" t="n">
        <v>5</v>
      </c>
    </row>
    <row r="434" customFormat="false" ht="15" hidden="false" customHeight="false" outlineLevel="0" collapsed="false">
      <c r="A434" s="3" t="n">
        <v>2013</v>
      </c>
      <c r="B434" s="3" t="n">
        <v>3</v>
      </c>
      <c r="C434" s="3" t="n">
        <v>8</v>
      </c>
      <c r="D434" s="3" t="s">
        <v>438</v>
      </c>
      <c r="E434" s="4" t="n">
        <v>10</v>
      </c>
    </row>
    <row r="435" customFormat="false" ht="15" hidden="false" customHeight="false" outlineLevel="0" collapsed="false">
      <c r="A435" s="3" t="n">
        <v>2013</v>
      </c>
      <c r="B435" s="3" t="n">
        <v>3</v>
      </c>
      <c r="C435" s="3" t="n">
        <v>9</v>
      </c>
      <c r="D435" s="3" t="s">
        <v>439</v>
      </c>
      <c r="E435" s="4" t="n">
        <v>8</v>
      </c>
    </row>
    <row r="436" customFormat="false" ht="15" hidden="false" customHeight="false" outlineLevel="0" collapsed="false">
      <c r="A436" s="3" t="n">
        <v>2013</v>
      </c>
      <c r="B436" s="3" t="n">
        <v>3</v>
      </c>
      <c r="C436" s="3" t="n">
        <v>10</v>
      </c>
      <c r="D436" s="3" t="s">
        <v>440</v>
      </c>
      <c r="E436" s="4" t="n">
        <v>0</v>
      </c>
    </row>
    <row r="437" customFormat="false" ht="15" hidden="false" customHeight="false" outlineLevel="0" collapsed="false">
      <c r="A437" s="3" t="n">
        <v>2013</v>
      </c>
      <c r="B437" s="3" t="n">
        <v>3</v>
      </c>
      <c r="C437" s="3" t="n">
        <v>11</v>
      </c>
      <c r="D437" s="3" t="s">
        <v>441</v>
      </c>
      <c r="E437" s="4" t="n">
        <v>0</v>
      </c>
    </row>
    <row r="438" customFormat="false" ht="15" hidden="false" customHeight="false" outlineLevel="0" collapsed="false">
      <c r="A438" s="3" t="n">
        <v>2013</v>
      </c>
      <c r="B438" s="3" t="n">
        <v>3</v>
      </c>
      <c r="C438" s="3" t="n">
        <v>12</v>
      </c>
      <c r="D438" s="3" t="s">
        <v>442</v>
      </c>
      <c r="E438" s="4" t="n">
        <v>0</v>
      </c>
    </row>
    <row r="439" customFormat="false" ht="15" hidden="false" customHeight="false" outlineLevel="0" collapsed="false">
      <c r="A439" s="3" t="n">
        <v>2013</v>
      </c>
      <c r="B439" s="3" t="n">
        <v>3</v>
      </c>
      <c r="C439" s="3" t="n">
        <v>13</v>
      </c>
      <c r="D439" s="3" t="s">
        <v>443</v>
      </c>
      <c r="E439" s="4" t="n">
        <v>0</v>
      </c>
    </row>
    <row r="440" customFormat="false" ht="15" hidden="false" customHeight="false" outlineLevel="0" collapsed="false">
      <c r="A440" s="3" t="n">
        <v>2013</v>
      </c>
      <c r="B440" s="3" t="n">
        <v>3</v>
      </c>
      <c r="C440" s="3" t="n">
        <v>14</v>
      </c>
      <c r="D440" s="3" t="s">
        <v>444</v>
      </c>
      <c r="E440" s="4" t="n">
        <v>0</v>
      </c>
    </row>
    <row r="441" customFormat="false" ht="15" hidden="false" customHeight="false" outlineLevel="0" collapsed="false">
      <c r="A441" s="3" t="n">
        <v>2013</v>
      </c>
      <c r="B441" s="3" t="n">
        <v>3</v>
      </c>
      <c r="C441" s="3" t="n">
        <v>15</v>
      </c>
      <c r="D441" s="3" t="s">
        <v>445</v>
      </c>
      <c r="E441" s="4" t="n">
        <v>0</v>
      </c>
    </row>
    <row r="442" customFormat="false" ht="15" hidden="false" customHeight="false" outlineLevel="0" collapsed="false">
      <c r="A442" s="3" t="n">
        <v>2013</v>
      </c>
      <c r="B442" s="3" t="n">
        <v>3</v>
      </c>
      <c r="C442" s="3" t="n">
        <v>16</v>
      </c>
      <c r="D442" s="3" t="s">
        <v>446</v>
      </c>
      <c r="E442" s="4" t="n">
        <v>0</v>
      </c>
    </row>
    <row r="443" customFormat="false" ht="15" hidden="false" customHeight="false" outlineLevel="0" collapsed="false">
      <c r="A443" s="3" t="n">
        <v>2013</v>
      </c>
      <c r="B443" s="3" t="n">
        <v>3</v>
      </c>
      <c r="C443" s="3" t="n">
        <v>17</v>
      </c>
      <c r="D443" s="3" t="s">
        <v>447</v>
      </c>
      <c r="E443" s="4" t="n">
        <v>10</v>
      </c>
    </row>
    <row r="444" customFormat="false" ht="15" hidden="false" customHeight="false" outlineLevel="0" collapsed="false">
      <c r="A444" s="3" t="n">
        <v>2013</v>
      </c>
      <c r="B444" s="3" t="n">
        <v>3</v>
      </c>
      <c r="C444" s="3" t="n">
        <v>18</v>
      </c>
      <c r="D444" s="3" t="s">
        <v>448</v>
      </c>
      <c r="E444" s="4" t="n">
        <v>0</v>
      </c>
    </row>
    <row r="445" customFormat="false" ht="15" hidden="false" customHeight="false" outlineLevel="0" collapsed="false">
      <c r="A445" s="3" t="n">
        <v>2013</v>
      </c>
      <c r="B445" s="3" t="n">
        <v>3</v>
      </c>
      <c r="C445" s="3" t="n">
        <v>19</v>
      </c>
      <c r="D445" s="3" t="s">
        <v>449</v>
      </c>
      <c r="E445" s="4" t="n">
        <v>0</v>
      </c>
    </row>
    <row r="446" customFormat="false" ht="15" hidden="false" customHeight="false" outlineLevel="0" collapsed="false">
      <c r="A446" s="3" t="n">
        <v>2013</v>
      </c>
      <c r="B446" s="3" t="n">
        <v>3</v>
      </c>
      <c r="C446" s="3" t="n">
        <v>20</v>
      </c>
      <c r="D446" s="3" t="s">
        <v>450</v>
      </c>
      <c r="E446" s="4" t="n">
        <v>12</v>
      </c>
    </row>
    <row r="447" customFormat="false" ht="15" hidden="false" customHeight="false" outlineLevel="0" collapsed="false">
      <c r="A447" s="3" t="n">
        <v>2013</v>
      </c>
      <c r="B447" s="3" t="n">
        <v>3</v>
      </c>
      <c r="C447" s="3" t="n">
        <v>21</v>
      </c>
      <c r="D447" s="3" t="s">
        <v>451</v>
      </c>
      <c r="E447" s="4" t="n">
        <v>2</v>
      </c>
    </row>
    <row r="448" customFormat="false" ht="15" hidden="false" customHeight="false" outlineLevel="0" collapsed="false">
      <c r="A448" s="3" t="n">
        <v>2013</v>
      </c>
      <c r="B448" s="3" t="n">
        <v>3</v>
      </c>
      <c r="C448" s="3" t="n">
        <v>22</v>
      </c>
      <c r="D448" s="3" t="s">
        <v>452</v>
      </c>
      <c r="E448" s="4" t="n">
        <v>9</v>
      </c>
    </row>
    <row r="449" customFormat="false" ht="15" hidden="false" customHeight="false" outlineLevel="0" collapsed="false">
      <c r="A449" s="3" t="n">
        <v>2013</v>
      </c>
      <c r="B449" s="3" t="n">
        <v>3</v>
      </c>
      <c r="C449" s="3" t="n">
        <v>23</v>
      </c>
      <c r="D449" s="3" t="s">
        <v>453</v>
      </c>
      <c r="E449" s="4" t="n">
        <v>8</v>
      </c>
    </row>
    <row r="450" customFormat="false" ht="15" hidden="false" customHeight="false" outlineLevel="0" collapsed="false">
      <c r="A450" s="3" t="n">
        <v>2013</v>
      </c>
      <c r="B450" s="3" t="n">
        <v>3</v>
      </c>
      <c r="C450" s="3" t="n">
        <v>24</v>
      </c>
      <c r="D450" s="3" t="s">
        <v>454</v>
      </c>
      <c r="E450" s="4" t="n">
        <v>2</v>
      </c>
    </row>
    <row r="451" customFormat="false" ht="15" hidden="false" customHeight="false" outlineLevel="0" collapsed="false">
      <c r="A451" s="3" t="n">
        <v>2013</v>
      </c>
      <c r="B451" s="3" t="n">
        <v>3</v>
      </c>
      <c r="C451" s="3" t="n">
        <v>25</v>
      </c>
      <c r="D451" s="3" t="s">
        <v>455</v>
      </c>
      <c r="E451" s="4" t="n">
        <v>26</v>
      </c>
    </row>
    <row r="452" customFormat="false" ht="15" hidden="false" customHeight="false" outlineLevel="0" collapsed="false">
      <c r="A452" s="3" t="n">
        <v>2013</v>
      </c>
      <c r="B452" s="3" t="n">
        <v>3</v>
      </c>
      <c r="C452" s="3" t="n">
        <v>26</v>
      </c>
      <c r="D452" s="3" t="s">
        <v>456</v>
      </c>
      <c r="E452" s="4" t="n">
        <v>7</v>
      </c>
    </row>
    <row r="453" customFormat="false" ht="15" hidden="false" customHeight="false" outlineLevel="0" collapsed="false">
      <c r="A453" s="3" t="n">
        <v>2013</v>
      </c>
      <c r="B453" s="3" t="n">
        <v>3</v>
      </c>
      <c r="C453" s="3" t="n">
        <v>27</v>
      </c>
      <c r="D453" s="3" t="s">
        <v>457</v>
      </c>
      <c r="E453" s="4" t="n">
        <v>0</v>
      </c>
    </row>
    <row r="454" customFormat="false" ht="15" hidden="false" customHeight="false" outlineLevel="0" collapsed="false">
      <c r="A454" s="3" t="n">
        <v>2013</v>
      </c>
      <c r="B454" s="3" t="n">
        <v>3</v>
      </c>
      <c r="C454" s="3" t="n">
        <v>28</v>
      </c>
      <c r="D454" s="3" t="s">
        <v>458</v>
      </c>
      <c r="E454" s="4" t="n">
        <v>6</v>
      </c>
    </row>
    <row r="455" customFormat="false" ht="15" hidden="false" customHeight="false" outlineLevel="0" collapsed="false">
      <c r="A455" s="3" t="n">
        <v>2013</v>
      </c>
      <c r="B455" s="3" t="n">
        <v>3</v>
      </c>
      <c r="C455" s="3" t="n">
        <v>29</v>
      </c>
      <c r="D455" s="3" t="s">
        <v>459</v>
      </c>
      <c r="E455" s="4" t="n">
        <v>7</v>
      </c>
    </row>
    <row r="456" customFormat="false" ht="15" hidden="false" customHeight="false" outlineLevel="0" collapsed="false">
      <c r="A456" s="3" t="n">
        <v>2013</v>
      </c>
      <c r="B456" s="3" t="n">
        <v>3</v>
      </c>
      <c r="C456" s="3" t="n">
        <v>30</v>
      </c>
      <c r="D456" s="3" t="s">
        <v>460</v>
      </c>
      <c r="E456" s="4" t="n">
        <v>8</v>
      </c>
    </row>
    <row r="457" customFormat="false" ht="15" hidden="false" customHeight="false" outlineLevel="0" collapsed="false">
      <c r="A457" s="3" t="n">
        <v>2013</v>
      </c>
      <c r="B457" s="3" t="n">
        <v>3</v>
      </c>
      <c r="C457" s="3" t="n">
        <v>31</v>
      </c>
      <c r="D457" s="3" t="s">
        <v>461</v>
      </c>
      <c r="E457" s="4" t="n">
        <v>28</v>
      </c>
    </row>
    <row r="458" customFormat="false" ht="15" hidden="false" customHeight="false" outlineLevel="0" collapsed="false">
      <c r="A458" s="3" t="n">
        <v>2013</v>
      </c>
      <c r="B458" s="3" t="n">
        <v>4</v>
      </c>
      <c r="C458" s="3" t="n">
        <v>1</v>
      </c>
      <c r="D458" s="3" t="s">
        <v>462</v>
      </c>
      <c r="E458" s="4" t="n">
        <v>9</v>
      </c>
    </row>
    <row r="459" customFormat="false" ht="15" hidden="false" customHeight="false" outlineLevel="0" collapsed="false">
      <c r="A459" s="3" t="n">
        <v>2013</v>
      </c>
      <c r="B459" s="3" t="n">
        <v>4</v>
      </c>
      <c r="C459" s="3" t="n">
        <v>2</v>
      </c>
      <c r="D459" s="3" t="s">
        <v>463</v>
      </c>
      <c r="E459" s="4" t="n">
        <v>32</v>
      </c>
    </row>
    <row r="460" customFormat="false" ht="15" hidden="false" customHeight="false" outlineLevel="0" collapsed="false">
      <c r="A460" s="3" t="n">
        <v>2013</v>
      </c>
      <c r="B460" s="3" t="n">
        <v>4</v>
      </c>
      <c r="C460" s="3" t="n">
        <v>3</v>
      </c>
      <c r="D460" s="3" t="s">
        <v>464</v>
      </c>
      <c r="E460" s="4" t="n">
        <v>0</v>
      </c>
    </row>
    <row r="461" customFormat="false" ht="15" hidden="false" customHeight="false" outlineLevel="0" collapsed="false">
      <c r="A461" s="3" t="n">
        <v>2013</v>
      </c>
      <c r="B461" s="3" t="n">
        <v>4</v>
      </c>
      <c r="C461" s="3" t="n">
        <v>4</v>
      </c>
      <c r="D461" s="3" t="s">
        <v>465</v>
      </c>
      <c r="E461" s="4" t="n">
        <v>0</v>
      </c>
    </row>
    <row r="462" customFormat="false" ht="15" hidden="false" customHeight="false" outlineLevel="0" collapsed="false">
      <c r="A462" s="3" t="n">
        <v>2013</v>
      </c>
      <c r="B462" s="3" t="n">
        <v>4</v>
      </c>
      <c r="C462" s="3" t="n">
        <v>5</v>
      </c>
      <c r="D462" s="3" t="s">
        <v>466</v>
      </c>
      <c r="E462" s="4" t="n">
        <v>29</v>
      </c>
    </row>
    <row r="463" customFormat="false" ht="15" hidden="false" customHeight="false" outlineLevel="0" collapsed="false">
      <c r="A463" s="3" t="n">
        <v>2013</v>
      </c>
      <c r="B463" s="3" t="n">
        <v>4</v>
      </c>
      <c r="C463" s="3" t="n">
        <v>6</v>
      </c>
      <c r="D463" s="3" t="s">
        <v>467</v>
      </c>
      <c r="E463" s="4" t="n">
        <v>0</v>
      </c>
    </row>
    <row r="464" customFormat="false" ht="15" hidden="false" customHeight="false" outlineLevel="0" collapsed="false">
      <c r="A464" s="3" t="n">
        <v>2013</v>
      </c>
      <c r="B464" s="3" t="n">
        <v>4</v>
      </c>
      <c r="C464" s="3" t="n">
        <v>7</v>
      </c>
      <c r="D464" s="3" t="s">
        <v>468</v>
      </c>
      <c r="E464" s="4" t="n">
        <v>96</v>
      </c>
    </row>
    <row r="465" customFormat="false" ht="15" hidden="false" customHeight="false" outlineLevel="0" collapsed="false">
      <c r="A465" s="3" t="n">
        <v>2013</v>
      </c>
      <c r="B465" s="3" t="n">
        <v>4</v>
      </c>
      <c r="C465" s="3" t="n">
        <v>8</v>
      </c>
      <c r="D465" s="3" t="s">
        <v>469</v>
      </c>
      <c r="E465" s="4" t="n">
        <v>69</v>
      </c>
    </row>
    <row r="466" customFormat="false" ht="15" hidden="false" customHeight="false" outlineLevel="0" collapsed="false">
      <c r="A466" s="3" t="n">
        <v>2013</v>
      </c>
      <c r="B466" s="3" t="n">
        <v>4</v>
      </c>
      <c r="C466" s="3" t="n">
        <v>9</v>
      </c>
      <c r="D466" s="3" t="s">
        <v>470</v>
      </c>
      <c r="E466" s="4" t="n">
        <v>0</v>
      </c>
    </row>
    <row r="467" customFormat="false" ht="15" hidden="false" customHeight="false" outlineLevel="0" collapsed="false">
      <c r="A467" s="3" t="n">
        <v>2013</v>
      </c>
      <c r="B467" s="3" t="n">
        <v>4</v>
      </c>
      <c r="C467" s="3" t="n">
        <v>10</v>
      </c>
      <c r="D467" s="3" t="s">
        <v>471</v>
      </c>
      <c r="E467" s="4" t="n">
        <v>0</v>
      </c>
    </row>
    <row r="468" customFormat="false" ht="15" hidden="false" customHeight="false" outlineLevel="0" collapsed="false">
      <c r="A468" s="3" t="n">
        <v>2013</v>
      </c>
      <c r="B468" s="3" t="n">
        <v>4</v>
      </c>
      <c r="C468" s="3" t="n">
        <v>11</v>
      </c>
      <c r="D468" s="3" t="s">
        <v>472</v>
      </c>
      <c r="E468" s="4" t="n">
        <v>7</v>
      </c>
    </row>
    <row r="469" customFormat="false" ht="15" hidden="false" customHeight="false" outlineLevel="0" collapsed="false">
      <c r="A469" s="3" t="n">
        <v>2013</v>
      </c>
      <c r="B469" s="3" t="n">
        <v>4</v>
      </c>
      <c r="C469" s="3" t="n">
        <v>12</v>
      </c>
      <c r="D469" s="3" t="s">
        <v>473</v>
      </c>
      <c r="E469" s="4" t="n">
        <v>0</v>
      </c>
    </row>
    <row r="470" customFormat="false" ht="15" hidden="false" customHeight="false" outlineLevel="0" collapsed="false">
      <c r="A470" s="3" t="n">
        <v>2013</v>
      </c>
      <c r="B470" s="3" t="n">
        <v>4</v>
      </c>
      <c r="C470" s="3" t="n">
        <v>13</v>
      </c>
      <c r="D470" s="3" t="s">
        <v>474</v>
      </c>
      <c r="E470" s="4" t="n">
        <v>0</v>
      </c>
    </row>
    <row r="471" customFormat="false" ht="15" hidden="false" customHeight="false" outlineLevel="0" collapsed="false">
      <c r="A471" s="3" t="n">
        <v>2013</v>
      </c>
      <c r="B471" s="3" t="n">
        <v>4</v>
      </c>
      <c r="C471" s="3" t="n">
        <v>14</v>
      </c>
      <c r="D471" s="3" t="s">
        <v>475</v>
      </c>
      <c r="E471" s="4" t="n">
        <v>0</v>
      </c>
    </row>
    <row r="472" customFormat="false" ht="15" hidden="false" customHeight="false" outlineLevel="0" collapsed="false">
      <c r="A472" s="3" t="n">
        <v>2013</v>
      </c>
      <c r="B472" s="3" t="n">
        <v>4</v>
      </c>
      <c r="C472" s="3" t="n">
        <v>15</v>
      </c>
      <c r="D472" s="3" t="s">
        <v>476</v>
      </c>
      <c r="E472" s="4" t="n">
        <v>0</v>
      </c>
    </row>
    <row r="473" customFormat="false" ht="15" hidden="false" customHeight="false" outlineLevel="0" collapsed="false">
      <c r="A473" s="3" t="n">
        <v>2013</v>
      </c>
      <c r="B473" s="3" t="n">
        <v>4</v>
      </c>
      <c r="C473" s="3" t="n">
        <v>16</v>
      </c>
      <c r="D473" s="3" t="s">
        <v>477</v>
      </c>
      <c r="E473" s="4" t="n">
        <v>0</v>
      </c>
    </row>
    <row r="474" customFormat="false" ht="15" hidden="false" customHeight="false" outlineLevel="0" collapsed="false">
      <c r="A474" s="3" t="n">
        <v>2013</v>
      </c>
      <c r="B474" s="3" t="n">
        <v>4</v>
      </c>
      <c r="C474" s="3" t="n">
        <v>17</v>
      </c>
      <c r="D474" s="3" t="s">
        <v>478</v>
      </c>
      <c r="E474" s="4" t="n">
        <v>6</v>
      </c>
    </row>
    <row r="475" customFormat="false" ht="15" hidden="false" customHeight="false" outlineLevel="0" collapsed="false">
      <c r="A475" s="3" t="n">
        <v>2013</v>
      </c>
      <c r="B475" s="3" t="n">
        <v>4</v>
      </c>
      <c r="C475" s="3" t="n">
        <v>18</v>
      </c>
      <c r="D475" s="3" t="s">
        <v>479</v>
      </c>
      <c r="E475" s="4" t="n">
        <v>25</v>
      </c>
    </row>
    <row r="476" customFormat="false" ht="15" hidden="false" customHeight="false" outlineLevel="0" collapsed="false">
      <c r="A476" s="3" t="n">
        <v>2013</v>
      </c>
      <c r="B476" s="3" t="n">
        <v>4</v>
      </c>
      <c r="C476" s="3" t="n">
        <v>19</v>
      </c>
      <c r="D476" s="3" t="s">
        <v>480</v>
      </c>
      <c r="E476" s="4" t="n">
        <v>22</v>
      </c>
    </row>
    <row r="477" customFormat="false" ht="15" hidden="false" customHeight="false" outlineLevel="0" collapsed="false">
      <c r="A477" s="3" t="n">
        <v>2013</v>
      </c>
      <c r="B477" s="3" t="n">
        <v>4</v>
      </c>
      <c r="C477" s="3" t="n">
        <v>20</v>
      </c>
      <c r="D477" s="3" t="s">
        <v>481</v>
      </c>
      <c r="E477" s="4" t="n">
        <v>0</v>
      </c>
    </row>
    <row r="478" customFormat="false" ht="15" hidden="false" customHeight="false" outlineLevel="0" collapsed="false">
      <c r="A478" s="3" t="n">
        <v>2013</v>
      </c>
      <c r="B478" s="3" t="n">
        <v>4</v>
      </c>
      <c r="C478" s="3" t="n">
        <v>21</v>
      </c>
      <c r="D478" s="3" t="s">
        <v>482</v>
      </c>
      <c r="E478" s="4" t="n">
        <v>0</v>
      </c>
    </row>
    <row r="479" customFormat="false" ht="15" hidden="false" customHeight="false" outlineLevel="0" collapsed="false">
      <c r="A479" s="3" t="n">
        <v>2013</v>
      </c>
      <c r="B479" s="3" t="n">
        <v>4</v>
      </c>
      <c r="C479" s="3" t="n">
        <v>22</v>
      </c>
      <c r="D479" s="3" t="s">
        <v>483</v>
      </c>
      <c r="E479" s="4" t="n">
        <v>25</v>
      </c>
    </row>
    <row r="480" customFormat="false" ht="15" hidden="false" customHeight="false" outlineLevel="0" collapsed="false">
      <c r="A480" s="3" t="n">
        <v>2013</v>
      </c>
      <c r="B480" s="3" t="n">
        <v>4</v>
      </c>
      <c r="C480" s="3" t="n">
        <v>23</v>
      </c>
      <c r="D480" s="3" t="s">
        <v>484</v>
      </c>
      <c r="E480" s="4" t="n">
        <v>74</v>
      </c>
    </row>
    <row r="481" customFormat="false" ht="15" hidden="false" customHeight="false" outlineLevel="0" collapsed="false">
      <c r="A481" s="3" t="n">
        <v>2013</v>
      </c>
      <c r="B481" s="3" t="n">
        <v>4</v>
      </c>
      <c r="C481" s="3" t="n">
        <v>24</v>
      </c>
      <c r="D481" s="3" t="s">
        <v>485</v>
      </c>
      <c r="E481" s="4" t="n">
        <v>18</v>
      </c>
    </row>
    <row r="482" customFormat="false" ht="15" hidden="false" customHeight="false" outlineLevel="0" collapsed="false">
      <c r="A482" s="3" t="n">
        <v>2013</v>
      </c>
      <c r="B482" s="3" t="n">
        <v>4</v>
      </c>
      <c r="C482" s="3" t="n">
        <v>25</v>
      </c>
      <c r="D482" s="3" t="s">
        <v>486</v>
      </c>
      <c r="E482" s="4" t="n">
        <v>0</v>
      </c>
    </row>
    <row r="483" customFormat="false" ht="15" hidden="false" customHeight="false" outlineLevel="0" collapsed="false">
      <c r="A483" s="3" t="n">
        <v>2013</v>
      </c>
      <c r="B483" s="3" t="n">
        <v>4</v>
      </c>
      <c r="C483" s="3" t="n">
        <v>26</v>
      </c>
      <c r="D483" s="3" t="s">
        <v>487</v>
      </c>
      <c r="E483" s="4" t="n">
        <v>18</v>
      </c>
    </row>
    <row r="484" customFormat="false" ht="15" hidden="false" customHeight="false" outlineLevel="0" collapsed="false">
      <c r="A484" s="3" t="n">
        <v>2013</v>
      </c>
      <c r="B484" s="3" t="n">
        <v>4</v>
      </c>
      <c r="C484" s="3" t="n">
        <v>27</v>
      </c>
      <c r="D484" s="3" t="s">
        <v>488</v>
      </c>
      <c r="E484" s="4" t="n">
        <v>0</v>
      </c>
    </row>
    <row r="485" customFormat="false" ht="15" hidden="false" customHeight="false" outlineLevel="0" collapsed="false">
      <c r="A485" s="3" t="n">
        <v>2013</v>
      </c>
      <c r="B485" s="3" t="n">
        <v>4</v>
      </c>
      <c r="C485" s="3" t="n">
        <v>28</v>
      </c>
      <c r="D485" s="3" t="s">
        <v>489</v>
      </c>
      <c r="E485" s="4" t="n">
        <v>0</v>
      </c>
    </row>
    <row r="486" customFormat="false" ht="15" hidden="false" customHeight="false" outlineLevel="0" collapsed="false">
      <c r="A486" s="3" t="n">
        <v>2013</v>
      </c>
      <c r="B486" s="3" t="n">
        <v>4</v>
      </c>
      <c r="C486" s="3" t="n">
        <v>29</v>
      </c>
      <c r="D486" s="3" t="s">
        <v>490</v>
      </c>
      <c r="E486" s="4" t="n">
        <v>0</v>
      </c>
    </row>
    <row r="487" customFormat="false" ht="15" hidden="false" customHeight="false" outlineLevel="0" collapsed="false">
      <c r="A487" s="3" t="n">
        <v>2013</v>
      </c>
      <c r="B487" s="3" t="n">
        <v>4</v>
      </c>
      <c r="C487" s="3" t="n">
        <v>30</v>
      </c>
      <c r="D487" s="3" t="s">
        <v>491</v>
      </c>
      <c r="E487" s="4" t="n">
        <v>5</v>
      </c>
    </row>
    <row r="488" customFormat="false" ht="15" hidden="false" customHeight="false" outlineLevel="0" collapsed="false">
      <c r="A488" s="3" t="n">
        <v>2013</v>
      </c>
      <c r="B488" s="3" t="n">
        <v>5</v>
      </c>
      <c r="C488" s="3" t="n">
        <v>1</v>
      </c>
      <c r="D488" s="3" t="s">
        <v>492</v>
      </c>
      <c r="E488" s="4" t="n">
        <v>15</v>
      </c>
    </row>
    <row r="489" customFormat="false" ht="15" hidden="false" customHeight="false" outlineLevel="0" collapsed="false">
      <c r="A489" s="3" t="n">
        <v>2013</v>
      </c>
      <c r="B489" s="3" t="n">
        <v>5</v>
      </c>
      <c r="C489" s="3" t="n">
        <v>2</v>
      </c>
      <c r="D489" s="3" t="s">
        <v>493</v>
      </c>
      <c r="E489" s="4" t="n">
        <v>0</v>
      </c>
    </row>
    <row r="490" customFormat="false" ht="15" hidden="false" customHeight="false" outlineLevel="0" collapsed="false">
      <c r="A490" s="3" t="n">
        <v>2013</v>
      </c>
      <c r="B490" s="3" t="n">
        <v>5</v>
      </c>
      <c r="C490" s="3" t="n">
        <v>3</v>
      </c>
      <c r="D490" s="3" t="s">
        <v>494</v>
      </c>
      <c r="E490" s="4" t="n">
        <v>10</v>
      </c>
    </row>
    <row r="491" customFormat="false" ht="15" hidden="false" customHeight="false" outlineLevel="0" collapsed="false">
      <c r="A491" s="3" t="n">
        <v>2013</v>
      </c>
      <c r="B491" s="3" t="n">
        <v>5</v>
      </c>
      <c r="C491" s="3" t="n">
        <v>4</v>
      </c>
      <c r="D491" s="3" t="s">
        <v>495</v>
      </c>
      <c r="E491" s="4" t="n">
        <v>49</v>
      </c>
    </row>
    <row r="492" customFormat="false" ht="15" hidden="false" customHeight="false" outlineLevel="0" collapsed="false">
      <c r="A492" s="3" t="n">
        <v>2013</v>
      </c>
      <c r="B492" s="3" t="n">
        <v>5</v>
      </c>
      <c r="C492" s="3" t="n">
        <v>5</v>
      </c>
      <c r="D492" s="3" t="s">
        <v>496</v>
      </c>
      <c r="E492" s="4" t="n">
        <v>0</v>
      </c>
    </row>
    <row r="493" customFormat="false" ht="15" hidden="false" customHeight="false" outlineLevel="0" collapsed="false">
      <c r="A493" s="3" t="n">
        <v>2013</v>
      </c>
      <c r="B493" s="3" t="n">
        <v>5</v>
      </c>
      <c r="C493" s="3" t="n">
        <v>6</v>
      </c>
      <c r="D493" s="3" t="s">
        <v>497</v>
      </c>
      <c r="E493" s="4" t="n">
        <v>29</v>
      </c>
    </row>
    <row r="494" customFormat="false" ht="15" hidden="false" customHeight="false" outlineLevel="0" collapsed="false">
      <c r="A494" s="3" t="n">
        <v>2013</v>
      </c>
      <c r="B494" s="3" t="n">
        <v>5</v>
      </c>
      <c r="C494" s="3" t="n">
        <v>7</v>
      </c>
      <c r="D494" s="3" t="s">
        <v>498</v>
      </c>
      <c r="E494" s="4" t="n">
        <v>9</v>
      </c>
    </row>
    <row r="495" customFormat="false" ht="15" hidden="false" customHeight="false" outlineLevel="0" collapsed="false">
      <c r="A495" s="3" t="n">
        <v>2013</v>
      </c>
      <c r="B495" s="3" t="n">
        <v>5</v>
      </c>
      <c r="C495" s="3" t="n">
        <v>8</v>
      </c>
      <c r="D495" s="3" t="s">
        <v>499</v>
      </c>
      <c r="E495" s="4" t="n">
        <v>24</v>
      </c>
    </row>
    <row r="496" customFormat="false" ht="15" hidden="false" customHeight="false" outlineLevel="0" collapsed="false">
      <c r="A496" s="3" t="n">
        <v>2013</v>
      </c>
      <c r="B496" s="3" t="n">
        <v>5</v>
      </c>
      <c r="C496" s="3" t="n">
        <v>9</v>
      </c>
      <c r="D496" s="3" t="s">
        <v>500</v>
      </c>
      <c r="E496" s="4" t="n">
        <v>0</v>
      </c>
    </row>
    <row r="497" customFormat="false" ht="15" hidden="false" customHeight="false" outlineLevel="0" collapsed="false">
      <c r="A497" s="3" t="n">
        <v>2013</v>
      </c>
      <c r="B497" s="3" t="n">
        <v>5</v>
      </c>
      <c r="C497" s="3" t="n">
        <v>10</v>
      </c>
      <c r="D497" s="3" t="s">
        <v>501</v>
      </c>
      <c r="E497" s="4" t="n">
        <v>0</v>
      </c>
    </row>
    <row r="498" customFormat="false" ht="15" hidden="false" customHeight="false" outlineLevel="0" collapsed="false">
      <c r="A498" s="3" t="n">
        <v>2013</v>
      </c>
      <c r="B498" s="3" t="n">
        <v>5</v>
      </c>
      <c r="C498" s="3" t="n">
        <v>11</v>
      </c>
      <c r="D498" s="3" t="s">
        <v>502</v>
      </c>
      <c r="E498" s="4" t="n">
        <v>12</v>
      </c>
    </row>
    <row r="499" customFormat="false" ht="15" hidden="false" customHeight="false" outlineLevel="0" collapsed="false">
      <c r="A499" s="3" t="n">
        <v>2013</v>
      </c>
      <c r="B499" s="3" t="n">
        <v>5</v>
      </c>
      <c r="C499" s="3" t="n">
        <v>12</v>
      </c>
      <c r="D499" s="3" t="s">
        <v>503</v>
      </c>
      <c r="E499" s="4" t="n">
        <v>0</v>
      </c>
    </row>
    <row r="500" customFormat="false" ht="15" hidden="false" customHeight="false" outlineLevel="0" collapsed="false">
      <c r="A500" s="3" t="n">
        <v>2013</v>
      </c>
      <c r="B500" s="3" t="n">
        <v>5</v>
      </c>
      <c r="C500" s="3" t="n">
        <v>13</v>
      </c>
      <c r="D500" s="3" t="s">
        <v>504</v>
      </c>
      <c r="E500" s="4" t="n">
        <v>45</v>
      </c>
    </row>
    <row r="501" customFormat="false" ht="15" hidden="false" customHeight="false" outlineLevel="0" collapsed="false">
      <c r="A501" s="3" t="n">
        <v>2013</v>
      </c>
      <c r="B501" s="3" t="n">
        <v>5</v>
      </c>
      <c r="C501" s="3" t="n">
        <v>14</v>
      </c>
      <c r="D501" s="3" t="s">
        <v>505</v>
      </c>
      <c r="E501" s="4" t="n">
        <v>0</v>
      </c>
    </row>
    <row r="502" customFormat="false" ht="15" hidden="false" customHeight="false" outlineLevel="0" collapsed="false">
      <c r="A502" s="3" t="n">
        <v>2013</v>
      </c>
      <c r="B502" s="3" t="n">
        <v>5</v>
      </c>
      <c r="C502" s="3" t="n">
        <v>15</v>
      </c>
      <c r="D502" s="3" t="s">
        <v>506</v>
      </c>
      <c r="E502" s="4" t="n">
        <v>0</v>
      </c>
    </row>
    <row r="503" customFormat="false" ht="15" hidden="false" customHeight="false" outlineLevel="0" collapsed="false">
      <c r="A503" s="3" t="n">
        <v>2013</v>
      </c>
      <c r="B503" s="3" t="n">
        <v>5</v>
      </c>
      <c r="C503" s="3" t="n">
        <v>16</v>
      </c>
      <c r="D503" s="3" t="s">
        <v>507</v>
      </c>
      <c r="E503" s="4" t="n">
        <v>7</v>
      </c>
    </row>
    <row r="504" customFormat="false" ht="15" hidden="false" customHeight="false" outlineLevel="0" collapsed="false">
      <c r="A504" s="3" t="n">
        <v>2013</v>
      </c>
      <c r="B504" s="3" t="n">
        <v>5</v>
      </c>
      <c r="C504" s="3" t="n">
        <v>17</v>
      </c>
      <c r="D504" s="3" t="s">
        <v>508</v>
      </c>
      <c r="E504" s="4" t="n">
        <v>0</v>
      </c>
    </row>
    <row r="505" customFormat="false" ht="15" hidden="false" customHeight="false" outlineLevel="0" collapsed="false">
      <c r="A505" s="3" t="n">
        <v>2013</v>
      </c>
      <c r="B505" s="3" t="n">
        <v>5</v>
      </c>
      <c r="C505" s="3" t="n">
        <v>18</v>
      </c>
      <c r="D505" s="3" t="s">
        <v>509</v>
      </c>
      <c r="E505" s="4" t="n">
        <v>0</v>
      </c>
    </row>
    <row r="506" customFormat="false" ht="15" hidden="false" customHeight="false" outlineLevel="0" collapsed="false">
      <c r="A506" s="3" t="n">
        <v>2013</v>
      </c>
      <c r="B506" s="3" t="n">
        <v>5</v>
      </c>
      <c r="C506" s="3" t="n">
        <v>19</v>
      </c>
      <c r="D506" s="3" t="s">
        <v>510</v>
      </c>
      <c r="E506" s="4" t="n">
        <v>0</v>
      </c>
    </row>
    <row r="507" customFormat="false" ht="15" hidden="false" customHeight="false" outlineLevel="0" collapsed="false">
      <c r="A507" s="3" t="n">
        <v>2013</v>
      </c>
      <c r="B507" s="3" t="n">
        <v>5</v>
      </c>
      <c r="C507" s="3" t="n">
        <v>20</v>
      </c>
      <c r="D507" s="3" t="s">
        <v>511</v>
      </c>
      <c r="E507" s="4" t="n">
        <v>0</v>
      </c>
    </row>
    <row r="508" customFormat="false" ht="15" hidden="false" customHeight="false" outlineLevel="0" collapsed="false">
      <c r="A508" s="3" t="n">
        <v>2013</v>
      </c>
      <c r="B508" s="3" t="n">
        <v>5</v>
      </c>
      <c r="C508" s="3" t="n">
        <v>21</v>
      </c>
      <c r="D508" s="3" t="s">
        <v>512</v>
      </c>
      <c r="E508" s="4" t="n">
        <v>8</v>
      </c>
    </row>
    <row r="509" customFormat="false" ht="15" hidden="false" customHeight="false" outlineLevel="0" collapsed="false">
      <c r="A509" s="3" t="n">
        <v>2013</v>
      </c>
      <c r="B509" s="3" t="n">
        <v>5</v>
      </c>
      <c r="C509" s="3" t="n">
        <v>22</v>
      </c>
      <c r="D509" s="3" t="s">
        <v>513</v>
      </c>
      <c r="E509" s="4" t="n">
        <v>5</v>
      </c>
    </row>
    <row r="510" customFormat="false" ht="15" hidden="false" customHeight="false" outlineLevel="0" collapsed="false">
      <c r="A510" s="3" t="n">
        <v>2013</v>
      </c>
      <c r="B510" s="3" t="n">
        <v>5</v>
      </c>
      <c r="C510" s="3" t="n">
        <v>23</v>
      </c>
      <c r="D510" s="3" t="s">
        <v>514</v>
      </c>
      <c r="E510" s="4" t="n">
        <v>3</v>
      </c>
    </row>
    <row r="511" customFormat="false" ht="15" hidden="false" customHeight="false" outlineLevel="0" collapsed="false">
      <c r="A511" s="3" t="n">
        <v>2013</v>
      </c>
      <c r="B511" s="3" t="n">
        <v>5</v>
      </c>
      <c r="C511" s="3" t="n">
        <v>24</v>
      </c>
      <c r="D511" s="3" t="s">
        <v>515</v>
      </c>
      <c r="E511" s="4" t="n">
        <v>0</v>
      </c>
    </row>
    <row r="512" customFormat="false" ht="15" hidden="false" customHeight="false" outlineLevel="0" collapsed="false">
      <c r="A512" s="3" t="n">
        <v>2013</v>
      </c>
      <c r="B512" s="3" t="n">
        <v>5</v>
      </c>
      <c r="C512" s="3" t="n">
        <v>25</v>
      </c>
      <c r="D512" s="3" t="s">
        <v>516</v>
      </c>
      <c r="E512" s="4" t="n">
        <v>0</v>
      </c>
    </row>
    <row r="513" customFormat="false" ht="15" hidden="false" customHeight="false" outlineLevel="0" collapsed="false">
      <c r="A513" s="3" t="n">
        <v>2013</v>
      </c>
      <c r="B513" s="3" t="n">
        <v>5</v>
      </c>
      <c r="C513" s="3" t="n">
        <v>26</v>
      </c>
      <c r="D513" s="3" t="s">
        <v>517</v>
      </c>
      <c r="E513" s="4" t="n">
        <v>66</v>
      </c>
    </row>
    <row r="514" customFormat="false" ht="15" hidden="false" customHeight="false" outlineLevel="0" collapsed="false">
      <c r="A514" s="3" t="n">
        <v>2013</v>
      </c>
      <c r="B514" s="3" t="n">
        <v>5</v>
      </c>
      <c r="C514" s="3" t="n">
        <v>27</v>
      </c>
      <c r="D514" s="3" t="s">
        <v>518</v>
      </c>
      <c r="E514" s="4" t="n">
        <v>29</v>
      </c>
    </row>
    <row r="515" customFormat="false" ht="15" hidden="false" customHeight="false" outlineLevel="0" collapsed="false">
      <c r="A515" s="3" t="n">
        <v>2013</v>
      </c>
      <c r="B515" s="3" t="n">
        <v>5</v>
      </c>
      <c r="C515" s="3" t="n">
        <v>28</v>
      </c>
      <c r="D515" s="3" t="s">
        <v>519</v>
      </c>
      <c r="E515" s="4" t="n">
        <v>27</v>
      </c>
    </row>
    <row r="516" customFormat="false" ht="15" hidden="false" customHeight="false" outlineLevel="0" collapsed="false">
      <c r="A516" s="3" t="n">
        <v>2013</v>
      </c>
      <c r="B516" s="3" t="n">
        <v>5</v>
      </c>
      <c r="C516" s="3" t="n">
        <v>29</v>
      </c>
      <c r="D516" s="3" t="s">
        <v>520</v>
      </c>
      <c r="E516" s="4" t="n">
        <v>20</v>
      </c>
    </row>
    <row r="517" customFormat="false" ht="15" hidden="false" customHeight="false" outlineLevel="0" collapsed="false">
      <c r="A517" s="3" t="n">
        <v>2013</v>
      </c>
      <c r="B517" s="3" t="n">
        <v>5</v>
      </c>
      <c r="C517" s="3" t="n">
        <v>30</v>
      </c>
      <c r="D517" s="3" t="s">
        <v>521</v>
      </c>
      <c r="E517" s="4" t="n">
        <v>0</v>
      </c>
    </row>
    <row r="518" customFormat="false" ht="15" hidden="false" customHeight="false" outlineLevel="0" collapsed="false">
      <c r="A518" s="3" t="n">
        <v>2013</v>
      </c>
      <c r="B518" s="3" t="n">
        <v>5</v>
      </c>
      <c r="C518" s="3" t="n">
        <v>31</v>
      </c>
      <c r="D518" s="3" t="s">
        <v>522</v>
      </c>
      <c r="E518" s="4" t="n">
        <v>0</v>
      </c>
    </row>
    <row r="519" customFormat="false" ht="15" hidden="false" customHeight="false" outlineLevel="0" collapsed="false">
      <c r="A519" s="3" t="n">
        <v>2013</v>
      </c>
      <c r="B519" s="3" t="n">
        <v>6</v>
      </c>
      <c r="C519" s="3" t="n">
        <v>1</v>
      </c>
      <c r="D519" s="3" t="s">
        <v>523</v>
      </c>
      <c r="E519" s="4" t="n">
        <v>0</v>
      </c>
    </row>
    <row r="520" customFormat="false" ht="15" hidden="false" customHeight="false" outlineLevel="0" collapsed="false">
      <c r="A520" s="3" t="n">
        <v>2013</v>
      </c>
      <c r="B520" s="3" t="n">
        <v>6</v>
      </c>
      <c r="C520" s="3" t="n">
        <v>2</v>
      </c>
      <c r="D520" s="3" t="s">
        <v>524</v>
      </c>
      <c r="E520" s="4" t="n">
        <v>0</v>
      </c>
    </row>
    <row r="521" customFormat="false" ht="15" hidden="false" customHeight="false" outlineLevel="0" collapsed="false">
      <c r="A521" s="3" t="n">
        <v>2013</v>
      </c>
      <c r="B521" s="3" t="n">
        <v>6</v>
      </c>
      <c r="C521" s="3" t="n">
        <v>3</v>
      </c>
      <c r="D521" s="3" t="s">
        <v>525</v>
      </c>
      <c r="E521" s="4" t="n">
        <v>0</v>
      </c>
    </row>
    <row r="522" customFormat="false" ht="15" hidden="false" customHeight="false" outlineLevel="0" collapsed="false">
      <c r="A522" s="3" t="n">
        <v>2013</v>
      </c>
      <c r="B522" s="3" t="n">
        <v>6</v>
      </c>
      <c r="C522" s="3" t="n">
        <v>4</v>
      </c>
      <c r="D522" s="3" t="s">
        <v>526</v>
      </c>
      <c r="E522" s="4" t="n">
        <v>0</v>
      </c>
    </row>
    <row r="523" customFormat="false" ht="15" hidden="false" customHeight="false" outlineLevel="0" collapsed="false">
      <c r="A523" s="3" t="n">
        <v>2013</v>
      </c>
      <c r="B523" s="3" t="n">
        <v>6</v>
      </c>
      <c r="C523" s="3" t="n">
        <v>5</v>
      </c>
      <c r="D523" s="3" t="s">
        <v>527</v>
      </c>
      <c r="E523" s="4" t="n">
        <v>50</v>
      </c>
    </row>
    <row r="524" customFormat="false" ht="15" hidden="false" customHeight="false" outlineLevel="0" collapsed="false">
      <c r="A524" s="3" t="n">
        <v>2013</v>
      </c>
      <c r="B524" s="3" t="n">
        <v>6</v>
      </c>
      <c r="C524" s="3" t="n">
        <v>6</v>
      </c>
      <c r="D524" s="3" t="s">
        <v>528</v>
      </c>
      <c r="E524" s="4" t="n">
        <v>62</v>
      </c>
    </row>
    <row r="525" customFormat="false" ht="15" hidden="false" customHeight="false" outlineLevel="0" collapsed="false">
      <c r="A525" s="3" t="n">
        <v>2013</v>
      </c>
      <c r="B525" s="3" t="n">
        <v>6</v>
      </c>
      <c r="C525" s="3" t="n">
        <v>7</v>
      </c>
      <c r="D525" s="3" t="s">
        <v>529</v>
      </c>
      <c r="E525" s="4" t="n">
        <v>0</v>
      </c>
    </row>
    <row r="526" customFormat="false" ht="15" hidden="false" customHeight="false" outlineLevel="0" collapsed="false">
      <c r="A526" s="3" t="n">
        <v>2013</v>
      </c>
      <c r="B526" s="3" t="n">
        <v>6</v>
      </c>
      <c r="C526" s="3" t="n">
        <v>8</v>
      </c>
      <c r="D526" s="3" t="s">
        <v>530</v>
      </c>
      <c r="E526" s="4" t="n">
        <v>0</v>
      </c>
    </row>
    <row r="527" customFormat="false" ht="15" hidden="false" customHeight="false" outlineLevel="0" collapsed="false">
      <c r="A527" s="3" t="n">
        <v>2013</v>
      </c>
      <c r="B527" s="3" t="n">
        <v>6</v>
      </c>
      <c r="C527" s="3" t="n">
        <v>9</v>
      </c>
      <c r="D527" s="3" t="s">
        <v>531</v>
      </c>
      <c r="E527" s="4" t="n">
        <v>0</v>
      </c>
    </row>
    <row r="528" customFormat="false" ht="15" hidden="false" customHeight="false" outlineLevel="0" collapsed="false">
      <c r="A528" s="3" t="n">
        <v>2013</v>
      </c>
      <c r="B528" s="3" t="n">
        <v>6</v>
      </c>
      <c r="C528" s="3" t="n">
        <v>10</v>
      </c>
      <c r="D528" s="3" t="s">
        <v>532</v>
      </c>
      <c r="E528" s="4" t="n">
        <v>15</v>
      </c>
    </row>
    <row r="529" customFormat="false" ht="15" hidden="false" customHeight="false" outlineLevel="0" collapsed="false">
      <c r="A529" s="3" t="n">
        <v>2013</v>
      </c>
      <c r="B529" s="3" t="n">
        <v>6</v>
      </c>
      <c r="C529" s="3" t="n">
        <v>11</v>
      </c>
      <c r="D529" s="3" t="s">
        <v>533</v>
      </c>
      <c r="E529" s="4" t="n">
        <v>13</v>
      </c>
    </row>
    <row r="530" customFormat="false" ht="15" hidden="false" customHeight="false" outlineLevel="0" collapsed="false">
      <c r="A530" s="3" t="n">
        <v>2013</v>
      </c>
      <c r="B530" s="3" t="n">
        <v>6</v>
      </c>
      <c r="C530" s="3" t="n">
        <v>12</v>
      </c>
      <c r="D530" s="3" t="s">
        <v>534</v>
      </c>
      <c r="E530" s="4" t="n">
        <v>0</v>
      </c>
    </row>
    <row r="531" customFormat="false" ht="15" hidden="false" customHeight="false" outlineLevel="0" collapsed="false">
      <c r="A531" s="3" t="n">
        <v>2013</v>
      </c>
      <c r="B531" s="3" t="n">
        <v>6</v>
      </c>
      <c r="C531" s="3" t="n">
        <v>13</v>
      </c>
      <c r="D531" s="3" t="s">
        <v>535</v>
      </c>
      <c r="E531" s="4" t="n">
        <v>12</v>
      </c>
    </row>
    <row r="532" customFormat="false" ht="15" hidden="false" customHeight="false" outlineLevel="0" collapsed="false">
      <c r="A532" s="3" t="n">
        <v>2013</v>
      </c>
      <c r="B532" s="3" t="n">
        <v>6</v>
      </c>
      <c r="C532" s="3" t="n">
        <v>14</v>
      </c>
      <c r="D532" s="3" t="s">
        <v>536</v>
      </c>
      <c r="E532" s="4" t="n">
        <v>20</v>
      </c>
    </row>
    <row r="533" customFormat="false" ht="15" hidden="false" customHeight="false" outlineLevel="0" collapsed="false">
      <c r="A533" s="3" t="n">
        <v>2013</v>
      </c>
      <c r="B533" s="3" t="n">
        <v>6</v>
      </c>
      <c r="C533" s="3" t="n">
        <v>15</v>
      </c>
      <c r="D533" s="3" t="s">
        <v>537</v>
      </c>
      <c r="E533" s="4" t="n">
        <v>0</v>
      </c>
    </row>
    <row r="534" customFormat="false" ht="15" hidden="false" customHeight="false" outlineLevel="0" collapsed="false">
      <c r="A534" s="3" t="n">
        <v>2013</v>
      </c>
      <c r="B534" s="3" t="n">
        <v>6</v>
      </c>
      <c r="C534" s="3" t="n">
        <v>16</v>
      </c>
      <c r="D534" s="3" t="s">
        <v>538</v>
      </c>
      <c r="E534" s="4" t="n">
        <v>0</v>
      </c>
    </row>
    <row r="535" customFormat="false" ht="15" hidden="false" customHeight="false" outlineLevel="0" collapsed="false">
      <c r="A535" s="3" t="n">
        <v>2013</v>
      </c>
      <c r="B535" s="3" t="n">
        <v>6</v>
      </c>
      <c r="C535" s="3" t="n">
        <v>17</v>
      </c>
      <c r="D535" s="3" t="s">
        <v>539</v>
      </c>
      <c r="E535" s="4" t="n">
        <v>0</v>
      </c>
    </row>
    <row r="536" customFormat="false" ht="15" hidden="false" customHeight="false" outlineLevel="0" collapsed="false">
      <c r="A536" s="3" t="n">
        <v>2013</v>
      </c>
      <c r="B536" s="3" t="n">
        <v>6</v>
      </c>
      <c r="C536" s="3" t="n">
        <v>18</v>
      </c>
      <c r="D536" s="3" t="s">
        <v>540</v>
      </c>
      <c r="E536" s="4" t="n">
        <v>15</v>
      </c>
    </row>
    <row r="537" customFormat="false" ht="15" hidden="false" customHeight="false" outlineLevel="0" collapsed="false">
      <c r="A537" s="3" t="n">
        <v>2013</v>
      </c>
      <c r="B537" s="3" t="n">
        <v>6</v>
      </c>
      <c r="C537" s="3" t="n">
        <v>19</v>
      </c>
      <c r="D537" s="3" t="s">
        <v>541</v>
      </c>
      <c r="E537" s="4" t="n">
        <v>0</v>
      </c>
    </row>
    <row r="538" customFormat="false" ht="15" hidden="false" customHeight="false" outlineLevel="0" collapsed="false">
      <c r="A538" s="3" t="n">
        <v>2013</v>
      </c>
      <c r="B538" s="3" t="n">
        <v>6</v>
      </c>
      <c r="C538" s="3" t="n">
        <v>20</v>
      </c>
      <c r="D538" s="3" t="s">
        <v>542</v>
      </c>
      <c r="E538" s="4" t="n">
        <v>0</v>
      </c>
    </row>
    <row r="539" customFormat="false" ht="15" hidden="false" customHeight="false" outlineLevel="0" collapsed="false">
      <c r="A539" s="3" t="n">
        <v>2013</v>
      </c>
      <c r="B539" s="3" t="n">
        <v>6</v>
      </c>
      <c r="C539" s="3" t="n">
        <v>21</v>
      </c>
      <c r="D539" s="3" t="s">
        <v>543</v>
      </c>
      <c r="E539" s="4" t="n">
        <v>0</v>
      </c>
    </row>
    <row r="540" customFormat="false" ht="15" hidden="false" customHeight="false" outlineLevel="0" collapsed="false">
      <c r="A540" s="3" t="n">
        <v>2013</v>
      </c>
      <c r="B540" s="3" t="n">
        <v>6</v>
      </c>
      <c r="C540" s="3" t="n">
        <v>22</v>
      </c>
      <c r="D540" s="3" t="s">
        <v>544</v>
      </c>
      <c r="E540" s="4" t="n">
        <v>0</v>
      </c>
    </row>
    <row r="541" customFormat="false" ht="15" hidden="false" customHeight="false" outlineLevel="0" collapsed="false">
      <c r="A541" s="3" t="n">
        <v>2013</v>
      </c>
      <c r="B541" s="3" t="n">
        <v>6</v>
      </c>
      <c r="C541" s="3" t="n">
        <v>23</v>
      </c>
      <c r="D541" s="3" t="s">
        <v>545</v>
      </c>
      <c r="E541" s="4" t="n">
        <v>0</v>
      </c>
    </row>
    <row r="542" customFormat="false" ht="15" hidden="false" customHeight="false" outlineLevel="0" collapsed="false">
      <c r="A542" s="3" t="n">
        <v>2013</v>
      </c>
      <c r="B542" s="3" t="n">
        <v>6</v>
      </c>
      <c r="C542" s="3" t="n">
        <v>24</v>
      </c>
      <c r="D542" s="3" t="s">
        <v>546</v>
      </c>
      <c r="E542" s="4" t="n">
        <v>0</v>
      </c>
    </row>
    <row r="543" customFormat="false" ht="15" hidden="false" customHeight="false" outlineLevel="0" collapsed="false">
      <c r="A543" s="3" t="n">
        <v>2013</v>
      </c>
      <c r="B543" s="3" t="n">
        <v>6</v>
      </c>
      <c r="C543" s="3" t="n">
        <v>25</v>
      </c>
      <c r="D543" s="3" t="s">
        <v>547</v>
      </c>
      <c r="E543" s="4" t="n">
        <v>0</v>
      </c>
    </row>
    <row r="544" customFormat="false" ht="15" hidden="false" customHeight="false" outlineLevel="0" collapsed="false">
      <c r="A544" s="3" t="n">
        <v>2013</v>
      </c>
      <c r="B544" s="3" t="n">
        <v>6</v>
      </c>
      <c r="C544" s="3" t="n">
        <v>26</v>
      </c>
      <c r="D544" s="3" t="s">
        <v>548</v>
      </c>
      <c r="E544" s="4" t="n">
        <v>0</v>
      </c>
    </row>
    <row r="545" customFormat="false" ht="15" hidden="false" customHeight="false" outlineLevel="0" collapsed="false">
      <c r="A545" s="3" t="n">
        <v>2013</v>
      </c>
      <c r="B545" s="3" t="n">
        <v>6</v>
      </c>
      <c r="C545" s="3" t="n">
        <v>27</v>
      </c>
      <c r="D545" s="3" t="s">
        <v>549</v>
      </c>
      <c r="E545" s="4" t="n">
        <v>0</v>
      </c>
    </row>
    <row r="546" customFormat="false" ht="15" hidden="false" customHeight="false" outlineLevel="0" collapsed="false">
      <c r="A546" s="3" t="n">
        <v>2013</v>
      </c>
      <c r="B546" s="3" t="n">
        <v>6</v>
      </c>
      <c r="C546" s="3" t="n">
        <v>28</v>
      </c>
      <c r="D546" s="3" t="s">
        <v>550</v>
      </c>
      <c r="E546" s="4" t="n">
        <v>0</v>
      </c>
    </row>
    <row r="547" customFormat="false" ht="15" hidden="false" customHeight="false" outlineLevel="0" collapsed="false">
      <c r="A547" s="3" t="n">
        <v>2013</v>
      </c>
      <c r="B547" s="3" t="n">
        <v>6</v>
      </c>
      <c r="C547" s="3" t="n">
        <v>29</v>
      </c>
      <c r="D547" s="3" t="s">
        <v>551</v>
      </c>
      <c r="E547" s="4" t="n">
        <v>0</v>
      </c>
    </row>
    <row r="548" customFormat="false" ht="15" hidden="false" customHeight="false" outlineLevel="0" collapsed="false">
      <c r="A548" s="3" t="n">
        <v>2013</v>
      </c>
      <c r="B548" s="3" t="n">
        <v>6</v>
      </c>
      <c r="C548" s="3" t="n">
        <v>30</v>
      </c>
      <c r="D548" s="3" t="s">
        <v>552</v>
      </c>
      <c r="E548" s="4" t="n">
        <v>25</v>
      </c>
    </row>
    <row r="549" customFormat="false" ht="15" hidden="false" customHeight="false" outlineLevel="0" collapsed="false">
      <c r="A549" s="3" t="n">
        <v>2013</v>
      </c>
      <c r="B549" s="3" t="n">
        <v>7</v>
      </c>
      <c r="C549" s="3" t="n">
        <v>1</v>
      </c>
      <c r="D549" s="3" t="s">
        <v>553</v>
      </c>
      <c r="E549" s="4" t="n">
        <v>7</v>
      </c>
    </row>
    <row r="550" customFormat="false" ht="15" hidden="false" customHeight="false" outlineLevel="0" collapsed="false">
      <c r="A550" s="3" t="n">
        <v>2013</v>
      </c>
      <c r="B550" s="3" t="n">
        <v>7</v>
      </c>
      <c r="C550" s="3" t="n">
        <v>2</v>
      </c>
      <c r="D550" s="3" t="s">
        <v>554</v>
      </c>
      <c r="E550" s="4" t="n">
        <v>20</v>
      </c>
    </row>
    <row r="551" customFormat="false" ht="15" hidden="false" customHeight="false" outlineLevel="0" collapsed="false">
      <c r="A551" s="3" t="n">
        <v>2013</v>
      </c>
      <c r="B551" s="3" t="n">
        <v>7</v>
      </c>
      <c r="C551" s="3" t="n">
        <v>3</v>
      </c>
      <c r="D551" s="3" t="s">
        <v>555</v>
      </c>
      <c r="E551" s="4" t="n">
        <v>20</v>
      </c>
    </row>
    <row r="552" customFormat="false" ht="15" hidden="false" customHeight="false" outlineLevel="0" collapsed="false">
      <c r="A552" s="3" t="n">
        <v>2013</v>
      </c>
      <c r="B552" s="3" t="n">
        <v>7</v>
      </c>
      <c r="C552" s="3" t="n">
        <v>4</v>
      </c>
      <c r="D552" s="3" t="s">
        <v>556</v>
      </c>
      <c r="E552" s="4" t="n">
        <v>14</v>
      </c>
    </row>
    <row r="553" customFormat="false" ht="15" hidden="false" customHeight="false" outlineLevel="0" collapsed="false">
      <c r="A553" s="3" t="n">
        <v>2013</v>
      </c>
      <c r="B553" s="3" t="n">
        <v>7</v>
      </c>
      <c r="C553" s="3" t="n">
        <v>5</v>
      </c>
      <c r="D553" s="3" t="s">
        <v>557</v>
      </c>
      <c r="E553" s="4" t="n">
        <v>0</v>
      </c>
    </row>
    <row r="554" customFormat="false" ht="15" hidden="false" customHeight="false" outlineLevel="0" collapsed="false">
      <c r="A554" s="3" t="n">
        <v>2013</v>
      </c>
      <c r="B554" s="3" t="n">
        <v>7</v>
      </c>
      <c r="C554" s="3" t="n">
        <v>6</v>
      </c>
      <c r="D554" s="3" t="s">
        <v>558</v>
      </c>
      <c r="E554" s="4" t="n">
        <v>45</v>
      </c>
    </row>
    <row r="555" customFormat="false" ht="15" hidden="false" customHeight="false" outlineLevel="0" collapsed="false">
      <c r="A555" s="3" t="n">
        <v>2013</v>
      </c>
      <c r="B555" s="3" t="n">
        <v>7</v>
      </c>
      <c r="C555" s="3" t="n">
        <v>7</v>
      </c>
      <c r="D555" s="3" t="s">
        <v>559</v>
      </c>
      <c r="E555" s="4" t="n">
        <v>0</v>
      </c>
    </row>
    <row r="556" customFormat="false" ht="15" hidden="false" customHeight="false" outlineLevel="0" collapsed="false">
      <c r="A556" s="3" t="n">
        <v>2013</v>
      </c>
      <c r="B556" s="3" t="n">
        <v>7</v>
      </c>
      <c r="C556" s="3" t="n">
        <v>8</v>
      </c>
      <c r="D556" s="3" t="s">
        <v>560</v>
      </c>
      <c r="E556" s="4" t="n">
        <v>0</v>
      </c>
    </row>
    <row r="557" customFormat="false" ht="15" hidden="false" customHeight="false" outlineLevel="0" collapsed="false">
      <c r="A557" s="3" t="n">
        <v>2013</v>
      </c>
      <c r="B557" s="3" t="n">
        <v>7</v>
      </c>
      <c r="C557" s="3" t="n">
        <v>9</v>
      </c>
      <c r="D557" s="3" t="s">
        <v>561</v>
      </c>
      <c r="E557" s="4" t="n">
        <v>56</v>
      </c>
    </row>
    <row r="558" customFormat="false" ht="15" hidden="false" customHeight="false" outlineLevel="0" collapsed="false">
      <c r="A558" s="3" t="n">
        <v>2013</v>
      </c>
      <c r="B558" s="3" t="n">
        <v>7</v>
      </c>
      <c r="C558" s="3" t="n">
        <v>10</v>
      </c>
      <c r="D558" s="3" t="s">
        <v>562</v>
      </c>
      <c r="E558" s="4" t="n">
        <v>5</v>
      </c>
    </row>
    <row r="559" customFormat="false" ht="15" hidden="false" customHeight="false" outlineLevel="0" collapsed="false">
      <c r="A559" s="3" t="n">
        <v>2013</v>
      </c>
      <c r="B559" s="3" t="n">
        <v>7</v>
      </c>
      <c r="C559" s="3" t="n">
        <v>11</v>
      </c>
      <c r="D559" s="3" t="s">
        <v>563</v>
      </c>
      <c r="E559" s="4" t="n">
        <v>0</v>
      </c>
    </row>
    <row r="560" customFormat="false" ht="15" hidden="false" customHeight="false" outlineLevel="0" collapsed="false">
      <c r="A560" s="3" t="n">
        <v>2013</v>
      </c>
      <c r="B560" s="3" t="n">
        <v>7</v>
      </c>
      <c r="C560" s="3" t="n">
        <v>12</v>
      </c>
      <c r="D560" s="3" t="s">
        <v>564</v>
      </c>
      <c r="E560" s="4" t="n">
        <v>13</v>
      </c>
    </row>
    <row r="561" customFormat="false" ht="15" hidden="false" customHeight="false" outlineLevel="0" collapsed="false">
      <c r="A561" s="3" t="n">
        <v>2013</v>
      </c>
      <c r="B561" s="3" t="n">
        <v>7</v>
      </c>
      <c r="C561" s="3" t="n">
        <v>13</v>
      </c>
      <c r="D561" s="3" t="s">
        <v>565</v>
      </c>
      <c r="E561" s="4" t="n">
        <v>20</v>
      </c>
    </row>
    <row r="562" customFormat="false" ht="15" hidden="false" customHeight="false" outlineLevel="0" collapsed="false">
      <c r="A562" s="3" t="n">
        <v>2013</v>
      </c>
      <c r="B562" s="3" t="n">
        <v>7</v>
      </c>
      <c r="C562" s="3" t="n">
        <v>14</v>
      </c>
      <c r="D562" s="3" t="s">
        <v>566</v>
      </c>
      <c r="E562" s="4" t="n">
        <v>26</v>
      </c>
    </row>
    <row r="563" customFormat="false" ht="15" hidden="false" customHeight="false" outlineLevel="0" collapsed="false">
      <c r="A563" s="3" t="n">
        <v>2013</v>
      </c>
      <c r="B563" s="3" t="n">
        <v>7</v>
      </c>
      <c r="C563" s="3" t="n">
        <v>15</v>
      </c>
      <c r="D563" s="3" t="s">
        <v>567</v>
      </c>
      <c r="E563" s="4" t="n">
        <v>0</v>
      </c>
    </row>
    <row r="564" customFormat="false" ht="15" hidden="false" customHeight="false" outlineLevel="0" collapsed="false">
      <c r="A564" s="3" t="n">
        <v>2013</v>
      </c>
      <c r="B564" s="3" t="n">
        <v>7</v>
      </c>
      <c r="C564" s="3" t="n">
        <v>16</v>
      </c>
      <c r="D564" s="3" t="s">
        <v>568</v>
      </c>
      <c r="E564" s="4" t="n">
        <v>6</v>
      </c>
    </row>
    <row r="565" customFormat="false" ht="15" hidden="false" customHeight="false" outlineLevel="0" collapsed="false">
      <c r="A565" s="3" t="n">
        <v>2013</v>
      </c>
      <c r="B565" s="3" t="n">
        <v>7</v>
      </c>
      <c r="C565" s="3" t="n">
        <v>17</v>
      </c>
      <c r="D565" s="3" t="s">
        <v>569</v>
      </c>
      <c r="E565" s="4" t="n">
        <v>6</v>
      </c>
    </row>
    <row r="566" customFormat="false" ht="15" hidden="false" customHeight="false" outlineLevel="0" collapsed="false">
      <c r="A566" s="3" t="n">
        <v>2013</v>
      </c>
      <c r="B566" s="3" t="n">
        <v>7</v>
      </c>
      <c r="C566" s="3" t="n">
        <v>18</v>
      </c>
      <c r="D566" s="3" t="s">
        <v>570</v>
      </c>
      <c r="E566" s="4" t="n">
        <v>50</v>
      </c>
    </row>
    <row r="567" customFormat="false" ht="15" hidden="false" customHeight="false" outlineLevel="0" collapsed="false">
      <c r="A567" s="3" t="n">
        <v>2013</v>
      </c>
      <c r="B567" s="3" t="n">
        <v>7</v>
      </c>
      <c r="C567" s="3" t="n">
        <v>19</v>
      </c>
      <c r="D567" s="3" t="s">
        <v>571</v>
      </c>
      <c r="E567" s="4" t="n">
        <v>0</v>
      </c>
    </row>
    <row r="568" customFormat="false" ht="15" hidden="false" customHeight="false" outlineLevel="0" collapsed="false">
      <c r="A568" s="3" t="n">
        <v>2013</v>
      </c>
      <c r="B568" s="3" t="n">
        <v>7</v>
      </c>
      <c r="C568" s="3" t="n">
        <v>20</v>
      </c>
      <c r="D568" s="3" t="s">
        <v>572</v>
      </c>
      <c r="E568" s="4" t="n">
        <v>0</v>
      </c>
    </row>
    <row r="569" customFormat="false" ht="15" hidden="false" customHeight="false" outlineLevel="0" collapsed="false">
      <c r="A569" s="3" t="n">
        <v>2013</v>
      </c>
      <c r="B569" s="3" t="n">
        <v>7</v>
      </c>
      <c r="C569" s="3" t="n">
        <v>21</v>
      </c>
      <c r="D569" s="3" t="s">
        <v>573</v>
      </c>
      <c r="E569" s="4" t="n">
        <v>0</v>
      </c>
    </row>
    <row r="570" customFormat="false" ht="15" hidden="false" customHeight="false" outlineLevel="0" collapsed="false">
      <c r="A570" s="3" t="n">
        <v>2013</v>
      </c>
      <c r="B570" s="3" t="n">
        <v>7</v>
      </c>
      <c r="C570" s="3" t="n">
        <v>22</v>
      </c>
      <c r="D570" s="3" t="s">
        <v>574</v>
      </c>
      <c r="E570" s="4" t="n">
        <v>0</v>
      </c>
    </row>
    <row r="571" customFormat="false" ht="15" hidden="false" customHeight="false" outlineLevel="0" collapsed="false">
      <c r="A571" s="3" t="n">
        <v>2013</v>
      </c>
      <c r="B571" s="3" t="n">
        <v>7</v>
      </c>
      <c r="C571" s="3" t="n">
        <v>23</v>
      </c>
      <c r="D571" s="3" t="s">
        <v>575</v>
      </c>
      <c r="E571" s="4" t="n">
        <v>0</v>
      </c>
    </row>
    <row r="572" customFormat="false" ht="15" hidden="false" customHeight="false" outlineLevel="0" collapsed="false">
      <c r="A572" s="3" t="n">
        <v>2013</v>
      </c>
      <c r="B572" s="3" t="n">
        <v>7</v>
      </c>
      <c r="C572" s="3" t="n">
        <v>24</v>
      </c>
      <c r="D572" s="3" t="s">
        <v>576</v>
      </c>
      <c r="E572" s="4" t="n">
        <v>0</v>
      </c>
    </row>
    <row r="573" customFormat="false" ht="15" hidden="false" customHeight="false" outlineLevel="0" collapsed="false">
      <c r="A573" s="3" t="n">
        <v>2013</v>
      </c>
      <c r="B573" s="3" t="n">
        <v>7</v>
      </c>
      <c r="C573" s="3" t="n">
        <v>25</v>
      </c>
      <c r="D573" s="3" t="s">
        <v>577</v>
      </c>
      <c r="E573" s="4" t="n">
        <v>11</v>
      </c>
    </row>
    <row r="574" customFormat="false" ht="15" hidden="false" customHeight="false" outlineLevel="0" collapsed="false">
      <c r="A574" s="3" t="n">
        <v>2013</v>
      </c>
      <c r="B574" s="3" t="n">
        <v>7</v>
      </c>
      <c r="C574" s="3" t="n">
        <v>26</v>
      </c>
      <c r="D574" s="3" t="s">
        <v>578</v>
      </c>
      <c r="E574" s="4" t="n">
        <v>0</v>
      </c>
    </row>
    <row r="575" customFormat="false" ht="15" hidden="false" customHeight="false" outlineLevel="0" collapsed="false">
      <c r="A575" s="3" t="n">
        <v>2013</v>
      </c>
      <c r="B575" s="3" t="n">
        <v>7</v>
      </c>
      <c r="C575" s="3" t="n">
        <v>27</v>
      </c>
      <c r="D575" s="3" t="s">
        <v>579</v>
      </c>
      <c r="E575" s="4" t="n">
        <v>0</v>
      </c>
    </row>
    <row r="576" customFormat="false" ht="15" hidden="false" customHeight="false" outlineLevel="0" collapsed="false">
      <c r="A576" s="3" t="n">
        <v>2013</v>
      </c>
      <c r="B576" s="3" t="n">
        <v>7</v>
      </c>
      <c r="C576" s="3" t="n">
        <v>28</v>
      </c>
      <c r="D576" s="3" t="s">
        <v>580</v>
      </c>
      <c r="E576" s="4" t="n">
        <v>0</v>
      </c>
    </row>
    <row r="577" customFormat="false" ht="15" hidden="false" customHeight="false" outlineLevel="0" collapsed="false">
      <c r="A577" s="3" t="n">
        <v>2013</v>
      </c>
      <c r="B577" s="3" t="n">
        <v>7</v>
      </c>
      <c r="C577" s="3" t="n">
        <v>29</v>
      </c>
      <c r="D577" s="3" t="s">
        <v>581</v>
      </c>
      <c r="E577" s="4" t="n">
        <v>0</v>
      </c>
    </row>
    <row r="578" customFormat="false" ht="15" hidden="false" customHeight="false" outlineLevel="0" collapsed="false">
      <c r="A578" s="3" t="n">
        <v>2013</v>
      </c>
      <c r="B578" s="3" t="n">
        <v>7</v>
      </c>
      <c r="C578" s="3" t="n">
        <v>30</v>
      </c>
      <c r="D578" s="3" t="s">
        <v>582</v>
      </c>
      <c r="E578" s="4" t="n">
        <v>21</v>
      </c>
    </row>
    <row r="579" customFormat="false" ht="15" hidden="false" customHeight="false" outlineLevel="0" collapsed="false">
      <c r="A579" s="3" t="n">
        <v>2013</v>
      </c>
      <c r="B579" s="3" t="n">
        <v>7</v>
      </c>
      <c r="C579" s="3" t="n">
        <v>31</v>
      </c>
      <c r="D579" s="3" t="s">
        <v>583</v>
      </c>
      <c r="E579" s="4" t="n">
        <v>0</v>
      </c>
    </row>
    <row r="580" customFormat="false" ht="15" hidden="false" customHeight="false" outlineLevel="0" collapsed="false">
      <c r="A580" s="3" t="n">
        <v>2013</v>
      </c>
      <c r="B580" s="3" t="n">
        <v>8</v>
      </c>
      <c r="C580" s="3" t="n">
        <v>1</v>
      </c>
      <c r="D580" s="3" t="s">
        <v>584</v>
      </c>
      <c r="E580" s="4" t="n">
        <v>0</v>
      </c>
    </row>
    <row r="581" customFormat="false" ht="15" hidden="false" customHeight="false" outlineLevel="0" collapsed="false">
      <c r="A581" s="3" t="n">
        <v>2013</v>
      </c>
      <c r="B581" s="3" t="n">
        <v>8</v>
      </c>
      <c r="C581" s="3" t="n">
        <v>2</v>
      </c>
      <c r="D581" s="3" t="s">
        <v>585</v>
      </c>
      <c r="E581" s="4" t="n">
        <v>0</v>
      </c>
    </row>
    <row r="582" customFormat="false" ht="15" hidden="false" customHeight="false" outlineLevel="0" collapsed="false">
      <c r="A582" s="3" t="n">
        <v>2013</v>
      </c>
      <c r="B582" s="3" t="n">
        <v>8</v>
      </c>
      <c r="C582" s="3" t="n">
        <v>3</v>
      </c>
      <c r="D582" s="3" t="s">
        <v>586</v>
      </c>
      <c r="E582" s="4" t="n">
        <v>17</v>
      </c>
    </row>
    <row r="583" customFormat="false" ht="15" hidden="false" customHeight="false" outlineLevel="0" collapsed="false">
      <c r="A583" s="3" t="n">
        <v>2013</v>
      </c>
      <c r="B583" s="3" t="n">
        <v>8</v>
      </c>
      <c r="C583" s="3" t="n">
        <v>4</v>
      </c>
      <c r="D583" s="3" t="s">
        <v>587</v>
      </c>
      <c r="E583" s="4" t="n">
        <v>3</v>
      </c>
    </row>
    <row r="584" customFormat="false" ht="15" hidden="false" customHeight="false" outlineLevel="0" collapsed="false">
      <c r="A584" s="3" t="n">
        <v>2013</v>
      </c>
      <c r="B584" s="3" t="n">
        <v>8</v>
      </c>
      <c r="C584" s="3" t="n">
        <v>5</v>
      </c>
      <c r="D584" s="3" t="s">
        <v>588</v>
      </c>
      <c r="E584" s="4" t="n">
        <v>0</v>
      </c>
    </row>
    <row r="585" customFormat="false" ht="15" hidden="false" customHeight="false" outlineLevel="0" collapsed="false">
      <c r="A585" s="3" t="n">
        <v>2013</v>
      </c>
      <c r="B585" s="3" t="n">
        <v>8</v>
      </c>
      <c r="C585" s="3" t="n">
        <v>6</v>
      </c>
      <c r="D585" s="3" t="s">
        <v>589</v>
      </c>
      <c r="E585" s="4" t="n">
        <v>0</v>
      </c>
    </row>
    <row r="586" customFormat="false" ht="15" hidden="false" customHeight="false" outlineLevel="0" collapsed="false">
      <c r="A586" s="3" t="n">
        <v>2013</v>
      </c>
      <c r="B586" s="3" t="n">
        <v>8</v>
      </c>
      <c r="C586" s="3" t="n">
        <v>7</v>
      </c>
      <c r="D586" s="3" t="s">
        <v>590</v>
      </c>
      <c r="E586" s="4" t="n">
        <v>29</v>
      </c>
    </row>
    <row r="587" customFormat="false" ht="15" hidden="false" customHeight="false" outlineLevel="0" collapsed="false">
      <c r="A587" s="3" t="n">
        <v>2013</v>
      </c>
      <c r="B587" s="3" t="n">
        <v>8</v>
      </c>
      <c r="C587" s="3" t="n">
        <v>8</v>
      </c>
      <c r="D587" s="3" t="s">
        <v>591</v>
      </c>
      <c r="E587" s="4" t="n">
        <v>0</v>
      </c>
    </row>
    <row r="588" customFormat="false" ht="15" hidden="false" customHeight="false" outlineLevel="0" collapsed="false">
      <c r="A588" s="3" t="n">
        <v>2013</v>
      </c>
      <c r="B588" s="3" t="n">
        <v>8</v>
      </c>
      <c r="C588" s="3" t="n">
        <v>9</v>
      </c>
      <c r="D588" s="3" t="s">
        <v>592</v>
      </c>
      <c r="E588" s="4" t="n">
        <v>29</v>
      </c>
    </row>
    <row r="589" customFormat="false" ht="15" hidden="false" customHeight="false" outlineLevel="0" collapsed="false">
      <c r="A589" s="3" t="n">
        <v>2013</v>
      </c>
      <c r="B589" s="3" t="n">
        <v>8</v>
      </c>
      <c r="C589" s="3" t="n">
        <v>10</v>
      </c>
      <c r="D589" s="3" t="s">
        <v>593</v>
      </c>
      <c r="E589" s="4" t="n">
        <v>0</v>
      </c>
    </row>
    <row r="590" customFormat="false" ht="15" hidden="false" customHeight="false" outlineLevel="0" collapsed="false">
      <c r="A590" s="3" t="n">
        <v>2013</v>
      </c>
      <c r="B590" s="3" t="n">
        <v>8</v>
      </c>
      <c r="C590" s="3" t="n">
        <v>11</v>
      </c>
      <c r="D590" s="3" t="s">
        <v>594</v>
      </c>
      <c r="E590" s="4" t="n">
        <v>28</v>
      </c>
    </row>
    <row r="591" customFormat="false" ht="15" hidden="false" customHeight="false" outlineLevel="0" collapsed="false">
      <c r="A591" s="3" t="n">
        <v>2013</v>
      </c>
      <c r="B591" s="3" t="n">
        <v>8</v>
      </c>
      <c r="C591" s="3" t="n">
        <v>12</v>
      </c>
      <c r="D591" s="3" t="s">
        <v>595</v>
      </c>
      <c r="E591" s="4" t="n">
        <v>3</v>
      </c>
    </row>
    <row r="592" customFormat="false" ht="15" hidden="false" customHeight="false" outlineLevel="0" collapsed="false">
      <c r="A592" s="3" t="n">
        <v>2013</v>
      </c>
      <c r="B592" s="3" t="n">
        <v>8</v>
      </c>
      <c r="C592" s="3" t="n">
        <v>13</v>
      </c>
      <c r="D592" s="3" t="s">
        <v>596</v>
      </c>
      <c r="E592" s="4" t="n">
        <v>0</v>
      </c>
    </row>
    <row r="593" customFormat="false" ht="15" hidden="false" customHeight="false" outlineLevel="0" collapsed="false">
      <c r="A593" s="3" t="n">
        <v>2013</v>
      </c>
      <c r="B593" s="3" t="n">
        <v>8</v>
      </c>
      <c r="C593" s="3" t="n">
        <v>14</v>
      </c>
      <c r="D593" s="3" t="s">
        <v>597</v>
      </c>
      <c r="E593" s="4" t="n">
        <v>0</v>
      </c>
    </row>
    <row r="594" customFormat="false" ht="15" hidden="false" customHeight="false" outlineLevel="0" collapsed="false">
      <c r="A594" s="3" t="n">
        <v>2013</v>
      </c>
      <c r="B594" s="3" t="n">
        <v>8</v>
      </c>
      <c r="C594" s="3" t="n">
        <v>15</v>
      </c>
      <c r="D594" s="3" t="s">
        <v>598</v>
      </c>
      <c r="E594" s="4" t="n">
        <v>0</v>
      </c>
    </row>
    <row r="595" customFormat="false" ht="15" hidden="false" customHeight="false" outlineLevel="0" collapsed="false">
      <c r="A595" s="3" t="n">
        <v>2013</v>
      </c>
      <c r="B595" s="3" t="n">
        <v>8</v>
      </c>
      <c r="C595" s="3" t="n">
        <v>16</v>
      </c>
      <c r="D595" s="3" t="s">
        <v>599</v>
      </c>
      <c r="E595" s="4" t="n">
        <v>6</v>
      </c>
    </row>
    <row r="596" customFormat="false" ht="15" hidden="false" customHeight="false" outlineLevel="0" collapsed="false">
      <c r="A596" s="3" t="n">
        <v>2013</v>
      </c>
      <c r="B596" s="3" t="n">
        <v>8</v>
      </c>
      <c r="C596" s="3" t="n">
        <v>17</v>
      </c>
      <c r="D596" s="3" t="s">
        <v>600</v>
      </c>
      <c r="E596" s="4" t="n">
        <v>0</v>
      </c>
    </row>
    <row r="597" customFormat="false" ht="15" hidden="false" customHeight="false" outlineLevel="0" collapsed="false">
      <c r="A597" s="3" t="n">
        <v>2013</v>
      </c>
      <c r="B597" s="3" t="n">
        <v>8</v>
      </c>
      <c r="C597" s="3" t="n">
        <v>18</v>
      </c>
      <c r="D597" s="3" t="s">
        <v>601</v>
      </c>
      <c r="E597" s="4" t="n">
        <v>0</v>
      </c>
    </row>
    <row r="598" customFormat="false" ht="15" hidden="false" customHeight="false" outlineLevel="0" collapsed="false">
      <c r="A598" s="3" t="n">
        <v>2013</v>
      </c>
      <c r="B598" s="3" t="n">
        <v>8</v>
      </c>
      <c r="C598" s="3" t="n">
        <v>19</v>
      </c>
      <c r="D598" s="3" t="s">
        <v>602</v>
      </c>
      <c r="E598" s="4" t="n">
        <v>0</v>
      </c>
    </row>
    <row r="599" customFormat="false" ht="15" hidden="false" customHeight="false" outlineLevel="0" collapsed="false">
      <c r="A599" s="3" t="n">
        <v>2013</v>
      </c>
      <c r="B599" s="3" t="n">
        <v>8</v>
      </c>
      <c r="C599" s="3" t="n">
        <v>20</v>
      </c>
      <c r="D599" s="3" t="s">
        <v>603</v>
      </c>
      <c r="E599" s="4" t="n">
        <v>0</v>
      </c>
    </row>
    <row r="600" customFormat="false" ht="15" hidden="false" customHeight="false" outlineLevel="0" collapsed="false">
      <c r="A600" s="3" t="n">
        <v>2013</v>
      </c>
      <c r="B600" s="3" t="n">
        <v>8</v>
      </c>
      <c r="C600" s="3" t="n">
        <v>21</v>
      </c>
      <c r="D600" s="3" t="s">
        <v>604</v>
      </c>
      <c r="E600" s="4" t="n">
        <v>0</v>
      </c>
    </row>
    <row r="601" customFormat="false" ht="15" hidden="false" customHeight="false" outlineLevel="0" collapsed="false">
      <c r="A601" s="3" t="n">
        <v>2013</v>
      </c>
      <c r="B601" s="3" t="n">
        <v>8</v>
      </c>
      <c r="C601" s="3" t="n">
        <v>22</v>
      </c>
      <c r="D601" s="3" t="s">
        <v>605</v>
      </c>
      <c r="E601" s="4" t="n">
        <v>0</v>
      </c>
    </row>
    <row r="602" customFormat="false" ht="15" hidden="false" customHeight="false" outlineLevel="0" collapsed="false">
      <c r="A602" s="3" t="n">
        <v>2013</v>
      </c>
      <c r="B602" s="3" t="n">
        <v>8</v>
      </c>
      <c r="C602" s="3" t="n">
        <v>23</v>
      </c>
      <c r="D602" s="3" t="s">
        <v>606</v>
      </c>
      <c r="E602" s="4" t="n">
        <v>0</v>
      </c>
    </row>
    <row r="603" customFormat="false" ht="15" hidden="false" customHeight="false" outlineLevel="0" collapsed="false">
      <c r="A603" s="3" t="n">
        <v>2013</v>
      </c>
      <c r="B603" s="3" t="n">
        <v>8</v>
      </c>
      <c r="C603" s="3" t="n">
        <v>24</v>
      </c>
      <c r="D603" s="3" t="s">
        <v>607</v>
      </c>
      <c r="E603" s="4" t="n">
        <v>20</v>
      </c>
    </row>
    <row r="604" customFormat="false" ht="15" hidden="false" customHeight="false" outlineLevel="0" collapsed="false">
      <c r="A604" s="3" t="n">
        <v>2013</v>
      </c>
      <c r="B604" s="3" t="n">
        <v>8</v>
      </c>
      <c r="C604" s="3" t="n">
        <v>25</v>
      </c>
      <c r="D604" s="3" t="s">
        <v>608</v>
      </c>
      <c r="E604" s="4" t="n">
        <v>0</v>
      </c>
    </row>
    <row r="605" customFormat="false" ht="15" hidden="false" customHeight="false" outlineLevel="0" collapsed="false">
      <c r="A605" s="3" t="n">
        <v>2013</v>
      </c>
      <c r="B605" s="3" t="n">
        <v>8</v>
      </c>
      <c r="C605" s="3" t="n">
        <v>26</v>
      </c>
      <c r="D605" s="3" t="s">
        <v>609</v>
      </c>
      <c r="E605" s="4" t="n">
        <v>0</v>
      </c>
    </row>
    <row r="606" customFormat="false" ht="15" hidden="false" customHeight="false" outlineLevel="0" collapsed="false">
      <c r="A606" s="3" t="n">
        <v>2013</v>
      </c>
      <c r="B606" s="3" t="n">
        <v>8</v>
      </c>
      <c r="C606" s="3" t="n">
        <v>27</v>
      </c>
      <c r="D606" s="3" t="s">
        <v>610</v>
      </c>
      <c r="E606" s="4" t="n">
        <v>9</v>
      </c>
    </row>
    <row r="607" customFormat="false" ht="15" hidden="false" customHeight="false" outlineLevel="0" collapsed="false">
      <c r="A607" s="3" t="n">
        <v>2013</v>
      </c>
      <c r="B607" s="3" t="n">
        <v>8</v>
      </c>
      <c r="C607" s="3" t="n">
        <v>28</v>
      </c>
      <c r="D607" s="3" t="s">
        <v>611</v>
      </c>
      <c r="E607" s="4" t="n">
        <v>12</v>
      </c>
    </row>
    <row r="608" customFormat="false" ht="15" hidden="false" customHeight="false" outlineLevel="0" collapsed="false">
      <c r="A608" s="3" t="n">
        <v>2013</v>
      </c>
      <c r="B608" s="3" t="n">
        <v>8</v>
      </c>
      <c r="C608" s="3" t="n">
        <v>29</v>
      </c>
      <c r="D608" s="3" t="s">
        <v>612</v>
      </c>
      <c r="E608" s="4" t="n">
        <v>2</v>
      </c>
    </row>
    <row r="609" customFormat="false" ht="15" hidden="false" customHeight="false" outlineLevel="0" collapsed="false">
      <c r="A609" s="3" t="n">
        <v>2013</v>
      </c>
      <c r="B609" s="3" t="n">
        <v>8</v>
      </c>
      <c r="C609" s="3" t="n">
        <v>30</v>
      </c>
      <c r="D609" s="3" t="s">
        <v>613</v>
      </c>
      <c r="E609" s="4" t="n">
        <v>0</v>
      </c>
    </row>
    <row r="610" customFormat="false" ht="15" hidden="false" customHeight="false" outlineLevel="0" collapsed="false">
      <c r="A610" s="3" t="n">
        <v>2013</v>
      </c>
      <c r="B610" s="3" t="n">
        <v>8</v>
      </c>
      <c r="C610" s="3" t="n">
        <v>31</v>
      </c>
      <c r="D610" s="3" t="s">
        <v>614</v>
      </c>
      <c r="E610" s="4" t="n">
        <v>9</v>
      </c>
    </row>
    <row r="611" customFormat="false" ht="15" hidden="false" customHeight="false" outlineLevel="0" collapsed="false">
      <c r="A611" s="3" t="n">
        <v>2013</v>
      </c>
      <c r="B611" s="3" t="n">
        <v>9</v>
      </c>
      <c r="C611" s="3" t="n">
        <v>1</v>
      </c>
      <c r="D611" s="3" t="s">
        <v>615</v>
      </c>
      <c r="E611" s="4" t="n">
        <v>2</v>
      </c>
    </row>
    <row r="612" customFormat="false" ht="15" hidden="false" customHeight="false" outlineLevel="0" collapsed="false">
      <c r="A612" s="3" t="n">
        <v>2013</v>
      </c>
      <c r="B612" s="3" t="n">
        <v>9</v>
      </c>
      <c r="C612" s="3" t="n">
        <v>2</v>
      </c>
      <c r="D612" s="3" t="s">
        <v>616</v>
      </c>
      <c r="E612" s="4" t="n">
        <v>0</v>
      </c>
    </row>
    <row r="613" customFormat="false" ht="15" hidden="false" customHeight="false" outlineLevel="0" collapsed="false">
      <c r="A613" s="3" t="n">
        <v>2013</v>
      </c>
      <c r="B613" s="3" t="n">
        <v>9</v>
      </c>
      <c r="C613" s="3" t="n">
        <v>3</v>
      </c>
      <c r="D613" s="3" t="s">
        <v>617</v>
      </c>
      <c r="E613" s="4" t="n">
        <v>0</v>
      </c>
    </row>
    <row r="614" customFormat="false" ht="15" hidden="false" customHeight="false" outlineLevel="0" collapsed="false">
      <c r="A614" s="3" t="n">
        <v>2013</v>
      </c>
      <c r="B614" s="3" t="n">
        <v>9</v>
      </c>
      <c r="C614" s="3" t="n">
        <v>4</v>
      </c>
      <c r="D614" s="3" t="s">
        <v>618</v>
      </c>
      <c r="E614" s="4" t="n">
        <v>2</v>
      </c>
    </row>
    <row r="615" customFormat="false" ht="15" hidden="false" customHeight="false" outlineLevel="0" collapsed="false">
      <c r="A615" s="3" t="n">
        <v>2013</v>
      </c>
      <c r="B615" s="3" t="n">
        <v>9</v>
      </c>
      <c r="C615" s="3" t="n">
        <v>5</v>
      </c>
      <c r="D615" s="3" t="s">
        <v>619</v>
      </c>
      <c r="E615" s="4" t="n">
        <v>50</v>
      </c>
    </row>
    <row r="616" customFormat="false" ht="15" hidden="false" customHeight="false" outlineLevel="0" collapsed="false">
      <c r="A616" s="3" t="n">
        <v>2013</v>
      </c>
      <c r="B616" s="3" t="n">
        <v>9</v>
      </c>
      <c r="C616" s="3" t="n">
        <v>6</v>
      </c>
      <c r="D616" s="3" t="s">
        <v>620</v>
      </c>
      <c r="E616" s="4" t="n">
        <v>0</v>
      </c>
    </row>
    <row r="617" customFormat="false" ht="15" hidden="false" customHeight="false" outlineLevel="0" collapsed="false">
      <c r="A617" s="3" t="n">
        <v>2013</v>
      </c>
      <c r="B617" s="3" t="n">
        <v>9</v>
      </c>
      <c r="C617" s="3" t="n">
        <v>7</v>
      </c>
      <c r="D617" s="3" t="s">
        <v>621</v>
      </c>
      <c r="E617" s="4" t="n">
        <v>0</v>
      </c>
    </row>
    <row r="618" customFormat="false" ht="15" hidden="false" customHeight="false" outlineLevel="0" collapsed="false">
      <c r="A618" s="3" t="n">
        <v>2013</v>
      </c>
      <c r="B618" s="3" t="n">
        <v>9</v>
      </c>
      <c r="C618" s="3" t="n">
        <v>8</v>
      </c>
      <c r="D618" s="3" t="s">
        <v>622</v>
      </c>
      <c r="E618" s="4" t="n">
        <v>0</v>
      </c>
    </row>
    <row r="619" customFormat="false" ht="15" hidden="false" customHeight="false" outlineLevel="0" collapsed="false">
      <c r="A619" s="3" t="n">
        <v>2013</v>
      </c>
      <c r="B619" s="3" t="n">
        <v>9</v>
      </c>
      <c r="C619" s="3" t="n">
        <v>9</v>
      </c>
      <c r="D619" s="3" t="s">
        <v>623</v>
      </c>
      <c r="E619" s="4" t="n">
        <v>1</v>
      </c>
    </row>
    <row r="620" customFormat="false" ht="15" hidden="false" customHeight="false" outlineLevel="0" collapsed="false">
      <c r="A620" s="3" t="n">
        <v>2013</v>
      </c>
      <c r="B620" s="3" t="n">
        <v>9</v>
      </c>
      <c r="C620" s="3" t="n">
        <v>10</v>
      </c>
      <c r="D620" s="3" t="s">
        <v>624</v>
      </c>
      <c r="E620" s="4" t="n">
        <v>2</v>
      </c>
    </row>
    <row r="621" customFormat="false" ht="15" hidden="false" customHeight="false" outlineLevel="0" collapsed="false">
      <c r="A621" s="3" t="n">
        <v>2013</v>
      </c>
      <c r="B621" s="3" t="n">
        <v>9</v>
      </c>
      <c r="C621" s="3" t="n">
        <v>11</v>
      </c>
      <c r="D621" s="3" t="s">
        <v>625</v>
      </c>
      <c r="E621" s="4" t="n">
        <v>3</v>
      </c>
    </row>
    <row r="622" customFormat="false" ht="15" hidden="false" customHeight="false" outlineLevel="0" collapsed="false">
      <c r="A622" s="3" t="n">
        <v>2013</v>
      </c>
      <c r="B622" s="3" t="n">
        <v>9</v>
      </c>
      <c r="C622" s="3" t="n">
        <v>12</v>
      </c>
      <c r="D622" s="3" t="s">
        <v>626</v>
      </c>
      <c r="E622" s="4" t="n">
        <v>0</v>
      </c>
    </row>
    <row r="623" customFormat="false" ht="15" hidden="false" customHeight="false" outlineLevel="0" collapsed="false">
      <c r="A623" s="3" t="n">
        <v>2013</v>
      </c>
      <c r="B623" s="3" t="n">
        <v>9</v>
      </c>
      <c r="C623" s="3" t="n">
        <v>13</v>
      </c>
      <c r="D623" s="3" t="s">
        <v>627</v>
      </c>
      <c r="E623" s="4" t="n">
        <v>0</v>
      </c>
    </row>
    <row r="624" customFormat="false" ht="15" hidden="false" customHeight="false" outlineLevel="0" collapsed="false">
      <c r="A624" s="3" t="n">
        <v>2013</v>
      </c>
      <c r="B624" s="3" t="n">
        <v>9</v>
      </c>
      <c r="C624" s="3" t="n">
        <v>14</v>
      </c>
      <c r="D624" s="3" t="s">
        <v>628</v>
      </c>
      <c r="E624" s="4" t="n">
        <v>0</v>
      </c>
    </row>
    <row r="625" customFormat="false" ht="15" hidden="false" customHeight="false" outlineLevel="0" collapsed="false">
      <c r="A625" s="3" t="n">
        <v>2013</v>
      </c>
      <c r="B625" s="3" t="n">
        <v>9</v>
      </c>
      <c r="C625" s="3" t="n">
        <v>15</v>
      </c>
      <c r="D625" s="3" t="s">
        <v>629</v>
      </c>
      <c r="E625" s="4" t="n">
        <v>27</v>
      </c>
    </row>
    <row r="626" customFormat="false" ht="15" hidden="false" customHeight="false" outlineLevel="0" collapsed="false">
      <c r="A626" s="3" t="n">
        <v>2013</v>
      </c>
      <c r="B626" s="3" t="n">
        <v>9</v>
      </c>
      <c r="C626" s="3" t="n">
        <v>16</v>
      </c>
      <c r="D626" s="3" t="s">
        <v>630</v>
      </c>
      <c r="E626" s="4" t="n">
        <v>5</v>
      </c>
    </row>
    <row r="627" customFormat="false" ht="15" hidden="false" customHeight="false" outlineLevel="0" collapsed="false">
      <c r="A627" s="3" t="n">
        <v>2013</v>
      </c>
      <c r="B627" s="3" t="n">
        <v>9</v>
      </c>
      <c r="C627" s="3" t="n">
        <v>17</v>
      </c>
      <c r="D627" s="3" t="s">
        <v>631</v>
      </c>
      <c r="E627" s="4" t="n">
        <v>4</v>
      </c>
    </row>
    <row r="628" customFormat="false" ht="15" hidden="false" customHeight="false" outlineLevel="0" collapsed="false">
      <c r="A628" s="3" t="n">
        <v>2013</v>
      </c>
      <c r="B628" s="3" t="n">
        <v>9</v>
      </c>
      <c r="C628" s="3" t="n">
        <v>18</v>
      </c>
      <c r="D628" s="3" t="s">
        <v>632</v>
      </c>
      <c r="E628" s="4" t="n">
        <v>0</v>
      </c>
    </row>
    <row r="629" customFormat="false" ht="15" hidden="false" customHeight="false" outlineLevel="0" collapsed="false">
      <c r="A629" s="3" t="n">
        <v>2013</v>
      </c>
      <c r="B629" s="3" t="n">
        <v>9</v>
      </c>
      <c r="C629" s="3" t="n">
        <v>19</v>
      </c>
      <c r="D629" s="3" t="s">
        <v>633</v>
      </c>
      <c r="E629" s="4" t="n">
        <v>6</v>
      </c>
    </row>
    <row r="630" customFormat="false" ht="15" hidden="false" customHeight="false" outlineLevel="0" collapsed="false">
      <c r="A630" s="3" t="n">
        <v>2013</v>
      </c>
      <c r="B630" s="3" t="n">
        <v>9</v>
      </c>
      <c r="C630" s="3" t="n">
        <v>20</v>
      </c>
      <c r="D630" s="3" t="s">
        <v>634</v>
      </c>
      <c r="E630" s="4" t="n">
        <v>0</v>
      </c>
    </row>
    <row r="631" customFormat="false" ht="15" hidden="false" customHeight="false" outlineLevel="0" collapsed="false">
      <c r="A631" s="3" t="n">
        <v>2013</v>
      </c>
      <c r="B631" s="3" t="n">
        <v>9</v>
      </c>
      <c r="C631" s="3" t="n">
        <v>21</v>
      </c>
      <c r="D631" s="3" t="s">
        <v>635</v>
      </c>
      <c r="E631" s="4" t="n">
        <v>0</v>
      </c>
    </row>
    <row r="632" customFormat="false" ht="15" hidden="false" customHeight="false" outlineLevel="0" collapsed="false">
      <c r="A632" s="3" t="n">
        <v>2013</v>
      </c>
      <c r="B632" s="3" t="n">
        <v>9</v>
      </c>
      <c r="C632" s="3" t="n">
        <v>22</v>
      </c>
      <c r="D632" s="3" t="s">
        <v>636</v>
      </c>
      <c r="E632" s="4" t="n">
        <v>1</v>
      </c>
    </row>
    <row r="633" customFormat="false" ht="15" hidden="false" customHeight="false" outlineLevel="0" collapsed="false">
      <c r="A633" s="3" t="n">
        <v>2013</v>
      </c>
      <c r="B633" s="3" t="n">
        <v>9</v>
      </c>
      <c r="C633" s="3" t="n">
        <v>23</v>
      </c>
      <c r="D633" s="3" t="s">
        <v>637</v>
      </c>
      <c r="E633" s="4" t="n">
        <v>3</v>
      </c>
    </row>
    <row r="634" customFormat="false" ht="15" hidden="false" customHeight="false" outlineLevel="0" collapsed="false">
      <c r="A634" s="3" t="n">
        <v>2013</v>
      </c>
      <c r="B634" s="3" t="n">
        <v>9</v>
      </c>
      <c r="C634" s="3" t="n">
        <v>24</v>
      </c>
      <c r="D634" s="3" t="s">
        <v>638</v>
      </c>
      <c r="E634" s="4" t="n">
        <v>0</v>
      </c>
    </row>
    <row r="635" customFormat="false" ht="15" hidden="false" customHeight="false" outlineLevel="0" collapsed="false">
      <c r="A635" s="3" t="n">
        <v>2013</v>
      </c>
      <c r="B635" s="3" t="n">
        <v>9</v>
      </c>
      <c r="C635" s="3" t="n">
        <v>25</v>
      </c>
      <c r="D635" s="3" t="s">
        <v>639</v>
      </c>
      <c r="E635" s="4" t="n">
        <v>0</v>
      </c>
    </row>
    <row r="636" customFormat="false" ht="15" hidden="false" customHeight="false" outlineLevel="0" collapsed="false">
      <c r="A636" s="3" t="n">
        <v>2013</v>
      </c>
      <c r="B636" s="3" t="n">
        <v>9</v>
      </c>
      <c r="C636" s="3" t="n">
        <v>26</v>
      </c>
      <c r="D636" s="3" t="s">
        <v>640</v>
      </c>
      <c r="E636" s="4" t="n">
        <v>18</v>
      </c>
    </row>
    <row r="637" customFormat="false" ht="15" hidden="false" customHeight="false" outlineLevel="0" collapsed="false">
      <c r="A637" s="3" t="n">
        <v>2013</v>
      </c>
      <c r="B637" s="3" t="n">
        <v>9</v>
      </c>
      <c r="C637" s="3" t="n">
        <v>27</v>
      </c>
      <c r="D637" s="3" t="s">
        <v>641</v>
      </c>
      <c r="E637" s="4" t="n">
        <v>5</v>
      </c>
    </row>
    <row r="638" customFormat="false" ht="15" hidden="false" customHeight="false" outlineLevel="0" collapsed="false">
      <c r="A638" s="3" t="n">
        <v>2013</v>
      </c>
      <c r="B638" s="3" t="n">
        <v>9</v>
      </c>
      <c r="C638" s="3" t="n">
        <v>28</v>
      </c>
      <c r="D638" s="3" t="s">
        <v>642</v>
      </c>
      <c r="E638" s="4" t="n">
        <v>0</v>
      </c>
    </row>
    <row r="639" customFormat="false" ht="15" hidden="false" customHeight="false" outlineLevel="0" collapsed="false">
      <c r="A639" s="3" t="n">
        <v>2013</v>
      </c>
      <c r="B639" s="3" t="n">
        <v>9</v>
      </c>
      <c r="C639" s="3" t="n">
        <v>29</v>
      </c>
      <c r="D639" s="3" t="s">
        <v>643</v>
      </c>
      <c r="E639" s="4" t="n">
        <v>0</v>
      </c>
    </row>
    <row r="640" customFormat="false" ht="15" hidden="false" customHeight="false" outlineLevel="0" collapsed="false">
      <c r="A640" s="3" t="n">
        <v>2013</v>
      </c>
      <c r="B640" s="3" t="n">
        <v>9</v>
      </c>
      <c r="C640" s="3" t="n">
        <v>30</v>
      </c>
      <c r="D640" s="3" t="s">
        <v>644</v>
      </c>
      <c r="E640" s="4" t="n">
        <v>0</v>
      </c>
    </row>
    <row r="641" customFormat="false" ht="15" hidden="false" customHeight="false" outlineLevel="0" collapsed="false">
      <c r="A641" s="3" t="n">
        <v>2013</v>
      </c>
      <c r="B641" s="3" t="n">
        <v>10</v>
      </c>
      <c r="C641" s="3" t="n">
        <v>1</v>
      </c>
      <c r="D641" s="3" t="s">
        <v>645</v>
      </c>
      <c r="E641" s="4" t="n">
        <v>0</v>
      </c>
    </row>
    <row r="642" customFormat="false" ht="15" hidden="false" customHeight="false" outlineLevel="0" collapsed="false">
      <c r="A642" s="3" t="n">
        <v>2013</v>
      </c>
      <c r="B642" s="3" t="n">
        <v>10</v>
      </c>
      <c r="C642" s="3" t="n">
        <v>2</v>
      </c>
      <c r="D642" s="3" t="s">
        <v>646</v>
      </c>
      <c r="E642" s="4" t="n">
        <v>0</v>
      </c>
    </row>
    <row r="643" customFormat="false" ht="15" hidden="false" customHeight="false" outlineLevel="0" collapsed="false">
      <c r="A643" s="3" t="n">
        <v>2013</v>
      </c>
      <c r="B643" s="3" t="n">
        <v>10</v>
      </c>
      <c r="C643" s="3" t="n">
        <v>3</v>
      </c>
      <c r="D643" s="3" t="s">
        <v>647</v>
      </c>
      <c r="E643" s="4" t="n">
        <v>0</v>
      </c>
    </row>
    <row r="644" customFormat="false" ht="15" hidden="false" customHeight="false" outlineLevel="0" collapsed="false">
      <c r="A644" s="3" t="n">
        <v>2013</v>
      </c>
      <c r="B644" s="3" t="n">
        <v>10</v>
      </c>
      <c r="C644" s="3" t="n">
        <v>4</v>
      </c>
      <c r="D644" s="3" t="s">
        <v>648</v>
      </c>
      <c r="E644" s="4" t="n">
        <v>0</v>
      </c>
    </row>
    <row r="645" customFormat="false" ht="15" hidden="false" customHeight="false" outlineLevel="0" collapsed="false">
      <c r="A645" s="3" t="n">
        <v>2013</v>
      </c>
      <c r="B645" s="3" t="n">
        <v>10</v>
      </c>
      <c r="C645" s="3" t="n">
        <v>5</v>
      </c>
      <c r="D645" s="3" t="s">
        <v>649</v>
      </c>
      <c r="E645" s="4" t="n">
        <v>0</v>
      </c>
    </row>
    <row r="646" customFormat="false" ht="15" hidden="false" customHeight="false" outlineLevel="0" collapsed="false">
      <c r="A646" s="3" t="n">
        <v>2013</v>
      </c>
      <c r="B646" s="3" t="n">
        <v>10</v>
      </c>
      <c r="C646" s="3" t="n">
        <v>6</v>
      </c>
      <c r="D646" s="3" t="s">
        <v>650</v>
      </c>
      <c r="E646" s="4" t="n">
        <v>0</v>
      </c>
    </row>
    <row r="647" customFormat="false" ht="15" hidden="false" customHeight="false" outlineLevel="0" collapsed="false">
      <c r="A647" s="3" t="n">
        <v>2013</v>
      </c>
      <c r="B647" s="3" t="n">
        <v>10</v>
      </c>
      <c r="C647" s="3" t="n">
        <v>7</v>
      </c>
      <c r="D647" s="3" t="s">
        <v>651</v>
      </c>
      <c r="E647" s="4" t="n">
        <v>0</v>
      </c>
    </row>
    <row r="648" customFormat="false" ht="15" hidden="false" customHeight="false" outlineLevel="0" collapsed="false">
      <c r="A648" s="3" t="n">
        <v>2013</v>
      </c>
      <c r="B648" s="3" t="n">
        <v>10</v>
      </c>
      <c r="C648" s="3" t="n">
        <v>8</v>
      </c>
      <c r="D648" s="3" t="s">
        <v>652</v>
      </c>
      <c r="E648" s="4" t="n">
        <v>35</v>
      </c>
    </row>
    <row r="649" customFormat="false" ht="15" hidden="false" customHeight="false" outlineLevel="0" collapsed="false">
      <c r="A649" s="3" t="n">
        <v>2013</v>
      </c>
      <c r="B649" s="3" t="n">
        <v>10</v>
      </c>
      <c r="C649" s="3" t="n">
        <v>9</v>
      </c>
      <c r="D649" s="3" t="s">
        <v>653</v>
      </c>
      <c r="E649" s="4" t="n">
        <v>2</v>
      </c>
    </row>
    <row r="650" customFormat="false" ht="15" hidden="false" customHeight="false" outlineLevel="0" collapsed="false">
      <c r="A650" s="3" t="n">
        <v>2013</v>
      </c>
      <c r="B650" s="3" t="n">
        <v>10</v>
      </c>
      <c r="C650" s="3" t="n">
        <v>10</v>
      </c>
      <c r="D650" s="3" t="s">
        <v>654</v>
      </c>
      <c r="E650" s="4" t="n">
        <v>0</v>
      </c>
    </row>
    <row r="651" customFormat="false" ht="15" hidden="false" customHeight="false" outlineLevel="0" collapsed="false">
      <c r="A651" s="3" t="n">
        <v>2013</v>
      </c>
      <c r="B651" s="3" t="n">
        <v>10</v>
      </c>
      <c r="C651" s="3" t="n">
        <v>11</v>
      </c>
      <c r="D651" s="3" t="s">
        <v>655</v>
      </c>
      <c r="E651" s="4" t="n">
        <v>0</v>
      </c>
    </row>
    <row r="652" customFormat="false" ht="15" hidden="false" customHeight="false" outlineLevel="0" collapsed="false">
      <c r="A652" s="3" t="n">
        <v>2013</v>
      </c>
      <c r="B652" s="3" t="n">
        <v>10</v>
      </c>
      <c r="C652" s="3" t="n">
        <v>12</v>
      </c>
      <c r="D652" s="3" t="s">
        <v>656</v>
      </c>
      <c r="E652" s="4" t="n">
        <v>0</v>
      </c>
    </row>
    <row r="653" customFormat="false" ht="15" hidden="false" customHeight="false" outlineLevel="0" collapsed="false">
      <c r="A653" s="3" t="n">
        <v>2013</v>
      </c>
      <c r="B653" s="3" t="n">
        <v>10</v>
      </c>
      <c r="C653" s="3" t="n">
        <v>13</v>
      </c>
      <c r="D653" s="3" t="s">
        <v>657</v>
      </c>
      <c r="E653" s="4" t="n">
        <v>0</v>
      </c>
    </row>
    <row r="654" customFormat="false" ht="15" hidden="false" customHeight="false" outlineLevel="0" collapsed="false">
      <c r="A654" s="3" t="n">
        <v>2013</v>
      </c>
      <c r="B654" s="3" t="n">
        <v>10</v>
      </c>
      <c r="C654" s="3" t="n">
        <v>14</v>
      </c>
      <c r="D654" s="3" t="s">
        <v>658</v>
      </c>
      <c r="E654" s="4" t="n">
        <v>0</v>
      </c>
    </row>
    <row r="655" customFormat="false" ht="15" hidden="false" customHeight="false" outlineLevel="0" collapsed="false">
      <c r="A655" s="3" t="n">
        <v>2013</v>
      </c>
      <c r="B655" s="3" t="n">
        <v>10</v>
      </c>
      <c r="C655" s="3" t="n">
        <v>15</v>
      </c>
      <c r="D655" s="3" t="s">
        <v>659</v>
      </c>
      <c r="E655" s="4" t="n">
        <v>0</v>
      </c>
    </row>
    <row r="656" customFormat="false" ht="15" hidden="false" customHeight="false" outlineLevel="0" collapsed="false">
      <c r="A656" s="3" t="n">
        <v>2013</v>
      </c>
      <c r="B656" s="3" t="n">
        <v>10</v>
      </c>
      <c r="C656" s="3" t="n">
        <v>16</v>
      </c>
      <c r="D656" s="3" t="s">
        <v>660</v>
      </c>
      <c r="E656" s="4" t="n">
        <v>0</v>
      </c>
    </row>
    <row r="657" customFormat="false" ht="15" hidden="false" customHeight="false" outlineLevel="0" collapsed="false">
      <c r="A657" s="3" t="n">
        <v>2013</v>
      </c>
      <c r="B657" s="3" t="n">
        <v>10</v>
      </c>
      <c r="C657" s="3" t="n">
        <v>17</v>
      </c>
      <c r="D657" s="3" t="s">
        <v>661</v>
      </c>
      <c r="E657" s="4" t="n">
        <v>0</v>
      </c>
    </row>
    <row r="658" customFormat="false" ht="15" hidden="false" customHeight="false" outlineLevel="0" collapsed="false">
      <c r="A658" s="3" t="n">
        <v>2013</v>
      </c>
      <c r="B658" s="3" t="n">
        <v>10</v>
      </c>
      <c r="C658" s="3" t="n">
        <v>18</v>
      </c>
      <c r="D658" s="3" t="s">
        <v>662</v>
      </c>
      <c r="E658" s="4" t="n">
        <v>26</v>
      </c>
    </row>
    <row r="659" customFormat="false" ht="15" hidden="false" customHeight="false" outlineLevel="0" collapsed="false">
      <c r="A659" s="3" t="n">
        <v>2013</v>
      </c>
      <c r="B659" s="3" t="n">
        <v>10</v>
      </c>
      <c r="C659" s="3" t="n">
        <v>19</v>
      </c>
      <c r="D659" s="3" t="s">
        <v>663</v>
      </c>
      <c r="E659" s="4" t="n">
        <v>0</v>
      </c>
    </row>
    <row r="660" customFormat="false" ht="15" hidden="false" customHeight="false" outlineLevel="0" collapsed="false">
      <c r="A660" s="3" t="n">
        <v>2013</v>
      </c>
      <c r="B660" s="3" t="n">
        <v>10</v>
      </c>
      <c r="C660" s="3" t="n">
        <v>20</v>
      </c>
      <c r="D660" s="3" t="s">
        <v>664</v>
      </c>
      <c r="E660" s="4" t="n">
        <v>0</v>
      </c>
    </row>
    <row r="661" customFormat="false" ht="15" hidden="false" customHeight="false" outlineLevel="0" collapsed="false">
      <c r="A661" s="3" t="n">
        <v>2013</v>
      </c>
      <c r="B661" s="3" t="n">
        <v>10</v>
      </c>
      <c r="C661" s="3" t="n">
        <v>21</v>
      </c>
      <c r="D661" s="3" t="s">
        <v>665</v>
      </c>
      <c r="E661" s="4" t="n">
        <v>0</v>
      </c>
    </row>
    <row r="662" customFormat="false" ht="15" hidden="false" customHeight="false" outlineLevel="0" collapsed="false">
      <c r="A662" s="3" t="n">
        <v>2013</v>
      </c>
      <c r="B662" s="3" t="n">
        <v>10</v>
      </c>
      <c r="C662" s="3" t="n">
        <v>22</v>
      </c>
      <c r="D662" s="3" t="s">
        <v>666</v>
      </c>
      <c r="E662" s="4" t="n">
        <v>46</v>
      </c>
    </row>
    <row r="663" customFormat="false" ht="15" hidden="false" customHeight="false" outlineLevel="0" collapsed="false">
      <c r="A663" s="3" t="n">
        <v>2013</v>
      </c>
      <c r="B663" s="3" t="n">
        <v>10</v>
      </c>
      <c r="C663" s="3" t="n">
        <v>23</v>
      </c>
      <c r="D663" s="3" t="s">
        <v>667</v>
      </c>
      <c r="E663" s="4" t="n">
        <v>6</v>
      </c>
    </row>
    <row r="664" customFormat="false" ht="15" hidden="false" customHeight="false" outlineLevel="0" collapsed="false">
      <c r="A664" s="3" t="n">
        <v>2013</v>
      </c>
      <c r="B664" s="3" t="n">
        <v>10</v>
      </c>
      <c r="C664" s="3" t="n">
        <v>24</v>
      </c>
      <c r="D664" s="3" t="s">
        <v>668</v>
      </c>
      <c r="E664" s="4" t="n">
        <v>6</v>
      </c>
    </row>
    <row r="665" customFormat="false" ht="15" hidden="false" customHeight="false" outlineLevel="0" collapsed="false">
      <c r="A665" s="3" t="n">
        <v>2013</v>
      </c>
      <c r="B665" s="3" t="n">
        <v>10</v>
      </c>
      <c r="C665" s="3" t="n">
        <v>25</v>
      </c>
      <c r="D665" s="3" t="s">
        <v>669</v>
      </c>
      <c r="E665" s="4" t="n">
        <v>4</v>
      </c>
    </row>
    <row r="666" customFormat="false" ht="15" hidden="false" customHeight="false" outlineLevel="0" collapsed="false">
      <c r="A666" s="3" t="n">
        <v>2013</v>
      </c>
      <c r="B666" s="3" t="n">
        <v>10</v>
      </c>
      <c r="C666" s="3" t="n">
        <v>26</v>
      </c>
      <c r="D666" s="3" t="s">
        <v>670</v>
      </c>
      <c r="E666" s="4" t="n">
        <v>0</v>
      </c>
    </row>
    <row r="667" customFormat="false" ht="15" hidden="false" customHeight="false" outlineLevel="0" collapsed="false">
      <c r="A667" s="3" t="n">
        <v>2013</v>
      </c>
      <c r="B667" s="3" t="n">
        <v>10</v>
      </c>
      <c r="C667" s="3" t="n">
        <v>27</v>
      </c>
      <c r="D667" s="3" t="s">
        <v>671</v>
      </c>
      <c r="E667" s="4" t="n">
        <v>0</v>
      </c>
    </row>
    <row r="668" customFormat="false" ht="15" hidden="false" customHeight="false" outlineLevel="0" collapsed="false">
      <c r="A668" s="3" t="n">
        <v>2013</v>
      </c>
      <c r="B668" s="3" t="n">
        <v>10</v>
      </c>
      <c r="C668" s="3" t="n">
        <v>28</v>
      </c>
      <c r="D668" s="3" t="s">
        <v>672</v>
      </c>
      <c r="E668" s="4" t="n">
        <v>0</v>
      </c>
    </row>
    <row r="669" customFormat="false" ht="15" hidden="false" customHeight="false" outlineLevel="0" collapsed="false">
      <c r="A669" s="3" t="n">
        <v>2013</v>
      </c>
      <c r="B669" s="3" t="n">
        <v>10</v>
      </c>
      <c r="C669" s="3" t="n">
        <v>29</v>
      </c>
      <c r="D669" s="3" t="s">
        <v>673</v>
      </c>
      <c r="E669" s="4" t="n">
        <v>26</v>
      </c>
    </row>
    <row r="670" customFormat="false" ht="15" hidden="false" customHeight="false" outlineLevel="0" collapsed="false">
      <c r="A670" s="3" t="n">
        <v>2013</v>
      </c>
      <c r="B670" s="3" t="n">
        <v>10</v>
      </c>
      <c r="C670" s="3" t="n">
        <v>30</v>
      </c>
      <c r="D670" s="3" t="s">
        <v>674</v>
      </c>
      <c r="E670" s="4" t="n">
        <v>0</v>
      </c>
    </row>
    <row r="671" customFormat="false" ht="15" hidden="false" customHeight="false" outlineLevel="0" collapsed="false">
      <c r="A671" s="3" t="n">
        <v>2013</v>
      </c>
      <c r="B671" s="3" t="n">
        <v>10</v>
      </c>
      <c r="C671" s="3" t="n">
        <v>31</v>
      </c>
      <c r="D671" s="3" t="s">
        <v>675</v>
      </c>
      <c r="E671" s="4" t="n">
        <v>0</v>
      </c>
    </row>
    <row r="672" customFormat="false" ht="15" hidden="false" customHeight="false" outlineLevel="0" collapsed="false">
      <c r="A672" s="3" t="n">
        <v>2013</v>
      </c>
      <c r="B672" s="3" t="n">
        <v>11</v>
      </c>
      <c r="C672" s="3" t="n">
        <v>1</v>
      </c>
      <c r="D672" s="3" t="s">
        <v>676</v>
      </c>
      <c r="E672" s="4" t="n">
        <v>0</v>
      </c>
    </row>
    <row r="673" customFormat="false" ht="15" hidden="false" customHeight="false" outlineLevel="0" collapsed="false">
      <c r="A673" s="3" t="n">
        <v>2013</v>
      </c>
      <c r="B673" s="3" t="n">
        <v>11</v>
      </c>
      <c r="C673" s="3" t="n">
        <v>2</v>
      </c>
      <c r="D673" s="3" t="s">
        <v>677</v>
      </c>
      <c r="E673" s="4" t="n">
        <v>0</v>
      </c>
    </row>
    <row r="674" customFormat="false" ht="15" hidden="false" customHeight="false" outlineLevel="0" collapsed="false">
      <c r="A674" s="3" t="n">
        <v>2013</v>
      </c>
      <c r="B674" s="3" t="n">
        <v>11</v>
      </c>
      <c r="C674" s="3" t="n">
        <v>3</v>
      </c>
      <c r="D674" s="3" t="s">
        <v>678</v>
      </c>
      <c r="E674" s="4" t="n">
        <v>10</v>
      </c>
    </row>
    <row r="675" customFormat="false" ht="15" hidden="false" customHeight="false" outlineLevel="0" collapsed="false">
      <c r="A675" s="3" t="n">
        <v>2013</v>
      </c>
      <c r="B675" s="3" t="n">
        <v>11</v>
      </c>
      <c r="C675" s="3" t="n">
        <v>4</v>
      </c>
      <c r="D675" s="3" t="s">
        <v>679</v>
      </c>
      <c r="E675" s="4" t="n">
        <v>4</v>
      </c>
    </row>
    <row r="676" customFormat="false" ht="15" hidden="false" customHeight="false" outlineLevel="0" collapsed="false">
      <c r="A676" s="3" t="n">
        <v>2013</v>
      </c>
      <c r="B676" s="3" t="n">
        <v>11</v>
      </c>
      <c r="C676" s="3" t="n">
        <v>5</v>
      </c>
      <c r="D676" s="3" t="s">
        <v>680</v>
      </c>
      <c r="E676" s="4" t="n">
        <v>0</v>
      </c>
    </row>
    <row r="677" customFormat="false" ht="15" hidden="false" customHeight="false" outlineLevel="0" collapsed="false">
      <c r="A677" s="3" t="n">
        <v>2013</v>
      </c>
      <c r="B677" s="3" t="n">
        <v>11</v>
      </c>
      <c r="C677" s="3" t="n">
        <v>6</v>
      </c>
      <c r="D677" s="3" t="s">
        <v>681</v>
      </c>
      <c r="E677" s="4" t="n">
        <v>13</v>
      </c>
    </row>
    <row r="678" customFormat="false" ht="15" hidden="false" customHeight="false" outlineLevel="0" collapsed="false">
      <c r="A678" s="3" t="n">
        <v>2013</v>
      </c>
      <c r="B678" s="3" t="n">
        <v>11</v>
      </c>
      <c r="C678" s="3" t="n">
        <v>7</v>
      </c>
      <c r="D678" s="3" t="s">
        <v>682</v>
      </c>
      <c r="E678" s="4" t="n">
        <v>1</v>
      </c>
    </row>
    <row r="679" customFormat="false" ht="15" hidden="false" customHeight="false" outlineLevel="0" collapsed="false">
      <c r="A679" s="3" t="n">
        <v>2013</v>
      </c>
      <c r="B679" s="3" t="n">
        <v>11</v>
      </c>
      <c r="C679" s="3" t="n">
        <v>8</v>
      </c>
      <c r="D679" s="3" t="s">
        <v>683</v>
      </c>
      <c r="E679" s="4" t="n">
        <v>3</v>
      </c>
    </row>
    <row r="680" customFormat="false" ht="15" hidden="false" customHeight="false" outlineLevel="0" collapsed="false">
      <c r="A680" s="3" t="n">
        <v>2013</v>
      </c>
      <c r="B680" s="3" t="n">
        <v>11</v>
      </c>
      <c r="C680" s="3" t="n">
        <v>9</v>
      </c>
      <c r="D680" s="3" t="s">
        <v>684</v>
      </c>
      <c r="E680" s="4" t="n">
        <v>0</v>
      </c>
    </row>
    <row r="681" customFormat="false" ht="15" hidden="false" customHeight="false" outlineLevel="0" collapsed="false">
      <c r="A681" s="3" t="n">
        <v>2013</v>
      </c>
      <c r="B681" s="3" t="n">
        <v>11</v>
      </c>
      <c r="C681" s="3" t="n">
        <v>10</v>
      </c>
      <c r="D681" s="3" t="s">
        <v>685</v>
      </c>
      <c r="E681" s="4" t="n">
        <v>0</v>
      </c>
    </row>
    <row r="682" customFormat="false" ht="15" hidden="false" customHeight="false" outlineLevel="0" collapsed="false">
      <c r="A682" s="3" t="n">
        <v>2013</v>
      </c>
      <c r="B682" s="3" t="n">
        <v>11</v>
      </c>
      <c r="C682" s="3" t="n">
        <v>11</v>
      </c>
      <c r="D682" s="3" t="s">
        <v>686</v>
      </c>
      <c r="E682" s="4" t="n">
        <v>13</v>
      </c>
    </row>
    <row r="683" customFormat="false" ht="15" hidden="false" customHeight="false" outlineLevel="0" collapsed="false">
      <c r="A683" s="3" t="n">
        <v>2013</v>
      </c>
      <c r="B683" s="3" t="n">
        <v>11</v>
      </c>
      <c r="C683" s="3" t="n">
        <v>12</v>
      </c>
      <c r="D683" s="3" t="s">
        <v>687</v>
      </c>
      <c r="E683" s="4" t="n">
        <v>11</v>
      </c>
    </row>
    <row r="684" customFormat="false" ht="15" hidden="false" customHeight="false" outlineLevel="0" collapsed="false">
      <c r="A684" s="3" t="n">
        <v>2013</v>
      </c>
      <c r="B684" s="3" t="n">
        <v>11</v>
      </c>
      <c r="C684" s="3" t="n">
        <v>13</v>
      </c>
      <c r="D684" s="3" t="s">
        <v>688</v>
      </c>
      <c r="E684" s="4" t="n">
        <v>5</v>
      </c>
    </row>
    <row r="685" customFormat="false" ht="15" hidden="false" customHeight="false" outlineLevel="0" collapsed="false">
      <c r="A685" s="3" t="n">
        <v>2013</v>
      </c>
      <c r="B685" s="3" t="n">
        <v>11</v>
      </c>
      <c r="C685" s="3" t="n">
        <v>14</v>
      </c>
      <c r="D685" s="3" t="s">
        <v>689</v>
      </c>
      <c r="E685" s="4" t="n">
        <v>0</v>
      </c>
    </row>
    <row r="686" customFormat="false" ht="15" hidden="false" customHeight="false" outlineLevel="0" collapsed="false">
      <c r="A686" s="3" t="n">
        <v>2013</v>
      </c>
      <c r="B686" s="3" t="n">
        <v>11</v>
      </c>
      <c r="C686" s="3" t="n">
        <v>15</v>
      </c>
      <c r="D686" s="3" t="s">
        <v>690</v>
      </c>
      <c r="E686" s="4" t="n">
        <v>0</v>
      </c>
    </row>
    <row r="687" customFormat="false" ht="15" hidden="false" customHeight="false" outlineLevel="0" collapsed="false">
      <c r="A687" s="3" t="n">
        <v>2013</v>
      </c>
      <c r="B687" s="3" t="n">
        <v>11</v>
      </c>
      <c r="C687" s="3" t="n">
        <v>16</v>
      </c>
      <c r="D687" s="3" t="s">
        <v>691</v>
      </c>
      <c r="E687" s="4" t="n">
        <v>0</v>
      </c>
    </row>
    <row r="688" customFormat="false" ht="15" hidden="false" customHeight="false" outlineLevel="0" collapsed="false">
      <c r="A688" s="3" t="n">
        <v>2013</v>
      </c>
      <c r="B688" s="3" t="n">
        <v>11</v>
      </c>
      <c r="C688" s="3" t="n">
        <v>17</v>
      </c>
      <c r="D688" s="3" t="s">
        <v>692</v>
      </c>
      <c r="E688" s="4" t="n">
        <v>20</v>
      </c>
    </row>
    <row r="689" customFormat="false" ht="15" hidden="false" customHeight="false" outlineLevel="0" collapsed="false">
      <c r="A689" s="3" t="n">
        <v>2013</v>
      </c>
      <c r="B689" s="3" t="n">
        <v>11</v>
      </c>
      <c r="C689" s="3" t="n">
        <v>18</v>
      </c>
      <c r="D689" s="3" t="s">
        <v>693</v>
      </c>
      <c r="E689" s="4" t="n">
        <v>120</v>
      </c>
    </row>
    <row r="690" customFormat="false" ht="15" hidden="false" customHeight="false" outlineLevel="0" collapsed="false">
      <c r="A690" s="3" t="n">
        <v>2013</v>
      </c>
      <c r="B690" s="3" t="n">
        <v>11</v>
      </c>
      <c r="C690" s="3" t="n">
        <v>19</v>
      </c>
      <c r="D690" s="3" t="s">
        <v>694</v>
      </c>
      <c r="E690" s="4" t="n">
        <v>1</v>
      </c>
    </row>
    <row r="691" customFormat="false" ht="15" hidden="false" customHeight="false" outlineLevel="0" collapsed="false">
      <c r="A691" s="3" t="n">
        <v>2013</v>
      </c>
      <c r="B691" s="3" t="n">
        <v>11</v>
      </c>
      <c r="C691" s="3" t="n">
        <v>20</v>
      </c>
      <c r="D691" s="3" t="s">
        <v>695</v>
      </c>
      <c r="E691" s="4" t="n">
        <v>0</v>
      </c>
    </row>
    <row r="692" customFormat="false" ht="15" hidden="false" customHeight="false" outlineLevel="0" collapsed="false">
      <c r="A692" s="3" t="n">
        <v>2013</v>
      </c>
      <c r="B692" s="3" t="n">
        <v>11</v>
      </c>
      <c r="C692" s="3" t="n">
        <v>21</v>
      </c>
      <c r="D692" s="3" t="s">
        <v>696</v>
      </c>
      <c r="E692" s="4" t="n">
        <v>0</v>
      </c>
    </row>
    <row r="693" customFormat="false" ht="15" hidden="false" customHeight="false" outlineLevel="0" collapsed="false">
      <c r="A693" s="3" t="n">
        <v>2013</v>
      </c>
      <c r="B693" s="3" t="n">
        <v>11</v>
      </c>
      <c r="C693" s="3" t="n">
        <v>22</v>
      </c>
      <c r="D693" s="3" t="s">
        <v>697</v>
      </c>
      <c r="E693" s="4" t="n">
        <v>0</v>
      </c>
    </row>
    <row r="694" customFormat="false" ht="15" hidden="false" customHeight="false" outlineLevel="0" collapsed="false">
      <c r="A694" s="3" t="n">
        <v>2013</v>
      </c>
      <c r="B694" s="3" t="n">
        <v>11</v>
      </c>
      <c r="C694" s="3" t="n">
        <v>23</v>
      </c>
      <c r="D694" s="3" t="s">
        <v>698</v>
      </c>
      <c r="E694" s="4" t="n">
        <v>0</v>
      </c>
    </row>
    <row r="695" customFormat="false" ht="15" hidden="false" customHeight="false" outlineLevel="0" collapsed="false">
      <c r="A695" s="3" t="n">
        <v>2013</v>
      </c>
      <c r="B695" s="3" t="n">
        <v>11</v>
      </c>
      <c r="C695" s="3" t="n">
        <v>24</v>
      </c>
      <c r="D695" s="3" t="s">
        <v>699</v>
      </c>
      <c r="E695" s="4" t="n">
        <v>0</v>
      </c>
    </row>
    <row r="696" customFormat="false" ht="15" hidden="false" customHeight="false" outlineLevel="0" collapsed="false">
      <c r="A696" s="3" t="n">
        <v>2013</v>
      </c>
      <c r="B696" s="3" t="n">
        <v>11</v>
      </c>
      <c r="C696" s="3" t="n">
        <v>25</v>
      </c>
      <c r="D696" s="3" t="s">
        <v>700</v>
      </c>
      <c r="E696" s="4" t="n">
        <v>0</v>
      </c>
    </row>
    <row r="697" customFormat="false" ht="15" hidden="false" customHeight="false" outlineLevel="0" collapsed="false">
      <c r="A697" s="3" t="n">
        <v>2013</v>
      </c>
      <c r="B697" s="3" t="n">
        <v>11</v>
      </c>
      <c r="C697" s="3" t="n">
        <v>26</v>
      </c>
      <c r="D697" s="3" t="s">
        <v>701</v>
      </c>
      <c r="E697" s="4" t="n">
        <v>2</v>
      </c>
    </row>
    <row r="698" customFormat="false" ht="15" hidden="false" customHeight="false" outlineLevel="0" collapsed="false">
      <c r="A698" s="3" t="n">
        <v>2013</v>
      </c>
      <c r="B698" s="3" t="n">
        <v>11</v>
      </c>
      <c r="C698" s="3" t="n">
        <v>27</v>
      </c>
      <c r="D698" s="3" t="s">
        <v>702</v>
      </c>
      <c r="E698" s="4" t="n">
        <v>0</v>
      </c>
    </row>
    <row r="699" customFormat="false" ht="15" hidden="false" customHeight="false" outlineLevel="0" collapsed="false">
      <c r="A699" s="3" t="n">
        <v>2013</v>
      </c>
      <c r="B699" s="3" t="n">
        <v>11</v>
      </c>
      <c r="C699" s="3" t="n">
        <v>28</v>
      </c>
      <c r="D699" s="3" t="s">
        <v>703</v>
      </c>
      <c r="E699" s="4" t="n">
        <v>70</v>
      </c>
    </row>
    <row r="700" customFormat="false" ht="15" hidden="false" customHeight="false" outlineLevel="0" collapsed="false">
      <c r="A700" s="3" t="n">
        <v>2013</v>
      </c>
      <c r="B700" s="3" t="n">
        <v>11</v>
      </c>
      <c r="C700" s="3" t="n">
        <v>29</v>
      </c>
      <c r="D700" s="3" t="s">
        <v>704</v>
      </c>
      <c r="E700" s="4" t="n">
        <v>0</v>
      </c>
    </row>
    <row r="701" customFormat="false" ht="15" hidden="false" customHeight="false" outlineLevel="0" collapsed="false">
      <c r="A701" s="3" t="n">
        <v>2013</v>
      </c>
      <c r="B701" s="3" t="n">
        <v>11</v>
      </c>
      <c r="C701" s="3" t="n">
        <v>30</v>
      </c>
      <c r="D701" s="3" t="s">
        <v>705</v>
      </c>
      <c r="E701" s="4" t="n">
        <v>7</v>
      </c>
    </row>
    <row r="702" customFormat="false" ht="15" hidden="false" customHeight="false" outlineLevel="0" collapsed="false">
      <c r="A702" s="3" t="n">
        <v>2013</v>
      </c>
      <c r="B702" s="3" t="n">
        <v>12</v>
      </c>
      <c r="C702" s="3" t="n">
        <v>1</v>
      </c>
      <c r="D702" s="3" t="s">
        <v>706</v>
      </c>
      <c r="E702" s="4" t="n">
        <v>0</v>
      </c>
    </row>
    <row r="703" customFormat="false" ht="15" hidden="false" customHeight="false" outlineLevel="0" collapsed="false">
      <c r="A703" s="3" t="n">
        <v>2013</v>
      </c>
      <c r="B703" s="3" t="n">
        <v>12</v>
      </c>
      <c r="C703" s="3" t="n">
        <v>2</v>
      </c>
      <c r="D703" s="3" t="s">
        <v>707</v>
      </c>
      <c r="E703" s="4" t="n">
        <v>0</v>
      </c>
    </row>
    <row r="704" customFormat="false" ht="15" hidden="false" customHeight="false" outlineLevel="0" collapsed="false">
      <c r="A704" s="3" t="n">
        <v>2013</v>
      </c>
      <c r="B704" s="3" t="n">
        <v>12</v>
      </c>
      <c r="C704" s="3" t="n">
        <v>3</v>
      </c>
      <c r="D704" s="3" t="s">
        <v>708</v>
      </c>
      <c r="E704" s="4" t="n">
        <v>10</v>
      </c>
    </row>
    <row r="705" customFormat="false" ht="15" hidden="false" customHeight="false" outlineLevel="0" collapsed="false">
      <c r="A705" s="3" t="n">
        <v>2013</v>
      </c>
      <c r="B705" s="3" t="n">
        <v>12</v>
      </c>
      <c r="C705" s="3" t="n">
        <v>4</v>
      </c>
      <c r="D705" s="3" t="s">
        <v>709</v>
      </c>
      <c r="E705" s="4" t="n">
        <v>4</v>
      </c>
    </row>
    <row r="706" customFormat="false" ht="15" hidden="false" customHeight="false" outlineLevel="0" collapsed="false">
      <c r="A706" s="3" t="n">
        <v>2013</v>
      </c>
      <c r="B706" s="3" t="n">
        <v>12</v>
      </c>
      <c r="C706" s="3" t="n">
        <v>5</v>
      </c>
      <c r="D706" s="3" t="s">
        <v>710</v>
      </c>
      <c r="E706" s="4" t="n">
        <v>0</v>
      </c>
    </row>
    <row r="707" customFormat="false" ht="15" hidden="false" customHeight="false" outlineLevel="0" collapsed="false">
      <c r="A707" s="3" t="n">
        <v>2013</v>
      </c>
      <c r="B707" s="3" t="n">
        <v>12</v>
      </c>
      <c r="C707" s="3" t="n">
        <v>6</v>
      </c>
      <c r="D707" s="3" t="s">
        <v>711</v>
      </c>
      <c r="E707" s="4" t="n">
        <v>13</v>
      </c>
    </row>
    <row r="708" customFormat="false" ht="15" hidden="false" customHeight="false" outlineLevel="0" collapsed="false">
      <c r="A708" s="3" t="n">
        <v>2013</v>
      </c>
      <c r="B708" s="3" t="n">
        <v>12</v>
      </c>
      <c r="C708" s="3" t="n">
        <v>7</v>
      </c>
      <c r="D708" s="3" t="s">
        <v>712</v>
      </c>
      <c r="E708" s="4" t="n">
        <v>1</v>
      </c>
    </row>
    <row r="709" customFormat="false" ht="15" hidden="false" customHeight="false" outlineLevel="0" collapsed="false">
      <c r="A709" s="3" t="n">
        <v>2013</v>
      </c>
      <c r="B709" s="3" t="n">
        <v>12</v>
      </c>
      <c r="C709" s="3" t="n">
        <v>8</v>
      </c>
      <c r="D709" s="3" t="s">
        <v>713</v>
      </c>
      <c r="E709" s="4" t="n">
        <v>3</v>
      </c>
    </row>
    <row r="710" customFormat="false" ht="15" hidden="false" customHeight="false" outlineLevel="0" collapsed="false">
      <c r="A710" s="3" t="n">
        <v>2013</v>
      </c>
      <c r="B710" s="3" t="n">
        <v>12</v>
      </c>
      <c r="C710" s="3" t="n">
        <v>9</v>
      </c>
      <c r="D710" s="3" t="s">
        <v>714</v>
      </c>
      <c r="E710" s="4" t="n">
        <v>0</v>
      </c>
    </row>
    <row r="711" customFormat="false" ht="15" hidden="false" customHeight="false" outlineLevel="0" collapsed="false">
      <c r="A711" s="3" t="n">
        <v>2013</v>
      </c>
      <c r="B711" s="3" t="n">
        <v>12</v>
      </c>
      <c r="C711" s="3" t="n">
        <v>10</v>
      </c>
      <c r="D711" s="3" t="s">
        <v>715</v>
      </c>
      <c r="E711" s="4" t="n">
        <v>0</v>
      </c>
    </row>
    <row r="712" customFormat="false" ht="15" hidden="false" customHeight="false" outlineLevel="0" collapsed="false">
      <c r="A712" s="3" t="n">
        <v>2013</v>
      </c>
      <c r="B712" s="3" t="n">
        <v>12</v>
      </c>
      <c r="C712" s="3" t="n">
        <v>11</v>
      </c>
      <c r="D712" s="3" t="s">
        <v>716</v>
      </c>
      <c r="E712" s="4" t="n">
        <v>13</v>
      </c>
    </row>
    <row r="713" customFormat="false" ht="15" hidden="false" customHeight="false" outlineLevel="0" collapsed="false">
      <c r="A713" s="3" t="n">
        <v>2013</v>
      </c>
      <c r="B713" s="3" t="n">
        <v>12</v>
      </c>
      <c r="C713" s="3" t="n">
        <v>12</v>
      </c>
      <c r="D713" s="3" t="s">
        <v>717</v>
      </c>
      <c r="E713" s="4" t="n">
        <v>11</v>
      </c>
    </row>
    <row r="714" customFormat="false" ht="15" hidden="false" customHeight="false" outlineLevel="0" collapsed="false">
      <c r="A714" s="3" t="n">
        <v>2013</v>
      </c>
      <c r="B714" s="3" t="n">
        <v>12</v>
      </c>
      <c r="C714" s="3" t="n">
        <v>13</v>
      </c>
      <c r="D714" s="3" t="s">
        <v>718</v>
      </c>
      <c r="E714" s="4" t="n">
        <v>5</v>
      </c>
    </row>
    <row r="715" customFormat="false" ht="15" hidden="false" customHeight="false" outlineLevel="0" collapsed="false">
      <c r="A715" s="3" t="n">
        <v>2013</v>
      </c>
      <c r="B715" s="3" t="n">
        <v>12</v>
      </c>
      <c r="C715" s="3" t="n">
        <v>14</v>
      </c>
      <c r="D715" s="3" t="s">
        <v>719</v>
      </c>
      <c r="E715" s="4" t="n">
        <v>0</v>
      </c>
    </row>
    <row r="716" customFormat="false" ht="15" hidden="false" customHeight="false" outlineLevel="0" collapsed="false">
      <c r="A716" s="3" t="n">
        <v>2013</v>
      </c>
      <c r="B716" s="3" t="n">
        <v>12</v>
      </c>
      <c r="C716" s="3" t="n">
        <v>15</v>
      </c>
      <c r="D716" s="3" t="s">
        <v>720</v>
      </c>
      <c r="E716" s="4" t="n">
        <v>0</v>
      </c>
    </row>
    <row r="717" customFormat="false" ht="15" hidden="false" customHeight="false" outlineLevel="0" collapsed="false">
      <c r="A717" s="3" t="n">
        <v>2013</v>
      </c>
      <c r="B717" s="3" t="n">
        <v>12</v>
      </c>
      <c r="C717" s="3" t="n">
        <v>16</v>
      </c>
      <c r="D717" s="3" t="s">
        <v>721</v>
      </c>
      <c r="E717" s="4" t="n">
        <v>0</v>
      </c>
    </row>
    <row r="718" customFormat="false" ht="15" hidden="false" customHeight="false" outlineLevel="0" collapsed="false">
      <c r="A718" s="3" t="n">
        <v>2013</v>
      </c>
      <c r="B718" s="3" t="n">
        <v>12</v>
      </c>
      <c r="C718" s="3" t="n">
        <v>17</v>
      </c>
      <c r="D718" s="3" t="s">
        <v>722</v>
      </c>
      <c r="E718" s="4" t="n">
        <v>20</v>
      </c>
    </row>
    <row r="719" customFormat="false" ht="15" hidden="false" customHeight="false" outlineLevel="0" collapsed="false">
      <c r="A719" s="3" t="n">
        <v>2013</v>
      </c>
      <c r="B719" s="3" t="n">
        <v>12</v>
      </c>
      <c r="C719" s="3" t="n">
        <v>18</v>
      </c>
      <c r="D719" s="3" t="s">
        <v>723</v>
      </c>
      <c r="E719" s="4" t="n">
        <v>120</v>
      </c>
    </row>
    <row r="720" customFormat="false" ht="15" hidden="false" customHeight="false" outlineLevel="0" collapsed="false">
      <c r="A720" s="3" t="n">
        <v>2013</v>
      </c>
      <c r="B720" s="3" t="n">
        <v>12</v>
      </c>
      <c r="C720" s="3" t="n">
        <v>19</v>
      </c>
      <c r="D720" s="3" t="s">
        <v>724</v>
      </c>
      <c r="E720" s="4" t="n">
        <v>1</v>
      </c>
    </row>
    <row r="721" customFormat="false" ht="15" hidden="false" customHeight="false" outlineLevel="0" collapsed="false">
      <c r="A721" s="3" t="n">
        <v>2013</v>
      </c>
      <c r="B721" s="3" t="n">
        <v>12</v>
      </c>
      <c r="C721" s="3" t="n">
        <v>20</v>
      </c>
      <c r="D721" s="3" t="s">
        <v>725</v>
      </c>
      <c r="E721" s="4" t="n">
        <v>0</v>
      </c>
    </row>
    <row r="722" customFormat="false" ht="15" hidden="false" customHeight="false" outlineLevel="0" collapsed="false">
      <c r="A722" s="3" t="n">
        <v>2013</v>
      </c>
      <c r="B722" s="3" t="n">
        <v>12</v>
      </c>
      <c r="C722" s="3" t="n">
        <v>21</v>
      </c>
      <c r="D722" s="3" t="s">
        <v>726</v>
      </c>
      <c r="E722" s="4" t="n">
        <v>0</v>
      </c>
    </row>
    <row r="723" customFormat="false" ht="15" hidden="false" customHeight="false" outlineLevel="0" collapsed="false">
      <c r="A723" s="3" t="n">
        <v>2013</v>
      </c>
      <c r="B723" s="3" t="n">
        <v>12</v>
      </c>
      <c r="C723" s="3" t="n">
        <v>22</v>
      </c>
      <c r="D723" s="3" t="s">
        <v>727</v>
      </c>
      <c r="E723" s="4" t="n">
        <v>0</v>
      </c>
    </row>
    <row r="724" customFormat="false" ht="15" hidden="false" customHeight="false" outlineLevel="0" collapsed="false">
      <c r="A724" s="3" t="n">
        <v>2013</v>
      </c>
      <c r="B724" s="3" t="n">
        <v>12</v>
      </c>
      <c r="C724" s="3" t="n">
        <v>23</v>
      </c>
      <c r="D724" s="3" t="s">
        <v>728</v>
      </c>
      <c r="E724" s="4" t="n">
        <v>0</v>
      </c>
    </row>
    <row r="725" customFormat="false" ht="15" hidden="false" customHeight="false" outlineLevel="0" collapsed="false">
      <c r="A725" s="3" t="n">
        <v>2013</v>
      </c>
      <c r="B725" s="3" t="n">
        <v>12</v>
      </c>
      <c r="C725" s="3" t="n">
        <v>24</v>
      </c>
      <c r="D725" s="3" t="s">
        <v>729</v>
      </c>
      <c r="E725" s="4" t="n">
        <v>0</v>
      </c>
    </row>
    <row r="726" customFormat="false" ht="15" hidden="false" customHeight="false" outlineLevel="0" collapsed="false">
      <c r="A726" s="3" t="n">
        <v>2013</v>
      </c>
      <c r="B726" s="3" t="n">
        <v>12</v>
      </c>
      <c r="C726" s="3" t="n">
        <v>25</v>
      </c>
      <c r="D726" s="3" t="s">
        <v>730</v>
      </c>
      <c r="E726" s="4" t="n">
        <v>0</v>
      </c>
    </row>
    <row r="727" customFormat="false" ht="15" hidden="false" customHeight="false" outlineLevel="0" collapsed="false">
      <c r="A727" s="3" t="n">
        <v>2013</v>
      </c>
      <c r="B727" s="3" t="n">
        <v>12</v>
      </c>
      <c r="C727" s="3" t="n">
        <v>26</v>
      </c>
      <c r="D727" s="3" t="s">
        <v>731</v>
      </c>
      <c r="E727" s="4" t="n">
        <v>2</v>
      </c>
    </row>
    <row r="728" customFormat="false" ht="15" hidden="false" customHeight="false" outlineLevel="0" collapsed="false">
      <c r="A728" s="3" t="n">
        <v>2013</v>
      </c>
      <c r="B728" s="3" t="n">
        <v>12</v>
      </c>
      <c r="C728" s="3" t="n">
        <v>27</v>
      </c>
      <c r="D728" s="3" t="s">
        <v>732</v>
      </c>
      <c r="E728" s="4" t="n">
        <v>0</v>
      </c>
    </row>
    <row r="729" customFormat="false" ht="15" hidden="false" customHeight="false" outlineLevel="0" collapsed="false">
      <c r="A729" s="3" t="n">
        <v>2013</v>
      </c>
      <c r="B729" s="3" t="n">
        <v>12</v>
      </c>
      <c r="C729" s="3" t="n">
        <v>28</v>
      </c>
      <c r="D729" s="3" t="s">
        <v>733</v>
      </c>
      <c r="E729" s="4" t="n">
        <v>70</v>
      </c>
    </row>
    <row r="730" customFormat="false" ht="15" hidden="false" customHeight="false" outlineLevel="0" collapsed="false">
      <c r="A730" s="3" t="n">
        <v>2013</v>
      </c>
      <c r="B730" s="3" t="n">
        <v>12</v>
      </c>
      <c r="C730" s="3" t="n">
        <v>29</v>
      </c>
      <c r="D730" s="3" t="s">
        <v>734</v>
      </c>
      <c r="E730" s="4" t="n">
        <v>0</v>
      </c>
    </row>
    <row r="731" customFormat="false" ht="15" hidden="false" customHeight="false" outlineLevel="0" collapsed="false">
      <c r="A731" s="3" t="n">
        <v>2013</v>
      </c>
      <c r="B731" s="3" t="n">
        <v>12</v>
      </c>
      <c r="C731" s="3" t="n">
        <v>30</v>
      </c>
      <c r="D731" s="3" t="s">
        <v>735</v>
      </c>
      <c r="E731" s="4" t="n">
        <v>7</v>
      </c>
    </row>
    <row r="732" customFormat="false" ht="15" hidden="false" customHeight="false" outlineLevel="0" collapsed="false">
      <c r="A732" s="3" t="n">
        <v>2013</v>
      </c>
      <c r="B732" s="3" t="n">
        <v>12</v>
      </c>
      <c r="C732" s="3" t="n">
        <v>31</v>
      </c>
      <c r="D732" s="3" t="s">
        <v>736</v>
      </c>
      <c r="E732" s="4"/>
    </row>
    <row r="733" customFormat="false" ht="15" hidden="false" customHeight="false" outlineLevel="0" collapsed="false">
      <c r="A733" s="3" t="n">
        <v>2014</v>
      </c>
      <c r="B733" s="3" t="n">
        <v>1</v>
      </c>
      <c r="C733" s="3" t="n">
        <v>1</v>
      </c>
      <c r="D733" s="3" t="s">
        <v>737</v>
      </c>
      <c r="E733" s="4" t="n">
        <v>0</v>
      </c>
    </row>
    <row r="734" customFormat="false" ht="15" hidden="false" customHeight="false" outlineLevel="0" collapsed="false">
      <c r="A734" s="3" t="n">
        <v>2014</v>
      </c>
      <c r="B734" s="3" t="n">
        <v>1</v>
      </c>
      <c r="C734" s="3" t="n">
        <v>2</v>
      </c>
      <c r="D734" s="3" t="s">
        <v>738</v>
      </c>
      <c r="E734" s="4" t="n">
        <v>11</v>
      </c>
    </row>
    <row r="735" customFormat="false" ht="15" hidden="false" customHeight="false" outlineLevel="0" collapsed="false">
      <c r="A735" s="3" t="n">
        <v>2014</v>
      </c>
      <c r="B735" s="3" t="n">
        <v>1</v>
      </c>
      <c r="C735" s="3" t="n">
        <v>3</v>
      </c>
      <c r="D735" s="3" t="s">
        <v>739</v>
      </c>
      <c r="E735" s="4" t="n">
        <v>0</v>
      </c>
    </row>
    <row r="736" customFormat="false" ht="15" hidden="false" customHeight="false" outlineLevel="0" collapsed="false">
      <c r="A736" s="3" t="n">
        <v>2014</v>
      </c>
      <c r="B736" s="3" t="n">
        <v>1</v>
      </c>
      <c r="C736" s="3" t="n">
        <v>4</v>
      </c>
      <c r="D736" s="3" t="s">
        <v>740</v>
      </c>
      <c r="E736" s="4" t="n">
        <v>0</v>
      </c>
    </row>
    <row r="737" customFormat="false" ht="15" hidden="false" customHeight="false" outlineLevel="0" collapsed="false">
      <c r="A737" s="3" t="n">
        <v>2014</v>
      </c>
      <c r="B737" s="3" t="n">
        <v>1</v>
      </c>
      <c r="C737" s="3" t="n">
        <v>5</v>
      </c>
      <c r="D737" s="3" t="s">
        <v>741</v>
      </c>
      <c r="E737" s="4" t="n">
        <v>0</v>
      </c>
    </row>
    <row r="738" customFormat="false" ht="15" hidden="false" customHeight="false" outlineLevel="0" collapsed="false">
      <c r="A738" s="3" t="n">
        <v>2014</v>
      </c>
      <c r="B738" s="3" t="n">
        <v>1</v>
      </c>
      <c r="C738" s="3" t="n">
        <v>6</v>
      </c>
      <c r="D738" s="3" t="s">
        <v>742</v>
      </c>
      <c r="E738" s="4" t="n">
        <v>6</v>
      </c>
    </row>
    <row r="739" customFormat="false" ht="15" hidden="false" customHeight="false" outlineLevel="0" collapsed="false">
      <c r="A739" s="3" t="n">
        <v>2014</v>
      </c>
      <c r="B739" s="3" t="n">
        <v>1</v>
      </c>
      <c r="C739" s="3" t="n">
        <v>7</v>
      </c>
      <c r="D739" s="3" t="s">
        <v>743</v>
      </c>
      <c r="E739" s="4" t="n">
        <v>0</v>
      </c>
    </row>
    <row r="740" customFormat="false" ht="15" hidden="false" customHeight="false" outlineLevel="0" collapsed="false">
      <c r="A740" s="3" t="n">
        <v>2014</v>
      </c>
      <c r="B740" s="3" t="n">
        <v>1</v>
      </c>
      <c r="C740" s="3" t="n">
        <v>8</v>
      </c>
      <c r="D740" s="3" t="s">
        <v>744</v>
      </c>
      <c r="E740" s="4" t="n">
        <v>10</v>
      </c>
    </row>
    <row r="741" customFormat="false" ht="15" hidden="false" customHeight="false" outlineLevel="0" collapsed="false">
      <c r="A741" s="3" t="n">
        <v>2014</v>
      </c>
      <c r="B741" s="3" t="n">
        <v>1</v>
      </c>
      <c r="C741" s="3" t="n">
        <v>9</v>
      </c>
      <c r="D741" s="3" t="s">
        <v>745</v>
      </c>
      <c r="E741" s="4" t="n">
        <v>0</v>
      </c>
    </row>
    <row r="742" customFormat="false" ht="15" hidden="false" customHeight="false" outlineLevel="0" collapsed="false">
      <c r="A742" s="3" t="n">
        <v>2014</v>
      </c>
      <c r="B742" s="3" t="n">
        <v>1</v>
      </c>
      <c r="C742" s="3" t="n">
        <v>10</v>
      </c>
      <c r="D742" s="3" t="s">
        <v>746</v>
      </c>
      <c r="E742" s="4" t="n">
        <v>2</v>
      </c>
    </row>
    <row r="743" customFormat="false" ht="15" hidden="false" customHeight="false" outlineLevel="0" collapsed="false">
      <c r="A743" s="3" t="n">
        <v>2014</v>
      </c>
      <c r="B743" s="3" t="n">
        <v>1</v>
      </c>
      <c r="C743" s="3" t="n">
        <v>11</v>
      </c>
      <c r="D743" s="3" t="s">
        <v>747</v>
      </c>
      <c r="E743" s="4" t="n">
        <v>10</v>
      </c>
    </row>
    <row r="744" customFormat="false" ht="15" hidden="false" customHeight="false" outlineLevel="0" collapsed="false">
      <c r="A744" s="3" t="n">
        <v>2014</v>
      </c>
      <c r="B744" s="3" t="n">
        <v>1</v>
      </c>
      <c r="C744" s="3" t="n">
        <v>12</v>
      </c>
      <c r="D744" s="3" t="s">
        <v>748</v>
      </c>
      <c r="E744" s="4" t="n">
        <v>0</v>
      </c>
    </row>
    <row r="745" customFormat="false" ht="15" hidden="false" customHeight="false" outlineLevel="0" collapsed="false">
      <c r="A745" s="3" t="n">
        <v>2014</v>
      </c>
      <c r="B745" s="3" t="n">
        <v>1</v>
      </c>
      <c r="C745" s="3" t="n">
        <v>13</v>
      </c>
      <c r="D745" s="3" t="s">
        <v>749</v>
      </c>
      <c r="E745" s="4" t="n">
        <v>13</v>
      </c>
    </row>
    <row r="746" customFormat="false" ht="15" hidden="false" customHeight="false" outlineLevel="0" collapsed="false">
      <c r="A746" s="3" t="n">
        <v>2014</v>
      </c>
      <c r="B746" s="3" t="n">
        <v>1</v>
      </c>
      <c r="C746" s="3" t="n">
        <v>14</v>
      </c>
      <c r="D746" s="3" t="s">
        <v>750</v>
      </c>
      <c r="E746" s="4" t="n">
        <v>14</v>
      </c>
    </row>
    <row r="747" customFormat="false" ht="15" hidden="false" customHeight="false" outlineLevel="0" collapsed="false">
      <c r="A747" s="3" t="n">
        <v>2014</v>
      </c>
      <c r="B747" s="3" t="n">
        <v>1</v>
      </c>
      <c r="C747" s="3" t="n">
        <v>15</v>
      </c>
      <c r="D747" s="3" t="s">
        <v>751</v>
      </c>
      <c r="E747" s="4" t="n">
        <v>0</v>
      </c>
    </row>
    <row r="748" customFormat="false" ht="15" hidden="false" customHeight="false" outlineLevel="0" collapsed="false">
      <c r="A748" s="3" t="n">
        <v>2014</v>
      </c>
      <c r="B748" s="3" t="n">
        <v>1</v>
      </c>
      <c r="C748" s="3" t="n">
        <v>16</v>
      </c>
      <c r="D748" s="3" t="s">
        <v>752</v>
      </c>
      <c r="E748" s="4" t="n">
        <v>0</v>
      </c>
    </row>
    <row r="749" customFormat="false" ht="15" hidden="false" customHeight="false" outlineLevel="0" collapsed="false">
      <c r="A749" s="3" t="n">
        <v>2014</v>
      </c>
      <c r="B749" s="3" t="n">
        <v>1</v>
      </c>
      <c r="C749" s="3" t="n">
        <v>17</v>
      </c>
      <c r="D749" s="3" t="s">
        <v>753</v>
      </c>
      <c r="E749" s="4" t="n">
        <v>0</v>
      </c>
    </row>
    <row r="750" customFormat="false" ht="15" hidden="false" customHeight="false" outlineLevel="0" collapsed="false">
      <c r="A750" s="3" t="n">
        <v>2014</v>
      </c>
      <c r="B750" s="3" t="n">
        <v>1</v>
      </c>
      <c r="C750" s="3" t="n">
        <v>18</v>
      </c>
      <c r="D750" s="3" t="s">
        <v>754</v>
      </c>
      <c r="E750" s="4" t="n">
        <v>0</v>
      </c>
    </row>
    <row r="751" customFormat="false" ht="15" hidden="false" customHeight="false" outlineLevel="0" collapsed="false">
      <c r="A751" s="3" t="n">
        <v>2014</v>
      </c>
      <c r="B751" s="3" t="n">
        <v>1</v>
      </c>
      <c r="C751" s="3" t="n">
        <v>19</v>
      </c>
      <c r="D751" s="3" t="s">
        <v>755</v>
      </c>
      <c r="E751" s="4" t="n">
        <v>0</v>
      </c>
    </row>
    <row r="752" customFormat="false" ht="15" hidden="false" customHeight="false" outlineLevel="0" collapsed="false">
      <c r="A752" s="3" t="n">
        <v>2014</v>
      </c>
      <c r="B752" s="3" t="n">
        <v>1</v>
      </c>
      <c r="C752" s="3" t="n">
        <v>20</v>
      </c>
      <c r="D752" s="3" t="s">
        <v>756</v>
      </c>
      <c r="E752" s="4" t="n">
        <v>0</v>
      </c>
    </row>
    <row r="753" customFormat="false" ht="15" hidden="false" customHeight="false" outlineLevel="0" collapsed="false">
      <c r="A753" s="3" t="n">
        <v>2014</v>
      </c>
      <c r="B753" s="3" t="n">
        <v>1</v>
      </c>
      <c r="C753" s="3" t="n">
        <v>21</v>
      </c>
      <c r="D753" s="3" t="s">
        <v>757</v>
      </c>
      <c r="E753" s="4" t="n">
        <v>0</v>
      </c>
    </row>
    <row r="754" customFormat="false" ht="15" hidden="false" customHeight="false" outlineLevel="0" collapsed="false">
      <c r="A754" s="3" t="n">
        <v>2014</v>
      </c>
      <c r="B754" s="3" t="n">
        <v>1</v>
      </c>
      <c r="C754" s="3" t="n">
        <v>22</v>
      </c>
      <c r="D754" s="3" t="s">
        <v>758</v>
      </c>
      <c r="E754" s="4" t="n">
        <v>0</v>
      </c>
    </row>
    <row r="755" customFormat="false" ht="15" hidden="false" customHeight="false" outlineLevel="0" collapsed="false">
      <c r="A755" s="3" t="n">
        <v>2014</v>
      </c>
      <c r="B755" s="3" t="n">
        <v>1</v>
      </c>
      <c r="C755" s="3" t="n">
        <v>23</v>
      </c>
      <c r="D755" s="3" t="s">
        <v>759</v>
      </c>
      <c r="E755" s="4" t="n">
        <v>0</v>
      </c>
    </row>
    <row r="756" customFormat="false" ht="15" hidden="false" customHeight="false" outlineLevel="0" collapsed="false">
      <c r="A756" s="3" t="n">
        <v>2014</v>
      </c>
      <c r="B756" s="3" t="n">
        <v>1</v>
      </c>
      <c r="C756" s="3" t="n">
        <v>24</v>
      </c>
      <c r="D756" s="3" t="s">
        <v>760</v>
      </c>
      <c r="E756" s="4" t="n">
        <v>0</v>
      </c>
    </row>
    <row r="757" customFormat="false" ht="15" hidden="false" customHeight="false" outlineLevel="0" collapsed="false">
      <c r="A757" s="3" t="n">
        <v>2014</v>
      </c>
      <c r="B757" s="3" t="n">
        <v>1</v>
      </c>
      <c r="C757" s="3" t="n">
        <v>25</v>
      </c>
      <c r="D757" s="3" t="s">
        <v>761</v>
      </c>
      <c r="E757" s="4" t="n">
        <v>0</v>
      </c>
    </row>
    <row r="758" customFormat="false" ht="15" hidden="false" customHeight="false" outlineLevel="0" collapsed="false">
      <c r="A758" s="3" t="n">
        <v>2014</v>
      </c>
      <c r="B758" s="3" t="n">
        <v>1</v>
      </c>
      <c r="C758" s="3" t="n">
        <v>26</v>
      </c>
      <c r="D758" s="3" t="s">
        <v>762</v>
      </c>
      <c r="E758" s="4" t="n">
        <v>0</v>
      </c>
    </row>
    <row r="759" customFormat="false" ht="15" hidden="false" customHeight="false" outlineLevel="0" collapsed="false">
      <c r="A759" s="3" t="n">
        <v>2014</v>
      </c>
      <c r="B759" s="3" t="n">
        <v>1</v>
      </c>
      <c r="C759" s="3" t="n">
        <v>27</v>
      </c>
      <c r="D759" s="3" t="s">
        <v>763</v>
      </c>
      <c r="E759" s="4" t="n">
        <v>0</v>
      </c>
    </row>
    <row r="760" customFormat="false" ht="15" hidden="false" customHeight="false" outlineLevel="0" collapsed="false">
      <c r="A760" s="3" t="n">
        <v>2014</v>
      </c>
      <c r="B760" s="3" t="n">
        <v>1</v>
      </c>
      <c r="C760" s="3" t="n">
        <v>28</v>
      </c>
      <c r="D760" s="3" t="s">
        <v>764</v>
      </c>
      <c r="E760" s="4" t="n">
        <v>0</v>
      </c>
    </row>
    <row r="761" customFormat="false" ht="15" hidden="false" customHeight="false" outlineLevel="0" collapsed="false">
      <c r="A761" s="3" t="n">
        <v>2014</v>
      </c>
      <c r="B761" s="3" t="n">
        <v>1</v>
      </c>
      <c r="C761" s="3" t="n">
        <v>29</v>
      </c>
      <c r="D761" s="3" t="s">
        <v>765</v>
      </c>
      <c r="E761" s="4" t="n">
        <v>0</v>
      </c>
    </row>
    <row r="762" customFormat="false" ht="15" hidden="false" customHeight="false" outlineLevel="0" collapsed="false">
      <c r="A762" s="3" t="n">
        <v>2014</v>
      </c>
      <c r="B762" s="3" t="n">
        <v>1</v>
      </c>
      <c r="C762" s="3" t="n">
        <v>30</v>
      </c>
      <c r="D762" s="3" t="s">
        <v>766</v>
      </c>
      <c r="E762" s="4" t="n">
        <v>0</v>
      </c>
    </row>
    <row r="763" customFormat="false" ht="15" hidden="false" customHeight="false" outlineLevel="0" collapsed="false">
      <c r="A763" s="3" t="n">
        <v>2014</v>
      </c>
      <c r="B763" s="3" t="n">
        <v>1</v>
      </c>
      <c r="C763" s="3" t="n">
        <v>31</v>
      </c>
      <c r="D763" s="3" t="s">
        <v>767</v>
      </c>
      <c r="E763" s="4" t="n">
        <v>0</v>
      </c>
    </row>
    <row r="764" customFormat="false" ht="15" hidden="false" customHeight="false" outlineLevel="0" collapsed="false">
      <c r="A764" s="3" t="n">
        <v>2014</v>
      </c>
      <c r="B764" s="3" t="n">
        <v>2</v>
      </c>
      <c r="C764" s="3" t="n">
        <v>1</v>
      </c>
      <c r="D764" s="3" t="s">
        <v>768</v>
      </c>
      <c r="E764" s="4" t="n">
        <v>0</v>
      </c>
    </row>
    <row r="765" customFormat="false" ht="15" hidden="false" customHeight="false" outlineLevel="0" collapsed="false">
      <c r="A765" s="3" t="n">
        <v>2014</v>
      </c>
      <c r="B765" s="3" t="n">
        <v>2</v>
      </c>
      <c r="C765" s="3" t="n">
        <v>2</v>
      </c>
      <c r="D765" s="3" t="s">
        <v>769</v>
      </c>
      <c r="E765" s="4" t="n">
        <v>0</v>
      </c>
    </row>
    <row r="766" customFormat="false" ht="15" hidden="false" customHeight="false" outlineLevel="0" collapsed="false">
      <c r="A766" s="3" t="n">
        <v>2014</v>
      </c>
      <c r="B766" s="3" t="n">
        <v>2</v>
      </c>
      <c r="C766" s="3" t="n">
        <v>3</v>
      </c>
      <c r="D766" s="3" t="s">
        <v>770</v>
      </c>
      <c r="E766" s="4" t="n">
        <v>0</v>
      </c>
    </row>
    <row r="767" customFormat="false" ht="15" hidden="false" customHeight="false" outlineLevel="0" collapsed="false">
      <c r="A767" s="3" t="n">
        <v>2014</v>
      </c>
      <c r="B767" s="3" t="n">
        <v>2</v>
      </c>
      <c r="C767" s="3" t="n">
        <v>4</v>
      </c>
      <c r="D767" s="3" t="s">
        <v>771</v>
      </c>
      <c r="E767" s="4" t="n">
        <v>0</v>
      </c>
    </row>
    <row r="768" customFormat="false" ht="15" hidden="false" customHeight="false" outlineLevel="0" collapsed="false">
      <c r="A768" s="3" t="n">
        <v>2014</v>
      </c>
      <c r="B768" s="3" t="n">
        <v>2</v>
      </c>
      <c r="C768" s="3" t="n">
        <v>5</v>
      </c>
      <c r="D768" s="3" t="s">
        <v>772</v>
      </c>
      <c r="E768" s="4" t="n">
        <v>0</v>
      </c>
    </row>
    <row r="769" customFormat="false" ht="15" hidden="false" customHeight="false" outlineLevel="0" collapsed="false">
      <c r="A769" s="3" t="n">
        <v>2014</v>
      </c>
      <c r="B769" s="3" t="n">
        <v>2</v>
      </c>
      <c r="C769" s="3" t="n">
        <v>6</v>
      </c>
      <c r="D769" s="3" t="s">
        <v>773</v>
      </c>
      <c r="E769" s="4" t="n">
        <v>0</v>
      </c>
    </row>
    <row r="770" customFormat="false" ht="15" hidden="false" customHeight="false" outlineLevel="0" collapsed="false">
      <c r="A770" s="3" t="n">
        <v>2014</v>
      </c>
      <c r="B770" s="3" t="n">
        <v>2</v>
      </c>
      <c r="C770" s="3" t="n">
        <v>7</v>
      </c>
      <c r="D770" s="3" t="s">
        <v>774</v>
      </c>
      <c r="E770" s="4" t="n">
        <v>0</v>
      </c>
    </row>
    <row r="771" customFormat="false" ht="15" hidden="false" customHeight="false" outlineLevel="0" collapsed="false">
      <c r="A771" s="3" t="n">
        <v>2014</v>
      </c>
      <c r="B771" s="3" t="n">
        <v>2</v>
      </c>
      <c r="C771" s="3" t="n">
        <v>8</v>
      </c>
      <c r="D771" s="3" t="s">
        <v>775</v>
      </c>
      <c r="E771" s="4" t="n">
        <v>0</v>
      </c>
    </row>
    <row r="772" customFormat="false" ht="15" hidden="false" customHeight="false" outlineLevel="0" collapsed="false">
      <c r="A772" s="3" t="n">
        <v>2014</v>
      </c>
      <c r="B772" s="3" t="n">
        <v>2</v>
      </c>
      <c r="C772" s="3" t="n">
        <v>9</v>
      </c>
      <c r="D772" s="3" t="s">
        <v>776</v>
      </c>
      <c r="E772" s="4" t="n">
        <v>0</v>
      </c>
    </row>
    <row r="773" customFormat="false" ht="15" hidden="false" customHeight="false" outlineLevel="0" collapsed="false">
      <c r="A773" s="3" t="n">
        <v>2014</v>
      </c>
      <c r="B773" s="3" t="n">
        <v>2</v>
      </c>
      <c r="C773" s="3" t="n">
        <v>10</v>
      </c>
      <c r="D773" s="3" t="s">
        <v>777</v>
      </c>
      <c r="E773" s="4" t="n">
        <v>0</v>
      </c>
    </row>
    <row r="774" customFormat="false" ht="15" hidden="false" customHeight="false" outlineLevel="0" collapsed="false">
      <c r="A774" s="3" t="n">
        <v>2014</v>
      </c>
      <c r="B774" s="3" t="n">
        <v>2</v>
      </c>
      <c r="C774" s="3" t="n">
        <v>11</v>
      </c>
      <c r="D774" s="3" t="s">
        <v>778</v>
      </c>
      <c r="E774" s="4" t="n">
        <v>0</v>
      </c>
    </row>
    <row r="775" customFormat="false" ht="15" hidden="false" customHeight="false" outlineLevel="0" collapsed="false">
      <c r="A775" s="3" t="n">
        <v>2014</v>
      </c>
      <c r="B775" s="3" t="n">
        <v>2</v>
      </c>
      <c r="C775" s="3" t="n">
        <v>12</v>
      </c>
      <c r="D775" s="3" t="s">
        <v>779</v>
      </c>
      <c r="E775" s="4" t="n">
        <v>0</v>
      </c>
    </row>
    <row r="776" customFormat="false" ht="15" hidden="false" customHeight="false" outlineLevel="0" collapsed="false">
      <c r="A776" s="3" t="n">
        <v>2014</v>
      </c>
      <c r="B776" s="3" t="n">
        <v>2</v>
      </c>
      <c r="C776" s="3" t="n">
        <v>13</v>
      </c>
      <c r="D776" s="3" t="s">
        <v>780</v>
      </c>
      <c r="E776" s="4" t="n">
        <v>0</v>
      </c>
    </row>
    <row r="777" customFormat="false" ht="15" hidden="false" customHeight="false" outlineLevel="0" collapsed="false">
      <c r="A777" s="3" t="n">
        <v>2014</v>
      </c>
      <c r="B777" s="3" t="n">
        <v>2</v>
      </c>
      <c r="C777" s="3" t="n">
        <v>14</v>
      </c>
      <c r="D777" s="3" t="s">
        <v>781</v>
      </c>
      <c r="E777" s="4" t="n">
        <v>0</v>
      </c>
    </row>
    <row r="778" customFormat="false" ht="15" hidden="false" customHeight="false" outlineLevel="0" collapsed="false">
      <c r="A778" s="3" t="n">
        <v>2014</v>
      </c>
      <c r="B778" s="3" t="n">
        <v>2</v>
      </c>
      <c r="C778" s="3" t="n">
        <v>15</v>
      </c>
      <c r="D778" s="3" t="s">
        <v>782</v>
      </c>
      <c r="E778" s="4" t="n">
        <v>0</v>
      </c>
    </row>
    <row r="779" customFormat="false" ht="15" hidden="false" customHeight="false" outlineLevel="0" collapsed="false">
      <c r="A779" s="3" t="n">
        <v>2014</v>
      </c>
      <c r="B779" s="3" t="n">
        <v>2</v>
      </c>
      <c r="C779" s="3" t="n">
        <v>16</v>
      </c>
      <c r="D779" s="3" t="s">
        <v>783</v>
      </c>
      <c r="E779" s="4" t="n">
        <v>8</v>
      </c>
    </row>
    <row r="780" customFormat="false" ht="15" hidden="false" customHeight="false" outlineLevel="0" collapsed="false">
      <c r="A780" s="3" t="n">
        <v>2014</v>
      </c>
      <c r="B780" s="3" t="n">
        <v>2</v>
      </c>
      <c r="C780" s="3" t="n">
        <v>17</v>
      </c>
      <c r="D780" s="3" t="s">
        <v>784</v>
      </c>
      <c r="E780" s="4" t="n">
        <v>0</v>
      </c>
    </row>
    <row r="781" customFormat="false" ht="15" hidden="false" customHeight="false" outlineLevel="0" collapsed="false">
      <c r="A781" s="3" t="n">
        <v>2014</v>
      </c>
      <c r="B781" s="3" t="n">
        <v>2</v>
      </c>
      <c r="C781" s="3" t="n">
        <v>18</v>
      </c>
      <c r="D781" s="3" t="s">
        <v>785</v>
      </c>
      <c r="E781" s="4" t="n">
        <v>0</v>
      </c>
    </row>
    <row r="782" customFormat="false" ht="15" hidden="false" customHeight="false" outlineLevel="0" collapsed="false">
      <c r="A782" s="3" t="n">
        <v>2014</v>
      </c>
      <c r="B782" s="3" t="n">
        <v>2</v>
      </c>
      <c r="C782" s="3" t="n">
        <v>19</v>
      </c>
      <c r="D782" s="3" t="s">
        <v>786</v>
      </c>
      <c r="E782" s="4" t="n">
        <v>0</v>
      </c>
    </row>
    <row r="783" customFormat="false" ht="15" hidden="false" customHeight="false" outlineLevel="0" collapsed="false">
      <c r="A783" s="3" t="n">
        <v>2014</v>
      </c>
      <c r="B783" s="3" t="n">
        <v>2</v>
      </c>
      <c r="C783" s="3" t="n">
        <v>20</v>
      </c>
      <c r="D783" s="3" t="s">
        <v>787</v>
      </c>
      <c r="E783" s="4" t="n">
        <v>0</v>
      </c>
    </row>
    <row r="784" customFormat="false" ht="15" hidden="false" customHeight="false" outlineLevel="0" collapsed="false">
      <c r="A784" s="3" t="n">
        <v>2014</v>
      </c>
      <c r="B784" s="3" t="n">
        <v>2</v>
      </c>
      <c r="C784" s="3" t="n">
        <v>21</v>
      </c>
      <c r="D784" s="3" t="s">
        <v>788</v>
      </c>
      <c r="E784" s="4" t="n">
        <v>0</v>
      </c>
    </row>
    <row r="785" customFormat="false" ht="15" hidden="false" customHeight="false" outlineLevel="0" collapsed="false">
      <c r="A785" s="3" t="n">
        <v>2014</v>
      </c>
      <c r="B785" s="3" t="n">
        <v>2</v>
      </c>
      <c r="C785" s="3" t="n">
        <v>22</v>
      </c>
      <c r="D785" s="3" t="s">
        <v>789</v>
      </c>
      <c r="E785" s="4" t="n">
        <v>0</v>
      </c>
    </row>
    <row r="786" customFormat="false" ht="15" hidden="false" customHeight="false" outlineLevel="0" collapsed="false">
      <c r="A786" s="3" t="n">
        <v>2014</v>
      </c>
      <c r="B786" s="3" t="n">
        <v>2</v>
      </c>
      <c r="C786" s="3" t="n">
        <v>23</v>
      </c>
      <c r="D786" s="3" t="s">
        <v>790</v>
      </c>
      <c r="E786" s="4" t="n">
        <v>14</v>
      </c>
    </row>
    <row r="787" customFormat="false" ht="15" hidden="false" customHeight="false" outlineLevel="0" collapsed="false">
      <c r="A787" s="3" t="n">
        <v>2014</v>
      </c>
      <c r="B787" s="3" t="n">
        <v>2</v>
      </c>
      <c r="C787" s="3" t="n">
        <v>24</v>
      </c>
      <c r="D787" s="3" t="s">
        <v>791</v>
      </c>
      <c r="E787" s="4" t="n">
        <v>0</v>
      </c>
    </row>
    <row r="788" customFormat="false" ht="15" hidden="false" customHeight="false" outlineLevel="0" collapsed="false">
      <c r="A788" s="3" t="n">
        <v>2014</v>
      </c>
      <c r="B788" s="3" t="n">
        <v>2</v>
      </c>
      <c r="C788" s="3" t="n">
        <v>25</v>
      </c>
      <c r="D788" s="3" t="s">
        <v>792</v>
      </c>
      <c r="E788" s="4" t="n">
        <v>0</v>
      </c>
    </row>
    <row r="789" customFormat="false" ht="15" hidden="false" customHeight="false" outlineLevel="0" collapsed="false">
      <c r="A789" s="3" t="n">
        <v>2014</v>
      </c>
      <c r="B789" s="3" t="n">
        <v>2</v>
      </c>
      <c r="C789" s="3" t="n">
        <v>26</v>
      </c>
      <c r="D789" s="3" t="s">
        <v>793</v>
      </c>
      <c r="E789" s="4" t="n">
        <v>2</v>
      </c>
    </row>
    <row r="790" customFormat="false" ht="15" hidden="false" customHeight="false" outlineLevel="0" collapsed="false">
      <c r="A790" s="3" t="n">
        <v>2014</v>
      </c>
      <c r="B790" s="3" t="n">
        <v>2</v>
      </c>
      <c r="C790" s="3" t="n">
        <v>27</v>
      </c>
      <c r="D790" s="3" t="s">
        <v>794</v>
      </c>
      <c r="E790" s="4" t="n">
        <v>0</v>
      </c>
    </row>
    <row r="791" customFormat="false" ht="15" hidden="false" customHeight="false" outlineLevel="0" collapsed="false">
      <c r="A791" s="3" t="n">
        <v>2014</v>
      </c>
      <c r="B791" s="3" t="n">
        <v>2</v>
      </c>
      <c r="C791" s="3" t="n">
        <v>28</v>
      </c>
      <c r="D791" s="3" t="s">
        <v>795</v>
      </c>
      <c r="E791" s="4" t="n">
        <v>0</v>
      </c>
    </row>
    <row r="792" customFormat="false" ht="15" hidden="false" customHeight="false" outlineLevel="0" collapsed="false">
      <c r="A792" s="3" t="n">
        <v>2014</v>
      </c>
      <c r="B792" s="3" t="n">
        <v>3</v>
      </c>
      <c r="C792" s="3" t="n">
        <v>1</v>
      </c>
      <c r="D792" s="3" t="s">
        <v>796</v>
      </c>
      <c r="E792" s="4" t="n">
        <v>33</v>
      </c>
    </row>
    <row r="793" customFormat="false" ht="15" hidden="false" customHeight="false" outlineLevel="0" collapsed="false">
      <c r="A793" s="3" t="n">
        <v>2014</v>
      </c>
      <c r="B793" s="3" t="n">
        <v>3</v>
      </c>
      <c r="C793" s="3" t="n">
        <v>2</v>
      </c>
      <c r="D793" s="3" t="s">
        <v>797</v>
      </c>
      <c r="E793" s="4" t="n">
        <v>8</v>
      </c>
    </row>
    <row r="794" customFormat="false" ht="15" hidden="false" customHeight="false" outlineLevel="0" collapsed="false">
      <c r="A794" s="3" t="n">
        <v>2014</v>
      </c>
      <c r="B794" s="3" t="n">
        <v>3</v>
      </c>
      <c r="C794" s="3" t="n">
        <v>3</v>
      </c>
      <c r="D794" s="3" t="s">
        <v>798</v>
      </c>
      <c r="E794" s="4" t="n">
        <v>0</v>
      </c>
    </row>
    <row r="795" customFormat="false" ht="15" hidden="false" customHeight="false" outlineLevel="0" collapsed="false">
      <c r="A795" s="3" t="n">
        <v>2014</v>
      </c>
      <c r="B795" s="3" t="n">
        <v>3</v>
      </c>
      <c r="C795" s="3" t="n">
        <v>4</v>
      </c>
      <c r="D795" s="3" t="s">
        <v>799</v>
      </c>
      <c r="E795" s="4" t="n">
        <v>0</v>
      </c>
    </row>
    <row r="796" customFormat="false" ht="15" hidden="false" customHeight="false" outlineLevel="0" collapsed="false">
      <c r="A796" s="3" t="n">
        <v>2014</v>
      </c>
      <c r="B796" s="3" t="n">
        <v>3</v>
      </c>
      <c r="C796" s="3" t="n">
        <v>5</v>
      </c>
      <c r="D796" s="3" t="s">
        <v>800</v>
      </c>
      <c r="E796" s="4" t="n">
        <v>0</v>
      </c>
    </row>
    <row r="797" customFormat="false" ht="15" hidden="false" customHeight="false" outlineLevel="0" collapsed="false">
      <c r="A797" s="3" t="n">
        <v>2014</v>
      </c>
      <c r="B797" s="3" t="n">
        <v>3</v>
      </c>
      <c r="C797" s="3" t="n">
        <v>6</v>
      </c>
      <c r="D797" s="3" t="s">
        <v>801</v>
      </c>
      <c r="E797" s="4" t="n">
        <v>0</v>
      </c>
    </row>
    <row r="798" customFormat="false" ht="15" hidden="false" customHeight="false" outlineLevel="0" collapsed="false">
      <c r="A798" s="3" t="n">
        <v>2014</v>
      </c>
      <c r="B798" s="3" t="n">
        <v>3</v>
      </c>
      <c r="C798" s="3" t="n">
        <v>7</v>
      </c>
      <c r="D798" s="3" t="s">
        <v>802</v>
      </c>
      <c r="E798" s="4" t="n">
        <v>0</v>
      </c>
    </row>
    <row r="799" customFormat="false" ht="15" hidden="false" customHeight="false" outlineLevel="0" collapsed="false">
      <c r="A799" s="3" t="n">
        <v>2014</v>
      </c>
      <c r="B799" s="3" t="n">
        <v>3</v>
      </c>
      <c r="C799" s="3" t="n">
        <v>8</v>
      </c>
      <c r="D799" s="3" t="s">
        <v>803</v>
      </c>
      <c r="E799" s="4" t="n">
        <v>0</v>
      </c>
    </row>
    <row r="800" customFormat="false" ht="15" hidden="false" customHeight="false" outlineLevel="0" collapsed="false">
      <c r="A800" s="3" t="n">
        <v>2014</v>
      </c>
      <c r="B800" s="3" t="n">
        <v>3</v>
      </c>
      <c r="C800" s="3" t="n">
        <v>9</v>
      </c>
      <c r="D800" s="3" t="s">
        <v>804</v>
      </c>
      <c r="E800" s="4" t="n">
        <v>5</v>
      </c>
    </row>
    <row r="801" customFormat="false" ht="15" hidden="false" customHeight="false" outlineLevel="0" collapsed="false">
      <c r="A801" s="3" t="n">
        <v>2014</v>
      </c>
      <c r="B801" s="3" t="n">
        <v>3</v>
      </c>
      <c r="C801" s="3" t="n">
        <v>10</v>
      </c>
      <c r="D801" s="3" t="s">
        <v>805</v>
      </c>
      <c r="E801" s="4" t="n">
        <v>0</v>
      </c>
    </row>
    <row r="802" customFormat="false" ht="15" hidden="false" customHeight="false" outlineLevel="0" collapsed="false">
      <c r="A802" s="3" t="n">
        <v>2014</v>
      </c>
      <c r="B802" s="3" t="n">
        <v>3</v>
      </c>
      <c r="C802" s="3" t="n">
        <v>11</v>
      </c>
      <c r="D802" s="3" t="s">
        <v>806</v>
      </c>
      <c r="E802" s="4" t="n">
        <v>0</v>
      </c>
    </row>
    <row r="803" customFormat="false" ht="15" hidden="false" customHeight="false" outlineLevel="0" collapsed="false">
      <c r="A803" s="3" t="n">
        <v>2014</v>
      </c>
      <c r="B803" s="3" t="n">
        <v>3</v>
      </c>
      <c r="C803" s="3" t="n">
        <v>12</v>
      </c>
      <c r="D803" s="3" t="s">
        <v>807</v>
      </c>
      <c r="E803" s="4" t="n">
        <v>0</v>
      </c>
    </row>
    <row r="804" customFormat="false" ht="15" hidden="false" customHeight="false" outlineLevel="0" collapsed="false">
      <c r="A804" s="3" t="n">
        <v>2014</v>
      </c>
      <c r="B804" s="3" t="n">
        <v>3</v>
      </c>
      <c r="C804" s="3" t="n">
        <v>13</v>
      </c>
      <c r="D804" s="3" t="s">
        <v>808</v>
      </c>
      <c r="E804" s="4" t="n">
        <v>26</v>
      </c>
    </row>
    <row r="805" customFormat="false" ht="15" hidden="false" customHeight="false" outlineLevel="0" collapsed="false">
      <c r="A805" s="3" t="n">
        <v>2014</v>
      </c>
      <c r="B805" s="3" t="n">
        <v>3</v>
      </c>
      <c r="C805" s="3" t="n">
        <v>14</v>
      </c>
      <c r="D805" s="3" t="s">
        <v>809</v>
      </c>
      <c r="E805" s="4" t="n">
        <v>0</v>
      </c>
    </row>
    <row r="806" customFormat="false" ht="15" hidden="false" customHeight="false" outlineLevel="0" collapsed="false">
      <c r="A806" s="3" t="n">
        <v>2014</v>
      </c>
      <c r="B806" s="3" t="n">
        <v>3</v>
      </c>
      <c r="C806" s="3" t="n">
        <v>15</v>
      </c>
      <c r="D806" s="3" t="s">
        <v>810</v>
      </c>
      <c r="E806" s="4" t="n">
        <v>0</v>
      </c>
    </row>
    <row r="807" customFormat="false" ht="15" hidden="false" customHeight="false" outlineLevel="0" collapsed="false">
      <c r="A807" s="3" t="n">
        <v>2014</v>
      </c>
      <c r="B807" s="3" t="n">
        <v>3</v>
      </c>
      <c r="C807" s="3" t="n">
        <v>16</v>
      </c>
      <c r="D807" s="3" t="s">
        <v>811</v>
      </c>
      <c r="E807" s="4" t="n">
        <v>0</v>
      </c>
    </row>
    <row r="808" customFormat="false" ht="15" hidden="false" customHeight="false" outlineLevel="0" collapsed="false">
      <c r="A808" s="3" t="n">
        <v>2014</v>
      </c>
      <c r="B808" s="3" t="n">
        <v>3</v>
      </c>
      <c r="C808" s="3" t="n">
        <v>17</v>
      </c>
      <c r="D808" s="3" t="s">
        <v>812</v>
      </c>
      <c r="E808" s="4" t="n">
        <v>25</v>
      </c>
    </row>
    <row r="809" customFormat="false" ht="15" hidden="false" customHeight="false" outlineLevel="0" collapsed="false">
      <c r="A809" s="3" t="n">
        <v>2014</v>
      </c>
      <c r="B809" s="3" t="n">
        <v>3</v>
      </c>
      <c r="C809" s="3" t="n">
        <v>18</v>
      </c>
      <c r="D809" s="3" t="s">
        <v>813</v>
      </c>
      <c r="E809" s="4" t="n">
        <v>15</v>
      </c>
    </row>
    <row r="810" customFormat="false" ht="15" hidden="false" customHeight="false" outlineLevel="0" collapsed="false">
      <c r="A810" s="3" t="n">
        <v>2014</v>
      </c>
      <c r="B810" s="3" t="n">
        <v>3</v>
      </c>
      <c r="C810" s="3" t="n">
        <v>19</v>
      </c>
      <c r="D810" s="3" t="s">
        <v>814</v>
      </c>
      <c r="E810" s="4" t="n">
        <v>2</v>
      </c>
    </row>
    <row r="811" customFormat="false" ht="15" hidden="false" customHeight="false" outlineLevel="0" collapsed="false">
      <c r="A811" s="3" t="n">
        <v>2014</v>
      </c>
      <c r="B811" s="3" t="n">
        <v>3</v>
      </c>
      <c r="C811" s="3" t="n">
        <v>20</v>
      </c>
      <c r="D811" s="3" t="s">
        <v>815</v>
      </c>
      <c r="E811" s="4" t="n">
        <v>0</v>
      </c>
    </row>
    <row r="812" customFormat="false" ht="15" hidden="false" customHeight="false" outlineLevel="0" collapsed="false">
      <c r="A812" s="3" t="n">
        <v>2014</v>
      </c>
      <c r="B812" s="3" t="n">
        <v>3</v>
      </c>
      <c r="C812" s="3" t="n">
        <v>21</v>
      </c>
      <c r="D812" s="3" t="s">
        <v>816</v>
      </c>
      <c r="E812" s="4" t="n">
        <v>0</v>
      </c>
    </row>
    <row r="813" customFormat="false" ht="15" hidden="false" customHeight="false" outlineLevel="0" collapsed="false">
      <c r="A813" s="3" t="n">
        <v>2014</v>
      </c>
      <c r="B813" s="3" t="n">
        <v>3</v>
      </c>
      <c r="C813" s="3" t="n">
        <v>22</v>
      </c>
      <c r="D813" s="3" t="s">
        <v>817</v>
      </c>
      <c r="E813" s="4" t="n">
        <v>0</v>
      </c>
    </row>
    <row r="814" customFormat="false" ht="15" hidden="false" customHeight="false" outlineLevel="0" collapsed="false">
      <c r="A814" s="3" t="n">
        <v>2014</v>
      </c>
      <c r="B814" s="3" t="n">
        <v>3</v>
      </c>
      <c r="C814" s="3" t="n">
        <v>23</v>
      </c>
      <c r="D814" s="3" t="s">
        <v>818</v>
      </c>
      <c r="E814" s="4" t="n">
        <v>0</v>
      </c>
    </row>
    <row r="815" customFormat="false" ht="15" hidden="false" customHeight="false" outlineLevel="0" collapsed="false">
      <c r="A815" s="3" t="n">
        <v>2014</v>
      </c>
      <c r="B815" s="3" t="n">
        <v>3</v>
      </c>
      <c r="C815" s="3" t="n">
        <v>24</v>
      </c>
      <c r="D815" s="3" t="s">
        <v>819</v>
      </c>
      <c r="E815" s="4" t="n">
        <v>0</v>
      </c>
    </row>
    <row r="816" customFormat="false" ht="15" hidden="false" customHeight="false" outlineLevel="0" collapsed="false">
      <c r="A816" s="3" t="n">
        <v>2014</v>
      </c>
      <c r="B816" s="3" t="n">
        <v>3</v>
      </c>
      <c r="C816" s="3" t="n">
        <v>25</v>
      </c>
      <c r="D816" s="3" t="s">
        <v>820</v>
      </c>
      <c r="E816" s="4" t="n">
        <v>0</v>
      </c>
    </row>
    <row r="817" customFormat="false" ht="15" hidden="false" customHeight="false" outlineLevel="0" collapsed="false">
      <c r="A817" s="3" t="n">
        <v>2014</v>
      </c>
      <c r="B817" s="3" t="n">
        <v>3</v>
      </c>
      <c r="C817" s="3" t="n">
        <v>26</v>
      </c>
      <c r="D817" s="3" t="s">
        <v>821</v>
      </c>
      <c r="E817" s="4" t="n">
        <v>0</v>
      </c>
    </row>
    <row r="818" customFormat="false" ht="15" hidden="false" customHeight="false" outlineLevel="0" collapsed="false">
      <c r="A818" s="3" t="n">
        <v>2014</v>
      </c>
      <c r="B818" s="3" t="n">
        <v>3</v>
      </c>
      <c r="C818" s="3" t="n">
        <v>27</v>
      </c>
      <c r="D818" s="3" t="s">
        <v>822</v>
      </c>
      <c r="E818" s="4" t="n">
        <v>14</v>
      </c>
    </row>
    <row r="819" customFormat="false" ht="15" hidden="false" customHeight="false" outlineLevel="0" collapsed="false">
      <c r="A819" s="3" t="n">
        <v>2014</v>
      </c>
      <c r="B819" s="3" t="n">
        <v>3</v>
      </c>
      <c r="C819" s="3" t="n">
        <v>28</v>
      </c>
      <c r="D819" s="3" t="s">
        <v>823</v>
      </c>
      <c r="E819" s="4" t="n">
        <v>13</v>
      </c>
    </row>
    <row r="820" customFormat="false" ht="15" hidden="false" customHeight="false" outlineLevel="0" collapsed="false">
      <c r="A820" s="3" t="n">
        <v>2014</v>
      </c>
      <c r="B820" s="3" t="n">
        <v>3</v>
      </c>
      <c r="C820" s="3" t="n">
        <v>29</v>
      </c>
      <c r="D820" s="3" t="s">
        <v>824</v>
      </c>
      <c r="E820" s="4" t="n">
        <v>0</v>
      </c>
    </row>
    <row r="821" customFormat="false" ht="15" hidden="false" customHeight="false" outlineLevel="0" collapsed="false">
      <c r="A821" s="3" t="n">
        <v>2014</v>
      </c>
      <c r="B821" s="3" t="n">
        <v>3</v>
      </c>
      <c r="C821" s="3" t="n">
        <v>30</v>
      </c>
      <c r="D821" s="3" t="s">
        <v>825</v>
      </c>
      <c r="E821" s="4" t="n">
        <v>0</v>
      </c>
    </row>
    <row r="822" customFormat="false" ht="15" hidden="false" customHeight="false" outlineLevel="0" collapsed="false">
      <c r="A822" s="3" t="n">
        <v>2014</v>
      </c>
      <c r="B822" s="3" t="n">
        <v>3</v>
      </c>
      <c r="C822" s="3" t="n">
        <v>31</v>
      </c>
      <c r="D822" s="3" t="s">
        <v>826</v>
      </c>
      <c r="E822" s="4" t="n">
        <v>0</v>
      </c>
    </row>
    <row r="823" customFormat="false" ht="15" hidden="false" customHeight="false" outlineLevel="0" collapsed="false">
      <c r="A823" s="3" t="n">
        <v>2014</v>
      </c>
      <c r="B823" s="3" t="n">
        <v>4</v>
      </c>
      <c r="C823" s="3" t="n">
        <v>1</v>
      </c>
      <c r="D823" s="3" t="s">
        <v>827</v>
      </c>
      <c r="E823" s="4" t="n">
        <v>44</v>
      </c>
    </row>
    <row r="824" customFormat="false" ht="15" hidden="false" customHeight="false" outlineLevel="0" collapsed="false">
      <c r="A824" s="3" t="n">
        <v>2014</v>
      </c>
      <c r="B824" s="3" t="n">
        <v>4</v>
      </c>
      <c r="C824" s="3" t="n">
        <v>2</v>
      </c>
      <c r="D824" s="3" t="s">
        <v>828</v>
      </c>
      <c r="E824" s="4" t="n">
        <v>0</v>
      </c>
    </row>
    <row r="825" customFormat="false" ht="15" hidden="false" customHeight="false" outlineLevel="0" collapsed="false">
      <c r="A825" s="3" t="n">
        <v>2014</v>
      </c>
      <c r="B825" s="3" t="n">
        <v>4</v>
      </c>
      <c r="C825" s="3" t="n">
        <v>3</v>
      </c>
      <c r="D825" s="3" t="s">
        <v>829</v>
      </c>
      <c r="E825" s="4" t="n">
        <v>8</v>
      </c>
    </row>
    <row r="826" customFormat="false" ht="15" hidden="false" customHeight="false" outlineLevel="0" collapsed="false">
      <c r="A826" s="3" t="n">
        <v>2014</v>
      </c>
      <c r="B826" s="3" t="n">
        <v>4</v>
      </c>
      <c r="C826" s="3" t="n">
        <v>4</v>
      </c>
      <c r="D826" s="3" t="s">
        <v>830</v>
      </c>
      <c r="E826" s="4" t="n">
        <v>3</v>
      </c>
    </row>
    <row r="827" customFormat="false" ht="15" hidden="false" customHeight="false" outlineLevel="0" collapsed="false">
      <c r="A827" s="3" t="n">
        <v>2014</v>
      </c>
      <c r="B827" s="3" t="n">
        <v>4</v>
      </c>
      <c r="C827" s="3" t="n">
        <v>5</v>
      </c>
      <c r="D827" s="3" t="s">
        <v>831</v>
      </c>
      <c r="E827" s="4" t="n">
        <v>5</v>
      </c>
    </row>
    <row r="828" customFormat="false" ht="15" hidden="false" customHeight="false" outlineLevel="0" collapsed="false">
      <c r="A828" s="3" t="n">
        <v>2014</v>
      </c>
      <c r="B828" s="3" t="n">
        <v>4</v>
      </c>
      <c r="C828" s="3" t="n">
        <v>6</v>
      </c>
      <c r="D828" s="3" t="s">
        <v>832</v>
      </c>
      <c r="E828" s="4" t="n">
        <v>0</v>
      </c>
    </row>
    <row r="829" customFormat="false" ht="15" hidden="false" customHeight="false" outlineLevel="0" collapsed="false">
      <c r="A829" s="3" t="n">
        <v>2014</v>
      </c>
      <c r="B829" s="3" t="n">
        <v>4</v>
      </c>
      <c r="C829" s="3" t="n">
        <v>7</v>
      </c>
      <c r="D829" s="3" t="s">
        <v>833</v>
      </c>
      <c r="E829" s="4" t="n">
        <v>2</v>
      </c>
    </row>
    <row r="830" customFormat="false" ht="15" hidden="false" customHeight="false" outlineLevel="0" collapsed="false">
      <c r="A830" s="3" t="n">
        <v>2014</v>
      </c>
      <c r="B830" s="3" t="n">
        <v>4</v>
      </c>
      <c r="C830" s="3" t="n">
        <v>8</v>
      </c>
      <c r="D830" s="3" t="s">
        <v>834</v>
      </c>
      <c r="E830" s="4" t="n">
        <v>0</v>
      </c>
    </row>
    <row r="831" customFormat="false" ht="15" hidden="false" customHeight="false" outlineLevel="0" collapsed="false">
      <c r="A831" s="3" t="n">
        <v>2014</v>
      </c>
      <c r="B831" s="3" t="n">
        <v>4</v>
      </c>
      <c r="C831" s="3" t="n">
        <v>9</v>
      </c>
      <c r="D831" s="3" t="s">
        <v>835</v>
      </c>
      <c r="E831" s="4" t="n">
        <v>6</v>
      </c>
    </row>
    <row r="832" customFormat="false" ht="15" hidden="false" customHeight="false" outlineLevel="0" collapsed="false">
      <c r="A832" s="3" t="n">
        <v>2014</v>
      </c>
      <c r="B832" s="3" t="n">
        <v>4</v>
      </c>
      <c r="C832" s="3" t="n">
        <v>10</v>
      </c>
      <c r="D832" s="3" t="s">
        <v>836</v>
      </c>
      <c r="E832" s="4" t="n">
        <v>0</v>
      </c>
    </row>
    <row r="833" customFormat="false" ht="15" hidden="false" customHeight="false" outlineLevel="0" collapsed="false">
      <c r="A833" s="3" t="n">
        <v>2014</v>
      </c>
      <c r="B833" s="3" t="n">
        <v>4</v>
      </c>
      <c r="C833" s="3" t="n">
        <v>11</v>
      </c>
      <c r="D833" s="3" t="s">
        <v>837</v>
      </c>
      <c r="E833" s="4" t="n">
        <v>0</v>
      </c>
    </row>
    <row r="834" customFormat="false" ht="15" hidden="false" customHeight="false" outlineLevel="0" collapsed="false">
      <c r="A834" s="3" t="n">
        <v>2014</v>
      </c>
      <c r="B834" s="3" t="n">
        <v>4</v>
      </c>
      <c r="C834" s="3" t="n">
        <v>12</v>
      </c>
      <c r="D834" s="3" t="s">
        <v>838</v>
      </c>
      <c r="E834" s="4" t="n">
        <v>0</v>
      </c>
    </row>
    <row r="835" customFormat="false" ht="15" hidden="false" customHeight="false" outlineLevel="0" collapsed="false">
      <c r="A835" s="3" t="n">
        <v>2014</v>
      </c>
      <c r="B835" s="3" t="n">
        <v>4</v>
      </c>
      <c r="C835" s="3" t="n">
        <v>13</v>
      </c>
      <c r="D835" s="3" t="s">
        <v>839</v>
      </c>
      <c r="E835" s="4" t="n">
        <v>0</v>
      </c>
    </row>
    <row r="836" customFormat="false" ht="15" hidden="false" customHeight="false" outlineLevel="0" collapsed="false">
      <c r="A836" s="3" t="n">
        <v>2014</v>
      </c>
      <c r="B836" s="3" t="n">
        <v>4</v>
      </c>
      <c r="C836" s="3" t="n">
        <v>14</v>
      </c>
      <c r="D836" s="3" t="s">
        <v>840</v>
      </c>
      <c r="E836" s="4" t="n">
        <v>0</v>
      </c>
    </row>
    <row r="837" customFormat="false" ht="15" hidden="false" customHeight="false" outlineLevel="0" collapsed="false">
      <c r="A837" s="3" t="n">
        <v>2014</v>
      </c>
      <c r="B837" s="3" t="n">
        <v>4</v>
      </c>
      <c r="C837" s="3" t="n">
        <v>15</v>
      </c>
      <c r="D837" s="3" t="s">
        <v>841</v>
      </c>
      <c r="E837" s="4" t="n">
        <v>0</v>
      </c>
    </row>
    <row r="838" customFormat="false" ht="15" hidden="false" customHeight="false" outlineLevel="0" collapsed="false">
      <c r="A838" s="3" t="n">
        <v>2014</v>
      </c>
      <c r="B838" s="3" t="n">
        <v>4</v>
      </c>
      <c r="C838" s="3" t="n">
        <v>16</v>
      </c>
      <c r="D838" s="3" t="s">
        <v>842</v>
      </c>
      <c r="E838" s="4" t="n">
        <v>0</v>
      </c>
    </row>
    <row r="839" customFormat="false" ht="15" hidden="false" customHeight="false" outlineLevel="0" collapsed="false">
      <c r="A839" s="3" t="n">
        <v>2014</v>
      </c>
      <c r="B839" s="3" t="n">
        <v>4</v>
      </c>
      <c r="C839" s="3" t="n">
        <v>17</v>
      </c>
      <c r="D839" s="3" t="s">
        <v>843</v>
      </c>
      <c r="E839" s="4" t="n">
        <v>16</v>
      </c>
    </row>
    <row r="840" customFormat="false" ht="15" hidden="false" customHeight="false" outlineLevel="0" collapsed="false">
      <c r="A840" s="3" t="n">
        <v>2014</v>
      </c>
      <c r="B840" s="3" t="n">
        <v>4</v>
      </c>
      <c r="C840" s="3" t="n">
        <v>18</v>
      </c>
      <c r="D840" s="3" t="s">
        <v>844</v>
      </c>
      <c r="E840" s="4" t="n">
        <v>11</v>
      </c>
    </row>
    <row r="841" customFormat="false" ht="15" hidden="false" customHeight="false" outlineLevel="0" collapsed="false">
      <c r="A841" s="3" t="n">
        <v>2014</v>
      </c>
      <c r="B841" s="3" t="n">
        <v>4</v>
      </c>
      <c r="C841" s="3" t="n">
        <v>19</v>
      </c>
      <c r="D841" s="3" t="s">
        <v>845</v>
      </c>
      <c r="E841" s="4" t="n">
        <v>0</v>
      </c>
    </row>
    <row r="842" customFormat="false" ht="15" hidden="false" customHeight="false" outlineLevel="0" collapsed="false">
      <c r="A842" s="3" t="n">
        <v>2014</v>
      </c>
      <c r="B842" s="3" t="n">
        <v>4</v>
      </c>
      <c r="C842" s="3" t="n">
        <v>20</v>
      </c>
      <c r="D842" s="3" t="s">
        <v>846</v>
      </c>
      <c r="E842" s="4" t="n">
        <v>0</v>
      </c>
    </row>
    <row r="843" customFormat="false" ht="15" hidden="false" customHeight="false" outlineLevel="0" collapsed="false">
      <c r="A843" s="3" t="n">
        <v>2014</v>
      </c>
      <c r="B843" s="3" t="n">
        <v>4</v>
      </c>
      <c r="C843" s="3" t="n">
        <v>21</v>
      </c>
      <c r="D843" s="3" t="s">
        <v>847</v>
      </c>
      <c r="E843" s="4" t="n">
        <v>0</v>
      </c>
    </row>
    <row r="844" customFormat="false" ht="15" hidden="false" customHeight="false" outlineLevel="0" collapsed="false">
      <c r="A844" s="3" t="n">
        <v>2014</v>
      </c>
      <c r="B844" s="3" t="n">
        <v>4</v>
      </c>
      <c r="C844" s="3" t="n">
        <v>22</v>
      </c>
      <c r="D844" s="3" t="s">
        <v>848</v>
      </c>
      <c r="E844" s="4" t="n">
        <v>0</v>
      </c>
    </row>
    <row r="845" customFormat="false" ht="15" hidden="false" customHeight="false" outlineLevel="0" collapsed="false">
      <c r="A845" s="3" t="n">
        <v>2014</v>
      </c>
      <c r="B845" s="3" t="n">
        <v>4</v>
      </c>
      <c r="C845" s="3" t="n">
        <v>23</v>
      </c>
      <c r="D845" s="3" t="s">
        <v>849</v>
      </c>
      <c r="E845" s="4" t="n">
        <v>12</v>
      </c>
    </row>
    <row r="846" customFormat="false" ht="15" hidden="false" customHeight="false" outlineLevel="0" collapsed="false">
      <c r="A846" s="3" t="n">
        <v>2014</v>
      </c>
      <c r="B846" s="3" t="n">
        <v>4</v>
      </c>
      <c r="C846" s="3" t="n">
        <v>24</v>
      </c>
      <c r="D846" s="3" t="s">
        <v>850</v>
      </c>
      <c r="E846" s="4" t="n">
        <v>0</v>
      </c>
    </row>
    <row r="847" customFormat="false" ht="15" hidden="false" customHeight="false" outlineLevel="0" collapsed="false">
      <c r="A847" s="3" t="n">
        <v>2014</v>
      </c>
      <c r="B847" s="3" t="n">
        <v>4</v>
      </c>
      <c r="C847" s="3" t="n">
        <v>25</v>
      </c>
      <c r="D847" s="3" t="s">
        <v>851</v>
      </c>
      <c r="E847" s="4" t="n">
        <v>0</v>
      </c>
    </row>
    <row r="848" customFormat="false" ht="15" hidden="false" customHeight="false" outlineLevel="0" collapsed="false">
      <c r="A848" s="3" t="n">
        <v>2014</v>
      </c>
      <c r="B848" s="3" t="n">
        <v>4</v>
      </c>
      <c r="C848" s="3" t="n">
        <v>26</v>
      </c>
      <c r="D848" s="3" t="s">
        <v>852</v>
      </c>
      <c r="E848" s="4" t="n">
        <v>0</v>
      </c>
    </row>
    <row r="849" customFormat="false" ht="15" hidden="false" customHeight="false" outlineLevel="0" collapsed="false">
      <c r="A849" s="3" t="n">
        <v>2014</v>
      </c>
      <c r="B849" s="3" t="n">
        <v>4</v>
      </c>
      <c r="C849" s="3" t="n">
        <v>27</v>
      </c>
      <c r="D849" s="3" t="s">
        <v>853</v>
      </c>
      <c r="E849" s="4" t="n">
        <v>12</v>
      </c>
    </row>
    <row r="850" customFormat="false" ht="15" hidden="false" customHeight="false" outlineLevel="0" collapsed="false">
      <c r="A850" s="3" t="n">
        <v>2014</v>
      </c>
      <c r="B850" s="3" t="n">
        <v>4</v>
      </c>
      <c r="C850" s="3" t="n">
        <v>28</v>
      </c>
      <c r="D850" s="3" t="s">
        <v>854</v>
      </c>
      <c r="E850" s="4" t="n">
        <v>0</v>
      </c>
    </row>
    <row r="851" customFormat="false" ht="15" hidden="false" customHeight="false" outlineLevel="0" collapsed="false">
      <c r="A851" s="3" t="n">
        <v>2014</v>
      </c>
      <c r="B851" s="3" t="n">
        <v>4</v>
      </c>
      <c r="C851" s="3" t="n">
        <v>29</v>
      </c>
      <c r="D851" s="3" t="s">
        <v>855</v>
      </c>
      <c r="E851" s="4" t="n">
        <v>10</v>
      </c>
    </row>
    <row r="852" customFormat="false" ht="15" hidden="false" customHeight="false" outlineLevel="0" collapsed="false">
      <c r="A852" s="3" t="n">
        <v>2014</v>
      </c>
      <c r="B852" s="3" t="n">
        <v>4</v>
      </c>
      <c r="C852" s="3" t="n">
        <v>30</v>
      </c>
      <c r="D852" s="3" t="s">
        <v>856</v>
      </c>
      <c r="E852" s="4" t="n">
        <v>0</v>
      </c>
    </row>
    <row r="853" customFormat="false" ht="15" hidden="false" customHeight="false" outlineLevel="0" collapsed="false">
      <c r="A853" s="3" t="n">
        <v>2014</v>
      </c>
      <c r="B853" s="3" t="n">
        <v>5</v>
      </c>
      <c r="C853" s="3" t="n">
        <v>1</v>
      </c>
      <c r="D853" s="3" t="s">
        <v>857</v>
      </c>
      <c r="E853" s="4" t="n">
        <v>2</v>
      </c>
    </row>
    <row r="854" customFormat="false" ht="15" hidden="false" customHeight="false" outlineLevel="0" collapsed="false">
      <c r="A854" s="3" t="n">
        <v>2014</v>
      </c>
      <c r="B854" s="3" t="n">
        <v>5</v>
      </c>
      <c r="C854" s="3" t="n">
        <v>2</v>
      </c>
      <c r="D854" s="3" t="s">
        <v>858</v>
      </c>
      <c r="E854" s="4" t="n">
        <v>0</v>
      </c>
    </row>
    <row r="855" customFormat="false" ht="15" hidden="false" customHeight="false" outlineLevel="0" collapsed="false">
      <c r="A855" s="3" t="n">
        <v>2014</v>
      </c>
      <c r="B855" s="3" t="n">
        <v>5</v>
      </c>
      <c r="C855" s="3" t="n">
        <v>3</v>
      </c>
      <c r="D855" s="3" t="s">
        <v>859</v>
      </c>
      <c r="E855" s="4" t="n">
        <v>44</v>
      </c>
    </row>
    <row r="856" customFormat="false" ht="15" hidden="false" customHeight="false" outlineLevel="0" collapsed="false">
      <c r="A856" s="3" t="n">
        <v>2014</v>
      </c>
      <c r="B856" s="3" t="n">
        <v>5</v>
      </c>
      <c r="C856" s="3" t="n">
        <v>4</v>
      </c>
      <c r="D856" s="3" t="s">
        <v>860</v>
      </c>
      <c r="E856" s="4" t="n">
        <v>0</v>
      </c>
    </row>
    <row r="857" customFormat="false" ht="15" hidden="false" customHeight="false" outlineLevel="0" collapsed="false">
      <c r="A857" s="3" t="n">
        <v>2014</v>
      </c>
      <c r="B857" s="3" t="n">
        <v>5</v>
      </c>
      <c r="C857" s="3" t="n">
        <v>5</v>
      </c>
      <c r="D857" s="3" t="s">
        <v>861</v>
      </c>
      <c r="E857" s="4" t="n">
        <v>0</v>
      </c>
    </row>
    <row r="858" customFormat="false" ht="15" hidden="false" customHeight="false" outlineLevel="0" collapsed="false">
      <c r="A858" s="3" t="n">
        <v>2014</v>
      </c>
      <c r="B858" s="3" t="n">
        <v>5</v>
      </c>
      <c r="C858" s="3" t="n">
        <v>6</v>
      </c>
      <c r="D858" s="3" t="s">
        <v>862</v>
      </c>
      <c r="E858" s="4" t="n">
        <v>37</v>
      </c>
    </row>
    <row r="859" customFormat="false" ht="15" hidden="false" customHeight="false" outlineLevel="0" collapsed="false">
      <c r="A859" s="3" t="n">
        <v>2014</v>
      </c>
      <c r="B859" s="3" t="n">
        <v>5</v>
      </c>
      <c r="C859" s="3" t="n">
        <v>7</v>
      </c>
      <c r="D859" s="3" t="s">
        <v>863</v>
      </c>
      <c r="E859" s="4" t="n">
        <v>0</v>
      </c>
    </row>
    <row r="860" customFormat="false" ht="15" hidden="false" customHeight="false" outlineLevel="0" collapsed="false">
      <c r="A860" s="3" t="n">
        <v>2014</v>
      </c>
      <c r="B860" s="3" t="n">
        <v>5</v>
      </c>
      <c r="C860" s="3" t="n">
        <v>8</v>
      </c>
      <c r="D860" s="3" t="s">
        <v>864</v>
      </c>
      <c r="E860" s="4" t="n">
        <v>10</v>
      </c>
    </row>
    <row r="861" customFormat="false" ht="15" hidden="false" customHeight="false" outlineLevel="0" collapsed="false">
      <c r="A861" s="3" t="n">
        <v>2014</v>
      </c>
      <c r="B861" s="3" t="n">
        <v>5</v>
      </c>
      <c r="C861" s="3" t="n">
        <v>9</v>
      </c>
      <c r="D861" s="3" t="s">
        <v>865</v>
      </c>
      <c r="E861" s="4" t="n">
        <v>30</v>
      </c>
    </row>
    <row r="862" customFormat="false" ht="15" hidden="false" customHeight="false" outlineLevel="0" collapsed="false">
      <c r="A862" s="3" t="n">
        <v>2014</v>
      </c>
      <c r="B862" s="3" t="n">
        <v>5</v>
      </c>
      <c r="C862" s="3" t="n">
        <v>10</v>
      </c>
      <c r="D862" s="3" t="s">
        <v>866</v>
      </c>
      <c r="E862" s="4" t="n">
        <v>27</v>
      </c>
    </row>
    <row r="863" customFormat="false" ht="15" hidden="false" customHeight="false" outlineLevel="0" collapsed="false">
      <c r="A863" s="3" t="n">
        <v>2014</v>
      </c>
      <c r="B863" s="3" t="n">
        <v>5</v>
      </c>
      <c r="C863" s="3" t="n">
        <v>11</v>
      </c>
      <c r="D863" s="3" t="s">
        <v>867</v>
      </c>
      <c r="E863" s="4" t="n">
        <v>0</v>
      </c>
    </row>
    <row r="864" customFormat="false" ht="15" hidden="false" customHeight="false" outlineLevel="0" collapsed="false">
      <c r="A864" s="3" t="n">
        <v>2014</v>
      </c>
      <c r="B864" s="3" t="n">
        <v>5</v>
      </c>
      <c r="C864" s="3" t="n">
        <v>12</v>
      </c>
      <c r="D864" s="3" t="s">
        <v>868</v>
      </c>
      <c r="E864" s="4" t="n">
        <v>4</v>
      </c>
    </row>
    <row r="865" customFormat="false" ht="15" hidden="false" customHeight="false" outlineLevel="0" collapsed="false">
      <c r="A865" s="3" t="n">
        <v>2014</v>
      </c>
      <c r="B865" s="3" t="n">
        <v>5</v>
      </c>
      <c r="C865" s="3" t="n">
        <v>13</v>
      </c>
      <c r="D865" s="3" t="s">
        <v>869</v>
      </c>
      <c r="E865" s="4" t="n">
        <v>1</v>
      </c>
    </row>
    <row r="866" customFormat="false" ht="15" hidden="false" customHeight="false" outlineLevel="0" collapsed="false">
      <c r="A866" s="3" t="n">
        <v>2014</v>
      </c>
      <c r="B866" s="3" t="n">
        <v>5</v>
      </c>
      <c r="C866" s="3" t="n">
        <v>14</v>
      </c>
      <c r="D866" s="3" t="s">
        <v>870</v>
      </c>
      <c r="E866" s="4" t="n">
        <v>3</v>
      </c>
    </row>
    <row r="867" customFormat="false" ht="15" hidden="false" customHeight="false" outlineLevel="0" collapsed="false">
      <c r="A867" s="3" t="n">
        <v>2014</v>
      </c>
      <c r="B867" s="3" t="n">
        <v>5</v>
      </c>
      <c r="C867" s="3" t="n">
        <v>15</v>
      </c>
      <c r="D867" s="3" t="s">
        <v>871</v>
      </c>
      <c r="E867" s="4" t="n">
        <v>0</v>
      </c>
    </row>
    <row r="868" customFormat="false" ht="15" hidden="false" customHeight="false" outlineLevel="0" collapsed="false">
      <c r="A868" s="3" t="n">
        <v>2014</v>
      </c>
      <c r="B868" s="3" t="n">
        <v>5</v>
      </c>
      <c r="C868" s="3" t="n">
        <v>16</v>
      </c>
      <c r="D868" s="3" t="s">
        <v>872</v>
      </c>
      <c r="E868" s="4" t="n">
        <v>0</v>
      </c>
    </row>
    <row r="869" customFormat="false" ht="15" hidden="false" customHeight="false" outlineLevel="0" collapsed="false">
      <c r="A869" s="3" t="n">
        <v>2014</v>
      </c>
      <c r="B869" s="3" t="n">
        <v>5</v>
      </c>
      <c r="C869" s="3" t="n">
        <v>17</v>
      </c>
      <c r="D869" s="3" t="s">
        <v>873</v>
      </c>
      <c r="E869" s="4" t="n">
        <v>6</v>
      </c>
    </row>
    <row r="870" customFormat="false" ht="15" hidden="false" customHeight="false" outlineLevel="0" collapsed="false">
      <c r="A870" s="3" t="n">
        <v>2014</v>
      </c>
      <c r="B870" s="3" t="n">
        <v>5</v>
      </c>
      <c r="C870" s="3" t="n">
        <v>18</v>
      </c>
      <c r="D870" s="3" t="s">
        <v>874</v>
      </c>
      <c r="E870" s="4" t="n">
        <v>11</v>
      </c>
    </row>
    <row r="871" customFormat="false" ht="15" hidden="false" customHeight="false" outlineLevel="0" collapsed="false">
      <c r="A871" s="3" t="n">
        <v>2014</v>
      </c>
      <c r="B871" s="3" t="n">
        <v>5</v>
      </c>
      <c r="C871" s="3" t="n">
        <v>19</v>
      </c>
      <c r="D871" s="3" t="s">
        <v>875</v>
      </c>
      <c r="E871" s="4" t="n">
        <v>2</v>
      </c>
    </row>
    <row r="872" customFormat="false" ht="15" hidden="false" customHeight="false" outlineLevel="0" collapsed="false">
      <c r="A872" s="3" t="n">
        <v>2014</v>
      </c>
      <c r="B872" s="3" t="n">
        <v>5</v>
      </c>
      <c r="C872" s="3" t="n">
        <v>20</v>
      </c>
      <c r="D872" s="3" t="s">
        <v>876</v>
      </c>
      <c r="E872" s="4" t="n">
        <v>7</v>
      </c>
    </row>
    <row r="873" customFormat="false" ht="15" hidden="false" customHeight="false" outlineLevel="0" collapsed="false">
      <c r="A873" s="3" t="n">
        <v>2014</v>
      </c>
      <c r="B873" s="3" t="n">
        <v>5</v>
      </c>
      <c r="C873" s="3" t="n">
        <v>21</v>
      </c>
      <c r="D873" s="3" t="s">
        <v>877</v>
      </c>
      <c r="E873" s="4" t="n">
        <v>0</v>
      </c>
    </row>
    <row r="874" customFormat="false" ht="15" hidden="false" customHeight="false" outlineLevel="0" collapsed="false">
      <c r="A874" s="3" t="n">
        <v>2014</v>
      </c>
      <c r="B874" s="3" t="n">
        <v>5</v>
      </c>
      <c r="C874" s="3" t="n">
        <v>22</v>
      </c>
      <c r="D874" s="3" t="s">
        <v>878</v>
      </c>
      <c r="E874" s="4" t="n">
        <v>0</v>
      </c>
    </row>
    <row r="875" customFormat="false" ht="15" hidden="false" customHeight="false" outlineLevel="0" collapsed="false">
      <c r="A875" s="3" t="n">
        <v>2014</v>
      </c>
      <c r="B875" s="3" t="n">
        <v>5</v>
      </c>
      <c r="C875" s="3" t="n">
        <v>23</v>
      </c>
      <c r="D875" s="3" t="s">
        <v>879</v>
      </c>
      <c r="E875" s="4" t="n">
        <v>0</v>
      </c>
    </row>
    <row r="876" customFormat="false" ht="15" hidden="false" customHeight="false" outlineLevel="0" collapsed="false">
      <c r="A876" s="3" t="n">
        <v>2014</v>
      </c>
      <c r="B876" s="3" t="n">
        <v>5</v>
      </c>
      <c r="C876" s="3" t="n">
        <v>24</v>
      </c>
      <c r="D876" s="3" t="s">
        <v>880</v>
      </c>
      <c r="E876" s="4" t="n">
        <v>57</v>
      </c>
    </row>
    <row r="877" customFormat="false" ht="15" hidden="false" customHeight="false" outlineLevel="0" collapsed="false">
      <c r="A877" s="3" t="n">
        <v>2014</v>
      </c>
      <c r="B877" s="3" t="n">
        <v>5</v>
      </c>
      <c r="C877" s="3" t="n">
        <v>25</v>
      </c>
      <c r="D877" s="3" t="s">
        <v>881</v>
      </c>
      <c r="E877" s="4" t="n">
        <v>0</v>
      </c>
    </row>
    <row r="878" customFormat="false" ht="15" hidden="false" customHeight="false" outlineLevel="0" collapsed="false">
      <c r="A878" s="3" t="n">
        <v>2014</v>
      </c>
      <c r="B878" s="3" t="n">
        <v>5</v>
      </c>
      <c r="C878" s="3" t="n">
        <v>26</v>
      </c>
      <c r="D878" s="3" t="s">
        <v>882</v>
      </c>
      <c r="E878" s="4" t="n">
        <v>6</v>
      </c>
    </row>
    <row r="879" customFormat="false" ht="15" hidden="false" customHeight="false" outlineLevel="0" collapsed="false">
      <c r="A879" s="3" t="n">
        <v>2014</v>
      </c>
      <c r="B879" s="3" t="n">
        <v>5</v>
      </c>
      <c r="C879" s="3" t="n">
        <v>27</v>
      </c>
      <c r="D879" s="3" t="s">
        <v>883</v>
      </c>
      <c r="E879" s="4" t="n">
        <v>0</v>
      </c>
    </row>
    <row r="880" customFormat="false" ht="15" hidden="false" customHeight="false" outlineLevel="0" collapsed="false">
      <c r="A880" s="3" t="n">
        <v>2014</v>
      </c>
      <c r="B880" s="3" t="n">
        <v>5</v>
      </c>
      <c r="C880" s="3" t="n">
        <v>28</v>
      </c>
      <c r="D880" s="3" t="s">
        <v>884</v>
      </c>
      <c r="E880" s="4" t="n">
        <v>6</v>
      </c>
    </row>
    <row r="881" customFormat="false" ht="15" hidden="false" customHeight="false" outlineLevel="0" collapsed="false">
      <c r="A881" s="3" t="n">
        <v>2014</v>
      </c>
      <c r="B881" s="3" t="n">
        <v>5</v>
      </c>
      <c r="C881" s="3" t="n">
        <v>29</v>
      </c>
      <c r="D881" s="3" t="s">
        <v>885</v>
      </c>
      <c r="E881" s="4" t="n">
        <v>22</v>
      </c>
    </row>
    <row r="882" customFormat="false" ht="15" hidden="false" customHeight="false" outlineLevel="0" collapsed="false">
      <c r="A882" s="3" t="n">
        <v>2014</v>
      </c>
      <c r="B882" s="3" t="n">
        <v>5</v>
      </c>
      <c r="C882" s="3" t="n">
        <v>30</v>
      </c>
      <c r="D882" s="3" t="s">
        <v>886</v>
      </c>
      <c r="E882" s="4" t="n">
        <v>0</v>
      </c>
    </row>
    <row r="883" customFormat="false" ht="15" hidden="false" customHeight="false" outlineLevel="0" collapsed="false">
      <c r="A883" s="3" t="n">
        <v>2014</v>
      </c>
      <c r="B883" s="3" t="n">
        <v>5</v>
      </c>
      <c r="C883" s="3" t="n">
        <v>31</v>
      </c>
      <c r="D883" s="3" t="s">
        <v>887</v>
      </c>
      <c r="E883" s="4" t="n">
        <v>4</v>
      </c>
    </row>
    <row r="884" customFormat="false" ht="15" hidden="false" customHeight="false" outlineLevel="0" collapsed="false">
      <c r="A884" s="3" t="n">
        <v>2014</v>
      </c>
      <c r="B884" s="3" t="n">
        <v>6</v>
      </c>
      <c r="C884" s="3" t="n">
        <v>1</v>
      </c>
      <c r="D884" s="3" t="s">
        <v>888</v>
      </c>
      <c r="E884" s="4" t="n">
        <v>0</v>
      </c>
    </row>
    <row r="885" customFormat="false" ht="15" hidden="false" customHeight="false" outlineLevel="0" collapsed="false">
      <c r="A885" s="3" t="n">
        <v>2014</v>
      </c>
      <c r="B885" s="3" t="n">
        <v>6</v>
      </c>
      <c r="C885" s="3" t="n">
        <v>2</v>
      </c>
      <c r="D885" s="3" t="s">
        <v>889</v>
      </c>
      <c r="E885" s="4" t="n">
        <v>49</v>
      </c>
    </row>
    <row r="886" customFormat="false" ht="15" hidden="false" customHeight="false" outlineLevel="0" collapsed="false">
      <c r="A886" s="3" t="n">
        <v>2014</v>
      </c>
      <c r="B886" s="3" t="n">
        <v>6</v>
      </c>
      <c r="C886" s="3" t="n">
        <v>3</v>
      </c>
      <c r="D886" s="3" t="s">
        <v>890</v>
      </c>
      <c r="E886" s="4" t="n">
        <v>44</v>
      </c>
    </row>
    <row r="887" customFormat="false" ht="15" hidden="false" customHeight="false" outlineLevel="0" collapsed="false">
      <c r="A887" s="3" t="n">
        <v>2014</v>
      </c>
      <c r="B887" s="3" t="n">
        <v>6</v>
      </c>
      <c r="C887" s="3" t="n">
        <v>4</v>
      </c>
      <c r="D887" s="3" t="s">
        <v>891</v>
      </c>
      <c r="E887" s="4" t="n">
        <v>0</v>
      </c>
    </row>
    <row r="888" customFormat="false" ht="15" hidden="false" customHeight="false" outlineLevel="0" collapsed="false">
      <c r="A888" s="3" t="n">
        <v>2014</v>
      </c>
      <c r="B888" s="3" t="n">
        <v>6</v>
      </c>
      <c r="C888" s="3" t="n">
        <v>5</v>
      </c>
      <c r="D888" s="3" t="s">
        <v>892</v>
      </c>
      <c r="E888" s="4" t="n">
        <v>0</v>
      </c>
    </row>
    <row r="889" customFormat="false" ht="15" hidden="false" customHeight="false" outlineLevel="0" collapsed="false">
      <c r="A889" s="3" t="n">
        <v>2014</v>
      </c>
      <c r="B889" s="3" t="n">
        <v>6</v>
      </c>
      <c r="C889" s="3" t="n">
        <v>6</v>
      </c>
      <c r="D889" s="3" t="s">
        <v>893</v>
      </c>
      <c r="E889" s="4" t="n">
        <v>0</v>
      </c>
    </row>
    <row r="890" customFormat="false" ht="15" hidden="false" customHeight="false" outlineLevel="0" collapsed="false">
      <c r="A890" s="3" t="n">
        <v>2014</v>
      </c>
      <c r="B890" s="3" t="n">
        <v>6</v>
      </c>
      <c r="C890" s="3" t="n">
        <v>7</v>
      </c>
      <c r="D890" s="3" t="s">
        <v>894</v>
      </c>
      <c r="E890" s="4" t="n">
        <v>0</v>
      </c>
    </row>
    <row r="891" customFormat="false" ht="15" hidden="false" customHeight="false" outlineLevel="0" collapsed="false">
      <c r="A891" s="3" t="n">
        <v>2014</v>
      </c>
      <c r="B891" s="3" t="n">
        <v>6</v>
      </c>
      <c r="C891" s="3" t="n">
        <v>8</v>
      </c>
      <c r="D891" s="3" t="s">
        <v>895</v>
      </c>
      <c r="E891" s="4" t="n">
        <v>0</v>
      </c>
    </row>
    <row r="892" customFormat="false" ht="15" hidden="false" customHeight="false" outlineLevel="0" collapsed="false">
      <c r="A892" s="3" t="n">
        <v>2014</v>
      </c>
      <c r="B892" s="3" t="n">
        <v>6</v>
      </c>
      <c r="C892" s="3" t="n">
        <v>9</v>
      </c>
      <c r="D892" s="3" t="s">
        <v>896</v>
      </c>
      <c r="E892" s="4" t="n">
        <v>0</v>
      </c>
    </row>
    <row r="893" customFormat="false" ht="15" hidden="false" customHeight="false" outlineLevel="0" collapsed="false">
      <c r="A893" s="3" t="n">
        <v>2014</v>
      </c>
      <c r="B893" s="3" t="n">
        <v>6</v>
      </c>
      <c r="C893" s="3" t="n">
        <v>10</v>
      </c>
      <c r="D893" s="3" t="s">
        <v>897</v>
      </c>
      <c r="E893" s="4" t="n">
        <v>0</v>
      </c>
    </row>
    <row r="894" customFormat="false" ht="15" hidden="false" customHeight="false" outlineLevel="0" collapsed="false">
      <c r="A894" s="3" t="n">
        <v>2014</v>
      </c>
      <c r="B894" s="3" t="n">
        <v>6</v>
      </c>
      <c r="C894" s="3" t="n">
        <v>11</v>
      </c>
      <c r="D894" s="3" t="s">
        <v>898</v>
      </c>
      <c r="E894" s="4" t="n">
        <v>0</v>
      </c>
    </row>
    <row r="895" customFormat="false" ht="15" hidden="false" customHeight="false" outlineLevel="0" collapsed="false">
      <c r="A895" s="3" t="n">
        <v>2014</v>
      </c>
      <c r="B895" s="3" t="n">
        <v>6</v>
      </c>
      <c r="C895" s="3" t="n">
        <v>12</v>
      </c>
      <c r="D895" s="3" t="s">
        <v>899</v>
      </c>
      <c r="E895" s="4" t="n">
        <v>0</v>
      </c>
    </row>
    <row r="896" customFormat="false" ht="15" hidden="false" customHeight="false" outlineLevel="0" collapsed="false">
      <c r="A896" s="3" t="n">
        <v>2014</v>
      </c>
      <c r="B896" s="3" t="n">
        <v>6</v>
      </c>
      <c r="C896" s="3" t="n">
        <v>13</v>
      </c>
      <c r="D896" s="3" t="s">
        <v>900</v>
      </c>
      <c r="E896" s="4" t="n">
        <v>0</v>
      </c>
    </row>
    <row r="897" customFormat="false" ht="15" hidden="false" customHeight="false" outlineLevel="0" collapsed="false">
      <c r="A897" s="3" t="n">
        <v>2014</v>
      </c>
      <c r="B897" s="3" t="n">
        <v>6</v>
      </c>
      <c r="C897" s="3" t="n">
        <v>14</v>
      </c>
      <c r="D897" s="3" t="s">
        <v>901</v>
      </c>
      <c r="E897" s="4" t="n">
        <v>49</v>
      </c>
    </row>
    <row r="898" customFormat="false" ht="15" hidden="false" customHeight="false" outlineLevel="0" collapsed="false">
      <c r="A898" s="3" t="n">
        <v>2014</v>
      </c>
      <c r="B898" s="3" t="n">
        <v>6</v>
      </c>
      <c r="C898" s="3" t="n">
        <v>15</v>
      </c>
      <c r="D898" s="3" t="s">
        <v>902</v>
      </c>
      <c r="E898" s="4" t="n">
        <v>61</v>
      </c>
    </row>
    <row r="899" customFormat="false" ht="15" hidden="false" customHeight="false" outlineLevel="0" collapsed="false">
      <c r="A899" s="3" t="n">
        <v>2014</v>
      </c>
      <c r="B899" s="3" t="n">
        <v>6</v>
      </c>
      <c r="C899" s="3" t="n">
        <v>16</v>
      </c>
      <c r="D899" s="3" t="s">
        <v>903</v>
      </c>
      <c r="E899" s="4" t="n">
        <v>0</v>
      </c>
    </row>
    <row r="900" customFormat="false" ht="15" hidden="false" customHeight="false" outlineLevel="0" collapsed="false">
      <c r="A900" s="3" t="n">
        <v>2014</v>
      </c>
      <c r="B900" s="3" t="n">
        <v>6</v>
      </c>
      <c r="C900" s="3" t="n">
        <v>17</v>
      </c>
      <c r="D900" s="3" t="s">
        <v>904</v>
      </c>
      <c r="E900" s="4" t="n">
        <v>0</v>
      </c>
    </row>
    <row r="901" customFormat="false" ht="15" hidden="false" customHeight="false" outlineLevel="0" collapsed="false">
      <c r="A901" s="3" t="n">
        <v>2014</v>
      </c>
      <c r="B901" s="3" t="n">
        <v>6</v>
      </c>
      <c r="C901" s="3" t="n">
        <v>18</v>
      </c>
      <c r="D901" s="3" t="s">
        <v>905</v>
      </c>
      <c r="E901" s="4" t="n">
        <v>0</v>
      </c>
    </row>
    <row r="902" customFormat="false" ht="15" hidden="false" customHeight="false" outlineLevel="0" collapsed="false">
      <c r="A902" s="3" t="n">
        <v>2014</v>
      </c>
      <c r="B902" s="3" t="n">
        <v>6</v>
      </c>
      <c r="C902" s="3" t="n">
        <v>19</v>
      </c>
      <c r="D902" s="3" t="s">
        <v>906</v>
      </c>
      <c r="E902" s="4" t="n">
        <v>0</v>
      </c>
    </row>
    <row r="903" customFormat="false" ht="15" hidden="false" customHeight="false" outlineLevel="0" collapsed="false">
      <c r="A903" s="3" t="n">
        <v>2014</v>
      </c>
      <c r="B903" s="3" t="n">
        <v>6</v>
      </c>
      <c r="C903" s="3" t="n">
        <v>20</v>
      </c>
      <c r="D903" s="3" t="s">
        <v>907</v>
      </c>
      <c r="E903" s="4" t="n">
        <v>5</v>
      </c>
    </row>
    <row r="904" customFormat="false" ht="15" hidden="false" customHeight="false" outlineLevel="0" collapsed="false">
      <c r="A904" s="3" t="n">
        <v>2014</v>
      </c>
      <c r="B904" s="3" t="n">
        <v>6</v>
      </c>
      <c r="C904" s="3" t="n">
        <v>21</v>
      </c>
      <c r="D904" s="3" t="s">
        <v>908</v>
      </c>
      <c r="E904" s="4" t="n">
        <v>0</v>
      </c>
    </row>
    <row r="905" customFormat="false" ht="15" hidden="false" customHeight="false" outlineLevel="0" collapsed="false">
      <c r="A905" s="3" t="n">
        <v>2014</v>
      </c>
      <c r="B905" s="3" t="n">
        <v>6</v>
      </c>
      <c r="C905" s="3" t="n">
        <v>22</v>
      </c>
      <c r="D905" s="3" t="s">
        <v>909</v>
      </c>
      <c r="E905" s="4" t="n">
        <v>0</v>
      </c>
    </row>
    <row r="906" customFormat="false" ht="15" hidden="false" customHeight="false" outlineLevel="0" collapsed="false">
      <c r="A906" s="3" t="n">
        <v>2014</v>
      </c>
      <c r="B906" s="3" t="n">
        <v>6</v>
      </c>
      <c r="C906" s="3" t="n">
        <v>23</v>
      </c>
      <c r="D906" s="3" t="s">
        <v>910</v>
      </c>
      <c r="E906" s="4" t="n">
        <v>0</v>
      </c>
    </row>
    <row r="907" customFormat="false" ht="15" hidden="false" customHeight="false" outlineLevel="0" collapsed="false">
      <c r="A907" s="3" t="n">
        <v>2014</v>
      </c>
      <c r="B907" s="3" t="n">
        <v>6</v>
      </c>
      <c r="C907" s="3" t="n">
        <v>24</v>
      </c>
      <c r="D907" s="3" t="s">
        <v>911</v>
      </c>
      <c r="E907" s="4" t="n">
        <v>5</v>
      </c>
    </row>
    <row r="908" customFormat="false" ht="15" hidden="false" customHeight="false" outlineLevel="0" collapsed="false">
      <c r="A908" s="3" t="n">
        <v>2014</v>
      </c>
      <c r="B908" s="3" t="n">
        <v>6</v>
      </c>
      <c r="C908" s="3" t="n">
        <v>25</v>
      </c>
      <c r="D908" s="3" t="s">
        <v>912</v>
      </c>
      <c r="E908" s="4" t="n">
        <v>0</v>
      </c>
    </row>
    <row r="909" customFormat="false" ht="15" hidden="false" customHeight="false" outlineLevel="0" collapsed="false">
      <c r="A909" s="3" t="n">
        <v>2014</v>
      </c>
      <c r="B909" s="3" t="n">
        <v>6</v>
      </c>
      <c r="C909" s="3" t="n">
        <v>26</v>
      </c>
      <c r="D909" s="3" t="s">
        <v>913</v>
      </c>
      <c r="E909" s="4" t="n">
        <v>0</v>
      </c>
    </row>
    <row r="910" customFormat="false" ht="15" hidden="false" customHeight="false" outlineLevel="0" collapsed="false">
      <c r="A910" s="3" t="n">
        <v>2014</v>
      </c>
      <c r="B910" s="3" t="n">
        <v>6</v>
      </c>
      <c r="C910" s="3" t="n">
        <v>27</v>
      </c>
      <c r="D910" s="3" t="s">
        <v>914</v>
      </c>
      <c r="E910" s="4" t="n">
        <v>0</v>
      </c>
    </row>
    <row r="911" customFormat="false" ht="15" hidden="false" customHeight="false" outlineLevel="0" collapsed="false">
      <c r="A911" s="3" t="n">
        <v>2014</v>
      </c>
      <c r="B911" s="3" t="n">
        <v>6</v>
      </c>
      <c r="C911" s="3" t="n">
        <v>28</v>
      </c>
      <c r="D911" s="3" t="s">
        <v>915</v>
      </c>
      <c r="E911" s="4" t="n">
        <v>0</v>
      </c>
    </row>
    <row r="912" customFormat="false" ht="15" hidden="false" customHeight="false" outlineLevel="0" collapsed="false">
      <c r="A912" s="3" t="n">
        <v>2014</v>
      </c>
      <c r="B912" s="3" t="n">
        <v>6</v>
      </c>
      <c r="C912" s="3" t="n">
        <v>29</v>
      </c>
      <c r="D912" s="3" t="s">
        <v>916</v>
      </c>
      <c r="E912" s="4" t="n">
        <v>8</v>
      </c>
    </row>
    <row r="913" customFormat="false" ht="15" hidden="false" customHeight="false" outlineLevel="0" collapsed="false">
      <c r="A913" s="3" t="n">
        <v>2014</v>
      </c>
      <c r="B913" s="3" t="n">
        <v>6</v>
      </c>
      <c r="C913" s="3" t="n">
        <v>30</v>
      </c>
      <c r="D913" s="3" t="s">
        <v>917</v>
      </c>
      <c r="E913" s="4" t="n">
        <v>10</v>
      </c>
    </row>
    <row r="914" customFormat="false" ht="15" hidden="false" customHeight="false" outlineLevel="0" collapsed="false">
      <c r="A914" s="3" t="n">
        <v>2014</v>
      </c>
      <c r="B914" s="3" t="n">
        <v>7</v>
      </c>
      <c r="C914" s="3" t="n">
        <v>1</v>
      </c>
      <c r="D914" s="3" t="s">
        <v>918</v>
      </c>
      <c r="E914" s="4" t="n">
        <v>0</v>
      </c>
    </row>
    <row r="915" customFormat="false" ht="15" hidden="false" customHeight="false" outlineLevel="0" collapsed="false">
      <c r="A915" s="3" t="n">
        <v>2014</v>
      </c>
      <c r="B915" s="3" t="n">
        <v>7</v>
      </c>
      <c r="C915" s="3" t="n">
        <v>2</v>
      </c>
      <c r="D915" s="3" t="s">
        <v>919</v>
      </c>
      <c r="E915" s="4" t="n">
        <v>0</v>
      </c>
    </row>
    <row r="916" customFormat="false" ht="15" hidden="false" customHeight="false" outlineLevel="0" collapsed="false">
      <c r="A916" s="3" t="n">
        <v>2014</v>
      </c>
      <c r="B916" s="3" t="n">
        <v>7</v>
      </c>
      <c r="C916" s="3" t="n">
        <v>3</v>
      </c>
      <c r="D916" s="3" t="s">
        <v>920</v>
      </c>
      <c r="E916" s="4" t="n">
        <v>0</v>
      </c>
    </row>
    <row r="917" customFormat="false" ht="15" hidden="false" customHeight="false" outlineLevel="0" collapsed="false">
      <c r="A917" s="3" t="n">
        <v>2014</v>
      </c>
      <c r="B917" s="3" t="n">
        <v>7</v>
      </c>
      <c r="C917" s="3" t="n">
        <v>4</v>
      </c>
      <c r="D917" s="3" t="s">
        <v>921</v>
      </c>
      <c r="E917" s="4" t="n">
        <v>0</v>
      </c>
    </row>
    <row r="918" customFormat="false" ht="15" hidden="false" customHeight="false" outlineLevel="0" collapsed="false">
      <c r="A918" s="3" t="n">
        <v>2014</v>
      </c>
      <c r="B918" s="3" t="n">
        <v>7</v>
      </c>
      <c r="C918" s="3" t="n">
        <v>5</v>
      </c>
      <c r="D918" s="3" t="s">
        <v>922</v>
      </c>
      <c r="E918" s="4" t="n">
        <v>8</v>
      </c>
    </row>
    <row r="919" customFormat="false" ht="15" hidden="false" customHeight="false" outlineLevel="0" collapsed="false">
      <c r="A919" s="3" t="n">
        <v>2014</v>
      </c>
      <c r="B919" s="3" t="n">
        <v>7</v>
      </c>
      <c r="C919" s="3" t="n">
        <v>6</v>
      </c>
      <c r="D919" s="3" t="s">
        <v>923</v>
      </c>
      <c r="E919" s="4" t="n">
        <v>0</v>
      </c>
    </row>
    <row r="920" customFormat="false" ht="15" hidden="false" customHeight="false" outlineLevel="0" collapsed="false">
      <c r="A920" s="3" t="n">
        <v>2014</v>
      </c>
      <c r="B920" s="3" t="n">
        <v>7</v>
      </c>
      <c r="C920" s="3" t="n">
        <v>7</v>
      </c>
      <c r="D920" s="3" t="s">
        <v>924</v>
      </c>
      <c r="E920" s="4" t="n">
        <v>0</v>
      </c>
    </row>
    <row r="921" customFormat="false" ht="15" hidden="false" customHeight="false" outlineLevel="0" collapsed="false">
      <c r="A921" s="3" t="n">
        <v>2014</v>
      </c>
      <c r="B921" s="3" t="n">
        <v>7</v>
      </c>
      <c r="C921" s="3" t="n">
        <v>8</v>
      </c>
      <c r="D921" s="3" t="s">
        <v>925</v>
      </c>
      <c r="E921" s="4" t="n">
        <v>0</v>
      </c>
    </row>
    <row r="922" customFormat="false" ht="15" hidden="false" customHeight="false" outlineLevel="0" collapsed="false">
      <c r="A922" s="3" t="n">
        <v>2014</v>
      </c>
      <c r="B922" s="3" t="n">
        <v>7</v>
      </c>
      <c r="C922" s="3" t="n">
        <v>9</v>
      </c>
      <c r="D922" s="3" t="s">
        <v>926</v>
      </c>
      <c r="E922" s="4" t="n">
        <v>0</v>
      </c>
    </row>
    <row r="923" customFormat="false" ht="15" hidden="false" customHeight="false" outlineLevel="0" collapsed="false">
      <c r="A923" s="3" t="n">
        <v>2014</v>
      </c>
      <c r="B923" s="3" t="n">
        <v>7</v>
      </c>
      <c r="C923" s="3" t="n">
        <v>10</v>
      </c>
      <c r="D923" s="3" t="s">
        <v>927</v>
      </c>
      <c r="E923" s="4" t="n">
        <v>10</v>
      </c>
    </row>
    <row r="924" customFormat="false" ht="15" hidden="false" customHeight="false" outlineLevel="0" collapsed="false">
      <c r="A924" s="3" t="n">
        <v>2014</v>
      </c>
      <c r="B924" s="3" t="n">
        <v>7</v>
      </c>
      <c r="C924" s="3" t="n">
        <v>11</v>
      </c>
      <c r="D924" s="3" t="s">
        <v>928</v>
      </c>
      <c r="E924" s="4" t="n">
        <v>5</v>
      </c>
    </row>
    <row r="925" customFormat="false" ht="15" hidden="false" customHeight="false" outlineLevel="0" collapsed="false">
      <c r="A925" s="3" t="n">
        <v>2014</v>
      </c>
      <c r="B925" s="3" t="n">
        <v>7</v>
      </c>
      <c r="C925" s="3" t="n">
        <v>12</v>
      </c>
      <c r="D925" s="3" t="s">
        <v>929</v>
      </c>
      <c r="E925" s="4" t="n">
        <v>5</v>
      </c>
    </row>
    <row r="926" customFormat="false" ht="15" hidden="false" customHeight="false" outlineLevel="0" collapsed="false">
      <c r="A926" s="3" t="n">
        <v>2014</v>
      </c>
      <c r="B926" s="3" t="n">
        <v>7</v>
      </c>
      <c r="C926" s="3" t="n">
        <v>13</v>
      </c>
      <c r="D926" s="3" t="s">
        <v>930</v>
      </c>
      <c r="E926" s="4" t="n">
        <v>65</v>
      </c>
    </row>
    <row r="927" customFormat="false" ht="15" hidden="false" customHeight="false" outlineLevel="0" collapsed="false">
      <c r="A927" s="3" t="n">
        <v>2014</v>
      </c>
      <c r="B927" s="3" t="n">
        <v>7</v>
      </c>
      <c r="C927" s="3" t="n">
        <v>14</v>
      </c>
      <c r="D927" s="3" t="s">
        <v>931</v>
      </c>
      <c r="E927" s="4" t="n">
        <v>0</v>
      </c>
    </row>
    <row r="928" customFormat="false" ht="15" hidden="false" customHeight="false" outlineLevel="0" collapsed="false">
      <c r="A928" s="3" t="n">
        <v>2014</v>
      </c>
      <c r="B928" s="3" t="n">
        <v>7</v>
      </c>
      <c r="C928" s="3" t="n">
        <v>15</v>
      </c>
      <c r="D928" s="3" t="s">
        <v>932</v>
      </c>
      <c r="E928" s="4" t="n">
        <v>0</v>
      </c>
    </row>
    <row r="929" customFormat="false" ht="15" hidden="false" customHeight="false" outlineLevel="0" collapsed="false">
      <c r="A929" s="3" t="n">
        <v>2014</v>
      </c>
      <c r="B929" s="3" t="n">
        <v>7</v>
      </c>
      <c r="C929" s="3" t="n">
        <v>16</v>
      </c>
      <c r="D929" s="3" t="s">
        <v>933</v>
      </c>
      <c r="E929" s="4" t="n">
        <v>0</v>
      </c>
    </row>
    <row r="930" customFormat="false" ht="15" hidden="false" customHeight="false" outlineLevel="0" collapsed="false">
      <c r="A930" s="3" t="n">
        <v>2014</v>
      </c>
      <c r="B930" s="3" t="n">
        <v>7</v>
      </c>
      <c r="C930" s="3" t="n">
        <v>17</v>
      </c>
      <c r="D930" s="3" t="s">
        <v>934</v>
      </c>
      <c r="E930" s="4" t="n">
        <v>0</v>
      </c>
    </row>
    <row r="931" customFormat="false" ht="15" hidden="false" customHeight="false" outlineLevel="0" collapsed="false">
      <c r="A931" s="3" t="n">
        <v>2014</v>
      </c>
      <c r="B931" s="3" t="n">
        <v>7</v>
      </c>
      <c r="C931" s="3" t="n">
        <v>18</v>
      </c>
      <c r="D931" s="3" t="s">
        <v>935</v>
      </c>
      <c r="E931" s="4" t="n">
        <v>0</v>
      </c>
    </row>
    <row r="932" customFormat="false" ht="15" hidden="false" customHeight="false" outlineLevel="0" collapsed="false">
      <c r="A932" s="3" t="n">
        <v>2014</v>
      </c>
      <c r="B932" s="3" t="n">
        <v>7</v>
      </c>
      <c r="C932" s="3" t="n">
        <v>19</v>
      </c>
      <c r="D932" s="3" t="s">
        <v>936</v>
      </c>
      <c r="E932" s="4" t="n">
        <v>0</v>
      </c>
    </row>
    <row r="933" customFormat="false" ht="15" hidden="false" customHeight="false" outlineLevel="0" collapsed="false">
      <c r="A933" s="3" t="n">
        <v>2014</v>
      </c>
      <c r="B933" s="3" t="n">
        <v>7</v>
      </c>
      <c r="C933" s="3" t="n">
        <v>20</v>
      </c>
      <c r="D933" s="3" t="s">
        <v>937</v>
      </c>
      <c r="E933" s="4" t="n">
        <v>0</v>
      </c>
    </row>
    <row r="934" customFormat="false" ht="15" hidden="false" customHeight="false" outlineLevel="0" collapsed="false">
      <c r="A934" s="3" t="n">
        <v>2014</v>
      </c>
      <c r="B934" s="3" t="n">
        <v>7</v>
      </c>
      <c r="C934" s="3" t="n">
        <v>21</v>
      </c>
      <c r="D934" s="3" t="s">
        <v>938</v>
      </c>
      <c r="E934" s="4" t="n">
        <v>0</v>
      </c>
    </row>
    <row r="935" customFormat="false" ht="15" hidden="false" customHeight="false" outlineLevel="0" collapsed="false">
      <c r="A935" s="3" t="n">
        <v>2014</v>
      </c>
      <c r="B935" s="3" t="n">
        <v>7</v>
      </c>
      <c r="C935" s="3" t="n">
        <v>22</v>
      </c>
      <c r="D935" s="3" t="s">
        <v>939</v>
      </c>
      <c r="E935" s="4" t="n">
        <v>0</v>
      </c>
    </row>
    <row r="936" customFormat="false" ht="15" hidden="false" customHeight="false" outlineLevel="0" collapsed="false">
      <c r="A936" s="3" t="n">
        <v>2014</v>
      </c>
      <c r="B936" s="3" t="n">
        <v>7</v>
      </c>
      <c r="C936" s="3" t="n">
        <v>23</v>
      </c>
      <c r="D936" s="3" t="s">
        <v>940</v>
      </c>
      <c r="E936" s="4" t="n">
        <v>0</v>
      </c>
    </row>
    <row r="937" customFormat="false" ht="15" hidden="false" customHeight="false" outlineLevel="0" collapsed="false">
      <c r="A937" s="3" t="n">
        <v>2014</v>
      </c>
      <c r="B937" s="3" t="n">
        <v>7</v>
      </c>
      <c r="C937" s="3" t="n">
        <v>24</v>
      </c>
      <c r="D937" s="3" t="s">
        <v>941</v>
      </c>
      <c r="E937" s="4" t="n">
        <v>0</v>
      </c>
    </row>
    <row r="938" customFormat="false" ht="15" hidden="false" customHeight="false" outlineLevel="0" collapsed="false">
      <c r="A938" s="3" t="n">
        <v>2014</v>
      </c>
      <c r="B938" s="3" t="n">
        <v>7</v>
      </c>
      <c r="C938" s="3" t="n">
        <v>25</v>
      </c>
      <c r="D938" s="3" t="s">
        <v>942</v>
      </c>
      <c r="E938" s="4" t="n">
        <v>0</v>
      </c>
    </row>
    <row r="939" customFormat="false" ht="15" hidden="false" customHeight="false" outlineLevel="0" collapsed="false">
      <c r="A939" s="3" t="n">
        <v>2014</v>
      </c>
      <c r="B939" s="3" t="n">
        <v>7</v>
      </c>
      <c r="C939" s="3" t="n">
        <v>26</v>
      </c>
      <c r="D939" s="3" t="s">
        <v>943</v>
      </c>
      <c r="E939" s="4" t="n">
        <v>0</v>
      </c>
    </row>
    <row r="940" customFormat="false" ht="15" hidden="false" customHeight="false" outlineLevel="0" collapsed="false">
      <c r="A940" s="3" t="n">
        <v>2014</v>
      </c>
      <c r="B940" s="3" t="n">
        <v>7</v>
      </c>
      <c r="C940" s="3" t="n">
        <v>27</v>
      </c>
      <c r="D940" s="3" t="s">
        <v>944</v>
      </c>
      <c r="E940" s="4" t="n">
        <v>0</v>
      </c>
    </row>
    <row r="941" customFormat="false" ht="15" hidden="false" customHeight="false" outlineLevel="0" collapsed="false">
      <c r="A941" s="3" t="n">
        <v>2014</v>
      </c>
      <c r="B941" s="3" t="n">
        <v>7</v>
      </c>
      <c r="C941" s="3" t="n">
        <v>28</v>
      </c>
      <c r="D941" s="3" t="s">
        <v>945</v>
      </c>
      <c r="E941" s="4" t="n">
        <v>0</v>
      </c>
    </row>
    <row r="942" customFormat="false" ht="15" hidden="false" customHeight="false" outlineLevel="0" collapsed="false">
      <c r="A942" s="3" t="n">
        <v>2014</v>
      </c>
      <c r="B942" s="3" t="n">
        <v>7</v>
      </c>
      <c r="C942" s="3" t="n">
        <v>29</v>
      </c>
      <c r="D942" s="3" t="s">
        <v>946</v>
      </c>
      <c r="E942" s="4" t="n">
        <v>0</v>
      </c>
    </row>
    <row r="943" customFormat="false" ht="15" hidden="false" customHeight="false" outlineLevel="0" collapsed="false">
      <c r="A943" s="3" t="n">
        <v>2014</v>
      </c>
      <c r="B943" s="3" t="n">
        <v>7</v>
      </c>
      <c r="C943" s="3" t="n">
        <v>30</v>
      </c>
      <c r="D943" s="3" t="s">
        <v>947</v>
      </c>
      <c r="E943" s="4" t="n">
        <v>0</v>
      </c>
    </row>
    <row r="944" customFormat="false" ht="15" hidden="false" customHeight="false" outlineLevel="0" collapsed="false">
      <c r="A944" s="3" t="n">
        <v>2014</v>
      </c>
      <c r="B944" s="3" t="n">
        <v>7</v>
      </c>
      <c r="C944" s="3" t="n">
        <v>31</v>
      </c>
      <c r="D944" s="3" t="s">
        <v>948</v>
      </c>
      <c r="E944" s="4" t="n">
        <v>0</v>
      </c>
    </row>
    <row r="945" customFormat="false" ht="15" hidden="false" customHeight="false" outlineLevel="0" collapsed="false">
      <c r="A945" s="3" t="n">
        <v>2014</v>
      </c>
      <c r="B945" s="3" t="n">
        <v>8</v>
      </c>
      <c r="C945" s="3" t="n">
        <v>1</v>
      </c>
      <c r="D945" s="3" t="s">
        <v>949</v>
      </c>
      <c r="E945" s="4" t="n">
        <v>0</v>
      </c>
    </row>
    <row r="946" customFormat="false" ht="15" hidden="false" customHeight="false" outlineLevel="0" collapsed="false">
      <c r="A946" s="3" t="n">
        <v>2014</v>
      </c>
      <c r="B946" s="3" t="n">
        <v>8</v>
      </c>
      <c r="C946" s="3" t="n">
        <v>2</v>
      </c>
      <c r="D946" s="3" t="s">
        <v>950</v>
      </c>
      <c r="E946" s="4" t="n">
        <v>0</v>
      </c>
    </row>
    <row r="947" customFormat="false" ht="15" hidden="false" customHeight="false" outlineLevel="0" collapsed="false">
      <c r="A947" s="3" t="n">
        <v>2014</v>
      </c>
      <c r="B947" s="3" t="n">
        <v>8</v>
      </c>
      <c r="C947" s="3" t="n">
        <v>3</v>
      </c>
      <c r="D947" s="3" t="s">
        <v>951</v>
      </c>
      <c r="E947" s="4" t="n">
        <v>0</v>
      </c>
    </row>
    <row r="948" customFormat="false" ht="15" hidden="false" customHeight="false" outlineLevel="0" collapsed="false">
      <c r="A948" s="3" t="n">
        <v>2014</v>
      </c>
      <c r="B948" s="3" t="n">
        <v>8</v>
      </c>
      <c r="C948" s="3" t="n">
        <v>4</v>
      </c>
      <c r="D948" s="3" t="s">
        <v>952</v>
      </c>
      <c r="E948" s="4" t="n">
        <v>0</v>
      </c>
    </row>
    <row r="949" customFormat="false" ht="15" hidden="false" customHeight="false" outlineLevel="0" collapsed="false">
      <c r="A949" s="3" t="n">
        <v>2014</v>
      </c>
      <c r="B949" s="3" t="n">
        <v>8</v>
      </c>
      <c r="C949" s="3" t="n">
        <v>5</v>
      </c>
      <c r="D949" s="3" t="s">
        <v>953</v>
      </c>
      <c r="E949" s="4" t="n">
        <v>27</v>
      </c>
    </row>
    <row r="950" customFormat="false" ht="15" hidden="false" customHeight="false" outlineLevel="0" collapsed="false">
      <c r="A950" s="3" t="n">
        <v>2014</v>
      </c>
      <c r="B950" s="3" t="n">
        <v>8</v>
      </c>
      <c r="C950" s="3" t="n">
        <v>6</v>
      </c>
      <c r="D950" s="3" t="s">
        <v>954</v>
      </c>
      <c r="E950" s="4" t="n">
        <v>0</v>
      </c>
    </row>
    <row r="951" customFormat="false" ht="15" hidden="false" customHeight="false" outlineLevel="0" collapsed="false">
      <c r="A951" s="3" t="n">
        <v>2014</v>
      </c>
      <c r="B951" s="3" t="n">
        <v>8</v>
      </c>
      <c r="C951" s="3" t="n">
        <v>7</v>
      </c>
      <c r="D951" s="3" t="s">
        <v>955</v>
      </c>
      <c r="E951" s="4" t="n">
        <v>0</v>
      </c>
    </row>
    <row r="952" customFormat="false" ht="15" hidden="false" customHeight="false" outlineLevel="0" collapsed="false">
      <c r="A952" s="3" t="n">
        <v>2014</v>
      </c>
      <c r="B952" s="3" t="n">
        <v>8</v>
      </c>
      <c r="C952" s="3" t="n">
        <v>8</v>
      </c>
      <c r="D952" s="3" t="s">
        <v>956</v>
      </c>
      <c r="E952" s="4" t="n">
        <v>0</v>
      </c>
    </row>
    <row r="953" customFormat="false" ht="15" hidden="false" customHeight="false" outlineLevel="0" collapsed="false">
      <c r="A953" s="3" t="n">
        <v>2014</v>
      </c>
      <c r="B953" s="3" t="n">
        <v>8</v>
      </c>
      <c r="C953" s="3" t="n">
        <v>9</v>
      </c>
      <c r="D953" s="3" t="s">
        <v>957</v>
      </c>
      <c r="E953" s="4" t="n">
        <v>0</v>
      </c>
    </row>
    <row r="954" customFormat="false" ht="15" hidden="false" customHeight="false" outlineLevel="0" collapsed="false">
      <c r="A954" s="3" t="n">
        <v>2014</v>
      </c>
      <c r="B954" s="3" t="n">
        <v>8</v>
      </c>
      <c r="C954" s="3" t="n">
        <v>10</v>
      </c>
      <c r="D954" s="3" t="s">
        <v>958</v>
      </c>
      <c r="E954" s="4" t="n">
        <v>0</v>
      </c>
    </row>
    <row r="955" customFormat="false" ht="15" hidden="false" customHeight="false" outlineLevel="0" collapsed="false">
      <c r="A955" s="3" t="n">
        <v>2014</v>
      </c>
      <c r="B955" s="3" t="n">
        <v>8</v>
      </c>
      <c r="C955" s="3" t="n">
        <v>11</v>
      </c>
      <c r="D955" s="3" t="s">
        <v>959</v>
      </c>
      <c r="E955" s="4" t="n">
        <v>62</v>
      </c>
    </row>
    <row r="956" customFormat="false" ht="15" hidden="false" customHeight="false" outlineLevel="0" collapsed="false">
      <c r="A956" s="3" t="n">
        <v>2014</v>
      </c>
      <c r="B956" s="3" t="n">
        <v>8</v>
      </c>
      <c r="C956" s="3" t="n">
        <v>12</v>
      </c>
      <c r="D956" s="3" t="s">
        <v>960</v>
      </c>
      <c r="E956" s="4" t="n">
        <v>53</v>
      </c>
    </row>
    <row r="957" customFormat="false" ht="15" hidden="false" customHeight="false" outlineLevel="0" collapsed="false">
      <c r="A957" s="3" t="n">
        <v>2014</v>
      </c>
      <c r="B957" s="3" t="n">
        <v>8</v>
      </c>
      <c r="C957" s="3" t="n">
        <v>13</v>
      </c>
      <c r="D957" s="3" t="s">
        <v>961</v>
      </c>
      <c r="E957" s="4" t="n">
        <v>4</v>
      </c>
    </row>
    <row r="958" customFormat="false" ht="15" hidden="false" customHeight="false" outlineLevel="0" collapsed="false">
      <c r="A958" s="3" t="n">
        <v>2014</v>
      </c>
      <c r="B958" s="3" t="n">
        <v>8</v>
      </c>
      <c r="C958" s="3" t="n">
        <v>14</v>
      </c>
      <c r="D958" s="3" t="s">
        <v>962</v>
      </c>
      <c r="E958" s="4" t="n">
        <v>14</v>
      </c>
    </row>
    <row r="959" customFormat="false" ht="15" hidden="false" customHeight="false" outlineLevel="0" collapsed="false">
      <c r="A959" s="3" t="n">
        <v>2014</v>
      </c>
      <c r="B959" s="3" t="n">
        <v>8</v>
      </c>
      <c r="C959" s="3" t="n">
        <v>15</v>
      </c>
      <c r="D959" s="3" t="s">
        <v>963</v>
      </c>
      <c r="E959" s="4" t="n">
        <v>4</v>
      </c>
    </row>
    <row r="960" customFormat="false" ht="15" hidden="false" customHeight="false" outlineLevel="0" collapsed="false">
      <c r="A960" s="3" t="n">
        <v>2014</v>
      </c>
      <c r="B960" s="3" t="n">
        <v>8</v>
      </c>
      <c r="C960" s="3" t="n">
        <v>16</v>
      </c>
      <c r="D960" s="3" t="s">
        <v>964</v>
      </c>
      <c r="E960" s="4" t="n">
        <v>0</v>
      </c>
    </row>
    <row r="961" customFormat="false" ht="15" hidden="false" customHeight="false" outlineLevel="0" collapsed="false">
      <c r="A961" s="3" t="n">
        <v>2014</v>
      </c>
      <c r="B961" s="3" t="n">
        <v>8</v>
      </c>
      <c r="C961" s="3" t="n">
        <v>17</v>
      </c>
      <c r="D961" s="3" t="s">
        <v>965</v>
      </c>
      <c r="E961" s="4" t="n">
        <v>0</v>
      </c>
    </row>
    <row r="962" customFormat="false" ht="15" hidden="false" customHeight="false" outlineLevel="0" collapsed="false">
      <c r="A962" s="3" t="n">
        <v>2014</v>
      </c>
      <c r="B962" s="3" t="n">
        <v>8</v>
      </c>
      <c r="C962" s="3" t="n">
        <v>18</v>
      </c>
      <c r="D962" s="3" t="s">
        <v>966</v>
      </c>
      <c r="E962" s="4" t="n">
        <v>4</v>
      </c>
    </row>
    <row r="963" customFormat="false" ht="15" hidden="false" customHeight="false" outlineLevel="0" collapsed="false">
      <c r="A963" s="3" t="n">
        <v>2014</v>
      </c>
      <c r="B963" s="3" t="n">
        <v>8</v>
      </c>
      <c r="C963" s="3" t="n">
        <v>19</v>
      </c>
      <c r="D963" s="3" t="s">
        <v>967</v>
      </c>
      <c r="E963" s="4" t="n">
        <v>0</v>
      </c>
    </row>
    <row r="964" customFormat="false" ht="15" hidden="false" customHeight="false" outlineLevel="0" collapsed="false">
      <c r="A964" s="3" t="n">
        <v>2014</v>
      </c>
      <c r="B964" s="3" t="n">
        <v>8</v>
      </c>
      <c r="C964" s="3" t="n">
        <v>20</v>
      </c>
      <c r="D964" s="3" t="s">
        <v>968</v>
      </c>
      <c r="E964" s="4" t="n">
        <v>0</v>
      </c>
    </row>
    <row r="965" customFormat="false" ht="15" hidden="false" customHeight="false" outlineLevel="0" collapsed="false">
      <c r="A965" s="3" t="n">
        <v>2014</v>
      </c>
      <c r="B965" s="3" t="n">
        <v>8</v>
      </c>
      <c r="C965" s="3" t="n">
        <v>21</v>
      </c>
      <c r="D965" s="3" t="s">
        <v>969</v>
      </c>
      <c r="E965" s="4" t="n">
        <v>0</v>
      </c>
    </row>
    <row r="966" customFormat="false" ht="15" hidden="false" customHeight="false" outlineLevel="0" collapsed="false">
      <c r="A966" s="3" t="n">
        <v>2014</v>
      </c>
      <c r="B966" s="3" t="n">
        <v>8</v>
      </c>
      <c r="C966" s="3" t="n">
        <v>22</v>
      </c>
      <c r="D966" s="3" t="s">
        <v>970</v>
      </c>
      <c r="E966" s="4" t="n">
        <v>0</v>
      </c>
    </row>
    <row r="967" customFormat="false" ht="15" hidden="false" customHeight="false" outlineLevel="0" collapsed="false">
      <c r="A967" s="3" t="n">
        <v>2014</v>
      </c>
      <c r="B967" s="3" t="n">
        <v>8</v>
      </c>
      <c r="C967" s="3" t="n">
        <v>23</v>
      </c>
      <c r="D967" s="3" t="s">
        <v>971</v>
      </c>
      <c r="E967" s="4" t="n">
        <v>85</v>
      </c>
    </row>
    <row r="968" customFormat="false" ht="15" hidden="false" customHeight="false" outlineLevel="0" collapsed="false">
      <c r="A968" s="3" t="n">
        <v>2014</v>
      </c>
      <c r="B968" s="3" t="n">
        <v>8</v>
      </c>
      <c r="C968" s="3" t="n">
        <v>24</v>
      </c>
      <c r="D968" s="3" t="s">
        <v>972</v>
      </c>
      <c r="E968" s="4" t="n">
        <v>13</v>
      </c>
    </row>
    <row r="969" customFormat="false" ht="15" hidden="false" customHeight="false" outlineLevel="0" collapsed="false">
      <c r="A969" s="3" t="n">
        <v>2014</v>
      </c>
      <c r="B969" s="3" t="n">
        <v>8</v>
      </c>
      <c r="C969" s="3" t="n">
        <v>25</v>
      </c>
      <c r="D969" s="3" t="s">
        <v>973</v>
      </c>
      <c r="E969" s="4" t="n">
        <v>0</v>
      </c>
    </row>
    <row r="970" customFormat="false" ht="15" hidden="false" customHeight="false" outlineLevel="0" collapsed="false">
      <c r="A970" s="3" t="n">
        <v>2014</v>
      </c>
      <c r="B970" s="3" t="n">
        <v>8</v>
      </c>
      <c r="C970" s="3" t="n">
        <v>26</v>
      </c>
      <c r="D970" s="3" t="s">
        <v>974</v>
      </c>
      <c r="E970" s="4" t="n">
        <v>0</v>
      </c>
    </row>
    <row r="971" customFormat="false" ht="15" hidden="false" customHeight="false" outlineLevel="0" collapsed="false">
      <c r="A971" s="3" t="n">
        <v>2014</v>
      </c>
      <c r="B971" s="3" t="n">
        <v>8</v>
      </c>
      <c r="C971" s="3" t="n">
        <v>27</v>
      </c>
      <c r="D971" s="3" t="s">
        <v>975</v>
      </c>
      <c r="E971" s="4" t="n">
        <v>0</v>
      </c>
    </row>
    <row r="972" customFormat="false" ht="15" hidden="false" customHeight="false" outlineLevel="0" collapsed="false">
      <c r="A972" s="3" t="n">
        <v>2014</v>
      </c>
      <c r="B972" s="3" t="n">
        <v>8</v>
      </c>
      <c r="C972" s="3" t="n">
        <v>28</v>
      </c>
      <c r="D972" s="3" t="s">
        <v>976</v>
      </c>
      <c r="E972" s="4" t="n">
        <v>29</v>
      </c>
    </row>
    <row r="973" customFormat="false" ht="15" hidden="false" customHeight="false" outlineLevel="0" collapsed="false">
      <c r="A973" s="3" t="n">
        <v>2014</v>
      </c>
      <c r="B973" s="3" t="n">
        <v>8</v>
      </c>
      <c r="C973" s="3" t="n">
        <v>29</v>
      </c>
      <c r="D973" s="3" t="s">
        <v>977</v>
      </c>
      <c r="E973" s="4" t="n">
        <v>8</v>
      </c>
    </row>
    <row r="974" customFormat="false" ht="15" hidden="false" customHeight="false" outlineLevel="0" collapsed="false">
      <c r="A974" s="3" t="n">
        <v>2014</v>
      </c>
      <c r="B974" s="3" t="n">
        <v>8</v>
      </c>
      <c r="C974" s="3" t="n">
        <v>30</v>
      </c>
      <c r="D974" s="3" t="s">
        <v>978</v>
      </c>
      <c r="E974" s="4" t="n">
        <v>0</v>
      </c>
    </row>
    <row r="975" customFormat="false" ht="15" hidden="false" customHeight="false" outlineLevel="0" collapsed="false">
      <c r="A975" s="3" t="n">
        <v>2014</v>
      </c>
      <c r="B975" s="3" t="n">
        <v>8</v>
      </c>
      <c r="C975" s="3" t="n">
        <v>31</v>
      </c>
      <c r="D975" s="3" t="s">
        <v>979</v>
      </c>
      <c r="E975" s="4" t="n">
        <v>0</v>
      </c>
    </row>
    <row r="976" customFormat="false" ht="15" hidden="false" customHeight="false" outlineLevel="0" collapsed="false">
      <c r="A976" s="3" t="n">
        <v>2014</v>
      </c>
      <c r="B976" s="3" t="n">
        <v>9</v>
      </c>
      <c r="C976" s="3" t="n">
        <v>1</v>
      </c>
      <c r="D976" s="3" t="s">
        <v>980</v>
      </c>
      <c r="E976" s="4" t="n">
        <v>0</v>
      </c>
    </row>
    <row r="977" customFormat="false" ht="15" hidden="false" customHeight="false" outlineLevel="0" collapsed="false">
      <c r="A977" s="3" t="n">
        <v>2014</v>
      </c>
      <c r="B977" s="3" t="n">
        <v>9</v>
      </c>
      <c r="C977" s="3" t="n">
        <v>2</v>
      </c>
      <c r="D977" s="3" t="s">
        <v>981</v>
      </c>
      <c r="E977" s="4" t="n">
        <v>0</v>
      </c>
    </row>
    <row r="978" customFormat="false" ht="15" hidden="false" customHeight="false" outlineLevel="0" collapsed="false">
      <c r="A978" s="3" t="n">
        <v>2014</v>
      </c>
      <c r="B978" s="3" t="n">
        <v>9</v>
      </c>
      <c r="C978" s="3" t="n">
        <v>3</v>
      </c>
      <c r="D978" s="3" t="s">
        <v>982</v>
      </c>
      <c r="E978" s="4" t="n">
        <v>0</v>
      </c>
    </row>
    <row r="979" customFormat="false" ht="15" hidden="false" customHeight="false" outlineLevel="0" collapsed="false">
      <c r="A979" s="3" t="n">
        <v>2014</v>
      </c>
      <c r="B979" s="3" t="n">
        <v>9</v>
      </c>
      <c r="C979" s="3" t="n">
        <v>4</v>
      </c>
      <c r="D979" s="3" t="s">
        <v>983</v>
      </c>
      <c r="E979" s="4" t="n">
        <v>0</v>
      </c>
    </row>
    <row r="980" customFormat="false" ht="15" hidden="false" customHeight="false" outlineLevel="0" collapsed="false">
      <c r="A980" s="3" t="n">
        <v>2014</v>
      </c>
      <c r="B980" s="3" t="n">
        <v>9</v>
      </c>
      <c r="C980" s="3" t="n">
        <v>5</v>
      </c>
      <c r="D980" s="3" t="s">
        <v>984</v>
      </c>
      <c r="E980" s="4" t="n">
        <v>0</v>
      </c>
    </row>
    <row r="981" customFormat="false" ht="15" hidden="false" customHeight="false" outlineLevel="0" collapsed="false">
      <c r="A981" s="3" t="n">
        <v>2014</v>
      </c>
      <c r="B981" s="3" t="n">
        <v>9</v>
      </c>
      <c r="C981" s="3" t="n">
        <v>6</v>
      </c>
      <c r="D981" s="3" t="s">
        <v>985</v>
      </c>
      <c r="E981" s="4" t="n">
        <v>0</v>
      </c>
    </row>
    <row r="982" customFormat="false" ht="15" hidden="false" customHeight="false" outlineLevel="0" collapsed="false">
      <c r="A982" s="3" t="n">
        <v>2014</v>
      </c>
      <c r="B982" s="3" t="n">
        <v>9</v>
      </c>
      <c r="C982" s="3" t="n">
        <v>7</v>
      </c>
      <c r="D982" s="3" t="s">
        <v>986</v>
      </c>
      <c r="E982" s="4" t="n">
        <v>0</v>
      </c>
    </row>
    <row r="983" customFormat="false" ht="15" hidden="false" customHeight="false" outlineLevel="0" collapsed="false">
      <c r="A983" s="3" t="n">
        <v>2014</v>
      </c>
      <c r="B983" s="3" t="n">
        <v>9</v>
      </c>
      <c r="C983" s="3" t="n">
        <v>8</v>
      </c>
      <c r="D983" s="3" t="s">
        <v>987</v>
      </c>
      <c r="E983" s="4" t="n">
        <v>3</v>
      </c>
    </row>
    <row r="984" customFormat="false" ht="15" hidden="false" customHeight="false" outlineLevel="0" collapsed="false">
      <c r="A984" s="3" t="n">
        <v>2014</v>
      </c>
      <c r="B984" s="3" t="n">
        <v>9</v>
      </c>
      <c r="C984" s="3" t="n">
        <v>9</v>
      </c>
      <c r="D984" s="3" t="s">
        <v>988</v>
      </c>
      <c r="E984" s="4" t="n">
        <v>0</v>
      </c>
    </row>
    <row r="985" customFormat="false" ht="15" hidden="false" customHeight="false" outlineLevel="0" collapsed="false">
      <c r="A985" s="3" t="n">
        <v>2014</v>
      </c>
      <c r="B985" s="3" t="n">
        <v>9</v>
      </c>
      <c r="C985" s="3" t="n">
        <v>10</v>
      </c>
      <c r="D985" s="3" t="s">
        <v>989</v>
      </c>
      <c r="E985" s="4" t="n">
        <v>0</v>
      </c>
    </row>
    <row r="986" customFormat="false" ht="15" hidden="false" customHeight="false" outlineLevel="0" collapsed="false">
      <c r="A986" s="3" t="n">
        <v>2014</v>
      </c>
      <c r="B986" s="3" t="n">
        <v>9</v>
      </c>
      <c r="C986" s="3" t="n">
        <v>11</v>
      </c>
      <c r="D986" s="3" t="s">
        <v>990</v>
      </c>
      <c r="E986" s="4" t="n">
        <v>0</v>
      </c>
    </row>
    <row r="987" customFormat="false" ht="15" hidden="false" customHeight="false" outlineLevel="0" collapsed="false">
      <c r="A987" s="3" t="n">
        <v>2014</v>
      </c>
      <c r="B987" s="3" t="n">
        <v>9</v>
      </c>
      <c r="C987" s="3" t="n">
        <v>12</v>
      </c>
      <c r="D987" s="3" t="s">
        <v>991</v>
      </c>
      <c r="E987" s="4" t="n">
        <v>0</v>
      </c>
    </row>
    <row r="988" customFormat="false" ht="15" hidden="false" customHeight="false" outlineLevel="0" collapsed="false">
      <c r="A988" s="3" t="n">
        <v>2014</v>
      </c>
      <c r="B988" s="3" t="n">
        <v>9</v>
      </c>
      <c r="C988" s="3" t="n">
        <v>13</v>
      </c>
      <c r="D988" s="3" t="s">
        <v>992</v>
      </c>
      <c r="E988" s="4" t="n">
        <v>0</v>
      </c>
    </row>
    <row r="989" customFormat="false" ht="15" hidden="false" customHeight="false" outlineLevel="0" collapsed="false">
      <c r="A989" s="3" t="n">
        <v>2014</v>
      </c>
      <c r="B989" s="3" t="n">
        <v>9</v>
      </c>
      <c r="C989" s="3" t="n">
        <v>14</v>
      </c>
      <c r="D989" s="3" t="s">
        <v>993</v>
      </c>
      <c r="E989" s="4" t="n">
        <v>0</v>
      </c>
    </row>
    <row r="990" customFormat="false" ht="15" hidden="false" customHeight="false" outlineLevel="0" collapsed="false">
      <c r="A990" s="3" t="n">
        <v>2014</v>
      </c>
      <c r="B990" s="3" t="n">
        <v>9</v>
      </c>
      <c r="C990" s="3" t="n">
        <v>15</v>
      </c>
      <c r="D990" s="3" t="s">
        <v>994</v>
      </c>
      <c r="E990" s="4" t="n">
        <v>0</v>
      </c>
    </row>
    <row r="991" customFormat="false" ht="15" hidden="false" customHeight="false" outlineLevel="0" collapsed="false">
      <c r="A991" s="3" t="n">
        <v>2014</v>
      </c>
      <c r="B991" s="3" t="n">
        <v>9</v>
      </c>
      <c r="C991" s="3" t="n">
        <v>16</v>
      </c>
      <c r="D991" s="3" t="s">
        <v>995</v>
      </c>
      <c r="E991" s="4" t="n">
        <v>0</v>
      </c>
    </row>
    <row r="992" customFormat="false" ht="15" hidden="false" customHeight="false" outlineLevel="0" collapsed="false">
      <c r="A992" s="3" t="n">
        <v>2014</v>
      </c>
      <c r="B992" s="3" t="n">
        <v>9</v>
      </c>
      <c r="C992" s="3" t="n">
        <v>17</v>
      </c>
      <c r="D992" s="3" t="s">
        <v>996</v>
      </c>
      <c r="E992" s="4" t="n">
        <v>0</v>
      </c>
    </row>
    <row r="993" customFormat="false" ht="15" hidden="false" customHeight="false" outlineLevel="0" collapsed="false">
      <c r="A993" s="3" t="n">
        <v>2014</v>
      </c>
      <c r="B993" s="3" t="n">
        <v>9</v>
      </c>
      <c r="C993" s="3" t="n">
        <v>18</v>
      </c>
      <c r="D993" s="3" t="s">
        <v>997</v>
      </c>
      <c r="E993" s="4" t="n">
        <v>0</v>
      </c>
    </row>
    <row r="994" customFormat="false" ht="15" hidden="false" customHeight="false" outlineLevel="0" collapsed="false">
      <c r="A994" s="3" t="n">
        <v>2014</v>
      </c>
      <c r="B994" s="3" t="n">
        <v>9</v>
      </c>
      <c r="C994" s="3" t="n">
        <v>19</v>
      </c>
      <c r="D994" s="3" t="s">
        <v>998</v>
      </c>
      <c r="E994" s="4" t="n">
        <v>0</v>
      </c>
    </row>
    <row r="995" customFormat="false" ht="15" hidden="false" customHeight="false" outlineLevel="0" collapsed="false">
      <c r="A995" s="3" t="n">
        <v>2014</v>
      </c>
      <c r="B995" s="3" t="n">
        <v>9</v>
      </c>
      <c r="C995" s="3" t="n">
        <v>20</v>
      </c>
      <c r="D995" s="3" t="s">
        <v>999</v>
      </c>
      <c r="E995" s="4" t="n">
        <v>30</v>
      </c>
    </row>
    <row r="996" customFormat="false" ht="15" hidden="false" customHeight="false" outlineLevel="0" collapsed="false">
      <c r="A996" s="3" t="n">
        <v>2014</v>
      </c>
      <c r="B996" s="3" t="n">
        <v>9</v>
      </c>
      <c r="C996" s="3" t="n">
        <v>21</v>
      </c>
      <c r="D996" s="3" t="s">
        <v>1000</v>
      </c>
      <c r="E996" s="4" t="n">
        <v>30</v>
      </c>
    </row>
    <row r="997" customFormat="false" ht="15" hidden="false" customHeight="false" outlineLevel="0" collapsed="false">
      <c r="A997" s="3" t="n">
        <v>2014</v>
      </c>
      <c r="B997" s="3" t="n">
        <v>9</v>
      </c>
      <c r="C997" s="3" t="n">
        <v>22</v>
      </c>
      <c r="D997" s="3" t="s">
        <v>1001</v>
      </c>
      <c r="E997" s="4" t="n">
        <v>0</v>
      </c>
    </row>
    <row r="998" customFormat="false" ht="15" hidden="false" customHeight="false" outlineLevel="0" collapsed="false">
      <c r="A998" s="3" t="n">
        <v>2014</v>
      </c>
      <c r="B998" s="3" t="n">
        <v>9</v>
      </c>
      <c r="C998" s="3" t="n">
        <v>23</v>
      </c>
      <c r="D998" s="3" t="s">
        <v>1002</v>
      </c>
      <c r="E998" s="4" t="n">
        <v>13</v>
      </c>
    </row>
    <row r="999" customFormat="false" ht="15" hidden="false" customHeight="false" outlineLevel="0" collapsed="false">
      <c r="A999" s="3" t="n">
        <v>2014</v>
      </c>
      <c r="B999" s="3" t="n">
        <v>9</v>
      </c>
      <c r="C999" s="3" t="n">
        <v>24</v>
      </c>
      <c r="D999" s="3" t="s">
        <v>1003</v>
      </c>
      <c r="E999" s="4" t="n">
        <v>32</v>
      </c>
    </row>
    <row r="1000" customFormat="false" ht="15" hidden="false" customHeight="false" outlineLevel="0" collapsed="false">
      <c r="A1000" s="3" t="n">
        <v>2014</v>
      </c>
      <c r="B1000" s="3" t="n">
        <v>9</v>
      </c>
      <c r="C1000" s="3" t="n">
        <v>25</v>
      </c>
      <c r="D1000" s="3" t="s">
        <v>1004</v>
      </c>
      <c r="E1000" s="4" t="n">
        <v>0</v>
      </c>
    </row>
    <row r="1001" customFormat="false" ht="15" hidden="false" customHeight="false" outlineLevel="0" collapsed="false">
      <c r="A1001" s="3" t="n">
        <v>2014</v>
      </c>
      <c r="B1001" s="3" t="n">
        <v>9</v>
      </c>
      <c r="C1001" s="3" t="n">
        <v>26</v>
      </c>
      <c r="D1001" s="3" t="s">
        <v>1005</v>
      </c>
      <c r="E1001" s="4" t="n">
        <v>19</v>
      </c>
    </row>
    <row r="1002" customFormat="false" ht="15" hidden="false" customHeight="false" outlineLevel="0" collapsed="false">
      <c r="A1002" s="3" t="n">
        <v>2014</v>
      </c>
      <c r="B1002" s="3" t="n">
        <v>9</v>
      </c>
      <c r="C1002" s="3" t="n">
        <v>27</v>
      </c>
      <c r="D1002" s="3" t="s">
        <v>1006</v>
      </c>
      <c r="E1002" s="4" t="n">
        <v>17</v>
      </c>
    </row>
    <row r="1003" customFormat="false" ht="15" hidden="false" customHeight="false" outlineLevel="0" collapsed="false">
      <c r="A1003" s="3" t="n">
        <v>2014</v>
      </c>
      <c r="B1003" s="3" t="n">
        <v>9</v>
      </c>
      <c r="C1003" s="3" t="n">
        <v>28</v>
      </c>
      <c r="D1003" s="3" t="s">
        <v>1007</v>
      </c>
      <c r="E1003" s="4" t="n">
        <v>12</v>
      </c>
    </row>
    <row r="1004" customFormat="false" ht="15" hidden="false" customHeight="false" outlineLevel="0" collapsed="false">
      <c r="A1004" s="3" t="n">
        <v>2014</v>
      </c>
      <c r="B1004" s="3" t="n">
        <v>9</v>
      </c>
      <c r="C1004" s="3" t="n">
        <v>29</v>
      </c>
      <c r="D1004" s="3" t="s">
        <v>1008</v>
      </c>
      <c r="E1004" s="4" t="n">
        <v>0</v>
      </c>
    </row>
    <row r="1005" customFormat="false" ht="15" hidden="false" customHeight="false" outlineLevel="0" collapsed="false">
      <c r="A1005" s="3" t="n">
        <v>2014</v>
      </c>
      <c r="B1005" s="3" t="n">
        <v>9</v>
      </c>
      <c r="C1005" s="3" t="n">
        <v>30</v>
      </c>
      <c r="D1005" s="3" t="s">
        <v>1009</v>
      </c>
      <c r="E1005" s="4" t="n">
        <v>0</v>
      </c>
    </row>
    <row r="1006" customFormat="false" ht="15" hidden="false" customHeight="false" outlineLevel="0" collapsed="false">
      <c r="A1006" s="3" t="n">
        <v>2014</v>
      </c>
      <c r="B1006" s="3" t="n">
        <v>10</v>
      </c>
      <c r="C1006" s="3" t="n">
        <v>1</v>
      </c>
      <c r="D1006" s="3" t="s">
        <v>1010</v>
      </c>
      <c r="E1006" s="4" t="n">
        <v>0</v>
      </c>
    </row>
    <row r="1007" customFormat="false" ht="15" hidden="false" customHeight="false" outlineLevel="0" collapsed="false">
      <c r="A1007" s="3" t="n">
        <v>2014</v>
      </c>
      <c r="B1007" s="3" t="n">
        <v>10</v>
      </c>
      <c r="C1007" s="3" t="n">
        <v>2</v>
      </c>
      <c r="D1007" s="3" t="s">
        <v>1011</v>
      </c>
      <c r="E1007" s="4" t="n">
        <v>2</v>
      </c>
    </row>
    <row r="1008" customFormat="false" ht="15" hidden="false" customHeight="false" outlineLevel="0" collapsed="false">
      <c r="A1008" s="3" t="n">
        <v>2014</v>
      </c>
      <c r="B1008" s="3" t="n">
        <v>10</v>
      </c>
      <c r="C1008" s="3" t="n">
        <v>3</v>
      </c>
      <c r="D1008" s="3" t="s">
        <v>1012</v>
      </c>
      <c r="E1008" s="4" t="n">
        <v>0</v>
      </c>
    </row>
    <row r="1009" customFormat="false" ht="15" hidden="false" customHeight="false" outlineLevel="0" collapsed="false">
      <c r="A1009" s="3" t="n">
        <v>2014</v>
      </c>
      <c r="B1009" s="3" t="n">
        <v>10</v>
      </c>
      <c r="C1009" s="3" t="n">
        <v>4</v>
      </c>
      <c r="D1009" s="3" t="s">
        <v>1013</v>
      </c>
      <c r="E1009" s="4" t="n">
        <v>0</v>
      </c>
    </row>
    <row r="1010" customFormat="false" ht="15" hidden="false" customHeight="false" outlineLevel="0" collapsed="false">
      <c r="A1010" s="3" t="n">
        <v>2014</v>
      </c>
      <c r="B1010" s="3" t="n">
        <v>10</v>
      </c>
      <c r="C1010" s="3" t="n">
        <v>5</v>
      </c>
      <c r="D1010" s="3" t="s">
        <v>1014</v>
      </c>
      <c r="E1010" s="4" t="n">
        <v>0</v>
      </c>
    </row>
    <row r="1011" customFormat="false" ht="15" hidden="false" customHeight="false" outlineLevel="0" collapsed="false">
      <c r="A1011" s="3" t="n">
        <v>2014</v>
      </c>
      <c r="B1011" s="3" t="n">
        <v>10</v>
      </c>
      <c r="C1011" s="3" t="n">
        <v>6</v>
      </c>
      <c r="D1011" s="3" t="s">
        <v>1015</v>
      </c>
      <c r="E1011" s="4" t="n">
        <v>0</v>
      </c>
    </row>
    <row r="1012" customFormat="false" ht="15" hidden="false" customHeight="false" outlineLevel="0" collapsed="false">
      <c r="A1012" s="3" t="n">
        <v>2014</v>
      </c>
      <c r="B1012" s="3" t="n">
        <v>10</v>
      </c>
      <c r="C1012" s="3" t="n">
        <v>7</v>
      </c>
      <c r="D1012" s="3" t="s">
        <v>1016</v>
      </c>
      <c r="E1012" s="4" t="n">
        <v>3</v>
      </c>
    </row>
    <row r="1013" customFormat="false" ht="15" hidden="false" customHeight="false" outlineLevel="0" collapsed="false">
      <c r="A1013" s="3" t="n">
        <v>2014</v>
      </c>
      <c r="B1013" s="3" t="n">
        <v>10</v>
      </c>
      <c r="C1013" s="3" t="n">
        <v>8</v>
      </c>
      <c r="D1013" s="3" t="s">
        <v>1017</v>
      </c>
      <c r="E1013" s="4" t="n">
        <v>0</v>
      </c>
    </row>
    <row r="1014" customFormat="false" ht="15" hidden="false" customHeight="false" outlineLevel="0" collapsed="false">
      <c r="A1014" s="3" t="n">
        <v>2014</v>
      </c>
      <c r="B1014" s="3" t="n">
        <v>10</v>
      </c>
      <c r="C1014" s="3" t="n">
        <v>9</v>
      </c>
      <c r="D1014" s="3" t="s">
        <v>1018</v>
      </c>
      <c r="E1014" s="4" t="n">
        <v>0</v>
      </c>
    </row>
    <row r="1015" customFormat="false" ht="15" hidden="false" customHeight="false" outlineLevel="0" collapsed="false">
      <c r="A1015" s="3" t="n">
        <v>2014</v>
      </c>
      <c r="B1015" s="3" t="n">
        <v>10</v>
      </c>
      <c r="C1015" s="3" t="n">
        <v>10</v>
      </c>
      <c r="D1015" s="3" t="s">
        <v>1019</v>
      </c>
      <c r="E1015" s="4" t="n">
        <v>0</v>
      </c>
    </row>
    <row r="1016" customFormat="false" ht="15" hidden="false" customHeight="false" outlineLevel="0" collapsed="false">
      <c r="A1016" s="3" t="n">
        <v>2014</v>
      </c>
      <c r="B1016" s="3" t="n">
        <v>10</v>
      </c>
      <c r="C1016" s="3" t="n">
        <v>11</v>
      </c>
      <c r="D1016" s="3" t="s">
        <v>1020</v>
      </c>
      <c r="E1016" s="4" t="n">
        <v>43</v>
      </c>
    </row>
    <row r="1017" customFormat="false" ht="15" hidden="false" customHeight="false" outlineLevel="0" collapsed="false">
      <c r="A1017" s="3" t="n">
        <v>2014</v>
      </c>
      <c r="B1017" s="3" t="n">
        <v>10</v>
      </c>
      <c r="C1017" s="3" t="n">
        <v>12</v>
      </c>
      <c r="D1017" s="3" t="s">
        <v>1021</v>
      </c>
      <c r="E1017" s="4" t="n">
        <v>0</v>
      </c>
    </row>
    <row r="1018" customFormat="false" ht="15" hidden="false" customHeight="false" outlineLevel="0" collapsed="false">
      <c r="A1018" s="3" t="n">
        <v>2014</v>
      </c>
      <c r="B1018" s="3" t="n">
        <v>10</v>
      </c>
      <c r="C1018" s="3" t="n">
        <v>13</v>
      </c>
      <c r="D1018" s="3" t="s">
        <v>1022</v>
      </c>
      <c r="E1018" s="4" t="n">
        <v>0</v>
      </c>
    </row>
    <row r="1019" customFormat="false" ht="15" hidden="false" customHeight="false" outlineLevel="0" collapsed="false">
      <c r="A1019" s="3" t="n">
        <v>2014</v>
      </c>
      <c r="B1019" s="3" t="n">
        <v>10</v>
      </c>
      <c r="C1019" s="3" t="n">
        <v>14</v>
      </c>
      <c r="D1019" s="3" t="s">
        <v>1023</v>
      </c>
      <c r="E1019" s="4" t="n">
        <v>0</v>
      </c>
    </row>
    <row r="1020" customFormat="false" ht="15" hidden="false" customHeight="false" outlineLevel="0" collapsed="false">
      <c r="A1020" s="3" t="n">
        <v>2014</v>
      </c>
      <c r="B1020" s="3" t="n">
        <v>10</v>
      </c>
      <c r="C1020" s="3" t="n">
        <v>15</v>
      </c>
      <c r="D1020" s="3" t="s">
        <v>1024</v>
      </c>
      <c r="E1020" s="4" t="n">
        <v>0</v>
      </c>
    </row>
    <row r="1021" customFormat="false" ht="15" hidden="false" customHeight="false" outlineLevel="0" collapsed="false">
      <c r="A1021" s="3" t="n">
        <v>2014</v>
      </c>
      <c r="B1021" s="3" t="n">
        <v>10</v>
      </c>
      <c r="C1021" s="3" t="n">
        <v>16</v>
      </c>
      <c r="D1021" s="3" t="s">
        <v>1025</v>
      </c>
      <c r="E1021" s="4" t="n">
        <v>3</v>
      </c>
    </row>
    <row r="1022" customFormat="false" ht="15" hidden="false" customHeight="false" outlineLevel="0" collapsed="false">
      <c r="A1022" s="3" t="n">
        <v>2014</v>
      </c>
      <c r="B1022" s="3" t="n">
        <v>10</v>
      </c>
      <c r="C1022" s="3" t="n">
        <v>17</v>
      </c>
      <c r="D1022" s="3" t="s">
        <v>1026</v>
      </c>
      <c r="E1022" s="4" t="n">
        <v>0</v>
      </c>
    </row>
    <row r="1023" customFormat="false" ht="15" hidden="false" customHeight="false" outlineLevel="0" collapsed="false">
      <c r="A1023" s="3" t="n">
        <v>2014</v>
      </c>
      <c r="B1023" s="3" t="n">
        <v>10</v>
      </c>
      <c r="C1023" s="3" t="n">
        <v>18</v>
      </c>
      <c r="D1023" s="3" t="s">
        <v>1027</v>
      </c>
      <c r="E1023" s="4" t="n">
        <v>0</v>
      </c>
    </row>
    <row r="1024" customFormat="false" ht="15" hidden="false" customHeight="false" outlineLevel="0" collapsed="false">
      <c r="A1024" s="3" t="n">
        <v>2014</v>
      </c>
      <c r="B1024" s="3" t="n">
        <v>10</v>
      </c>
      <c r="C1024" s="3" t="n">
        <v>19</v>
      </c>
      <c r="D1024" s="3" t="s">
        <v>1028</v>
      </c>
      <c r="E1024" s="4" t="n">
        <v>28</v>
      </c>
    </row>
    <row r="1025" customFormat="false" ht="15" hidden="false" customHeight="false" outlineLevel="0" collapsed="false">
      <c r="A1025" s="3" t="n">
        <v>2014</v>
      </c>
      <c r="B1025" s="3" t="n">
        <v>10</v>
      </c>
      <c r="C1025" s="3" t="n">
        <v>20</v>
      </c>
      <c r="D1025" s="3" t="s">
        <v>1029</v>
      </c>
      <c r="E1025" s="4" t="n">
        <v>8</v>
      </c>
    </row>
    <row r="1026" customFormat="false" ht="15" hidden="false" customHeight="false" outlineLevel="0" collapsed="false">
      <c r="A1026" s="3" t="n">
        <v>2014</v>
      </c>
      <c r="B1026" s="3" t="n">
        <v>10</v>
      </c>
      <c r="C1026" s="3" t="n">
        <v>21</v>
      </c>
      <c r="D1026" s="3" t="s">
        <v>1030</v>
      </c>
      <c r="E1026" s="4" t="n">
        <v>35</v>
      </c>
    </row>
    <row r="1027" customFormat="false" ht="15" hidden="false" customHeight="false" outlineLevel="0" collapsed="false">
      <c r="A1027" s="3" t="n">
        <v>2014</v>
      </c>
      <c r="B1027" s="3" t="n">
        <v>10</v>
      </c>
      <c r="C1027" s="3" t="n">
        <v>22</v>
      </c>
      <c r="D1027" s="3" t="s">
        <v>1031</v>
      </c>
      <c r="E1027" s="4" t="n">
        <v>41</v>
      </c>
    </row>
    <row r="1028" customFormat="false" ht="15" hidden="false" customHeight="false" outlineLevel="0" collapsed="false">
      <c r="A1028" s="3" t="n">
        <v>2014</v>
      </c>
      <c r="B1028" s="3" t="n">
        <v>10</v>
      </c>
      <c r="C1028" s="3" t="n">
        <v>23</v>
      </c>
      <c r="D1028" s="3" t="s">
        <v>1032</v>
      </c>
      <c r="E1028" s="4" t="n">
        <v>37</v>
      </c>
    </row>
    <row r="1029" customFormat="false" ht="15" hidden="false" customHeight="false" outlineLevel="0" collapsed="false">
      <c r="A1029" s="3" t="n">
        <v>2014</v>
      </c>
      <c r="B1029" s="3" t="n">
        <v>10</v>
      </c>
      <c r="C1029" s="3" t="n">
        <v>24</v>
      </c>
      <c r="D1029" s="3" t="s">
        <v>1033</v>
      </c>
      <c r="E1029" s="4" t="n">
        <v>9</v>
      </c>
    </row>
    <row r="1030" customFormat="false" ht="15" hidden="false" customHeight="false" outlineLevel="0" collapsed="false">
      <c r="A1030" s="3" t="n">
        <v>2014</v>
      </c>
      <c r="B1030" s="3" t="n">
        <v>10</v>
      </c>
      <c r="C1030" s="3" t="n">
        <v>25</v>
      </c>
      <c r="D1030" s="3" t="s">
        <v>1034</v>
      </c>
      <c r="E1030" s="4" t="n">
        <v>0</v>
      </c>
    </row>
    <row r="1031" customFormat="false" ht="15" hidden="false" customHeight="false" outlineLevel="0" collapsed="false">
      <c r="A1031" s="3" t="n">
        <v>2014</v>
      </c>
      <c r="B1031" s="3" t="n">
        <v>10</v>
      </c>
      <c r="C1031" s="3" t="n">
        <v>26</v>
      </c>
      <c r="D1031" s="3" t="s">
        <v>1035</v>
      </c>
      <c r="E1031" s="4" t="n">
        <v>12</v>
      </c>
    </row>
    <row r="1032" customFormat="false" ht="15" hidden="false" customHeight="false" outlineLevel="0" collapsed="false">
      <c r="A1032" s="3" t="n">
        <v>2014</v>
      </c>
      <c r="B1032" s="3" t="n">
        <v>10</v>
      </c>
      <c r="C1032" s="3" t="n">
        <v>27</v>
      </c>
      <c r="D1032" s="3" t="s">
        <v>1036</v>
      </c>
      <c r="E1032" s="4" t="n">
        <v>3</v>
      </c>
    </row>
    <row r="1033" customFormat="false" ht="15" hidden="false" customHeight="false" outlineLevel="0" collapsed="false">
      <c r="A1033" s="3" t="n">
        <v>2014</v>
      </c>
      <c r="B1033" s="3" t="n">
        <v>10</v>
      </c>
      <c r="C1033" s="3" t="n">
        <v>28</v>
      </c>
      <c r="D1033" s="3" t="s">
        <v>1037</v>
      </c>
      <c r="E1033" s="4" t="n">
        <v>2</v>
      </c>
    </row>
    <row r="1034" customFormat="false" ht="15" hidden="false" customHeight="false" outlineLevel="0" collapsed="false">
      <c r="A1034" s="3" t="n">
        <v>2014</v>
      </c>
      <c r="B1034" s="3" t="n">
        <v>10</v>
      </c>
      <c r="C1034" s="3" t="n">
        <v>29</v>
      </c>
      <c r="D1034" s="3" t="s">
        <v>1038</v>
      </c>
      <c r="E1034" s="4" t="n">
        <v>0</v>
      </c>
    </row>
    <row r="1035" customFormat="false" ht="15" hidden="false" customHeight="false" outlineLevel="0" collapsed="false">
      <c r="A1035" s="3" t="n">
        <v>2014</v>
      </c>
      <c r="B1035" s="3" t="n">
        <v>10</v>
      </c>
      <c r="C1035" s="3" t="n">
        <v>30</v>
      </c>
      <c r="D1035" s="3" t="s">
        <v>1039</v>
      </c>
      <c r="E1035" s="4" t="n">
        <v>0</v>
      </c>
    </row>
    <row r="1036" customFormat="false" ht="15" hidden="false" customHeight="false" outlineLevel="0" collapsed="false">
      <c r="A1036" s="3" t="n">
        <v>2014</v>
      </c>
      <c r="B1036" s="3" t="n">
        <v>10</v>
      </c>
      <c r="C1036" s="3" t="n">
        <v>31</v>
      </c>
      <c r="D1036" s="3" t="s">
        <v>1040</v>
      </c>
      <c r="E1036" s="4" t="n">
        <v>0</v>
      </c>
    </row>
    <row r="1037" customFormat="false" ht="15" hidden="false" customHeight="false" outlineLevel="0" collapsed="false">
      <c r="A1037" s="3" t="n">
        <v>2014</v>
      </c>
      <c r="B1037" s="3" t="n">
        <v>11</v>
      </c>
      <c r="C1037" s="3" t="n">
        <v>1</v>
      </c>
      <c r="D1037" s="3" t="s">
        <v>1041</v>
      </c>
      <c r="E1037" s="4" t="n">
        <v>0</v>
      </c>
    </row>
    <row r="1038" customFormat="false" ht="15" hidden="false" customHeight="false" outlineLevel="0" collapsed="false">
      <c r="A1038" s="3" t="n">
        <v>2014</v>
      </c>
      <c r="B1038" s="3" t="n">
        <v>11</v>
      </c>
      <c r="C1038" s="3" t="n">
        <v>2</v>
      </c>
      <c r="D1038" s="3" t="s">
        <v>1042</v>
      </c>
      <c r="E1038" s="4" t="n">
        <v>0</v>
      </c>
    </row>
    <row r="1039" customFormat="false" ht="15" hidden="false" customHeight="false" outlineLevel="0" collapsed="false">
      <c r="A1039" s="3" t="n">
        <v>2014</v>
      </c>
      <c r="B1039" s="3" t="n">
        <v>11</v>
      </c>
      <c r="C1039" s="3" t="n">
        <v>3</v>
      </c>
      <c r="D1039" s="3" t="s">
        <v>1043</v>
      </c>
      <c r="E1039" s="4" t="n">
        <v>0</v>
      </c>
    </row>
    <row r="1040" customFormat="false" ht="15" hidden="false" customHeight="false" outlineLevel="0" collapsed="false">
      <c r="A1040" s="3" t="n">
        <v>2014</v>
      </c>
      <c r="B1040" s="3" t="n">
        <v>11</v>
      </c>
      <c r="C1040" s="3" t="n">
        <v>4</v>
      </c>
      <c r="D1040" s="3" t="s">
        <v>1044</v>
      </c>
      <c r="E1040" s="4" t="n">
        <v>16</v>
      </c>
    </row>
    <row r="1041" customFormat="false" ht="15" hidden="false" customHeight="false" outlineLevel="0" collapsed="false">
      <c r="A1041" s="3" t="n">
        <v>2014</v>
      </c>
      <c r="B1041" s="3" t="n">
        <v>11</v>
      </c>
      <c r="C1041" s="3" t="n">
        <v>5</v>
      </c>
      <c r="D1041" s="3" t="s">
        <v>1045</v>
      </c>
      <c r="E1041" s="4" t="n">
        <v>3</v>
      </c>
    </row>
    <row r="1042" customFormat="false" ht="15" hidden="false" customHeight="false" outlineLevel="0" collapsed="false">
      <c r="A1042" s="3" t="n">
        <v>2014</v>
      </c>
      <c r="B1042" s="3" t="n">
        <v>11</v>
      </c>
      <c r="C1042" s="3" t="n">
        <v>6</v>
      </c>
      <c r="D1042" s="3" t="s">
        <v>1046</v>
      </c>
      <c r="E1042" s="4" t="n">
        <v>0</v>
      </c>
    </row>
    <row r="1043" customFormat="false" ht="15" hidden="false" customHeight="false" outlineLevel="0" collapsed="false">
      <c r="A1043" s="3" t="n">
        <v>2014</v>
      </c>
      <c r="B1043" s="3" t="n">
        <v>11</v>
      </c>
      <c r="C1043" s="3" t="n">
        <v>7</v>
      </c>
      <c r="D1043" s="3" t="s">
        <v>1047</v>
      </c>
      <c r="E1043" s="4" t="n">
        <v>0</v>
      </c>
    </row>
    <row r="1044" customFormat="false" ht="15" hidden="false" customHeight="false" outlineLevel="0" collapsed="false">
      <c r="A1044" s="3" t="n">
        <v>2014</v>
      </c>
      <c r="B1044" s="3" t="n">
        <v>11</v>
      </c>
      <c r="C1044" s="3" t="n">
        <v>8</v>
      </c>
      <c r="D1044" s="3" t="s">
        <v>1048</v>
      </c>
      <c r="E1044" s="4" t="n">
        <v>0</v>
      </c>
    </row>
    <row r="1045" customFormat="false" ht="15" hidden="false" customHeight="false" outlineLevel="0" collapsed="false">
      <c r="A1045" s="3" t="n">
        <v>2014</v>
      </c>
      <c r="B1045" s="3" t="n">
        <v>11</v>
      </c>
      <c r="C1045" s="3" t="n">
        <v>9</v>
      </c>
      <c r="D1045" s="3" t="s">
        <v>1049</v>
      </c>
      <c r="E1045" s="4" t="n">
        <v>12</v>
      </c>
    </row>
    <row r="1046" customFormat="false" ht="15" hidden="false" customHeight="false" outlineLevel="0" collapsed="false">
      <c r="A1046" s="3" t="n">
        <v>2014</v>
      </c>
      <c r="B1046" s="3" t="n">
        <v>11</v>
      </c>
      <c r="C1046" s="3" t="n">
        <v>10</v>
      </c>
      <c r="D1046" s="3" t="s">
        <v>1050</v>
      </c>
      <c r="E1046" s="4" t="n">
        <v>8</v>
      </c>
    </row>
    <row r="1047" customFormat="false" ht="15" hidden="false" customHeight="false" outlineLevel="0" collapsed="false">
      <c r="A1047" s="3" t="n">
        <v>2014</v>
      </c>
      <c r="B1047" s="3" t="n">
        <v>11</v>
      </c>
      <c r="C1047" s="3" t="n">
        <v>11</v>
      </c>
      <c r="D1047" s="3" t="s">
        <v>1051</v>
      </c>
      <c r="E1047" s="4" t="n">
        <v>13</v>
      </c>
    </row>
    <row r="1048" customFormat="false" ht="15" hidden="false" customHeight="false" outlineLevel="0" collapsed="false">
      <c r="A1048" s="3" t="n">
        <v>2014</v>
      </c>
      <c r="B1048" s="3" t="n">
        <v>11</v>
      </c>
      <c r="C1048" s="3" t="n">
        <v>12</v>
      </c>
      <c r="D1048" s="3" t="s">
        <v>1052</v>
      </c>
      <c r="E1048" s="4" t="n">
        <v>0</v>
      </c>
    </row>
    <row r="1049" customFormat="false" ht="15" hidden="false" customHeight="false" outlineLevel="0" collapsed="false">
      <c r="A1049" s="3" t="n">
        <v>2014</v>
      </c>
      <c r="B1049" s="3" t="n">
        <v>11</v>
      </c>
      <c r="C1049" s="3" t="n">
        <v>13</v>
      </c>
      <c r="D1049" s="3" t="s">
        <v>1053</v>
      </c>
      <c r="E1049" s="4" t="n">
        <v>37</v>
      </c>
    </row>
    <row r="1050" customFormat="false" ht="15" hidden="false" customHeight="false" outlineLevel="0" collapsed="false">
      <c r="A1050" s="3" t="n">
        <v>2014</v>
      </c>
      <c r="B1050" s="3" t="n">
        <v>11</v>
      </c>
      <c r="C1050" s="3" t="n">
        <v>14</v>
      </c>
      <c r="D1050" s="3" t="s">
        <v>1054</v>
      </c>
      <c r="E1050" s="4" t="n">
        <v>0</v>
      </c>
    </row>
    <row r="1051" customFormat="false" ht="15" hidden="false" customHeight="false" outlineLevel="0" collapsed="false">
      <c r="A1051" s="3" t="n">
        <v>2014</v>
      </c>
      <c r="B1051" s="3" t="n">
        <v>11</v>
      </c>
      <c r="C1051" s="3" t="n">
        <v>15</v>
      </c>
      <c r="D1051" s="3" t="s">
        <v>1055</v>
      </c>
      <c r="E1051" s="4" t="n">
        <v>0</v>
      </c>
    </row>
    <row r="1052" customFormat="false" ht="15" hidden="false" customHeight="false" outlineLevel="0" collapsed="false">
      <c r="A1052" s="3" t="n">
        <v>2014</v>
      </c>
      <c r="B1052" s="3" t="n">
        <v>11</v>
      </c>
      <c r="C1052" s="3" t="n">
        <v>16</v>
      </c>
      <c r="D1052" s="3" t="s">
        <v>1056</v>
      </c>
      <c r="E1052" s="4" t="n">
        <v>0</v>
      </c>
    </row>
    <row r="1053" customFormat="false" ht="15" hidden="false" customHeight="false" outlineLevel="0" collapsed="false">
      <c r="A1053" s="3" t="n">
        <v>2014</v>
      </c>
      <c r="B1053" s="3" t="n">
        <v>11</v>
      </c>
      <c r="C1053" s="3" t="n">
        <v>17</v>
      </c>
      <c r="D1053" s="3" t="s">
        <v>1057</v>
      </c>
      <c r="E1053" s="4" t="n">
        <v>0</v>
      </c>
    </row>
    <row r="1054" customFormat="false" ht="15" hidden="false" customHeight="false" outlineLevel="0" collapsed="false">
      <c r="A1054" s="3" t="n">
        <v>2014</v>
      </c>
      <c r="B1054" s="3" t="n">
        <v>11</v>
      </c>
      <c r="C1054" s="3" t="n">
        <v>18</v>
      </c>
      <c r="D1054" s="3" t="s">
        <v>1058</v>
      </c>
      <c r="E1054" s="4" t="n">
        <v>39</v>
      </c>
    </row>
    <row r="1055" customFormat="false" ht="15" hidden="false" customHeight="false" outlineLevel="0" collapsed="false">
      <c r="A1055" s="3" t="n">
        <v>2014</v>
      </c>
      <c r="B1055" s="3" t="n">
        <v>11</v>
      </c>
      <c r="C1055" s="3" t="n">
        <v>19</v>
      </c>
      <c r="D1055" s="3" t="s">
        <v>1059</v>
      </c>
      <c r="E1055" s="4" t="n">
        <v>5</v>
      </c>
    </row>
    <row r="1056" customFormat="false" ht="15" hidden="false" customHeight="false" outlineLevel="0" collapsed="false">
      <c r="A1056" s="3" t="n">
        <v>2014</v>
      </c>
      <c r="B1056" s="3" t="n">
        <v>11</v>
      </c>
      <c r="C1056" s="3" t="n">
        <v>20</v>
      </c>
      <c r="D1056" s="3" t="s">
        <v>1060</v>
      </c>
      <c r="E1056" s="4" t="n">
        <v>0</v>
      </c>
    </row>
    <row r="1057" customFormat="false" ht="15" hidden="false" customHeight="false" outlineLevel="0" collapsed="false">
      <c r="A1057" s="3" t="n">
        <v>2014</v>
      </c>
      <c r="B1057" s="3" t="n">
        <v>11</v>
      </c>
      <c r="C1057" s="3" t="n">
        <v>21</v>
      </c>
      <c r="D1057" s="3" t="s">
        <v>1061</v>
      </c>
      <c r="E1057" s="4" t="n">
        <v>0</v>
      </c>
    </row>
    <row r="1058" customFormat="false" ht="15" hidden="false" customHeight="false" outlineLevel="0" collapsed="false">
      <c r="A1058" s="3" t="n">
        <v>2014</v>
      </c>
      <c r="B1058" s="3" t="n">
        <v>11</v>
      </c>
      <c r="C1058" s="3" t="n">
        <v>22</v>
      </c>
      <c r="D1058" s="3" t="s">
        <v>1062</v>
      </c>
      <c r="E1058" s="4" t="n">
        <v>32</v>
      </c>
    </row>
    <row r="1059" customFormat="false" ht="15" hidden="false" customHeight="false" outlineLevel="0" collapsed="false">
      <c r="A1059" s="3" t="n">
        <v>2014</v>
      </c>
      <c r="B1059" s="3" t="n">
        <v>11</v>
      </c>
      <c r="C1059" s="3" t="n">
        <v>23</v>
      </c>
      <c r="D1059" s="3" t="s">
        <v>1063</v>
      </c>
      <c r="E1059" s="4" t="n">
        <v>28</v>
      </c>
    </row>
    <row r="1060" customFormat="false" ht="15" hidden="false" customHeight="false" outlineLevel="0" collapsed="false">
      <c r="A1060" s="3" t="n">
        <v>2014</v>
      </c>
      <c r="B1060" s="3" t="n">
        <v>11</v>
      </c>
      <c r="C1060" s="3" t="n">
        <v>24</v>
      </c>
      <c r="D1060" s="3" t="s">
        <v>1064</v>
      </c>
      <c r="E1060" s="4" t="n">
        <v>0</v>
      </c>
    </row>
    <row r="1061" customFormat="false" ht="15" hidden="false" customHeight="false" outlineLevel="0" collapsed="false">
      <c r="A1061" s="3" t="n">
        <v>2014</v>
      </c>
      <c r="B1061" s="3" t="n">
        <v>11</v>
      </c>
      <c r="C1061" s="3" t="n">
        <v>25</v>
      </c>
      <c r="D1061" s="3" t="s">
        <v>1065</v>
      </c>
      <c r="E1061" s="4" t="n">
        <v>0</v>
      </c>
    </row>
    <row r="1062" customFormat="false" ht="15" hidden="false" customHeight="false" outlineLevel="0" collapsed="false">
      <c r="A1062" s="3" t="n">
        <v>2014</v>
      </c>
      <c r="B1062" s="3" t="n">
        <v>11</v>
      </c>
      <c r="C1062" s="3" t="n">
        <v>26</v>
      </c>
      <c r="D1062" s="3" t="s">
        <v>1066</v>
      </c>
      <c r="E1062" s="4" t="n">
        <v>0</v>
      </c>
    </row>
    <row r="1063" customFormat="false" ht="15" hidden="false" customHeight="false" outlineLevel="0" collapsed="false">
      <c r="A1063" s="3" t="n">
        <v>2014</v>
      </c>
      <c r="B1063" s="3" t="n">
        <v>11</v>
      </c>
      <c r="C1063" s="3" t="n">
        <v>27</v>
      </c>
      <c r="D1063" s="3" t="s">
        <v>1067</v>
      </c>
      <c r="E1063" s="4" t="n">
        <v>3</v>
      </c>
    </row>
    <row r="1064" customFormat="false" ht="15" hidden="false" customHeight="false" outlineLevel="0" collapsed="false">
      <c r="A1064" s="3" t="n">
        <v>2014</v>
      </c>
      <c r="B1064" s="3" t="n">
        <v>11</v>
      </c>
      <c r="C1064" s="3" t="n">
        <v>28</v>
      </c>
      <c r="D1064" s="3" t="s">
        <v>1068</v>
      </c>
      <c r="E1064" s="4" t="n">
        <v>63</v>
      </c>
    </row>
    <row r="1065" customFormat="false" ht="15" hidden="false" customHeight="false" outlineLevel="0" collapsed="false">
      <c r="A1065" s="3" t="n">
        <v>2014</v>
      </c>
      <c r="B1065" s="3" t="n">
        <v>11</v>
      </c>
      <c r="C1065" s="3" t="n">
        <v>29</v>
      </c>
      <c r="D1065" s="3" t="s">
        <v>1069</v>
      </c>
      <c r="E1065" s="4" t="n">
        <v>15</v>
      </c>
    </row>
    <row r="1066" customFormat="false" ht="15" hidden="false" customHeight="false" outlineLevel="0" collapsed="false">
      <c r="A1066" s="3" t="n">
        <v>2014</v>
      </c>
      <c r="B1066" s="3" t="n">
        <v>11</v>
      </c>
      <c r="C1066" s="3" t="n">
        <v>30</v>
      </c>
      <c r="D1066" s="3" t="s">
        <v>1070</v>
      </c>
      <c r="E1066" s="4" t="n">
        <v>16</v>
      </c>
    </row>
    <row r="1067" customFormat="false" ht="15" hidden="false" customHeight="false" outlineLevel="0" collapsed="false">
      <c r="A1067" s="3" t="n">
        <v>2014</v>
      </c>
      <c r="B1067" s="3" t="n">
        <v>12</v>
      </c>
      <c r="C1067" s="3" t="n">
        <v>1</v>
      </c>
      <c r="D1067" s="3" t="s">
        <v>1071</v>
      </c>
      <c r="E1067" s="4" t="n">
        <v>53</v>
      </c>
    </row>
    <row r="1068" customFormat="false" ht="15" hidden="false" customHeight="false" outlineLevel="0" collapsed="false">
      <c r="A1068" s="3" t="n">
        <v>2014</v>
      </c>
      <c r="B1068" s="3" t="n">
        <v>12</v>
      </c>
      <c r="C1068" s="3" t="n">
        <v>2</v>
      </c>
      <c r="D1068" s="3" t="s">
        <v>1072</v>
      </c>
      <c r="E1068" s="4" t="n">
        <v>30</v>
      </c>
    </row>
    <row r="1069" customFormat="false" ht="15" hidden="false" customHeight="false" outlineLevel="0" collapsed="false">
      <c r="A1069" s="3" t="n">
        <v>2014</v>
      </c>
      <c r="B1069" s="3" t="n">
        <v>12</v>
      </c>
      <c r="C1069" s="3" t="n">
        <v>3</v>
      </c>
      <c r="D1069" s="3" t="s">
        <v>1073</v>
      </c>
      <c r="E1069" s="4" t="n">
        <v>0</v>
      </c>
    </row>
    <row r="1070" customFormat="false" ht="15" hidden="false" customHeight="false" outlineLevel="0" collapsed="false">
      <c r="A1070" s="3" t="n">
        <v>2014</v>
      </c>
      <c r="B1070" s="3" t="n">
        <v>12</v>
      </c>
      <c r="C1070" s="3" t="n">
        <v>4</v>
      </c>
      <c r="D1070" s="3" t="s">
        <v>1074</v>
      </c>
      <c r="E1070" s="4" t="n">
        <v>0</v>
      </c>
    </row>
    <row r="1071" customFormat="false" ht="15" hidden="false" customHeight="false" outlineLevel="0" collapsed="false">
      <c r="A1071" s="3" t="n">
        <v>2014</v>
      </c>
      <c r="B1071" s="3" t="n">
        <v>12</v>
      </c>
      <c r="C1071" s="3" t="n">
        <v>5</v>
      </c>
      <c r="D1071" s="3" t="s">
        <v>1075</v>
      </c>
      <c r="E1071" s="4" t="n">
        <v>0</v>
      </c>
    </row>
    <row r="1072" customFormat="false" ht="15" hidden="false" customHeight="false" outlineLevel="0" collapsed="false">
      <c r="A1072" s="3" t="n">
        <v>2014</v>
      </c>
      <c r="B1072" s="3" t="n">
        <v>12</v>
      </c>
      <c r="C1072" s="3" t="n">
        <v>6</v>
      </c>
      <c r="D1072" s="3" t="s">
        <v>1076</v>
      </c>
      <c r="E1072" s="4" t="n">
        <v>0</v>
      </c>
    </row>
    <row r="1073" customFormat="false" ht="15" hidden="false" customHeight="false" outlineLevel="0" collapsed="false">
      <c r="A1073" s="3" t="n">
        <v>2014</v>
      </c>
      <c r="B1073" s="3" t="n">
        <v>12</v>
      </c>
      <c r="C1073" s="3" t="n">
        <v>7</v>
      </c>
      <c r="D1073" s="3" t="s">
        <v>1077</v>
      </c>
      <c r="E1073" s="4" t="n">
        <v>0</v>
      </c>
    </row>
    <row r="1074" customFormat="false" ht="15" hidden="false" customHeight="false" outlineLevel="0" collapsed="false">
      <c r="A1074" s="3" t="n">
        <v>2014</v>
      </c>
      <c r="B1074" s="3" t="n">
        <v>12</v>
      </c>
      <c r="C1074" s="3" t="n">
        <v>8</v>
      </c>
      <c r="D1074" s="3" t="s">
        <v>1078</v>
      </c>
      <c r="E1074" s="4" t="n">
        <v>0</v>
      </c>
    </row>
    <row r="1075" customFormat="false" ht="15" hidden="false" customHeight="false" outlineLevel="0" collapsed="false">
      <c r="A1075" s="3" t="n">
        <v>2014</v>
      </c>
      <c r="B1075" s="3" t="n">
        <v>12</v>
      </c>
      <c r="C1075" s="3" t="n">
        <v>9</v>
      </c>
      <c r="D1075" s="3" t="s">
        <v>1079</v>
      </c>
      <c r="E1075" s="4" t="n">
        <v>0</v>
      </c>
    </row>
    <row r="1076" customFormat="false" ht="15" hidden="false" customHeight="false" outlineLevel="0" collapsed="false">
      <c r="A1076" s="3" t="n">
        <v>2014</v>
      </c>
      <c r="B1076" s="3" t="n">
        <v>12</v>
      </c>
      <c r="C1076" s="3" t="n">
        <v>10</v>
      </c>
      <c r="D1076" s="3" t="s">
        <v>1080</v>
      </c>
      <c r="E1076" s="4" t="n">
        <v>11</v>
      </c>
    </row>
    <row r="1077" customFormat="false" ht="15" hidden="false" customHeight="false" outlineLevel="0" collapsed="false">
      <c r="A1077" s="3" t="n">
        <v>2014</v>
      </c>
      <c r="B1077" s="3" t="n">
        <v>12</v>
      </c>
      <c r="C1077" s="3" t="n">
        <v>11</v>
      </c>
      <c r="D1077" s="3" t="s">
        <v>1081</v>
      </c>
      <c r="E1077" s="4" t="n">
        <v>13</v>
      </c>
    </row>
    <row r="1078" customFormat="false" ht="15" hidden="false" customHeight="false" outlineLevel="0" collapsed="false">
      <c r="A1078" s="3" t="n">
        <v>2014</v>
      </c>
      <c r="B1078" s="3" t="n">
        <v>12</v>
      </c>
      <c r="C1078" s="3" t="n">
        <v>12</v>
      </c>
      <c r="D1078" s="3" t="s">
        <v>1082</v>
      </c>
      <c r="E1078" s="4" t="n">
        <v>0</v>
      </c>
    </row>
    <row r="1079" customFormat="false" ht="15" hidden="false" customHeight="false" outlineLevel="0" collapsed="false">
      <c r="A1079" s="3" t="n">
        <v>2014</v>
      </c>
      <c r="B1079" s="3" t="n">
        <v>12</v>
      </c>
      <c r="C1079" s="3" t="n">
        <v>13</v>
      </c>
      <c r="D1079" s="3" t="s">
        <v>1083</v>
      </c>
      <c r="E1079" s="4" t="n">
        <v>0</v>
      </c>
    </row>
    <row r="1080" customFormat="false" ht="15" hidden="false" customHeight="false" outlineLevel="0" collapsed="false">
      <c r="A1080" s="3" t="n">
        <v>2014</v>
      </c>
      <c r="B1080" s="3" t="n">
        <v>12</v>
      </c>
      <c r="C1080" s="3" t="n">
        <v>14</v>
      </c>
      <c r="D1080" s="3" t="s">
        <v>1084</v>
      </c>
      <c r="E1080" s="4" t="n">
        <v>0</v>
      </c>
    </row>
    <row r="1081" customFormat="false" ht="15" hidden="false" customHeight="false" outlineLevel="0" collapsed="false">
      <c r="A1081" s="3" t="n">
        <v>2014</v>
      </c>
      <c r="B1081" s="3" t="n">
        <v>12</v>
      </c>
      <c r="C1081" s="3" t="n">
        <v>15</v>
      </c>
      <c r="D1081" s="3" t="s">
        <v>1085</v>
      </c>
      <c r="E1081" s="4" t="n">
        <v>5</v>
      </c>
    </row>
    <row r="1082" customFormat="false" ht="15" hidden="false" customHeight="false" outlineLevel="0" collapsed="false">
      <c r="A1082" s="3" t="n">
        <v>2014</v>
      </c>
      <c r="B1082" s="3" t="n">
        <v>12</v>
      </c>
      <c r="C1082" s="3" t="n">
        <v>16</v>
      </c>
      <c r="D1082" s="3" t="s">
        <v>1086</v>
      </c>
      <c r="E1082" s="4" t="n">
        <v>38</v>
      </c>
    </row>
    <row r="1083" customFormat="false" ht="15" hidden="false" customHeight="false" outlineLevel="0" collapsed="false">
      <c r="A1083" s="3" t="n">
        <v>2014</v>
      </c>
      <c r="B1083" s="3" t="n">
        <v>12</v>
      </c>
      <c r="C1083" s="3" t="n">
        <v>17</v>
      </c>
      <c r="D1083" s="3" t="s">
        <v>1087</v>
      </c>
      <c r="E1083" s="4" t="n">
        <v>0</v>
      </c>
    </row>
    <row r="1084" customFormat="false" ht="15" hidden="false" customHeight="false" outlineLevel="0" collapsed="false">
      <c r="A1084" s="3" t="n">
        <v>2014</v>
      </c>
      <c r="B1084" s="3" t="n">
        <v>12</v>
      </c>
      <c r="C1084" s="3" t="n">
        <v>18</v>
      </c>
      <c r="D1084" s="3" t="s">
        <v>1088</v>
      </c>
      <c r="E1084" s="4" t="n">
        <v>0</v>
      </c>
    </row>
    <row r="1085" customFormat="false" ht="15" hidden="false" customHeight="false" outlineLevel="0" collapsed="false">
      <c r="A1085" s="3" t="n">
        <v>2014</v>
      </c>
      <c r="B1085" s="3" t="n">
        <v>12</v>
      </c>
      <c r="C1085" s="3" t="n">
        <v>19</v>
      </c>
      <c r="D1085" s="3" t="s">
        <v>1089</v>
      </c>
      <c r="E1085" s="4" t="n">
        <v>5</v>
      </c>
    </row>
    <row r="1086" customFormat="false" ht="15" hidden="false" customHeight="false" outlineLevel="0" collapsed="false">
      <c r="A1086" s="3" t="n">
        <v>2014</v>
      </c>
      <c r="B1086" s="3" t="n">
        <v>12</v>
      </c>
      <c r="C1086" s="3" t="n">
        <v>20</v>
      </c>
      <c r="D1086" s="3" t="s">
        <v>1090</v>
      </c>
      <c r="E1086" s="4" t="n">
        <v>50</v>
      </c>
    </row>
    <row r="1087" customFormat="false" ht="15" hidden="false" customHeight="false" outlineLevel="0" collapsed="false">
      <c r="A1087" s="3" t="n">
        <v>2014</v>
      </c>
      <c r="B1087" s="3" t="n">
        <v>12</v>
      </c>
      <c r="C1087" s="3" t="n">
        <v>21</v>
      </c>
      <c r="D1087" s="3" t="s">
        <v>1091</v>
      </c>
      <c r="E1087" s="4" t="n">
        <v>0</v>
      </c>
    </row>
    <row r="1088" customFormat="false" ht="15" hidden="false" customHeight="false" outlineLevel="0" collapsed="false">
      <c r="A1088" s="3" t="n">
        <v>2014</v>
      </c>
      <c r="B1088" s="3" t="n">
        <v>12</v>
      </c>
      <c r="C1088" s="3" t="n">
        <v>22</v>
      </c>
      <c r="D1088" s="3" t="s">
        <v>1092</v>
      </c>
      <c r="E1088" s="4" t="n">
        <v>25</v>
      </c>
    </row>
    <row r="1089" customFormat="false" ht="15" hidden="false" customHeight="false" outlineLevel="0" collapsed="false">
      <c r="A1089" s="3" t="n">
        <v>2014</v>
      </c>
      <c r="B1089" s="3" t="n">
        <v>12</v>
      </c>
      <c r="C1089" s="3" t="n">
        <v>23</v>
      </c>
      <c r="D1089" s="3" t="s">
        <v>1093</v>
      </c>
      <c r="E1089" s="4" t="n">
        <v>25</v>
      </c>
    </row>
    <row r="1090" customFormat="false" ht="15" hidden="false" customHeight="false" outlineLevel="0" collapsed="false">
      <c r="A1090" s="3" t="n">
        <v>2014</v>
      </c>
      <c r="B1090" s="3" t="n">
        <v>12</v>
      </c>
      <c r="C1090" s="3" t="n">
        <v>24</v>
      </c>
      <c r="D1090" s="3" t="s">
        <v>1094</v>
      </c>
      <c r="E1090" s="4" t="n">
        <v>0</v>
      </c>
    </row>
    <row r="1091" customFormat="false" ht="15" hidden="false" customHeight="false" outlineLevel="0" collapsed="false">
      <c r="A1091" s="3" t="n">
        <v>2014</v>
      </c>
      <c r="B1091" s="3" t="n">
        <v>12</v>
      </c>
      <c r="C1091" s="3" t="n">
        <v>25</v>
      </c>
      <c r="D1091" s="3" t="s">
        <v>1095</v>
      </c>
      <c r="E1091" s="4" t="n">
        <v>5</v>
      </c>
    </row>
    <row r="1092" customFormat="false" ht="15" hidden="false" customHeight="false" outlineLevel="0" collapsed="false">
      <c r="A1092" s="3" t="n">
        <v>2014</v>
      </c>
      <c r="B1092" s="3" t="n">
        <v>12</v>
      </c>
      <c r="C1092" s="3" t="n">
        <v>26</v>
      </c>
      <c r="D1092" s="3" t="s">
        <v>1096</v>
      </c>
      <c r="E1092" s="4" t="n">
        <v>0</v>
      </c>
    </row>
    <row r="1093" customFormat="false" ht="15" hidden="false" customHeight="false" outlineLevel="0" collapsed="false">
      <c r="A1093" s="3" t="n">
        <v>2014</v>
      </c>
      <c r="B1093" s="3" t="n">
        <v>12</v>
      </c>
      <c r="C1093" s="3" t="n">
        <v>27</v>
      </c>
      <c r="D1093" s="3" t="s">
        <v>1097</v>
      </c>
      <c r="E1093" s="4" t="n">
        <v>120</v>
      </c>
    </row>
    <row r="1094" customFormat="false" ht="15" hidden="false" customHeight="false" outlineLevel="0" collapsed="false">
      <c r="A1094" s="3" t="n">
        <v>2014</v>
      </c>
      <c r="B1094" s="3" t="n">
        <v>12</v>
      </c>
      <c r="C1094" s="3" t="n">
        <v>28</v>
      </c>
      <c r="D1094" s="3" t="s">
        <v>1098</v>
      </c>
      <c r="E1094" s="4" t="n">
        <v>4</v>
      </c>
    </row>
    <row r="1095" customFormat="false" ht="15" hidden="false" customHeight="false" outlineLevel="0" collapsed="false">
      <c r="A1095" s="3" t="n">
        <v>2014</v>
      </c>
      <c r="B1095" s="3" t="n">
        <v>12</v>
      </c>
      <c r="C1095" s="3" t="n">
        <v>29</v>
      </c>
      <c r="D1095" s="3" t="s">
        <v>1099</v>
      </c>
      <c r="E1095" s="4" t="n">
        <v>21</v>
      </c>
    </row>
    <row r="1096" customFormat="false" ht="15" hidden="false" customHeight="false" outlineLevel="0" collapsed="false">
      <c r="A1096" s="3" t="n">
        <v>2014</v>
      </c>
      <c r="B1096" s="3" t="n">
        <v>12</v>
      </c>
      <c r="C1096" s="3" t="n">
        <v>30</v>
      </c>
      <c r="D1096" s="3" t="s">
        <v>1100</v>
      </c>
      <c r="E1096" s="4" t="n">
        <v>32</v>
      </c>
    </row>
    <row r="1097" customFormat="false" ht="15" hidden="false" customHeight="false" outlineLevel="0" collapsed="false">
      <c r="A1097" s="3" t="n">
        <v>2014</v>
      </c>
      <c r="B1097" s="3" t="n">
        <v>12</v>
      </c>
      <c r="C1097" s="3" t="n">
        <v>31</v>
      </c>
      <c r="D1097" s="3" t="s">
        <v>1101</v>
      </c>
      <c r="E1097" s="4" t="n">
        <v>11</v>
      </c>
    </row>
    <row r="1098" customFormat="false" ht="15" hidden="false" customHeight="false" outlineLevel="0" collapsed="false">
      <c r="A1098" s="3" t="n">
        <v>2015</v>
      </c>
      <c r="B1098" s="3" t="n">
        <v>1</v>
      </c>
      <c r="C1098" s="3" t="n">
        <v>1</v>
      </c>
      <c r="D1098" s="3" t="s">
        <v>1102</v>
      </c>
      <c r="E1098" s="4" t="n">
        <v>2</v>
      </c>
    </row>
    <row r="1099" customFormat="false" ht="15" hidden="false" customHeight="false" outlineLevel="0" collapsed="false">
      <c r="A1099" s="3" t="n">
        <v>2015</v>
      </c>
      <c r="B1099" s="3" t="n">
        <v>1</v>
      </c>
      <c r="C1099" s="3" t="n">
        <v>2</v>
      </c>
      <c r="D1099" s="3" t="s">
        <v>1103</v>
      </c>
      <c r="E1099" s="4" t="n">
        <v>4</v>
      </c>
    </row>
    <row r="1100" customFormat="false" ht="15" hidden="false" customHeight="false" outlineLevel="0" collapsed="false">
      <c r="A1100" s="3" t="n">
        <v>2015</v>
      </c>
      <c r="B1100" s="3" t="n">
        <v>1</v>
      </c>
      <c r="C1100" s="3" t="n">
        <v>3</v>
      </c>
      <c r="D1100" s="3" t="s">
        <v>1104</v>
      </c>
      <c r="E1100" s="4" t="n">
        <v>10</v>
      </c>
    </row>
    <row r="1101" customFormat="false" ht="15" hidden="false" customHeight="false" outlineLevel="0" collapsed="false">
      <c r="A1101" s="3" t="n">
        <v>2015</v>
      </c>
      <c r="B1101" s="3" t="n">
        <v>1</v>
      </c>
      <c r="C1101" s="3" t="n">
        <v>4</v>
      </c>
      <c r="D1101" s="3" t="s">
        <v>1105</v>
      </c>
      <c r="E1101" s="4" t="n">
        <v>13</v>
      </c>
    </row>
    <row r="1102" customFormat="false" ht="15" hidden="false" customHeight="false" outlineLevel="0" collapsed="false">
      <c r="A1102" s="3" t="n">
        <v>2015</v>
      </c>
      <c r="B1102" s="3" t="n">
        <v>1</v>
      </c>
      <c r="C1102" s="3" t="n">
        <v>5</v>
      </c>
      <c r="D1102" s="3" t="s">
        <v>1106</v>
      </c>
      <c r="E1102" s="4" t="n">
        <v>4</v>
      </c>
    </row>
    <row r="1103" customFormat="false" ht="15" hidden="false" customHeight="false" outlineLevel="0" collapsed="false">
      <c r="A1103" s="3" t="n">
        <v>2015</v>
      </c>
      <c r="B1103" s="3" t="n">
        <v>1</v>
      </c>
      <c r="C1103" s="3" t="n">
        <v>6</v>
      </c>
      <c r="D1103" s="3" t="s">
        <v>1107</v>
      </c>
      <c r="E1103" s="4" t="n">
        <v>0</v>
      </c>
    </row>
    <row r="1104" customFormat="false" ht="15" hidden="false" customHeight="false" outlineLevel="0" collapsed="false">
      <c r="A1104" s="3" t="n">
        <v>2015</v>
      </c>
      <c r="B1104" s="3" t="n">
        <v>1</v>
      </c>
      <c r="C1104" s="3" t="n">
        <v>7</v>
      </c>
      <c r="D1104" s="3" t="s">
        <v>1108</v>
      </c>
      <c r="E1104" s="4" t="n">
        <v>0</v>
      </c>
    </row>
    <row r="1105" customFormat="false" ht="15" hidden="false" customHeight="false" outlineLevel="0" collapsed="false">
      <c r="A1105" s="3" t="n">
        <v>2015</v>
      </c>
      <c r="B1105" s="3" t="n">
        <v>1</v>
      </c>
      <c r="C1105" s="3" t="n">
        <v>8</v>
      </c>
      <c r="D1105" s="3" t="s">
        <v>1109</v>
      </c>
      <c r="E1105" s="4" t="n">
        <v>11</v>
      </c>
    </row>
    <row r="1106" customFormat="false" ht="15" hidden="false" customHeight="false" outlineLevel="0" collapsed="false">
      <c r="A1106" s="3" t="n">
        <v>2015</v>
      </c>
      <c r="B1106" s="3" t="n">
        <v>1</v>
      </c>
      <c r="C1106" s="3" t="n">
        <v>9</v>
      </c>
      <c r="D1106" s="3" t="s">
        <v>1110</v>
      </c>
      <c r="E1106" s="4" t="n">
        <v>0</v>
      </c>
    </row>
    <row r="1107" customFormat="false" ht="15" hidden="false" customHeight="false" outlineLevel="0" collapsed="false">
      <c r="A1107" s="3" t="n">
        <v>2015</v>
      </c>
      <c r="B1107" s="3" t="n">
        <v>1</v>
      </c>
      <c r="C1107" s="3" t="n">
        <v>10</v>
      </c>
      <c r="D1107" s="3" t="s">
        <v>1111</v>
      </c>
      <c r="E1107" s="4" t="n">
        <v>0</v>
      </c>
    </row>
    <row r="1108" customFormat="false" ht="15" hidden="false" customHeight="false" outlineLevel="0" collapsed="false">
      <c r="A1108" s="3" t="n">
        <v>2015</v>
      </c>
      <c r="B1108" s="3" t="n">
        <v>1</v>
      </c>
      <c r="C1108" s="3" t="n">
        <v>11</v>
      </c>
      <c r="D1108" s="3" t="s">
        <v>1112</v>
      </c>
      <c r="E1108" s="4" t="n">
        <v>0</v>
      </c>
    </row>
    <row r="1109" customFormat="false" ht="15" hidden="false" customHeight="false" outlineLevel="0" collapsed="false">
      <c r="A1109" s="3" t="n">
        <v>2015</v>
      </c>
      <c r="B1109" s="3" t="n">
        <v>1</v>
      </c>
      <c r="C1109" s="3" t="n">
        <v>12</v>
      </c>
      <c r="D1109" s="3" t="s">
        <v>1113</v>
      </c>
      <c r="E1109" s="4" t="n">
        <v>0</v>
      </c>
    </row>
    <row r="1110" customFormat="false" ht="15" hidden="false" customHeight="false" outlineLevel="0" collapsed="false">
      <c r="A1110" s="3" t="n">
        <v>2015</v>
      </c>
      <c r="B1110" s="3" t="n">
        <v>1</v>
      </c>
      <c r="C1110" s="3" t="n">
        <v>13</v>
      </c>
      <c r="D1110" s="3" t="s">
        <v>1114</v>
      </c>
      <c r="E1110" s="4" t="n">
        <v>0</v>
      </c>
    </row>
    <row r="1111" customFormat="false" ht="15" hidden="false" customHeight="false" outlineLevel="0" collapsed="false">
      <c r="A1111" s="3" t="n">
        <v>2015</v>
      </c>
      <c r="B1111" s="3" t="n">
        <v>1</v>
      </c>
      <c r="C1111" s="3" t="n">
        <v>14</v>
      </c>
      <c r="D1111" s="3" t="s">
        <v>1115</v>
      </c>
      <c r="E1111" s="4" t="n">
        <v>0</v>
      </c>
    </row>
    <row r="1112" customFormat="false" ht="15" hidden="false" customHeight="false" outlineLevel="0" collapsed="false">
      <c r="A1112" s="3" t="n">
        <v>2015</v>
      </c>
      <c r="B1112" s="3" t="n">
        <v>1</v>
      </c>
      <c r="C1112" s="3" t="n">
        <v>15</v>
      </c>
      <c r="D1112" s="3" t="s">
        <v>1116</v>
      </c>
      <c r="E1112" s="4" t="n">
        <v>17</v>
      </c>
    </row>
    <row r="1113" customFormat="false" ht="15" hidden="false" customHeight="false" outlineLevel="0" collapsed="false">
      <c r="A1113" s="3" t="n">
        <v>2015</v>
      </c>
      <c r="B1113" s="3" t="n">
        <v>1</v>
      </c>
      <c r="C1113" s="3" t="n">
        <v>16</v>
      </c>
      <c r="D1113" s="3" t="s">
        <v>1117</v>
      </c>
      <c r="E1113" s="4" t="n">
        <v>10</v>
      </c>
    </row>
    <row r="1114" customFormat="false" ht="15" hidden="false" customHeight="false" outlineLevel="0" collapsed="false">
      <c r="A1114" s="3" t="n">
        <v>2015</v>
      </c>
      <c r="B1114" s="3" t="n">
        <v>1</v>
      </c>
      <c r="C1114" s="3" t="n">
        <v>17</v>
      </c>
      <c r="D1114" s="3" t="s">
        <v>1118</v>
      </c>
      <c r="E1114" s="4" t="n">
        <v>34</v>
      </c>
    </row>
    <row r="1115" customFormat="false" ht="15" hidden="false" customHeight="false" outlineLevel="0" collapsed="false">
      <c r="A1115" s="3" t="n">
        <v>2015</v>
      </c>
      <c r="B1115" s="3" t="n">
        <v>1</v>
      </c>
      <c r="C1115" s="3" t="n">
        <v>18</v>
      </c>
      <c r="D1115" s="3" t="s">
        <v>1119</v>
      </c>
      <c r="E1115" s="4" t="n">
        <v>20</v>
      </c>
    </row>
    <row r="1116" customFormat="false" ht="15" hidden="false" customHeight="false" outlineLevel="0" collapsed="false">
      <c r="A1116" s="3" t="n">
        <v>2015</v>
      </c>
      <c r="B1116" s="3" t="n">
        <v>1</v>
      </c>
      <c r="C1116" s="3" t="n">
        <v>19</v>
      </c>
      <c r="D1116" s="3" t="s">
        <v>1120</v>
      </c>
      <c r="E1116" s="4" t="n">
        <v>20</v>
      </c>
    </row>
    <row r="1117" customFormat="false" ht="15" hidden="false" customHeight="false" outlineLevel="0" collapsed="false">
      <c r="A1117" s="3" t="n">
        <v>2015</v>
      </c>
      <c r="B1117" s="3" t="n">
        <v>1</v>
      </c>
      <c r="C1117" s="3" t="n">
        <v>20</v>
      </c>
      <c r="D1117" s="3" t="s">
        <v>1121</v>
      </c>
      <c r="E1117" s="4" t="n">
        <v>0</v>
      </c>
    </row>
    <row r="1118" customFormat="false" ht="15" hidden="false" customHeight="false" outlineLevel="0" collapsed="false">
      <c r="A1118" s="3" t="n">
        <v>2015</v>
      </c>
      <c r="B1118" s="3" t="n">
        <v>1</v>
      </c>
      <c r="C1118" s="3" t="n">
        <v>21</v>
      </c>
      <c r="D1118" s="3" t="s">
        <v>1122</v>
      </c>
      <c r="E1118" s="4" t="n">
        <v>27</v>
      </c>
    </row>
    <row r="1119" customFormat="false" ht="15" hidden="false" customHeight="false" outlineLevel="0" collapsed="false">
      <c r="A1119" s="3" t="n">
        <v>2015</v>
      </c>
      <c r="B1119" s="3" t="n">
        <v>1</v>
      </c>
      <c r="C1119" s="3" t="n">
        <v>22</v>
      </c>
      <c r="D1119" s="3" t="s">
        <v>1123</v>
      </c>
      <c r="E1119" s="4" t="n">
        <v>10</v>
      </c>
    </row>
    <row r="1120" customFormat="false" ht="15" hidden="false" customHeight="false" outlineLevel="0" collapsed="false">
      <c r="A1120" s="3" t="n">
        <v>2015</v>
      </c>
      <c r="B1120" s="3" t="n">
        <v>1</v>
      </c>
      <c r="C1120" s="3" t="n">
        <v>23</v>
      </c>
      <c r="D1120" s="3" t="s">
        <v>1124</v>
      </c>
      <c r="E1120" s="4" t="n">
        <v>63</v>
      </c>
    </row>
    <row r="1121" customFormat="false" ht="15" hidden="false" customHeight="false" outlineLevel="0" collapsed="false">
      <c r="A1121" s="3" t="n">
        <v>2015</v>
      </c>
      <c r="B1121" s="3" t="n">
        <v>1</v>
      </c>
      <c r="C1121" s="3" t="n">
        <v>24</v>
      </c>
      <c r="D1121" s="3" t="s">
        <v>1125</v>
      </c>
      <c r="E1121" s="4" t="n">
        <v>0</v>
      </c>
    </row>
    <row r="1122" customFormat="false" ht="15" hidden="false" customHeight="false" outlineLevel="0" collapsed="false">
      <c r="A1122" s="3" t="n">
        <v>2015</v>
      </c>
      <c r="B1122" s="3" t="n">
        <v>1</v>
      </c>
      <c r="C1122" s="3" t="n">
        <v>25</v>
      </c>
      <c r="D1122" s="3" t="s">
        <v>1126</v>
      </c>
      <c r="E1122" s="4" t="n">
        <v>21</v>
      </c>
    </row>
    <row r="1123" customFormat="false" ht="15" hidden="false" customHeight="false" outlineLevel="0" collapsed="false">
      <c r="A1123" s="3" t="n">
        <v>2015</v>
      </c>
      <c r="B1123" s="3" t="n">
        <v>1</v>
      </c>
      <c r="C1123" s="3" t="n">
        <v>26</v>
      </c>
      <c r="D1123" s="3" t="s">
        <v>1127</v>
      </c>
      <c r="E1123" s="4" t="n">
        <v>0</v>
      </c>
    </row>
    <row r="1124" customFormat="false" ht="15" hidden="false" customHeight="false" outlineLevel="0" collapsed="false">
      <c r="A1124" s="3" t="n">
        <v>2015</v>
      </c>
      <c r="B1124" s="3" t="n">
        <v>1</v>
      </c>
      <c r="C1124" s="3" t="n">
        <v>27</v>
      </c>
      <c r="D1124" s="3" t="s">
        <v>1128</v>
      </c>
      <c r="E1124" s="4" t="n">
        <v>0</v>
      </c>
    </row>
    <row r="1125" customFormat="false" ht="15" hidden="false" customHeight="false" outlineLevel="0" collapsed="false">
      <c r="A1125" s="3" t="n">
        <v>2015</v>
      </c>
      <c r="B1125" s="3" t="n">
        <v>1</v>
      </c>
      <c r="C1125" s="3" t="n">
        <v>28</v>
      </c>
      <c r="D1125" s="3" t="s">
        <v>1129</v>
      </c>
      <c r="E1125" s="4" t="n">
        <v>0</v>
      </c>
    </row>
    <row r="1126" customFormat="false" ht="15" hidden="false" customHeight="false" outlineLevel="0" collapsed="false">
      <c r="A1126" s="3" t="n">
        <v>2015</v>
      </c>
      <c r="B1126" s="3" t="n">
        <v>1</v>
      </c>
      <c r="C1126" s="3" t="n">
        <v>29</v>
      </c>
      <c r="D1126" s="3" t="s">
        <v>1130</v>
      </c>
      <c r="E1126" s="4" t="n">
        <v>0</v>
      </c>
    </row>
    <row r="1127" customFormat="false" ht="15" hidden="false" customHeight="false" outlineLevel="0" collapsed="false">
      <c r="A1127" s="3" t="n">
        <v>2015</v>
      </c>
      <c r="B1127" s="3" t="n">
        <v>1</v>
      </c>
      <c r="C1127" s="3" t="n">
        <v>30</v>
      </c>
      <c r="D1127" s="3" t="s">
        <v>1131</v>
      </c>
      <c r="E1127" s="4" t="n">
        <v>0</v>
      </c>
    </row>
    <row r="1128" customFormat="false" ht="15" hidden="false" customHeight="false" outlineLevel="0" collapsed="false">
      <c r="A1128" s="3" t="n">
        <v>2015</v>
      </c>
      <c r="B1128" s="3" t="n">
        <v>1</v>
      </c>
      <c r="C1128" s="3" t="n">
        <v>31</v>
      </c>
      <c r="D1128" s="3" t="s">
        <v>1132</v>
      </c>
      <c r="E1128" s="4" t="n">
        <v>0</v>
      </c>
    </row>
    <row r="1129" customFormat="false" ht="15" hidden="false" customHeight="false" outlineLevel="0" collapsed="false">
      <c r="A1129" s="3" t="n">
        <v>2015</v>
      </c>
      <c r="B1129" s="3" t="n">
        <v>2</v>
      </c>
      <c r="C1129" s="3" t="n">
        <v>1</v>
      </c>
      <c r="D1129" s="3" t="s">
        <v>1133</v>
      </c>
      <c r="E1129" s="4" t="n">
        <v>68</v>
      </c>
    </row>
    <row r="1130" customFormat="false" ht="15" hidden="false" customHeight="false" outlineLevel="0" collapsed="false">
      <c r="A1130" s="3" t="n">
        <v>2015</v>
      </c>
      <c r="B1130" s="3" t="n">
        <v>2</v>
      </c>
      <c r="C1130" s="3" t="n">
        <v>2</v>
      </c>
      <c r="D1130" s="3" t="s">
        <v>1134</v>
      </c>
      <c r="E1130" s="4" t="n">
        <v>11</v>
      </c>
    </row>
    <row r="1131" customFormat="false" ht="15" hidden="false" customHeight="false" outlineLevel="0" collapsed="false">
      <c r="A1131" s="3" t="n">
        <v>2015</v>
      </c>
      <c r="B1131" s="3" t="n">
        <v>2</v>
      </c>
      <c r="C1131" s="3" t="n">
        <v>3</v>
      </c>
      <c r="D1131" s="3" t="s">
        <v>1135</v>
      </c>
      <c r="E1131" s="4" t="n">
        <v>65</v>
      </c>
    </row>
    <row r="1132" customFormat="false" ht="15" hidden="false" customHeight="false" outlineLevel="0" collapsed="false">
      <c r="A1132" s="3" t="n">
        <v>2015</v>
      </c>
      <c r="B1132" s="3" t="n">
        <v>2</v>
      </c>
      <c r="C1132" s="3" t="n">
        <v>4</v>
      </c>
      <c r="D1132" s="3" t="s">
        <v>1136</v>
      </c>
      <c r="E1132" s="4" t="n">
        <v>78</v>
      </c>
    </row>
    <row r="1133" customFormat="false" ht="15" hidden="false" customHeight="false" outlineLevel="0" collapsed="false">
      <c r="A1133" s="3" t="n">
        <v>2015</v>
      </c>
      <c r="B1133" s="3" t="n">
        <v>2</v>
      </c>
      <c r="C1133" s="3" t="n">
        <v>5</v>
      </c>
      <c r="D1133" s="3" t="s">
        <v>1137</v>
      </c>
      <c r="E1133" s="4" t="n">
        <v>31</v>
      </c>
    </row>
    <row r="1134" customFormat="false" ht="15" hidden="false" customHeight="false" outlineLevel="0" collapsed="false">
      <c r="A1134" s="3" t="n">
        <v>2015</v>
      </c>
      <c r="B1134" s="3" t="n">
        <v>2</v>
      </c>
      <c r="C1134" s="3" t="n">
        <v>6</v>
      </c>
      <c r="D1134" s="3" t="s">
        <v>1138</v>
      </c>
      <c r="E1134" s="4" t="n">
        <v>0</v>
      </c>
    </row>
    <row r="1135" customFormat="false" ht="15" hidden="false" customHeight="false" outlineLevel="0" collapsed="false">
      <c r="A1135" s="3" t="n">
        <v>2015</v>
      </c>
      <c r="B1135" s="3" t="n">
        <v>2</v>
      </c>
      <c r="C1135" s="3" t="n">
        <v>7</v>
      </c>
      <c r="D1135" s="3" t="s">
        <v>1139</v>
      </c>
      <c r="E1135" s="4" t="n">
        <v>0</v>
      </c>
    </row>
    <row r="1136" customFormat="false" ht="15" hidden="false" customHeight="false" outlineLevel="0" collapsed="false">
      <c r="A1136" s="3" t="n">
        <v>2015</v>
      </c>
      <c r="B1136" s="3" t="n">
        <v>2</v>
      </c>
      <c r="C1136" s="3" t="n">
        <v>8</v>
      </c>
      <c r="D1136" s="3" t="s">
        <v>1140</v>
      </c>
      <c r="E1136" s="4" t="n">
        <v>5</v>
      </c>
    </row>
    <row r="1137" customFormat="false" ht="15" hidden="false" customHeight="false" outlineLevel="0" collapsed="false">
      <c r="A1137" s="3" t="n">
        <v>2015</v>
      </c>
      <c r="B1137" s="3" t="n">
        <v>2</v>
      </c>
      <c r="C1137" s="3" t="n">
        <v>9</v>
      </c>
      <c r="D1137" s="3" t="s">
        <v>1141</v>
      </c>
      <c r="E1137" s="4" t="n">
        <v>12</v>
      </c>
    </row>
    <row r="1138" customFormat="false" ht="15" hidden="false" customHeight="false" outlineLevel="0" collapsed="false">
      <c r="A1138" s="3" t="n">
        <v>2015</v>
      </c>
      <c r="B1138" s="3" t="n">
        <v>2</v>
      </c>
      <c r="C1138" s="3" t="n">
        <v>10</v>
      </c>
      <c r="D1138" s="3" t="s">
        <v>1142</v>
      </c>
      <c r="E1138" s="4" t="n">
        <v>5</v>
      </c>
    </row>
    <row r="1139" customFormat="false" ht="15" hidden="false" customHeight="false" outlineLevel="0" collapsed="false">
      <c r="A1139" s="3" t="n">
        <v>2015</v>
      </c>
      <c r="B1139" s="3" t="n">
        <v>2</v>
      </c>
      <c r="C1139" s="3" t="n">
        <v>11</v>
      </c>
      <c r="D1139" s="3" t="s">
        <v>1143</v>
      </c>
      <c r="E1139" s="4" t="n">
        <v>0</v>
      </c>
    </row>
    <row r="1140" customFormat="false" ht="15" hidden="false" customHeight="false" outlineLevel="0" collapsed="false">
      <c r="A1140" s="3" t="n">
        <v>2015</v>
      </c>
      <c r="B1140" s="3" t="n">
        <v>2</v>
      </c>
      <c r="C1140" s="3" t="n">
        <v>12</v>
      </c>
      <c r="D1140" s="3" t="s">
        <v>1144</v>
      </c>
      <c r="E1140" s="4" t="n">
        <v>0</v>
      </c>
    </row>
    <row r="1141" customFormat="false" ht="15" hidden="false" customHeight="false" outlineLevel="0" collapsed="false">
      <c r="A1141" s="3" t="n">
        <v>2015</v>
      </c>
      <c r="B1141" s="3" t="n">
        <v>2</v>
      </c>
      <c r="C1141" s="3" t="n">
        <v>13</v>
      </c>
      <c r="D1141" s="3" t="s">
        <v>1145</v>
      </c>
      <c r="E1141" s="4" t="n">
        <v>0</v>
      </c>
    </row>
    <row r="1142" customFormat="false" ht="15" hidden="false" customHeight="false" outlineLevel="0" collapsed="false">
      <c r="A1142" s="3" t="n">
        <v>2015</v>
      </c>
      <c r="B1142" s="3" t="n">
        <v>2</v>
      </c>
      <c r="C1142" s="3" t="n">
        <v>14</v>
      </c>
      <c r="D1142" s="3" t="s">
        <v>1146</v>
      </c>
      <c r="E1142" s="4" t="n">
        <v>20</v>
      </c>
    </row>
    <row r="1143" customFormat="false" ht="15" hidden="false" customHeight="false" outlineLevel="0" collapsed="false">
      <c r="A1143" s="3" t="n">
        <v>2015</v>
      </c>
      <c r="B1143" s="3" t="n">
        <v>2</v>
      </c>
      <c r="C1143" s="3" t="n">
        <v>15</v>
      </c>
      <c r="D1143" s="3" t="s">
        <v>1147</v>
      </c>
      <c r="E1143" s="4" t="n">
        <v>0</v>
      </c>
    </row>
    <row r="1144" customFormat="false" ht="15" hidden="false" customHeight="false" outlineLevel="0" collapsed="false">
      <c r="A1144" s="3" t="n">
        <v>2015</v>
      </c>
      <c r="B1144" s="3" t="n">
        <v>2</v>
      </c>
      <c r="C1144" s="3" t="n">
        <v>16</v>
      </c>
      <c r="D1144" s="3" t="s">
        <v>1148</v>
      </c>
      <c r="E1144" s="4" t="n">
        <v>0</v>
      </c>
    </row>
    <row r="1145" customFormat="false" ht="15" hidden="false" customHeight="false" outlineLevel="0" collapsed="false">
      <c r="A1145" s="3" t="n">
        <v>2015</v>
      </c>
      <c r="B1145" s="3" t="n">
        <v>2</v>
      </c>
      <c r="C1145" s="3" t="n">
        <v>17</v>
      </c>
      <c r="D1145" s="3" t="s">
        <v>1149</v>
      </c>
      <c r="E1145" s="4" t="n">
        <v>0</v>
      </c>
    </row>
    <row r="1146" customFormat="false" ht="15" hidden="false" customHeight="false" outlineLevel="0" collapsed="false">
      <c r="A1146" s="3" t="n">
        <v>2015</v>
      </c>
      <c r="B1146" s="3" t="n">
        <v>2</v>
      </c>
      <c r="C1146" s="3" t="n">
        <v>18</v>
      </c>
      <c r="D1146" s="3" t="s">
        <v>1150</v>
      </c>
      <c r="E1146" s="4" t="n">
        <v>14</v>
      </c>
    </row>
    <row r="1147" customFormat="false" ht="15" hidden="false" customHeight="false" outlineLevel="0" collapsed="false">
      <c r="A1147" s="3" t="n">
        <v>2015</v>
      </c>
      <c r="B1147" s="3" t="n">
        <v>2</v>
      </c>
      <c r="C1147" s="3" t="n">
        <v>19</v>
      </c>
      <c r="D1147" s="3" t="s">
        <v>1151</v>
      </c>
      <c r="E1147" s="4" t="n">
        <v>40</v>
      </c>
    </row>
    <row r="1148" customFormat="false" ht="15" hidden="false" customHeight="false" outlineLevel="0" collapsed="false">
      <c r="A1148" s="3" t="n">
        <v>2015</v>
      </c>
      <c r="B1148" s="3" t="n">
        <v>2</v>
      </c>
      <c r="C1148" s="3" t="n">
        <v>20</v>
      </c>
      <c r="D1148" s="3" t="s">
        <v>1152</v>
      </c>
      <c r="E1148" s="4" t="n">
        <v>2</v>
      </c>
    </row>
    <row r="1149" customFormat="false" ht="15" hidden="false" customHeight="false" outlineLevel="0" collapsed="false">
      <c r="A1149" s="3" t="n">
        <v>2015</v>
      </c>
      <c r="B1149" s="3" t="n">
        <v>2</v>
      </c>
      <c r="C1149" s="3" t="n">
        <v>21</v>
      </c>
      <c r="D1149" s="3" t="s">
        <v>1153</v>
      </c>
      <c r="E1149" s="4" t="n">
        <v>0</v>
      </c>
    </row>
    <row r="1150" customFormat="false" ht="15" hidden="false" customHeight="false" outlineLevel="0" collapsed="false">
      <c r="A1150" s="3" t="n">
        <v>2015</v>
      </c>
      <c r="B1150" s="3" t="n">
        <v>2</v>
      </c>
      <c r="C1150" s="3" t="n">
        <v>22</v>
      </c>
      <c r="D1150" s="3" t="s">
        <v>1154</v>
      </c>
      <c r="E1150" s="4" t="n">
        <v>0</v>
      </c>
    </row>
    <row r="1151" customFormat="false" ht="15" hidden="false" customHeight="false" outlineLevel="0" collapsed="false">
      <c r="A1151" s="3" t="n">
        <v>2015</v>
      </c>
      <c r="B1151" s="3" t="n">
        <v>2</v>
      </c>
      <c r="C1151" s="3" t="n">
        <v>23</v>
      </c>
      <c r="D1151" s="3" t="s">
        <v>1155</v>
      </c>
      <c r="E1151" s="4" t="n">
        <v>0</v>
      </c>
    </row>
    <row r="1152" customFormat="false" ht="15" hidden="false" customHeight="false" outlineLevel="0" collapsed="false">
      <c r="A1152" s="3" t="n">
        <v>2015</v>
      </c>
      <c r="B1152" s="3" t="n">
        <v>2</v>
      </c>
      <c r="C1152" s="3" t="n">
        <v>24</v>
      </c>
      <c r="D1152" s="3" t="s">
        <v>1156</v>
      </c>
      <c r="E1152" s="4" t="n">
        <v>0</v>
      </c>
    </row>
    <row r="1153" customFormat="false" ht="15" hidden="false" customHeight="false" outlineLevel="0" collapsed="false">
      <c r="A1153" s="3" t="n">
        <v>2015</v>
      </c>
      <c r="B1153" s="3" t="n">
        <v>2</v>
      </c>
      <c r="C1153" s="3" t="n">
        <v>25</v>
      </c>
      <c r="D1153" s="3" t="s">
        <v>1157</v>
      </c>
      <c r="E1153" s="4" t="n">
        <v>0</v>
      </c>
    </row>
    <row r="1154" customFormat="false" ht="15" hidden="false" customHeight="false" outlineLevel="0" collapsed="false">
      <c r="A1154" s="3" t="n">
        <v>2015</v>
      </c>
      <c r="B1154" s="3" t="n">
        <v>2</v>
      </c>
      <c r="C1154" s="3" t="n">
        <v>26</v>
      </c>
      <c r="D1154" s="3" t="s">
        <v>1158</v>
      </c>
      <c r="E1154" s="4" t="n">
        <v>0</v>
      </c>
    </row>
    <row r="1155" customFormat="false" ht="15" hidden="false" customHeight="false" outlineLevel="0" collapsed="false">
      <c r="A1155" s="3" t="n">
        <v>2015</v>
      </c>
      <c r="B1155" s="3" t="n">
        <v>2</v>
      </c>
      <c r="C1155" s="3" t="n">
        <v>27</v>
      </c>
      <c r="D1155" s="3" t="s">
        <v>1159</v>
      </c>
      <c r="E1155" s="4" t="n">
        <v>0</v>
      </c>
    </row>
    <row r="1156" customFormat="false" ht="15" hidden="false" customHeight="false" outlineLevel="0" collapsed="false">
      <c r="A1156" s="3" t="n">
        <v>2015</v>
      </c>
      <c r="B1156" s="3" t="n">
        <v>2</v>
      </c>
      <c r="C1156" s="3" t="n">
        <v>28</v>
      </c>
      <c r="D1156" s="3" t="s">
        <v>1160</v>
      </c>
      <c r="E1156" s="4" t="n">
        <v>0</v>
      </c>
    </row>
    <row r="1157" customFormat="false" ht="15" hidden="false" customHeight="false" outlineLevel="0" collapsed="false">
      <c r="A1157" s="3" t="n">
        <v>2015</v>
      </c>
      <c r="B1157" s="3" t="n">
        <v>3</v>
      </c>
      <c r="C1157" s="3" t="n">
        <v>1</v>
      </c>
      <c r="D1157" s="3" t="s">
        <v>1161</v>
      </c>
      <c r="E1157" s="4" t="n">
        <v>0</v>
      </c>
    </row>
    <row r="1158" customFormat="false" ht="15" hidden="false" customHeight="false" outlineLevel="0" collapsed="false">
      <c r="A1158" s="3" t="n">
        <v>2015</v>
      </c>
      <c r="B1158" s="3" t="n">
        <v>3</v>
      </c>
      <c r="C1158" s="3" t="n">
        <v>2</v>
      </c>
      <c r="D1158" s="3" t="s">
        <v>1162</v>
      </c>
      <c r="E1158" s="4" t="n">
        <v>6</v>
      </c>
    </row>
    <row r="1159" customFormat="false" ht="15" hidden="false" customHeight="false" outlineLevel="0" collapsed="false">
      <c r="A1159" s="3" t="n">
        <v>2015</v>
      </c>
      <c r="B1159" s="3" t="n">
        <v>3</v>
      </c>
      <c r="C1159" s="3" t="n">
        <v>3</v>
      </c>
      <c r="D1159" s="3" t="s">
        <v>1163</v>
      </c>
      <c r="E1159" s="4" t="n">
        <v>13</v>
      </c>
    </row>
    <row r="1160" customFormat="false" ht="15" hidden="false" customHeight="false" outlineLevel="0" collapsed="false">
      <c r="A1160" s="3" t="n">
        <v>2015</v>
      </c>
      <c r="B1160" s="3" t="n">
        <v>3</v>
      </c>
      <c r="C1160" s="3" t="n">
        <v>4</v>
      </c>
      <c r="D1160" s="3" t="s">
        <v>1164</v>
      </c>
      <c r="E1160" s="4" t="n">
        <v>0</v>
      </c>
    </row>
    <row r="1161" customFormat="false" ht="15" hidden="false" customHeight="false" outlineLevel="0" collapsed="false">
      <c r="A1161" s="3" t="n">
        <v>2015</v>
      </c>
      <c r="B1161" s="3" t="n">
        <v>3</v>
      </c>
      <c r="C1161" s="3" t="n">
        <v>5</v>
      </c>
      <c r="D1161" s="3" t="s">
        <v>1165</v>
      </c>
      <c r="E1161" s="4" t="n">
        <v>0</v>
      </c>
    </row>
    <row r="1162" customFormat="false" ht="15" hidden="false" customHeight="false" outlineLevel="0" collapsed="false">
      <c r="A1162" s="3" t="n">
        <v>2015</v>
      </c>
      <c r="B1162" s="3" t="n">
        <v>3</v>
      </c>
      <c r="C1162" s="3" t="n">
        <v>6</v>
      </c>
      <c r="D1162" s="3" t="s">
        <v>1166</v>
      </c>
      <c r="E1162" s="4" t="n">
        <v>0</v>
      </c>
    </row>
    <row r="1163" customFormat="false" ht="15" hidden="false" customHeight="false" outlineLevel="0" collapsed="false">
      <c r="A1163" s="3" t="n">
        <v>2015</v>
      </c>
      <c r="B1163" s="3" t="n">
        <v>3</v>
      </c>
      <c r="C1163" s="3" t="n">
        <v>7</v>
      </c>
      <c r="D1163" s="3" t="s">
        <v>1167</v>
      </c>
      <c r="E1163" s="4" t="n">
        <v>0</v>
      </c>
    </row>
    <row r="1164" customFormat="false" ht="15" hidden="false" customHeight="false" outlineLevel="0" collapsed="false">
      <c r="A1164" s="3" t="n">
        <v>2015</v>
      </c>
      <c r="B1164" s="3" t="n">
        <v>3</v>
      </c>
      <c r="C1164" s="3" t="n">
        <v>8</v>
      </c>
      <c r="D1164" s="3" t="s">
        <v>1168</v>
      </c>
      <c r="E1164" s="4" t="n">
        <v>0</v>
      </c>
    </row>
    <row r="1165" customFormat="false" ht="15" hidden="false" customHeight="false" outlineLevel="0" collapsed="false">
      <c r="A1165" s="3" t="n">
        <v>2015</v>
      </c>
      <c r="B1165" s="3" t="n">
        <v>3</v>
      </c>
      <c r="C1165" s="3" t="n">
        <v>9</v>
      </c>
      <c r="D1165" s="3" t="s">
        <v>1169</v>
      </c>
      <c r="E1165" s="4" t="n">
        <v>0</v>
      </c>
    </row>
    <row r="1166" customFormat="false" ht="15" hidden="false" customHeight="false" outlineLevel="0" collapsed="false">
      <c r="A1166" s="3" t="n">
        <v>2015</v>
      </c>
      <c r="B1166" s="3" t="n">
        <v>3</v>
      </c>
      <c r="C1166" s="3" t="n">
        <v>10</v>
      </c>
      <c r="D1166" s="3" t="s">
        <v>1170</v>
      </c>
      <c r="E1166" s="4" t="n">
        <v>0</v>
      </c>
    </row>
    <row r="1167" customFormat="false" ht="15" hidden="false" customHeight="false" outlineLevel="0" collapsed="false">
      <c r="A1167" s="3" t="n">
        <v>2015</v>
      </c>
      <c r="B1167" s="3" t="n">
        <v>3</v>
      </c>
      <c r="C1167" s="3" t="n">
        <v>11</v>
      </c>
      <c r="D1167" s="3" t="s">
        <v>1171</v>
      </c>
      <c r="E1167" s="4" t="n">
        <v>39</v>
      </c>
    </row>
    <row r="1168" customFormat="false" ht="15" hidden="false" customHeight="false" outlineLevel="0" collapsed="false">
      <c r="A1168" s="3" t="n">
        <v>2015</v>
      </c>
      <c r="B1168" s="3" t="n">
        <v>3</v>
      </c>
      <c r="C1168" s="3" t="n">
        <v>12</v>
      </c>
      <c r="D1168" s="3" t="s">
        <v>1172</v>
      </c>
      <c r="E1168" s="4" t="n">
        <v>0</v>
      </c>
    </row>
    <row r="1169" customFormat="false" ht="15" hidden="false" customHeight="false" outlineLevel="0" collapsed="false">
      <c r="A1169" s="3" t="n">
        <v>2015</v>
      </c>
      <c r="B1169" s="3" t="n">
        <v>3</v>
      </c>
      <c r="C1169" s="3" t="n">
        <v>13</v>
      </c>
      <c r="D1169" s="3" t="s">
        <v>1173</v>
      </c>
      <c r="E1169" s="4" t="n">
        <v>2</v>
      </c>
    </row>
    <row r="1170" customFormat="false" ht="15" hidden="false" customHeight="false" outlineLevel="0" collapsed="false">
      <c r="A1170" s="3" t="n">
        <v>2015</v>
      </c>
      <c r="B1170" s="3" t="n">
        <v>3</v>
      </c>
      <c r="C1170" s="3" t="n">
        <v>14</v>
      </c>
      <c r="D1170" s="3" t="s">
        <v>1174</v>
      </c>
      <c r="E1170" s="4" t="n">
        <v>0</v>
      </c>
    </row>
    <row r="1171" customFormat="false" ht="15" hidden="false" customHeight="false" outlineLevel="0" collapsed="false">
      <c r="A1171" s="3" t="n">
        <v>2015</v>
      </c>
      <c r="B1171" s="3" t="n">
        <v>3</v>
      </c>
      <c r="C1171" s="3" t="n">
        <v>15</v>
      </c>
      <c r="D1171" s="3" t="s">
        <v>1175</v>
      </c>
      <c r="E1171" s="4" t="n">
        <v>0</v>
      </c>
    </row>
    <row r="1172" customFormat="false" ht="15" hidden="false" customHeight="false" outlineLevel="0" collapsed="false">
      <c r="A1172" s="3" t="n">
        <v>2015</v>
      </c>
      <c r="B1172" s="3" t="n">
        <v>3</v>
      </c>
      <c r="C1172" s="3" t="n">
        <v>16</v>
      </c>
      <c r="D1172" s="3" t="s">
        <v>1176</v>
      </c>
      <c r="E1172" s="4" t="n">
        <v>34</v>
      </c>
    </row>
    <row r="1173" customFormat="false" ht="15" hidden="false" customHeight="false" outlineLevel="0" collapsed="false">
      <c r="A1173" s="3" t="n">
        <v>2015</v>
      </c>
      <c r="B1173" s="3" t="n">
        <v>3</v>
      </c>
      <c r="C1173" s="3" t="n">
        <v>17</v>
      </c>
      <c r="D1173" s="3" t="s">
        <v>1177</v>
      </c>
      <c r="E1173" s="4" t="n">
        <v>0</v>
      </c>
    </row>
    <row r="1174" customFormat="false" ht="15" hidden="false" customHeight="false" outlineLevel="0" collapsed="false">
      <c r="A1174" s="3" t="n">
        <v>2015</v>
      </c>
      <c r="B1174" s="3" t="n">
        <v>3</v>
      </c>
      <c r="C1174" s="3" t="n">
        <v>18</v>
      </c>
      <c r="D1174" s="3" t="s">
        <v>1178</v>
      </c>
      <c r="E1174" s="4" t="n">
        <v>0</v>
      </c>
    </row>
    <row r="1175" customFormat="false" ht="15" hidden="false" customHeight="false" outlineLevel="0" collapsed="false">
      <c r="A1175" s="3" t="n">
        <v>2015</v>
      </c>
      <c r="B1175" s="3" t="n">
        <v>3</v>
      </c>
      <c r="C1175" s="3" t="n">
        <v>19</v>
      </c>
      <c r="D1175" s="3" t="s">
        <v>1179</v>
      </c>
      <c r="E1175" s="4" t="n">
        <v>0</v>
      </c>
    </row>
    <row r="1176" customFormat="false" ht="15" hidden="false" customHeight="false" outlineLevel="0" collapsed="false">
      <c r="A1176" s="3" t="n">
        <v>2015</v>
      </c>
      <c r="B1176" s="3" t="n">
        <v>3</v>
      </c>
      <c r="C1176" s="3" t="n">
        <v>20</v>
      </c>
      <c r="D1176" s="3" t="s">
        <v>1180</v>
      </c>
      <c r="E1176" s="4" t="n">
        <v>0</v>
      </c>
    </row>
    <row r="1177" customFormat="false" ht="15" hidden="false" customHeight="false" outlineLevel="0" collapsed="false">
      <c r="A1177" s="3" t="n">
        <v>2015</v>
      </c>
      <c r="B1177" s="3" t="n">
        <v>3</v>
      </c>
      <c r="C1177" s="3" t="n">
        <v>21</v>
      </c>
      <c r="D1177" s="3" t="s">
        <v>1181</v>
      </c>
      <c r="E1177" s="4" t="n">
        <v>0</v>
      </c>
    </row>
    <row r="1178" customFormat="false" ht="15" hidden="false" customHeight="false" outlineLevel="0" collapsed="false">
      <c r="A1178" s="3" t="n">
        <v>2015</v>
      </c>
      <c r="B1178" s="3" t="n">
        <v>3</v>
      </c>
      <c r="C1178" s="3" t="n">
        <v>22</v>
      </c>
      <c r="D1178" s="3" t="s">
        <v>1182</v>
      </c>
      <c r="E1178" s="4" t="n">
        <v>0</v>
      </c>
    </row>
    <row r="1179" customFormat="false" ht="15" hidden="false" customHeight="false" outlineLevel="0" collapsed="false">
      <c r="A1179" s="3" t="n">
        <v>2015</v>
      </c>
      <c r="B1179" s="3" t="n">
        <v>3</v>
      </c>
      <c r="C1179" s="3" t="n">
        <v>23</v>
      </c>
      <c r="D1179" s="3" t="s">
        <v>1183</v>
      </c>
      <c r="E1179" s="4" t="n">
        <v>0</v>
      </c>
    </row>
    <row r="1180" customFormat="false" ht="15" hidden="false" customHeight="false" outlineLevel="0" collapsed="false">
      <c r="A1180" s="3" t="n">
        <v>2015</v>
      </c>
      <c r="B1180" s="3" t="n">
        <v>3</v>
      </c>
      <c r="C1180" s="3" t="n">
        <v>24</v>
      </c>
      <c r="D1180" s="3" t="s">
        <v>1184</v>
      </c>
      <c r="E1180" s="4" t="n">
        <v>0</v>
      </c>
    </row>
    <row r="1181" customFormat="false" ht="15" hidden="false" customHeight="false" outlineLevel="0" collapsed="false">
      <c r="A1181" s="3" t="n">
        <v>2015</v>
      </c>
      <c r="B1181" s="3" t="n">
        <v>3</v>
      </c>
      <c r="C1181" s="3" t="n">
        <v>25</v>
      </c>
      <c r="D1181" s="3" t="s">
        <v>1185</v>
      </c>
      <c r="E1181" s="4" t="n">
        <v>11</v>
      </c>
    </row>
    <row r="1182" customFormat="false" ht="15" hidden="false" customHeight="false" outlineLevel="0" collapsed="false">
      <c r="A1182" s="3" t="n">
        <v>2015</v>
      </c>
      <c r="B1182" s="3" t="n">
        <v>3</v>
      </c>
      <c r="C1182" s="3" t="n">
        <v>26</v>
      </c>
      <c r="D1182" s="3" t="s">
        <v>1186</v>
      </c>
      <c r="E1182" s="4" t="n">
        <v>71</v>
      </c>
    </row>
    <row r="1183" customFormat="false" ht="15" hidden="false" customHeight="false" outlineLevel="0" collapsed="false">
      <c r="A1183" s="3" t="n">
        <v>2015</v>
      </c>
      <c r="B1183" s="3" t="n">
        <v>3</v>
      </c>
      <c r="C1183" s="3" t="n">
        <v>27</v>
      </c>
      <c r="D1183" s="3" t="s">
        <v>1187</v>
      </c>
      <c r="E1183" s="4" t="n">
        <v>6</v>
      </c>
    </row>
    <row r="1184" customFormat="false" ht="15" hidden="false" customHeight="false" outlineLevel="0" collapsed="false">
      <c r="A1184" s="3" t="n">
        <v>2015</v>
      </c>
      <c r="B1184" s="3" t="n">
        <v>3</v>
      </c>
      <c r="C1184" s="3" t="n">
        <v>28</v>
      </c>
      <c r="D1184" s="3" t="s">
        <v>1188</v>
      </c>
      <c r="E1184" s="4" t="n">
        <v>27</v>
      </c>
    </row>
    <row r="1185" customFormat="false" ht="15" hidden="false" customHeight="false" outlineLevel="0" collapsed="false">
      <c r="A1185" s="3" t="n">
        <v>2015</v>
      </c>
      <c r="B1185" s="3" t="n">
        <v>3</v>
      </c>
      <c r="C1185" s="3" t="n">
        <v>29</v>
      </c>
      <c r="D1185" s="3" t="s">
        <v>1189</v>
      </c>
      <c r="E1185" s="4" t="n">
        <v>0</v>
      </c>
    </row>
    <row r="1186" customFormat="false" ht="15" hidden="false" customHeight="false" outlineLevel="0" collapsed="false">
      <c r="A1186" s="3" t="n">
        <v>2015</v>
      </c>
      <c r="B1186" s="3" t="n">
        <v>3</v>
      </c>
      <c r="C1186" s="3" t="n">
        <v>30</v>
      </c>
      <c r="D1186" s="3" t="s">
        <v>1190</v>
      </c>
      <c r="E1186" s="4" t="n">
        <v>0</v>
      </c>
    </row>
    <row r="1187" customFormat="false" ht="15" hidden="false" customHeight="false" outlineLevel="0" collapsed="false">
      <c r="A1187" s="3" t="n">
        <v>2015</v>
      </c>
      <c r="B1187" s="3" t="n">
        <v>3</v>
      </c>
      <c r="C1187" s="3" t="n">
        <v>31</v>
      </c>
      <c r="D1187" s="3" t="s">
        <v>1191</v>
      </c>
      <c r="E1187" s="4" t="n">
        <v>13</v>
      </c>
    </row>
    <row r="1188" customFormat="false" ht="15" hidden="false" customHeight="false" outlineLevel="0" collapsed="false">
      <c r="A1188" s="3" t="n">
        <v>2015</v>
      </c>
      <c r="B1188" s="3" t="n">
        <v>4</v>
      </c>
      <c r="C1188" s="3" t="n">
        <v>1</v>
      </c>
      <c r="D1188" s="3" t="s">
        <v>1192</v>
      </c>
      <c r="E1188" s="4" t="n">
        <v>0</v>
      </c>
    </row>
    <row r="1189" customFormat="false" ht="15" hidden="false" customHeight="false" outlineLevel="0" collapsed="false">
      <c r="A1189" s="3" t="n">
        <v>2015</v>
      </c>
      <c r="B1189" s="3" t="n">
        <v>4</v>
      </c>
      <c r="C1189" s="3" t="n">
        <v>2</v>
      </c>
      <c r="D1189" s="3" t="s">
        <v>1193</v>
      </c>
      <c r="E1189" s="4" t="n">
        <v>29</v>
      </c>
    </row>
    <row r="1190" customFormat="false" ht="15" hidden="false" customHeight="false" outlineLevel="0" collapsed="false">
      <c r="A1190" s="3" t="n">
        <v>2015</v>
      </c>
      <c r="B1190" s="3" t="n">
        <v>4</v>
      </c>
      <c r="C1190" s="3" t="n">
        <v>3</v>
      </c>
      <c r="D1190" s="3" t="s">
        <v>1194</v>
      </c>
      <c r="E1190" s="4" t="n">
        <v>5</v>
      </c>
    </row>
    <row r="1191" customFormat="false" ht="15" hidden="false" customHeight="false" outlineLevel="0" collapsed="false">
      <c r="A1191" s="3" t="n">
        <v>2015</v>
      </c>
      <c r="B1191" s="3" t="n">
        <v>4</v>
      </c>
      <c r="C1191" s="3" t="n">
        <v>4</v>
      </c>
      <c r="D1191" s="3" t="s">
        <v>1195</v>
      </c>
      <c r="E1191" s="4" t="n">
        <v>13</v>
      </c>
    </row>
    <row r="1192" customFormat="false" ht="15" hidden="false" customHeight="false" outlineLevel="0" collapsed="false">
      <c r="A1192" s="3" t="n">
        <v>2015</v>
      </c>
      <c r="B1192" s="3" t="n">
        <v>4</v>
      </c>
      <c r="C1192" s="3" t="n">
        <v>5</v>
      </c>
      <c r="D1192" s="3" t="s">
        <v>1196</v>
      </c>
      <c r="E1192" s="4" t="n">
        <v>0</v>
      </c>
    </row>
    <row r="1193" customFormat="false" ht="15" hidden="false" customHeight="false" outlineLevel="0" collapsed="false">
      <c r="A1193" s="3" t="n">
        <v>2015</v>
      </c>
      <c r="B1193" s="3" t="n">
        <v>4</v>
      </c>
      <c r="C1193" s="3" t="n">
        <v>6</v>
      </c>
      <c r="D1193" s="3" t="s">
        <v>1197</v>
      </c>
      <c r="E1193" s="4" t="n">
        <v>0</v>
      </c>
    </row>
    <row r="1194" customFormat="false" ht="15" hidden="false" customHeight="false" outlineLevel="0" collapsed="false">
      <c r="A1194" s="3" t="n">
        <v>2015</v>
      </c>
      <c r="B1194" s="3" t="n">
        <v>4</v>
      </c>
      <c r="C1194" s="3" t="n">
        <v>7</v>
      </c>
      <c r="D1194" s="3" t="s">
        <v>1198</v>
      </c>
      <c r="E1194" s="4" t="n">
        <v>0</v>
      </c>
    </row>
    <row r="1195" customFormat="false" ht="15" hidden="false" customHeight="false" outlineLevel="0" collapsed="false">
      <c r="A1195" s="3" t="n">
        <v>2015</v>
      </c>
      <c r="B1195" s="3" t="n">
        <v>4</v>
      </c>
      <c r="C1195" s="3" t="n">
        <v>8</v>
      </c>
      <c r="D1195" s="3" t="s">
        <v>1199</v>
      </c>
      <c r="E1195" s="4" t="n">
        <v>12</v>
      </c>
    </row>
    <row r="1196" customFormat="false" ht="15" hidden="false" customHeight="false" outlineLevel="0" collapsed="false">
      <c r="A1196" s="3" t="n">
        <v>2015</v>
      </c>
      <c r="B1196" s="3" t="n">
        <v>4</v>
      </c>
      <c r="C1196" s="3" t="n">
        <v>9</v>
      </c>
      <c r="D1196" s="3" t="s">
        <v>1200</v>
      </c>
      <c r="E1196" s="4" t="n">
        <v>3</v>
      </c>
    </row>
    <row r="1197" customFormat="false" ht="15" hidden="false" customHeight="false" outlineLevel="0" collapsed="false">
      <c r="A1197" s="3" t="n">
        <v>2015</v>
      </c>
      <c r="B1197" s="3" t="n">
        <v>4</v>
      </c>
      <c r="C1197" s="3" t="n">
        <v>10</v>
      </c>
      <c r="D1197" s="3" t="s">
        <v>1201</v>
      </c>
      <c r="E1197" s="4" t="n">
        <v>66</v>
      </c>
    </row>
    <row r="1198" customFormat="false" ht="15" hidden="false" customHeight="false" outlineLevel="0" collapsed="false">
      <c r="A1198" s="3" t="n">
        <v>2015</v>
      </c>
      <c r="B1198" s="3" t="n">
        <v>4</v>
      </c>
      <c r="C1198" s="3" t="n">
        <v>11</v>
      </c>
      <c r="D1198" s="3" t="s">
        <v>1202</v>
      </c>
      <c r="E1198" s="4" t="n">
        <v>1</v>
      </c>
    </row>
    <row r="1199" customFormat="false" ht="15" hidden="false" customHeight="false" outlineLevel="0" collapsed="false">
      <c r="A1199" s="3" t="n">
        <v>2015</v>
      </c>
      <c r="B1199" s="3" t="n">
        <v>4</v>
      </c>
      <c r="C1199" s="3" t="n">
        <v>12</v>
      </c>
      <c r="D1199" s="3" t="s">
        <v>1203</v>
      </c>
      <c r="E1199" s="4" t="n">
        <v>1</v>
      </c>
    </row>
    <row r="1200" customFormat="false" ht="15" hidden="false" customHeight="false" outlineLevel="0" collapsed="false">
      <c r="A1200" s="3" t="n">
        <v>2015</v>
      </c>
      <c r="B1200" s="3" t="n">
        <v>4</v>
      </c>
      <c r="C1200" s="3" t="n">
        <v>13</v>
      </c>
      <c r="D1200" s="3" t="s">
        <v>1204</v>
      </c>
      <c r="E1200" s="4" t="n">
        <v>0</v>
      </c>
    </row>
    <row r="1201" customFormat="false" ht="15" hidden="false" customHeight="false" outlineLevel="0" collapsed="false">
      <c r="A1201" s="3" t="n">
        <v>2015</v>
      </c>
      <c r="B1201" s="3" t="n">
        <v>4</v>
      </c>
      <c r="C1201" s="3" t="n">
        <v>14</v>
      </c>
      <c r="D1201" s="3" t="s">
        <v>1205</v>
      </c>
      <c r="E1201" s="4" t="n">
        <v>0</v>
      </c>
    </row>
    <row r="1202" customFormat="false" ht="15" hidden="false" customHeight="false" outlineLevel="0" collapsed="false">
      <c r="A1202" s="3" t="n">
        <v>2015</v>
      </c>
      <c r="B1202" s="3" t="n">
        <v>4</v>
      </c>
      <c r="C1202" s="3" t="n">
        <v>15</v>
      </c>
      <c r="D1202" s="3" t="s">
        <v>1206</v>
      </c>
      <c r="E1202" s="4" t="n">
        <v>0</v>
      </c>
    </row>
    <row r="1203" customFormat="false" ht="15" hidden="false" customHeight="false" outlineLevel="0" collapsed="false">
      <c r="A1203" s="3" t="n">
        <v>2015</v>
      </c>
      <c r="B1203" s="3" t="n">
        <v>4</v>
      </c>
      <c r="C1203" s="3" t="n">
        <v>16</v>
      </c>
      <c r="D1203" s="3" t="s">
        <v>1207</v>
      </c>
      <c r="E1203" s="4" t="n">
        <v>0</v>
      </c>
    </row>
    <row r="1204" customFormat="false" ht="15" hidden="false" customHeight="false" outlineLevel="0" collapsed="false">
      <c r="A1204" s="3" t="n">
        <v>2015</v>
      </c>
      <c r="B1204" s="3" t="n">
        <v>4</v>
      </c>
      <c r="C1204" s="3" t="n">
        <v>17</v>
      </c>
      <c r="D1204" s="3" t="s">
        <v>1208</v>
      </c>
      <c r="E1204" s="4" t="n">
        <v>0</v>
      </c>
    </row>
    <row r="1205" customFormat="false" ht="15" hidden="false" customHeight="false" outlineLevel="0" collapsed="false">
      <c r="A1205" s="3" t="n">
        <v>2015</v>
      </c>
      <c r="B1205" s="3" t="n">
        <v>4</v>
      </c>
      <c r="C1205" s="3" t="n">
        <v>18</v>
      </c>
      <c r="D1205" s="3" t="s">
        <v>1209</v>
      </c>
      <c r="E1205" s="4" t="n">
        <v>0</v>
      </c>
    </row>
    <row r="1206" customFormat="false" ht="15" hidden="false" customHeight="false" outlineLevel="0" collapsed="false">
      <c r="A1206" s="3" t="n">
        <v>2015</v>
      </c>
      <c r="B1206" s="3" t="n">
        <v>4</v>
      </c>
      <c r="C1206" s="3" t="n">
        <v>19</v>
      </c>
      <c r="D1206" s="3" t="s">
        <v>1210</v>
      </c>
      <c r="E1206" s="4" t="n">
        <v>0</v>
      </c>
    </row>
    <row r="1207" customFormat="false" ht="15" hidden="false" customHeight="false" outlineLevel="0" collapsed="false">
      <c r="A1207" s="3" t="n">
        <v>2015</v>
      </c>
      <c r="B1207" s="3" t="n">
        <v>4</v>
      </c>
      <c r="C1207" s="3" t="n">
        <v>20</v>
      </c>
      <c r="D1207" s="3" t="s">
        <v>1211</v>
      </c>
      <c r="E1207" s="4" t="n">
        <v>67</v>
      </c>
    </row>
    <row r="1208" customFormat="false" ht="15" hidden="false" customHeight="false" outlineLevel="0" collapsed="false">
      <c r="A1208" s="3" t="n">
        <v>2015</v>
      </c>
      <c r="B1208" s="3" t="n">
        <v>4</v>
      </c>
      <c r="C1208" s="3" t="n">
        <v>21</v>
      </c>
      <c r="D1208" s="3" t="s">
        <v>1212</v>
      </c>
      <c r="E1208" s="4" t="n">
        <v>0</v>
      </c>
    </row>
    <row r="1209" customFormat="false" ht="15" hidden="false" customHeight="false" outlineLevel="0" collapsed="false">
      <c r="A1209" s="3" t="n">
        <v>2015</v>
      </c>
      <c r="B1209" s="3" t="n">
        <v>4</v>
      </c>
      <c r="C1209" s="3" t="n">
        <v>22</v>
      </c>
      <c r="D1209" s="3" t="s">
        <v>1213</v>
      </c>
      <c r="E1209" s="4" t="n">
        <v>0</v>
      </c>
    </row>
    <row r="1210" customFormat="false" ht="15" hidden="false" customHeight="false" outlineLevel="0" collapsed="false">
      <c r="A1210" s="3" t="n">
        <v>2015</v>
      </c>
      <c r="B1210" s="3" t="n">
        <v>4</v>
      </c>
      <c r="C1210" s="3" t="n">
        <v>23</v>
      </c>
      <c r="D1210" s="3" t="s">
        <v>1214</v>
      </c>
      <c r="E1210" s="4" t="n">
        <v>0</v>
      </c>
    </row>
    <row r="1211" customFormat="false" ht="15" hidden="false" customHeight="false" outlineLevel="0" collapsed="false">
      <c r="A1211" s="3" t="n">
        <v>2015</v>
      </c>
      <c r="B1211" s="3" t="n">
        <v>4</v>
      </c>
      <c r="C1211" s="3" t="n">
        <v>24</v>
      </c>
      <c r="D1211" s="3" t="s">
        <v>1215</v>
      </c>
      <c r="E1211" s="4" t="n">
        <v>0</v>
      </c>
    </row>
    <row r="1212" customFormat="false" ht="15" hidden="false" customHeight="false" outlineLevel="0" collapsed="false">
      <c r="A1212" s="3" t="n">
        <v>2015</v>
      </c>
      <c r="B1212" s="3" t="n">
        <v>4</v>
      </c>
      <c r="C1212" s="3" t="n">
        <v>25</v>
      </c>
      <c r="D1212" s="3" t="s">
        <v>1216</v>
      </c>
      <c r="E1212" s="4" t="n">
        <v>3</v>
      </c>
    </row>
    <row r="1213" customFormat="false" ht="15" hidden="false" customHeight="false" outlineLevel="0" collapsed="false">
      <c r="A1213" s="3" t="n">
        <v>2015</v>
      </c>
      <c r="B1213" s="3" t="n">
        <v>4</v>
      </c>
      <c r="C1213" s="3" t="n">
        <v>26</v>
      </c>
      <c r="D1213" s="3" t="s">
        <v>1217</v>
      </c>
      <c r="E1213" s="4" t="n">
        <v>2</v>
      </c>
    </row>
    <row r="1214" customFormat="false" ht="15" hidden="false" customHeight="false" outlineLevel="0" collapsed="false">
      <c r="A1214" s="3" t="n">
        <v>2015</v>
      </c>
      <c r="B1214" s="3" t="n">
        <v>4</v>
      </c>
      <c r="C1214" s="3" t="n">
        <v>27</v>
      </c>
      <c r="D1214" s="3" t="s">
        <v>1218</v>
      </c>
      <c r="E1214" s="4" t="n">
        <v>0</v>
      </c>
    </row>
    <row r="1215" customFormat="false" ht="15" hidden="false" customHeight="false" outlineLevel="0" collapsed="false">
      <c r="A1215" s="3" t="n">
        <v>2015</v>
      </c>
      <c r="B1215" s="3" t="n">
        <v>4</v>
      </c>
      <c r="C1215" s="3" t="n">
        <v>28</v>
      </c>
      <c r="D1215" s="3" t="s">
        <v>1219</v>
      </c>
      <c r="E1215" s="4" t="n">
        <v>0</v>
      </c>
    </row>
    <row r="1216" customFormat="false" ht="15" hidden="false" customHeight="false" outlineLevel="0" collapsed="false">
      <c r="A1216" s="3" t="n">
        <v>2015</v>
      </c>
      <c r="B1216" s="3" t="n">
        <v>4</v>
      </c>
      <c r="C1216" s="3" t="n">
        <v>29</v>
      </c>
      <c r="D1216" s="3" t="s">
        <v>1220</v>
      </c>
      <c r="E1216" s="4" t="n">
        <v>0</v>
      </c>
    </row>
    <row r="1217" customFormat="false" ht="15" hidden="false" customHeight="false" outlineLevel="0" collapsed="false">
      <c r="A1217" s="3" t="n">
        <v>2015</v>
      </c>
      <c r="B1217" s="3" t="n">
        <v>4</v>
      </c>
      <c r="C1217" s="3" t="n">
        <v>30</v>
      </c>
      <c r="D1217" s="3" t="s">
        <v>1221</v>
      </c>
      <c r="E1217" s="4" t="n">
        <v>0</v>
      </c>
    </row>
    <row r="1218" customFormat="false" ht="15" hidden="false" customHeight="false" outlineLevel="0" collapsed="false">
      <c r="A1218" s="3" t="n">
        <v>2015</v>
      </c>
      <c r="B1218" s="3" t="n">
        <v>5</v>
      </c>
      <c r="C1218" s="3" t="n">
        <v>1</v>
      </c>
      <c r="D1218" s="3" t="s">
        <v>1222</v>
      </c>
      <c r="E1218" s="4" t="n">
        <v>23</v>
      </c>
    </row>
    <row r="1219" customFormat="false" ht="15" hidden="false" customHeight="false" outlineLevel="0" collapsed="false">
      <c r="A1219" s="3" t="n">
        <v>2015</v>
      </c>
      <c r="B1219" s="3" t="n">
        <v>5</v>
      </c>
      <c r="C1219" s="3" t="n">
        <v>2</v>
      </c>
      <c r="D1219" s="3" t="s">
        <v>1223</v>
      </c>
      <c r="E1219" s="4" t="n">
        <v>7</v>
      </c>
    </row>
    <row r="1220" customFormat="false" ht="15" hidden="false" customHeight="false" outlineLevel="0" collapsed="false">
      <c r="A1220" s="3" t="n">
        <v>2015</v>
      </c>
      <c r="B1220" s="3" t="n">
        <v>5</v>
      </c>
      <c r="C1220" s="3" t="n">
        <v>3</v>
      </c>
      <c r="D1220" s="3" t="s">
        <v>1224</v>
      </c>
      <c r="E1220" s="4" t="n">
        <v>0</v>
      </c>
    </row>
    <row r="1221" customFormat="false" ht="15" hidden="false" customHeight="false" outlineLevel="0" collapsed="false">
      <c r="A1221" s="3" t="n">
        <v>2015</v>
      </c>
      <c r="B1221" s="3" t="n">
        <v>5</v>
      </c>
      <c r="C1221" s="3" t="n">
        <v>4</v>
      </c>
      <c r="D1221" s="3" t="s">
        <v>1225</v>
      </c>
      <c r="E1221" s="4" t="n">
        <v>8</v>
      </c>
    </row>
    <row r="1222" customFormat="false" ht="15" hidden="false" customHeight="false" outlineLevel="0" collapsed="false">
      <c r="A1222" s="3" t="n">
        <v>2015</v>
      </c>
      <c r="B1222" s="3" t="n">
        <v>5</v>
      </c>
      <c r="C1222" s="3" t="n">
        <v>5</v>
      </c>
      <c r="D1222" s="3" t="s">
        <v>1226</v>
      </c>
      <c r="E1222" s="4" t="n">
        <v>0</v>
      </c>
    </row>
    <row r="1223" customFormat="false" ht="15" hidden="false" customHeight="false" outlineLevel="0" collapsed="false">
      <c r="A1223" s="3" t="n">
        <v>2015</v>
      </c>
      <c r="B1223" s="3" t="n">
        <v>5</v>
      </c>
      <c r="C1223" s="3" t="n">
        <v>6</v>
      </c>
      <c r="D1223" s="3" t="s">
        <v>1227</v>
      </c>
      <c r="E1223" s="4" t="n">
        <v>0</v>
      </c>
    </row>
    <row r="1224" customFormat="false" ht="15" hidden="false" customHeight="false" outlineLevel="0" collapsed="false">
      <c r="A1224" s="3" t="n">
        <v>2015</v>
      </c>
      <c r="B1224" s="3" t="n">
        <v>5</v>
      </c>
      <c r="C1224" s="3" t="n">
        <v>7</v>
      </c>
      <c r="D1224" s="3" t="s">
        <v>1228</v>
      </c>
      <c r="E1224" s="4" t="n">
        <v>0</v>
      </c>
    </row>
    <row r="1225" customFormat="false" ht="15" hidden="false" customHeight="false" outlineLevel="0" collapsed="false">
      <c r="A1225" s="3" t="n">
        <v>2015</v>
      </c>
      <c r="B1225" s="3" t="n">
        <v>5</v>
      </c>
      <c r="C1225" s="3" t="n">
        <v>8</v>
      </c>
      <c r="D1225" s="3" t="s">
        <v>1229</v>
      </c>
      <c r="E1225" s="4" t="n">
        <v>0</v>
      </c>
    </row>
    <row r="1226" customFormat="false" ht="15" hidden="false" customHeight="false" outlineLevel="0" collapsed="false">
      <c r="A1226" s="3" t="n">
        <v>2015</v>
      </c>
      <c r="B1226" s="3" t="n">
        <v>5</v>
      </c>
      <c r="C1226" s="3" t="n">
        <v>9</v>
      </c>
      <c r="D1226" s="3" t="s">
        <v>1230</v>
      </c>
      <c r="E1226" s="4" t="n">
        <v>67</v>
      </c>
    </row>
    <row r="1227" customFormat="false" ht="15" hidden="false" customHeight="false" outlineLevel="0" collapsed="false">
      <c r="A1227" s="3" t="n">
        <v>2015</v>
      </c>
      <c r="B1227" s="3" t="n">
        <v>5</v>
      </c>
      <c r="C1227" s="3" t="n">
        <v>10</v>
      </c>
      <c r="D1227" s="3" t="s">
        <v>1231</v>
      </c>
      <c r="E1227" s="4" t="n">
        <v>8</v>
      </c>
    </row>
    <row r="1228" customFormat="false" ht="15" hidden="false" customHeight="false" outlineLevel="0" collapsed="false">
      <c r="A1228" s="3" t="n">
        <v>2015</v>
      </c>
      <c r="B1228" s="3" t="n">
        <v>5</v>
      </c>
      <c r="C1228" s="3" t="n">
        <v>11</v>
      </c>
      <c r="D1228" s="3" t="s">
        <v>1232</v>
      </c>
      <c r="E1228" s="4" t="n">
        <v>23</v>
      </c>
    </row>
    <row r="1229" customFormat="false" ht="15" hidden="false" customHeight="false" outlineLevel="0" collapsed="false">
      <c r="A1229" s="3" t="n">
        <v>2015</v>
      </c>
      <c r="B1229" s="3" t="n">
        <v>5</v>
      </c>
      <c r="C1229" s="3" t="n">
        <v>12</v>
      </c>
      <c r="D1229" s="3" t="s">
        <v>1233</v>
      </c>
      <c r="E1229" s="4" t="n">
        <v>25</v>
      </c>
    </row>
    <row r="1230" customFormat="false" ht="15" hidden="false" customHeight="false" outlineLevel="0" collapsed="false">
      <c r="A1230" s="3" t="n">
        <v>2015</v>
      </c>
      <c r="B1230" s="3" t="n">
        <v>5</v>
      </c>
      <c r="C1230" s="3" t="n">
        <v>13</v>
      </c>
      <c r="D1230" s="3" t="s">
        <v>1234</v>
      </c>
      <c r="E1230" s="4" t="n">
        <v>0</v>
      </c>
    </row>
    <row r="1231" customFormat="false" ht="15" hidden="false" customHeight="false" outlineLevel="0" collapsed="false">
      <c r="A1231" s="3" t="n">
        <v>2015</v>
      </c>
      <c r="B1231" s="3" t="n">
        <v>5</v>
      </c>
      <c r="C1231" s="3" t="n">
        <v>14</v>
      </c>
      <c r="D1231" s="3" t="s">
        <v>1235</v>
      </c>
      <c r="E1231" s="4" t="n">
        <v>8</v>
      </c>
    </row>
    <row r="1232" customFormat="false" ht="15" hidden="false" customHeight="false" outlineLevel="0" collapsed="false">
      <c r="A1232" s="3" t="n">
        <v>2015</v>
      </c>
      <c r="B1232" s="3" t="n">
        <v>5</v>
      </c>
      <c r="C1232" s="3" t="n">
        <v>15</v>
      </c>
      <c r="D1232" s="3" t="s">
        <v>1236</v>
      </c>
      <c r="E1232" s="4" t="n">
        <v>7</v>
      </c>
    </row>
    <row r="1233" customFormat="false" ht="15" hidden="false" customHeight="false" outlineLevel="0" collapsed="false">
      <c r="A1233" s="3" t="n">
        <v>2015</v>
      </c>
      <c r="B1233" s="3" t="n">
        <v>5</v>
      </c>
      <c r="C1233" s="3" t="n">
        <v>16</v>
      </c>
      <c r="D1233" s="3" t="s">
        <v>1237</v>
      </c>
      <c r="E1233" s="4" t="n">
        <v>63</v>
      </c>
    </row>
    <row r="1234" customFormat="false" ht="15" hidden="false" customHeight="false" outlineLevel="0" collapsed="false">
      <c r="A1234" s="3" t="n">
        <v>2015</v>
      </c>
      <c r="B1234" s="3" t="n">
        <v>5</v>
      </c>
      <c r="C1234" s="3" t="n">
        <v>17</v>
      </c>
      <c r="D1234" s="3" t="s">
        <v>1238</v>
      </c>
      <c r="E1234" s="4" t="n">
        <v>0</v>
      </c>
    </row>
    <row r="1235" customFormat="false" ht="15" hidden="false" customHeight="false" outlineLevel="0" collapsed="false">
      <c r="A1235" s="3" t="n">
        <v>2015</v>
      </c>
      <c r="B1235" s="3" t="n">
        <v>5</v>
      </c>
      <c r="C1235" s="3" t="n">
        <v>18</v>
      </c>
      <c r="D1235" s="3" t="s">
        <v>1239</v>
      </c>
      <c r="E1235" s="4" t="n">
        <v>17</v>
      </c>
    </row>
    <row r="1236" customFormat="false" ht="15" hidden="false" customHeight="false" outlineLevel="0" collapsed="false">
      <c r="A1236" s="3" t="n">
        <v>2015</v>
      </c>
      <c r="B1236" s="3" t="n">
        <v>5</v>
      </c>
      <c r="C1236" s="3" t="n">
        <v>19</v>
      </c>
      <c r="D1236" s="3" t="s">
        <v>1240</v>
      </c>
      <c r="E1236" s="4" t="n">
        <v>0</v>
      </c>
    </row>
    <row r="1237" customFormat="false" ht="15" hidden="false" customHeight="false" outlineLevel="0" collapsed="false">
      <c r="A1237" s="3" t="n">
        <v>2015</v>
      </c>
      <c r="B1237" s="3" t="n">
        <v>5</v>
      </c>
      <c r="C1237" s="3" t="n">
        <v>20</v>
      </c>
      <c r="D1237" s="3" t="s">
        <v>1241</v>
      </c>
      <c r="E1237" s="4" t="n">
        <v>0</v>
      </c>
    </row>
    <row r="1238" customFormat="false" ht="15" hidden="false" customHeight="false" outlineLevel="0" collapsed="false">
      <c r="A1238" s="3" t="n">
        <v>2015</v>
      </c>
      <c r="B1238" s="3" t="n">
        <v>5</v>
      </c>
      <c r="C1238" s="3" t="n">
        <v>21</v>
      </c>
      <c r="D1238" s="3" t="s">
        <v>1242</v>
      </c>
      <c r="E1238" s="4" t="n">
        <v>0</v>
      </c>
    </row>
    <row r="1239" customFormat="false" ht="15" hidden="false" customHeight="false" outlineLevel="0" collapsed="false">
      <c r="A1239" s="3" t="n">
        <v>2015</v>
      </c>
      <c r="B1239" s="3" t="n">
        <v>5</v>
      </c>
      <c r="C1239" s="3" t="n">
        <v>22</v>
      </c>
      <c r="D1239" s="3" t="s">
        <v>1243</v>
      </c>
      <c r="E1239" s="4" t="n">
        <v>33</v>
      </c>
    </row>
    <row r="1240" customFormat="false" ht="15" hidden="false" customHeight="false" outlineLevel="0" collapsed="false">
      <c r="A1240" s="3" t="n">
        <v>2015</v>
      </c>
      <c r="B1240" s="3" t="n">
        <v>5</v>
      </c>
      <c r="C1240" s="3" t="n">
        <v>23</v>
      </c>
      <c r="D1240" s="3" t="s">
        <v>1244</v>
      </c>
      <c r="E1240" s="4" t="n">
        <v>13</v>
      </c>
    </row>
    <row r="1241" customFormat="false" ht="15" hidden="false" customHeight="false" outlineLevel="0" collapsed="false">
      <c r="A1241" s="3" t="n">
        <v>2015</v>
      </c>
      <c r="B1241" s="3" t="n">
        <v>5</v>
      </c>
      <c r="C1241" s="3" t="n">
        <v>24</v>
      </c>
      <c r="D1241" s="3" t="s">
        <v>1245</v>
      </c>
      <c r="E1241" s="4" t="n">
        <v>23</v>
      </c>
    </row>
    <row r="1242" customFormat="false" ht="15" hidden="false" customHeight="false" outlineLevel="0" collapsed="false">
      <c r="A1242" s="3" t="n">
        <v>2015</v>
      </c>
      <c r="B1242" s="3" t="n">
        <v>5</v>
      </c>
      <c r="C1242" s="3" t="n">
        <v>25</v>
      </c>
      <c r="D1242" s="3" t="s">
        <v>1246</v>
      </c>
      <c r="E1242" s="4" t="n">
        <v>0</v>
      </c>
    </row>
    <row r="1243" customFormat="false" ht="15" hidden="false" customHeight="false" outlineLevel="0" collapsed="false">
      <c r="A1243" s="3" t="n">
        <v>2015</v>
      </c>
      <c r="B1243" s="3" t="n">
        <v>5</v>
      </c>
      <c r="C1243" s="3" t="n">
        <v>26</v>
      </c>
      <c r="D1243" s="3" t="s">
        <v>1247</v>
      </c>
      <c r="E1243" s="4" t="n">
        <v>0</v>
      </c>
    </row>
    <row r="1244" customFormat="false" ht="15" hidden="false" customHeight="false" outlineLevel="0" collapsed="false">
      <c r="A1244" s="3" t="n">
        <v>2015</v>
      </c>
      <c r="B1244" s="3" t="n">
        <v>5</v>
      </c>
      <c r="C1244" s="3" t="n">
        <v>27</v>
      </c>
      <c r="D1244" s="3" t="s">
        <v>1248</v>
      </c>
      <c r="E1244" s="4" t="n">
        <v>0</v>
      </c>
    </row>
    <row r="1245" customFormat="false" ht="15" hidden="false" customHeight="false" outlineLevel="0" collapsed="false">
      <c r="A1245" s="3" t="n">
        <v>2015</v>
      </c>
      <c r="B1245" s="3" t="n">
        <v>5</v>
      </c>
      <c r="C1245" s="3" t="n">
        <v>28</v>
      </c>
      <c r="D1245" s="3" t="s">
        <v>1249</v>
      </c>
      <c r="E1245" s="4" t="n">
        <v>0</v>
      </c>
    </row>
    <row r="1246" customFormat="false" ht="15" hidden="false" customHeight="false" outlineLevel="0" collapsed="false">
      <c r="A1246" s="3" t="n">
        <v>2015</v>
      </c>
      <c r="B1246" s="3" t="n">
        <v>5</v>
      </c>
      <c r="C1246" s="3" t="n">
        <v>29</v>
      </c>
      <c r="D1246" s="3" t="s">
        <v>1250</v>
      </c>
      <c r="E1246" s="4" t="n">
        <v>16</v>
      </c>
    </row>
    <row r="1247" customFormat="false" ht="15" hidden="false" customHeight="false" outlineLevel="0" collapsed="false">
      <c r="A1247" s="3" t="n">
        <v>2015</v>
      </c>
      <c r="B1247" s="3" t="n">
        <v>5</v>
      </c>
      <c r="C1247" s="3" t="n">
        <v>30</v>
      </c>
      <c r="D1247" s="3" t="s">
        <v>1251</v>
      </c>
      <c r="E1247" s="4" t="n">
        <v>0</v>
      </c>
    </row>
    <row r="1248" customFormat="false" ht="15" hidden="false" customHeight="false" outlineLevel="0" collapsed="false">
      <c r="A1248" s="3" t="n">
        <v>2015</v>
      </c>
      <c r="B1248" s="3" t="n">
        <v>5</v>
      </c>
      <c r="C1248" s="3" t="n">
        <v>31</v>
      </c>
      <c r="D1248" s="3" t="s">
        <v>1252</v>
      </c>
      <c r="E1248" s="4" t="n">
        <v>0</v>
      </c>
    </row>
    <row r="1249" customFormat="false" ht="15" hidden="false" customHeight="false" outlineLevel="0" collapsed="false">
      <c r="A1249" s="3" t="n">
        <v>2015</v>
      </c>
      <c r="B1249" s="3" t="n">
        <v>6</v>
      </c>
      <c r="C1249" s="3" t="n">
        <v>1</v>
      </c>
      <c r="D1249" s="3" t="s">
        <v>1253</v>
      </c>
      <c r="E1249" s="4" t="n">
        <v>0</v>
      </c>
    </row>
    <row r="1250" customFormat="false" ht="15" hidden="false" customHeight="false" outlineLevel="0" collapsed="false">
      <c r="A1250" s="3" t="n">
        <v>2015</v>
      </c>
      <c r="B1250" s="3" t="n">
        <v>6</v>
      </c>
      <c r="C1250" s="3" t="n">
        <v>2</v>
      </c>
      <c r="D1250" s="3" t="s">
        <v>1254</v>
      </c>
      <c r="E1250" s="4" t="n">
        <v>0</v>
      </c>
    </row>
    <row r="1251" customFormat="false" ht="15" hidden="false" customHeight="false" outlineLevel="0" collapsed="false">
      <c r="A1251" s="3" t="n">
        <v>2015</v>
      </c>
      <c r="B1251" s="3" t="n">
        <v>6</v>
      </c>
      <c r="C1251" s="3" t="n">
        <v>3</v>
      </c>
      <c r="D1251" s="3" t="s">
        <v>1255</v>
      </c>
      <c r="E1251" s="4" t="n">
        <v>0</v>
      </c>
    </row>
    <row r="1252" customFormat="false" ht="15" hidden="false" customHeight="false" outlineLevel="0" collapsed="false">
      <c r="A1252" s="3" t="n">
        <v>2015</v>
      </c>
      <c r="B1252" s="3" t="n">
        <v>6</v>
      </c>
      <c r="C1252" s="3" t="n">
        <v>4</v>
      </c>
      <c r="D1252" s="3" t="s">
        <v>1256</v>
      </c>
      <c r="E1252" s="4" t="n">
        <v>4</v>
      </c>
    </row>
    <row r="1253" customFormat="false" ht="15" hidden="false" customHeight="false" outlineLevel="0" collapsed="false">
      <c r="A1253" s="3" t="n">
        <v>2015</v>
      </c>
      <c r="B1253" s="3" t="n">
        <v>6</v>
      </c>
      <c r="C1253" s="3" t="n">
        <v>5</v>
      </c>
      <c r="D1253" s="3" t="s">
        <v>1257</v>
      </c>
      <c r="E1253" s="4" t="n">
        <v>0</v>
      </c>
    </row>
    <row r="1254" customFormat="false" ht="15" hidden="false" customHeight="false" outlineLevel="0" collapsed="false">
      <c r="A1254" s="3" t="n">
        <v>2015</v>
      </c>
      <c r="B1254" s="3" t="n">
        <v>6</v>
      </c>
      <c r="C1254" s="3" t="n">
        <v>6</v>
      </c>
      <c r="D1254" s="3" t="s">
        <v>1258</v>
      </c>
      <c r="E1254" s="4" t="n">
        <v>5</v>
      </c>
    </row>
    <row r="1255" customFormat="false" ht="15" hidden="false" customHeight="false" outlineLevel="0" collapsed="false">
      <c r="A1255" s="3" t="n">
        <v>2015</v>
      </c>
      <c r="B1255" s="3" t="n">
        <v>6</v>
      </c>
      <c r="C1255" s="3" t="n">
        <v>7</v>
      </c>
      <c r="D1255" s="3" t="s">
        <v>1259</v>
      </c>
      <c r="E1255" s="4" t="n">
        <v>62</v>
      </c>
    </row>
    <row r="1256" customFormat="false" ht="15" hidden="false" customHeight="false" outlineLevel="0" collapsed="false">
      <c r="A1256" s="3" t="n">
        <v>2015</v>
      </c>
      <c r="B1256" s="3" t="n">
        <v>6</v>
      </c>
      <c r="C1256" s="3" t="n">
        <v>8</v>
      </c>
      <c r="D1256" s="3" t="s">
        <v>1260</v>
      </c>
      <c r="E1256" s="4" t="n">
        <v>11</v>
      </c>
    </row>
    <row r="1257" customFormat="false" ht="15" hidden="false" customHeight="false" outlineLevel="0" collapsed="false">
      <c r="A1257" s="3" t="n">
        <v>2015</v>
      </c>
      <c r="B1257" s="3" t="n">
        <v>6</v>
      </c>
      <c r="C1257" s="3" t="n">
        <v>9</v>
      </c>
      <c r="D1257" s="3" t="s">
        <v>1261</v>
      </c>
      <c r="E1257" s="4" t="n">
        <v>11</v>
      </c>
    </row>
    <row r="1258" customFormat="false" ht="15" hidden="false" customHeight="false" outlineLevel="0" collapsed="false">
      <c r="A1258" s="3" t="n">
        <v>2015</v>
      </c>
      <c r="B1258" s="3" t="n">
        <v>6</v>
      </c>
      <c r="C1258" s="3" t="n">
        <v>10</v>
      </c>
      <c r="D1258" s="3" t="s">
        <v>1262</v>
      </c>
      <c r="E1258" s="4" t="n">
        <v>0</v>
      </c>
    </row>
    <row r="1259" customFormat="false" ht="15" hidden="false" customHeight="false" outlineLevel="0" collapsed="false">
      <c r="A1259" s="3" t="n">
        <v>2015</v>
      </c>
      <c r="B1259" s="3" t="n">
        <v>6</v>
      </c>
      <c r="C1259" s="3" t="n">
        <v>11</v>
      </c>
      <c r="D1259" s="3" t="s">
        <v>1263</v>
      </c>
      <c r="E1259" s="4" t="n">
        <v>0</v>
      </c>
    </row>
    <row r="1260" customFormat="false" ht="15" hidden="false" customHeight="false" outlineLevel="0" collapsed="false">
      <c r="A1260" s="3" t="n">
        <v>2015</v>
      </c>
      <c r="B1260" s="3" t="n">
        <v>6</v>
      </c>
      <c r="C1260" s="3" t="n">
        <v>12</v>
      </c>
      <c r="D1260" s="3" t="s">
        <v>1264</v>
      </c>
      <c r="E1260" s="4" t="n">
        <v>40</v>
      </c>
    </row>
    <row r="1261" customFormat="false" ht="15" hidden="false" customHeight="false" outlineLevel="0" collapsed="false">
      <c r="A1261" s="3" t="n">
        <v>2015</v>
      </c>
      <c r="B1261" s="3" t="n">
        <v>6</v>
      </c>
      <c r="C1261" s="3" t="n">
        <v>13</v>
      </c>
      <c r="D1261" s="3" t="s">
        <v>1265</v>
      </c>
      <c r="E1261" s="4" t="n">
        <v>48</v>
      </c>
    </row>
    <row r="1262" customFormat="false" ht="15" hidden="false" customHeight="false" outlineLevel="0" collapsed="false">
      <c r="A1262" s="3" t="n">
        <v>2015</v>
      </c>
      <c r="B1262" s="3" t="n">
        <v>6</v>
      </c>
      <c r="C1262" s="3" t="n">
        <v>14</v>
      </c>
      <c r="D1262" s="3" t="s">
        <v>1266</v>
      </c>
      <c r="E1262" s="4" t="n">
        <v>43</v>
      </c>
    </row>
    <row r="1263" customFormat="false" ht="15" hidden="false" customHeight="false" outlineLevel="0" collapsed="false">
      <c r="A1263" s="3" t="n">
        <v>2015</v>
      </c>
      <c r="B1263" s="3" t="n">
        <v>6</v>
      </c>
      <c r="C1263" s="3" t="n">
        <v>15</v>
      </c>
      <c r="D1263" s="3" t="s">
        <v>1267</v>
      </c>
      <c r="E1263" s="4" t="n">
        <v>0</v>
      </c>
    </row>
    <row r="1264" customFormat="false" ht="15" hidden="false" customHeight="false" outlineLevel="0" collapsed="false">
      <c r="A1264" s="3" t="n">
        <v>2015</v>
      </c>
      <c r="B1264" s="3" t="n">
        <v>6</v>
      </c>
      <c r="C1264" s="3" t="n">
        <v>16</v>
      </c>
      <c r="D1264" s="3" t="s">
        <v>1268</v>
      </c>
      <c r="E1264" s="4" t="n">
        <v>1</v>
      </c>
    </row>
    <row r="1265" customFormat="false" ht="15" hidden="false" customHeight="false" outlineLevel="0" collapsed="false">
      <c r="A1265" s="3" t="n">
        <v>2015</v>
      </c>
      <c r="B1265" s="3" t="n">
        <v>6</v>
      </c>
      <c r="C1265" s="3" t="n">
        <v>17</v>
      </c>
      <c r="D1265" s="3" t="s">
        <v>1269</v>
      </c>
      <c r="E1265" s="4" t="n">
        <v>0</v>
      </c>
    </row>
    <row r="1266" customFormat="false" ht="15" hidden="false" customHeight="false" outlineLevel="0" collapsed="false">
      <c r="A1266" s="3" t="n">
        <v>2015</v>
      </c>
      <c r="B1266" s="3" t="n">
        <v>6</v>
      </c>
      <c r="C1266" s="3" t="n">
        <v>18</v>
      </c>
      <c r="D1266" s="3" t="s">
        <v>1270</v>
      </c>
      <c r="E1266" s="4" t="n">
        <v>0</v>
      </c>
    </row>
    <row r="1267" customFormat="false" ht="15" hidden="false" customHeight="false" outlineLevel="0" collapsed="false">
      <c r="A1267" s="3" t="n">
        <v>2015</v>
      </c>
      <c r="B1267" s="3" t="n">
        <v>6</v>
      </c>
      <c r="C1267" s="3" t="n">
        <v>19</v>
      </c>
      <c r="D1267" s="3" t="s">
        <v>1271</v>
      </c>
      <c r="E1267" s="4" t="n">
        <v>0</v>
      </c>
    </row>
    <row r="1268" customFormat="false" ht="15" hidden="false" customHeight="false" outlineLevel="0" collapsed="false">
      <c r="A1268" s="3" t="n">
        <v>2015</v>
      </c>
      <c r="B1268" s="3" t="n">
        <v>6</v>
      </c>
      <c r="C1268" s="3" t="n">
        <v>20</v>
      </c>
      <c r="D1268" s="3" t="s">
        <v>1272</v>
      </c>
      <c r="E1268" s="4" t="n">
        <v>0</v>
      </c>
    </row>
    <row r="1269" customFormat="false" ht="15" hidden="false" customHeight="false" outlineLevel="0" collapsed="false">
      <c r="A1269" s="3" t="n">
        <v>2015</v>
      </c>
      <c r="B1269" s="3" t="n">
        <v>6</v>
      </c>
      <c r="C1269" s="3" t="n">
        <v>21</v>
      </c>
      <c r="D1269" s="3" t="s">
        <v>1273</v>
      </c>
      <c r="E1269" s="4" t="n">
        <v>0</v>
      </c>
    </row>
    <row r="1270" customFormat="false" ht="15" hidden="false" customHeight="false" outlineLevel="0" collapsed="false">
      <c r="A1270" s="3" t="n">
        <v>2015</v>
      </c>
      <c r="B1270" s="3" t="n">
        <v>6</v>
      </c>
      <c r="C1270" s="3" t="n">
        <v>22</v>
      </c>
      <c r="D1270" s="3" t="s">
        <v>1274</v>
      </c>
      <c r="E1270" s="4" t="n">
        <v>0</v>
      </c>
    </row>
    <row r="1271" customFormat="false" ht="15" hidden="false" customHeight="false" outlineLevel="0" collapsed="false">
      <c r="A1271" s="3" t="n">
        <v>2015</v>
      </c>
      <c r="B1271" s="3" t="n">
        <v>6</v>
      </c>
      <c r="C1271" s="3" t="n">
        <v>23</v>
      </c>
      <c r="D1271" s="3" t="s">
        <v>1275</v>
      </c>
      <c r="E1271" s="4" t="n">
        <v>0</v>
      </c>
    </row>
    <row r="1272" customFormat="false" ht="15" hidden="false" customHeight="false" outlineLevel="0" collapsed="false">
      <c r="A1272" s="3" t="n">
        <v>2015</v>
      </c>
      <c r="B1272" s="3" t="n">
        <v>6</v>
      </c>
      <c r="C1272" s="3" t="n">
        <v>24</v>
      </c>
      <c r="D1272" s="3" t="s">
        <v>1276</v>
      </c>
      <c r="E1272" s="4" t="n">
        <v>0</v>
      </c>
    </row>
    <row r="1273" customFormat="false" ht="15" hidden="false" customHeight="false" outlineLevel="0" collapsed="false">
      <c r="A1273" s="3" t="n">
        <v>2015</v>
      </c>
      <c r="B1273" s="3" t="n">
        <v>6</v>
      </c>
      <c r="C1273" s="3" t="n">
        <v>25</v>
      </c>
      <c r="D1273" s="3" t="s">
        <v>1277</v>
      </c>
      <c r="E1273" s="4" t="n">
        <v>0</v>
      </c>
    </row>
    <row r="1274" customFormat="false" ht="15" hidden="false" customHeight="false" outlineLevel="0" collapsed="false">
      <c r="A1274" s="3" t="n">
        <v>2015</v>
      </c>
      <c r="B1274" s="3" t="n">
        <v>6</v>
      </c>
      <c r="C1274" s="3" t="n">
        <v>26</v>
      </c>
      <c r="D1274" s="3" t="s">
        <v>1278</v>
      </c>
      <c r="E1274" s="4" t="n">
        <v>0</v>
      </c>
    </row>
    <row r="1275" customFormat="false" ht="15" hidden="false" customHeight="false" outlineLevel="0" collapsed="false">
      <c r="A1275" s="3" t="n">
        <v>2015</v>
      </c>
      <c r="B1275" s="3" t="n">
        <v>6</v>
      </c>
      <c r="C1275" s="3" t="n">
        <v>27</v>
      </c>
      <c r="D1275" s="3" t="s">
        <v>1279</v>
      </c>
      <c r="E1275" s="4" t="n">
        <v>4</v>
      </c>
    </row>
    <row r="1276" customFormat="false" ht="15" hidden="false" customHeight="false" outlineLevel="0" collapsed="false">
      <c r="A1276" s="3" t="n">
        <v>2015</v>
      </c>
      <c r="B1276" s="3" t="n">
        <v>6</v>
      </c>
      <c r="C1276" s="3" t="n">
        <v>28</v>
      </c>
      <c r="D1276" s="3" t="s">
        <v>1280</v>
      </c>
      <c r="E1276" s="4" t="n">
        <v>55</v>
      </c>
    </row>
    <row r="1277" customFormat="false" ht="15" hidden="false" customHeight="false" outlineLevel="0" collapsed="false">
      <c r="A1277" s="3" t="n">
        <v>2015</v>
      </c>
      <c r="B1277" s="3" t="n">
        <v>6</v>
      </c>
      <c r="C1277" s="3" t="n">
        <v>29</v>
      </c>
      <c r="D1277" s="3" t="s">
        <v>1281</v>
      </c>
      <c r="E1277" s="4" t="n">
        <v>0</v>
      </c>
    </row>
    <row r="1278" customFormat="false" ht="15" hidden="false" customHeight="false" outlineLevel="0" collapsed="false">
      <c r="A1278" s="3" t="n">
        <v>2015</v>
      </c>
      <c r="B1278" s="3" t="n">
        <v>6</v>
      </c>
      <c r="C1278" s="3" t="n">
        <v>30</v>
      </c>
      <c r="D1278" s="3" t="s">
        <v>1282</v>
      </c>
      <c r="E1278" s="4" t="n">
        <v>0</v>
      </c>
    </row>
    <row r="1279" customFormat="false" ht="15" hidden="false" customHeight="false" outlineLevel="0" collapsed="false">
      <c r="A1279" s="3" t="n">
        <v>2015</v>
      </c>
      <c r="B1279" s="3" t="n">
        <v>7</v>
      </c>
      <c r="C1279" s="3" t="n">
        <v>1</v>
      </c>
      <c r="D1279" s="3" t="s">
        <v>1283</v>
      </c>
      <c r="E1279" s="4" t="n">
        <v>0</v>
      </c>
    </row>
    <row r="1280" customFormat="false" ht="15" hidden="false" customHeight="false" outlineLevel="0" collapsed="false">
      <c r="A1280" s="3" t="n">
        <v>2015</v>
      </c>
      <c r="B1280" s="3" t="n">
        <v>7</v>
      </c>
      <c r="C1280" s="3" t="n">
        <v>2</v>
      </c>
      <c r="D1280" s="3" t="s">
        <v>1284</v>
      </c>
      <c r="E1280" s="4" t="n">
        <v>0</v>
      </c>
    </row>
    <row r="1281" customFormat="false" ht="15" hidden="false" customHeight="false" outlineLevel="0" collapsed="false">
      <c r="A1281" s="3" t="n">
        <v>2015</v>
      </c>
      <c r="B1281" s="3" t="n">
        <v>7</v>
      </c>
      <c r="C1281" s="3" t="n">
        <v>3</v>
      </c>
      <c r="D1281" s="3" t="s">
        <v>1285</v>
      </c>
      <c r="E1281" s="4" t="n">
        <v>0</v>
      </c>
    </row>
    <row r="1282" customFormat="false" ht="15" hidden="false" customHeight="false" outlineLevel="0" collapsed="false">
      <c r="A1282" s="3" t="n">
        <v>2015</v>
      </c>
      <c r="B1282" s="3" t="n">
        <v>7</v>
      </c>
      <c r="C1282" s="3" t="n">
        <v>4</v>
      </c>
      <c r="D1282" s="3" t="s">
        <v>1286</v>
      </c>
      <c r="E1282" s="4" t="n">
        <v>0</v>
      </c>
    </row>
    <row r="1283" customFormat="false" ht="15" hidden="false" customHeight="false" outlineLevel="0" collapsed="false">
      <c r="A1283" s="3" t="n">
        <v>2015</v>
      </c>
      <c r="B1283" s="3" t="n">
        <v>7</v>
      </c>
      <c r="C1283" s="3" t="n">
        <v>5</v>
      </c>
      <c r="D1283" s="3" t="s">
        <v>1287</v>
      </c>
      <c r="E1283" s="4" t="n">
        <v>0</v>
      </c>
    </row>
    <row r="1284" customFormat="false" ht="15" hidden="false" customHeight="false" outlineLevel="0" collapsed="false">
      <c r="A1284" s="3" t="n">
        <v>2015</v>
      </c>
      <c r="B1284" s="3" t="n">
        <v>7</v>
      </c>
      <c r="C1284" s="3" t="n">
        <v>6</v>
      </c>
      <c r="D1284" s="3" t="s">
        <v>1288</v>
      </c>
      <c r="E1284" s="4" t="n">
        <v>0</v>
      </c>
    </row>
    <row r="1285" customFormat="false" ht="15" hidden="false" customHeight="false" outlineLevel="0" collapsed="false">
      <c r="A1285" s="3" t="n">
        <v>2015</v>
      </c>
      <c r="B1285" s="3" t="n">
        <v>7</v>
      </c>
      <c r="C1285" s="3" t="n">
        <v>7</v>
      </c>
      <c r="D1285" s="3" t="s">
        <v>1289</v>
      </c>
      <c r="E1285" s="4" t="n">
        <v>0</v>
      </c>
    </row>
    <row r="1286" customFormat="false" ht="15" hidden="false" customHeight="false" outlineLevel="0" collapsed="false">
      <c r="A1286" s="3" t="n">
        <v>2015</v>
      </c>
      <c r="B1286" s="3" t="n">
        <v>7</v>
      </c>
      <c r="C1286" s="3" t="n">
        <v>8</v>
      </c>
      <c r="D1286" s="3" t="s">
        <v>1290</v>
      </c>
      <c r="E1286" s="4" t="n">
        <v>0</v>
      </c>
    </row>
    <row r="1287" customFormat="false" ht="15" hidden="false" customHeight="false" outlineLevel="0" collapsed="false">
      <c r="A1287" s="3" t="n">
        <v>2015</v>
      </c>
      <c r="B1287" s="3" t="n">
        <v>7</v>
      </c>
      <c r="C1287" s="3" t="n">
        <v>9</v>
      </c>
      <c r="D1287" s="3" t="s">
        <v>1291</v>
      </c>
      <c r="E1287" s="4" t="n">
        <v>0</v>
      </c>
    </row>
    <row r="1288" customFormat="false" ht="15" hidden="false" customHeight="false" outlineLevel="0" collapsed="false">
      <c r="A1288" s="3" t="n">
        <v>2015</v>
      </c>
      <c r="B1288" s="3" t="n">
        <v>7</v>
      </c>
      <c r="C1288" s="3" t="n">
        <v>10</v>
      </c>
      <c r="D1288" s="3" t="s">
        <v>1292</v>
      </c>
      <c r="E1288" s="4" t="n">
        <v>0</v>
      </c>
    </row>
    <row r="1289" customFormat="false" ht="15" hidden="false" customHeight="false" outlineLevel="0" collapsed="false">
      <c r="A1289" s="3" t="n">
        <v>2015</v>
      </c>
      <c r="B1289" s="3" t="n">
        <v>7</v>
      </c>
      <c r="C1289" s="3" t="n">
        <v>11</v>
      </c>
      <c r="D1289" s="3" t="s">
        <v>1293</v>
      </c>
      <c r="E1289" s="4" t="n">
        <v>0</v>
      </c>
    </row>
    <row r="1290" customFormat="false" ht="15" hidden="false" customHeight="false" outlineLevel="0" collapsed="false">
      <c r="A1290" s="3" t="n">
        <v>2015</v>
      </c>
      <c r="B1290" s="3" t="n">
        <v>7</v>
      </c>
      <c r="C1290" s="3" t="n">
        <v>12</v>
      </c>
      <c r="D1290" s="3" t="s">
        <v>1294</v>
      </c>
      <c r="E1290" s="4" t="n">
        <v>0</v>
      </c>
    </row>
    <row r="1291" customFormat="false" ht="15" hidden="false" customHeight="false" outlineLevel="0" collapsed="false">
      <c r="A1291" s="3" t="n">
        <v>2015</v>
      </c>
      <c r="B1291" s="3" t="n">
        <v>7</v>
      </c>
      <c r="C1291" s="3" t="n">
        <v>13</v>
      </c>
      <c r="D1291" s="3" t="s">
        <v>1295</v>
      </c>
      <c r="E1291" s="4" t="n">
        <v>0</v>
      </c>
    </row>
    <row r="1292" customFormat="false" ht="15" hidden="false" customHeight="false" outlineLevel="0" collapsed="false">
      <c r="A1292" s="3" t="n">
        <v>2015</v>
      </c>
      <c r="B1292" s="3" t="n">
        <v>7</v>
      </c>
      <c r="C1292" s="3" t="n">
        <v>14</v>
      </c>
      <c r="D1292" s="3" t="s">
        <v>1296</v>
      </c>
      <c r="E1292" s="4" t="n">
        <v>0</v>
      </c>
    </row>
    <row r="1293" customFormat="false" ht="15" hidden="false" customHeight="false" outlineLevel="0" collapsed="false">
      <c r="A1293" s="3" t="n">
        <v>2015</v>
      </c>
      <c r="B1293" s="3" t="n">
        <v>7</v>
      </c>
      <c r="C1293" s="3" t="n">
        <v>15</v>
      </c>
      <c r="D1293" s="3" t="s">
        <v>1297</v>
      </c>
      <c r="E1293" s="4" t="n">
        <v>0</v>
      </c>
    </row>
    <row r="1294" customFormat="false" ht="15" hidden="false" customHeight="false" outlineLevel="0" collapsed="false">
      <c r="A1294" s="3" t="n">
        <v>2015</v>
      </c>
      <c r="B1294" s="3" t="n">
        <v>7</v>
      </c>
      <c r="C1294" s="3" t="n">
        <v>16</v>
      </c>
      <c r="D1294" s="3" t="s">
        <v>1298</v>
      </c>
      <c r="E1294" s="4" t="n">
        <v>12</v>
      </c>
    </row>
    <row r="1295" customFormat="false" ht="15" hidden="false" customHeight="false" outlineLevel="0" collapsed="false">
      <c r="A1295" s="3" t="n">
        <v>2015</v>
      </c>
      <c r="B1295" s="3" t="n">
        <v>7</v>
      </c>
      <c r="C1295" s="3" t="n">
        <v>17</v>
      </c>
      <c r="D1295" s="3" t="s">
        <v>1299</v>
      </c>
      <c r="E1295" s="4" t="n">
        <v>0</v>
      </c>
    </row>
    <row r="1296" customFormat="false" ht="15" hidden="false" customHeight="false" outlineLevel="0" collapsed="false">
      <c r="A1296" s="3" t="n">
        <v>2015</v>
      </c>
      <c r="B1296" s="3" t="n">
        <v>7</v>
      </c>
      <c r="C1296" s="3" t="n">
        <v>18</v>
      </c>
      <c r="D1296" s="3" t="s">
        <v>1300</v>
      </c>
      <c r="E1296" s="4" t="n">
        <v>0</v>
      </c>
    </row>
    <row r="1297" customFormat="false" ht="15" hidden="false" customHeight="false" outlineLevel="0" collapsed="false">
      <c r="A1297" s="3" t="n">
        <v>2015</v>
      </c>
      <c r="B1297" s="3" t="n">
        <v>7</v>
      </c>
      <c r="C1297" s="3" t="n">
        <v>19</v>
      </c>
      <c r="D1297" s="3" t="s">
        <v>1301</v>
      </c>
      <c r="E1297" s="4" t="n">
        <v>0</v>
      </c>
    </row>
    <row r="1298" customFormat="false" ht="15" hidden="false" customHeight="false" outlineLevel="0" collapsed="false">
      <c r="A1298" s="3" t="n">
        <v>2015</v>
      </c>
      <c r="B1298" s="3" t="n">
        <v>7</v>
      </c>
      <c r="C1298" s="3" t="n">
        <v>20</v>
      </c>
      <c r="D1298" s="3" t="s">
        <v>1302</v>
      </c>
      <c r="E1298" s="4" t="n">
        <v>0</v>
      </c>
    </row>
    <row r="1299" customFormat="false" ht="15" hidden="false" customHeight="false" outlineLevel="0" collapsed="false">
      <c r="A1299" s="3" t="n">
        <v>2015</v>
      </c>
      <c r="B1299" s="3" t="n">
        <v>7</v>
      </c>
      <c r="C1299" s="3" t="n">
        <v>21</v>
      </c>
      <c r="D1299" s="3" t="s">
        <v>1303</v>
      </c>
      <c r="E1299" s="4" t="n">
        <v>28</v>
      </c>
    </row>
    <row r="1300" customFormat="false" ht="15" hidden="false" customHeight="false" outlineLevel="0" collapsed="false">
      <c r="A1300" s="3" t="n">
        <v>2015</v>
      </c>
      <c r="B1300" s="3" t="n">
        <v>7</v>
      </c>
      <c r="C1300" s="3" t="n">
        <v>22</v>
      </c>
      <c r="D1300" s="3" t="s">
        <v>1304</v>
      </c>
      <c r="E1300" s="4" t="n">
        <v>0</v>
      </c>
    </row>
    <row r="1301" customFormat="false" ht="15" hidden="false" customHeight="false" outlineLevel="0" collapsed="false">
      <c r="A1301" s="3" t="n">
        <v>2015</v>
      </c>
      <c r="B1301" s="3" t="n">
        <v>7</v>
      </c>
      <c r="C1301" s="3" t="n">
        <v>23</v>
      </c>
      <c r="D1301" s="3" t="s">
        <v>1305</v>
      </c>
      <c r="E1301" s="4" t="n">
        <v>0</v>
      </c>
    </row>
    <row r="1302" customFormat="false" ht="15" hidden="false" customHeight="false" outlineLevel="0" collapsed="false">
      <c r="A1302" s="3" t="n">
        <v>2015</v>
      </c>
      <c r="B1302" s="3" t="n">
        <v>7</v>
      </c>
      <c r="C1302" s="3" t="n">
        <v>24</v>
      </c>
      <c r="D1302" s="3" t="s">
        <v>1306</v>
      </c>
      <c r="E1302" s="4" t="n">
        <v>0</v>
      </c>
    </row>
    <row r="1303" customFormat="false" ht="15" hidden="false" customHeight="false" outlineLevel="0" collapsed="false">
      <c r="A1303" s="3" t="n">
        <v>2015</v>
      </c>
      <c r="B1303" s="3" t="n">
        <v>7</v>
      </c>
      <c r="C1303" s="3" t="n">
        <v>25</v>
      </c>
      <c r="D1303" s="3" t="s">
        <v>1307</v>
      </c>
      <c r="E1303" s="4" t="n">
        <v>0</v>
      </c>
    </row>
    <row r="1304" customFormat="false" ht="15" hidden="false" customHeight="false" outlineLevel="0" collapsed="false">
      <c r="A1304" s="3" t="n">
        <v>2015</v>
      </c>
      <c r="B1304" s="3" t="n">
        <v>7</v>
      </c>
      <c r="C1304" s="3" t="n">
        <v>26</v>
      </c>
      <c r="D1304" s="3" t="s">
        <v>1308</v>
      </c>
      <c r="E1304" s="4" t="n">
        <v>91</v>
      </c>
    </row>
    <row r="1305" customFormat="false" ht="15" hidden="false" customHeight="false" outlineLevel="0" collapsed="false">
      <c r="A1305" s="3" t="n">
        <v>2015</v>
      </c>
      <c r="B1305" s="3" t="n">
        <v>7</v>
      </c>
      <c r="C1305" s="3" t="n">
        <v>27</v>
      </c>
      <c r="D1305" s="3" t="s">
        <v>1309</v>
      </c>
      <c r="E1305" s="4" t="n">
        <v>0</v>
      </c>
    </row>
    <row r="1306" customFormat="false" ht="15" hidden="false" customHeight="false" outlineLevel="0" collapsed="false">
      <c r="A1306" s="3" t="n">
        <v>2015</v>
      </c>
      <c r="B1306" s="3" t="n">
        <v>7</v>
      </c>
      <c r="C1306" s="3" t="n">
        <v>28</v>
      </c>
      <c r="D1306" s="3" t="s">
        <v>1310</v>
      </c>
      <c r="E1306" s="4" t="n">
        <v>58</v>
      </c>
    </row>
    <row r="1307" customFormat="false" ht="15" hidden="false" customHeight="false" outlineLevel="0" collapsed="false">
      <c r="A1307" s="3" t="n">
        <v>2015</v>
      </c>
      <c r="B1307" s="3" t="n">
        <v>7</v>
      </c>
      <c r="C1307" s="3" t="n">
        <v>29</v>
      </c>
      <c r="D1307" s="3" t="s">
        <v>1311</v>
      </c>
      <c r="E1307" s="4" t="n">
        <v>59</v>
      </c>
    </row>
    <row r="1308" customFormat="false" ht="15" hidden="false" customHeight="false" outlineLevel="0" collapsed="false">
      <c r="A1308" s="3" t="n">
        <v>2015</v>
      </c>
      <c r="B1308" s="3" t="n">
        <v>7</v>
      </c>
      <c r="C1308" s="3" t="n">
        <v>30</v>
      </c>
      <c r="D1308" s="3" t="s">
        <v>1312</v>
      </c>
      <c r="E1308" s="4" t="n">
        <v>0</v>
      </c>
    </row>
    <row r="1309" customFormat="false" ht="15" hidden="false" customHeight="false" outlineLevel="0" collapsed="false">
      <c r="A1309" s="3" t="n">
        <v>2015</v>
      </c>
      <c r="B1309" s="3" t="n">
        <v>7</v>
      </c>
      <c r="C1309" s="3" t="n">
        <v>31</v>
      </c>
      <c r="D1309" s="3" t="s">
        <v>1313</v>
      </c>
      <c r="E1309" s="4" t="n">
        <v>42</v>
      </c>
    </row>
    <row r="1310" customFormat="false" ht="15" hidden="false" customHeight="false" outlineLevel="0" collapsed="false">
      <c r="A1310" s="3" t="n">
        <v>2015</v>
      </c>
      <c r="B1310" s="3" t="n">
        <v>8</v>
      </c>
      <c r="C1310" s="3" t="n">
        <v>1</v>
      </c>
      <c r="D1310" s="3" t="s">
        <v>1314</v>
      </c>
      <c r="E1310" s="4" t="n">
        <v>46</v>
      </c>
    </row>
    <row r="1311" customFormat="false" ht="15" hidden="false" customHeight="false" outlineLevel="0" collapsed="false">
      <c r="A1311" s="3" t="n">
        <v>2015</v>
      </c>
      <c r="B1311" s="3" t="n">
        <v>8</v>
      </c>
      <c r="C1311" s="3" t="n">
        <v>2</v>
      </c>
      <c r="D1311" s="3" t="s">
        <v>1315</v>
      </c>
      <c r="E1311" s="4" t="n">
        <v>0</v>
      </c>
    </row>
    <row r="1312" customFormat="false" ht="15" hidden="false" customHeight="false" outlineLevel="0" collapsed="false">
      <c r="A1312" s="3" t="n">
        <v>2015</v>
      </c>
      <c r="B1312" s="3" t="n">
        <v>8</v>
      </c>
      <c r="C1312" s="3" t="n">
        <v>3</v>
      </c>
      <c r="D1312" s="3" t="s">
        <v>1316</v>
      </c>
      <c r="E1312" s="4" t="n">
        <v>0</v>
      </c>
    </row>
    <row r="1313" customFormat="false" ht="15" hidden="false" customHeight="false" outlineLevel="0" collapsed="false">
      <c r="A1313" s="3" t="n">
        <v>2015</v>
      </c>
      <c r="B1313" s="3" t="n">
        <v>8</v>
      </c>
      <c r="C1313" s="3" t="n">
        <v>4</v>
      </c>
      <c r="D1313" s="3" t="s">
        <v>1317</v>
      </c>
      <c r="E1313" s="4" t="n">
        <v>0</v>
      </c>
    </row>
    <row r="1314" customFormat="false" ht="15" hidden="false" customHeight="false" outlineLevel="0" collapsed="false">
      <c r="A1314" s="3" t="n">
        <v>2015</v>
      </c>
      <c r="B1314" s="3" t="n">
        <v>8</v>
      </c>
      <c r="C1314" s="3" t="n">
        <v>5</v>
      </c>
      <c r="D1314" s="3" t="s">
        <v>1318</v>
      </c>
      <c r="E1314" s="4" t="n">
        <v>0</v>
      </c>
    </row>
    <row r="1315" customFormat="false" ht="15" hidden="false" customHeight="false" outlineLevel="0" collapsed="false">
      <c r="A1315" s="3" t="n">
        <v>2015</v>
      </c>
      <c r="B1315" s="3" t="n">
        <v>8</v>
      </c>
      <c r="C1315" s="3" t="n">
        <v>6</v>
      </c>
      <c r="D1315" s="3" t="s">
        <v>1319</v>
      </c>
      <c r="E1315" s="4" t="n">
        <v>0</v>
      </c>
    </row>
    <row r="1316" customFormat="false" ht="15" hidden="false" customHeight="false" outlineLevel="0" collapsed="false">
      <c r="A1316" s="3" t="n">
        <v>2015</v>
      </c>
      <c r="B1316" s="3" t="n">
        <v>8</v>
      </c>
      <c r="C1316" s="3" t="n">
        <v>7</v>
      </c>
      <c r="D1316" s="3" t="s">
        <v>1320</v>
      </c>
      <c r="E1316" s="4" t="n">
        <v>0</v>
      </c>
    </row>
    <row r="1317" customFormat="false" ht="15" hidden="false" customHeight="false" outlineLevel="0" collapsed="false">
      <c r="A1317" s="3" t="n">
        <v>2015</v>
      </c>
      <c r="B1317" s="3" t="n">
        <v>8</v>
      </c>
      <c r="C1317" s="3" t="n">
        <v>8</v>
      </c>
      <c r="D1317" s="3" t="s">
        <v>1321</v>
      </c>
      <c r="E1317" s="4" t="n">
        <v>0</v>
      </c>
    </row>
    <row r="1318" customFormat="false" ht="15" hidden="false" customHeight="false" outlineLevel="0" collapsed="false">
      <c r="A1318" s="3" t="n">
        <v>2015</v>
      </c>
      <c r="B1318" s="3" t="n">
        <v>8</v>
      </c>
      <c r="C1318" s="3" t="n">
        <v>9</v>
      </c>
      <c r="D1318" s="3" t="s">
        <v>1322</v>
      </c>
      <c r="E1318" s="4" t="n">
        <v>0</v>
      </c>
    </row>
    <row r="1319" customFormat="false" ht="15" hidden="false" customHeight="false" outlineLevel="0" collapsed="false">
      <c r="A1319" s="3" t="n">
        <v>2015</v>
      </c>
      <c r="B1319" s="3" t="n">
        <v>8</v>
      </c>
      <c r="C1319" s="3" t="n">
        <v>10</v>
      </c>
      <c r="D1319" s="3" t="s">
        <v>1323</v>
      </c>
      <c r="E1319" s="4" t="n">
        <v>0</v>
      </c>
    </row>
    <row r="1320" customFormat="false" ht="15" hidden="false" customHeight="false" outlineLevel="0" collapsed="false">
      <c r="A1320" s="3" t="n">
        <v>2015</v>
      </c>
      <c r="B1320" s="3" t="n">
        <v>8</v>
      </c>
      <c r="C1320" s="3" t="n">
        <v>11</v>
      </c>
      <c r="D1320" s="3" t="s">
        <v>1324</v>
      </c>
      <c r="E1320" s="4" t="n">
        <v>0</v>
      </c>
    </row>
    <row r="1321" customFormat="false" ht="15" hidden="false" customHeight="false" outlineLevel="0" collapsed="false">
      <c r="A1321" s="3" t="n">
        <v>2015</v>
      </c>
      <c r="B1321" s="3" t="n">
        <v>8</v>
      </c>
      <c r="C1321" s="3" t="n">
        <v>12</v>
      </c>
      <c r="D1321" s="3" t="s">
        <v>1325</v>
      </c>
      <c r="E1321" s="4" t="n">
        <v>0</v>
      </c>
    </row>
    <row r="1322" customFormat="false" ht="15" hidden="false" customHeight="false" outlineLevel="0" collapsed="false">
      <c r="A1322" s="3" t="n">
        <v>2015</v>
      </c>
      <c r="B1322" s="3" t="n">
        <v>8</v>
      </c>
      <c r="C1322" s="3" t="n">
        <v>13</v>
      </c>
      <c r="D1322" s="3" t="s">
        <v>1326</v>
      </c>
      <c r="E1322" s="4" t="n">
        <v>0</v>
      </c>
    </row>
    <row r="1323" customFormat="false" ht="15" hidden="false" customHeight="false" outlineLevel="0" collapsed="false">
      <c r="A1323" s="3" t="n">
        <v>2015</v>
      </c>
      <c r="B1323" s="3" t="n">
        <v>8</v>
      </c>
      <c r="C1323" s="3" t="n">
        <v>14</v>
      </c>
      <c r="D1323" s="3" t="s">
        <v>1327</v>
      </c>
      <c r="E1323" s="4" t="n">
        <v>0</v>
      </c>
    </row>
    <row r="1324" customFormat="false" ht="15" hidden="false" customHeight="false" outlineLevel="0" collapsed="false">
      <c r="A1324" s="3" t="n">
        <v>2015</v>
      </c>
      <c r="B1324" s="3" t="n">
        <v>8</v>
      </c>
      <c r="C1324" s="3" t="n">
        <v>15</v>
      </c>
      <c r="D1324" s="3" t="s">
        <v>1328</v>
      </c>
      <c r="E1324" s="4" t="n">
        <v>0</v>
      </c>
    </row>
    <row r="1325" customFormat="false" ht="15" hidden="false" customHeight="false" outlineLevel="0" collapsed="false">
      <c r="A1325" s="3" t="n">
        <v>2015</v>
      </c>
      <c r="B1325" s="3" t="n">
        <v>8</v>
      </c>
      <c r="C1325" s="3" t="n">
        <v>16</v>
      </c>
      <c r="D1325" s="3" t="s">
        <v>1329</v>
      </c>
      <c r="E1325" s="4" t="n">
        <v>0</v>
      </c>
    </row>
    <row r="1326" customFormat="false" ht="15" hidden="false" customHeight="false" outlineLevel="0" collapsed="false">
      <c r="A1326" s="3" t="n">
        <v>2015</v>
      </c>
      <c r="B1326" s="3" t="n">
        <v>8</v>
      </c>
      <c r="C1326" s="3" t="n">
        <v>17</v>
      </c>
      <c r="D1326" s="3" t="s">
        <v>1330</v>
      </c>
      <c r="E1326" s="4" t="n">
        <v>0</v>
      </c>
    </row>
    <row r="1327" customFormat="false" ht="15" hidden="false" customHeight="false" outlineLevel="0" collapsed="false">
      <c r="A1327" s="3" t="n">
        <v>2015</v>
      </c>
      <c r="B1327" s="3" t="n">
        <v>8</v>
      </c>
      <c r="C1327" s="3" t="n">
        <v>18</v>
      </c>
      <c r="D1327" s="3" t="s">
        <v>1331</v>
      </c>
      <c r="E1327" s="4" t="n">
        <v>6</v>
      </c>
    </row>
    <row r="1328" customFormat="false" ht="15" hidden="false" customHeight="false" outlineLevel="0" collapsed="false">
      <c r="A1328" s="3" t="n">
        <v>2015</v>
      </c>
      <c r="B1328" s="3" t="n">
        <v>8</v>
      </c>
      <c r="C1328" s="3" t="n">
        <v>19</v>
      </c>
      <c r="D1328" s="3" t="s">
        <v>1332</v>
      </c>
      <c r="E1328" s="4" t="n">
        <v>0</v>
      </c>
    </row>
    <row r="1329" customFormat="false" ht="15" hidden="false" customHeight="false" outlineLevel="0" collapsed="false">
      <c r="A1329" s="3" t="n">
        <v>2015</v>
      </c>
      <c r="B1329" s="3" t="n">
        <v>8</v>
      </c>
      <c r="C1329" s="3" t="n">
        <v>20</v>
      </c>
      <c r="D1329" s="3" t="s">
        <v>1333</v>
      </c>
      <c r="E1329" s="4" t="n">
        <v>28</v>
      </c>
    </row>
    <row r="1330" customFormat="false" ht="15" hidden="false" customHeight="false" outlineLevel="0" collapsed="false">
      <c r="A1330" s="3" t="n">
        <v>2015</v>
      </c>
      <c r="B1330" s="3" t="n">
        <v>8</v>
      </c>
      <c r="C1330" s="3" t="n">
        <v>21</v>
      </c>
      <c r="D1330" s="3" t="s">
        <v>1334</v>
      </c>
      <c r="E1330" s="4" t="n">
        <v>0</v>
      </c>
    </row>
    <row r="1331" customFormat="false" ht="15" hidden="false" customHeight="false" outlineLevel="0" collapsed="false">
      <c r="A1331" s="3" t="n">
        <v>2015</v>
      </c>
      <c r="B1331" s="3" t="n">
        <v>8</v>
      </c>
      <c r="C1331" s="3" t="n">
        <v>22</v>
      </c>
      <c r="D1331" s="3" t="s">
        <v>1335</v>
      </c>
      <c r="E1331" s="4" t="n">
        <v>0</v>
      </c>
    </row>
    <row r="1332" customFormat="false" ht="15" hidden="false" customHeight="false" outlineLevel="0" collapsed="false">
      <c r="A1332" s="3" t="n">
        <v>2015</v>
      </c>
      <c r="B1332" s="3" t="n">
        <v>8</v>
      </c>
      <c r="C1332" s="3" t="n">
        <v>23</v>
      </c>
      <c r="D1332" s="3" t="s">
        <v>1336</v>
      </c>
      <c r="E1332" s="4" t="n">
        <v>0</v>
      </c>
    </row>
    <row r="1333" customFormat="false" ht="15" hidden="false" customHeight="false" outlineLevel="0" collapsed="false">
      <c r="A1333" s="3" t="n">
        <v>2015</v>
      </c>
      <c r="B1333" s="3" t="n">
        <v>8</v>
      </c>
      <c r="C1333" s="3" t="n">
        <v>24</v>
      </c>
      <c r="D1333" s="3" t="s">
        <v>1337</v>
      </c>
      <c r="E1333" s="4" t="n">
        <v>0</v>
      </c>
    </row>
    <row r="1334" customFormat="false" ht="15" hidden="false" customHeight="false" outlineLevel="0" collapsed="false">
      <c r="A1334" s="3" t="n">
        <v>2015</v>
      </c>
      <c r="B1334" s="3" t="n">
        <v>8</v>
      </c>
      <c r="C1334" s="3" t="n">
        <v>25</v>
      </c>
      <c r="D1334" s="3" t="s">
        <v>1338</v>
      </c>
      <c r="E1334" s="4" t="n">
        <v>0</v>
      </c>
    </row>
    <row r="1335" customFormat="false" ht="15" hidden="false" customHeight="false" outlineLevel="0" collapsed="false">
      <c r="A1335" s="3" t="n">
        <v>2015</v>
      </c>
      <c r="B1335" s="3" t="n">
        <v>8</v>
      </c>
      <c r="C1335" s="3" t="n">
        <v>26</v>
      </c>
      <c r="D1335" s="3" t="s">
        <v>1339</v>
      </c>
      <c r="E1335" s="4" t="n">
        <v>0</v>
      </c>
    </row>
    <row r="1336" customFormat="false" ht="15" hidden="false" customHeight="false" outlineLevel="0" collapsed="false">
      <c r="A1336" s="3" t="n">
        <v>2015</v>
      </c>
      <c r="B1336" s="3" t="n">
        <v>8</v>
      </c>
      <c r="C1336" s="3" t="n">
        <v>27</v>
      </c>
      <c r="D1336" s="3" t="s">
        <v>1340</v>
      </c>
      <c r="E1336" s="4" t="n">
        <v>0</v>
      </c>
    </row>
    <row r="1337" customFormat="false" ht="15" hidden="false" customHeight="false" outlineLevel="0" collapsed="false">
      <c r="A1337" s="3" t="n">
        <v>2015</v>
      </c>
      <c r="B1337" s="3" t="n">
        <v>8</v>
      </c>
      <c r="C1337" s="3" t="n">
        <v>28</v>
      </c>
      <c r="D1337" s="3" t="s">
        <v>1341</v>
      </c>
      <c r="E1337" s="4" t="n">
        <v>0</v>
      </c>
    </row>
    <row r="1338" customFormat="false" ht="15" hidden="false" customHeight="false" outlineLevel="0" collapsed="false">
      <c r="A1338" s="3" t="n">
        <v>2015</v>
      </c>
      <c r="B1338" s="3" t="n">
        <v>8</v>
      </c>
      <c r="C1338" s="3" t="n">
        <v>29</v>
      </c>
      <c r="D1338" s="3" t="s">
        <v>1342</v>
      </c>
      <c r="E1338" s="4" t="n">
        <v>0</v>
      </c>
    </row>
    <row r="1339" customFormat="false" ht="15" hidden="false" customHeight="false" outlineLevel="0" collapsed="false">
      <c r="A1339" s="3" t="n">
        <v>2015</v>
      </c>
      <c r="B1339" s="3" t="n">
        <v>8</v>
      </c>
      <c r="C1339" s="3" t="n">
        <v>30</v>
      </c>
      <c r="D1339" s="3" t="s">
        <v>1343</v>
      </c>
      <c r="E1339" s="4" t="n">
        <v>6</v>
      </c>
    </row>
    <row r="1340" customFormat="false" ht="15" hidden="false" customHeight="false" outlineLevel="0" collapsed="false">
      <c r="A1340" s="3" t="n">
        <v>2015</v>
      </c>
      <c r="B1340" s="3" t="n">
        <v>8</v>
      </c>
      <c r="C1340" s="3" t="n">
        <v>31</v>
      </c>
      <c r="D1340" s="3" t="s">
        <v>1344</v>
      </c>
      <c r="E1340" s="4" t="n">
        <v>0</v>
      </c>
    </row>
    <row r="1341" customFormat="false" ht="15" hidden="false" customHeight="false" outlineLevel="0" collapsed="false">
      <c r="A1341" s="3" t="n">
        <v>2015</v>
      </c>
      <c r="B1341" s="3" t="n">
        <v>9</v>
      </c>
      <c r="C1341" s="3" t="n">
        <v>1</v>
      </c>
      <c r="D1341" s="3" t="s">
        <v>1345</v>
      </c>
      <c r="E1341" s="4" t="n">
        <v>0</v>
      </c>
    </row>
    <row r="1342" customFormat="false" ht="15" hidden="false" customHeight="false" outlineLevel="0" collapsed="false">
      <c r="A1342" s="3" t="n">
        <v>2015</v>
      </c>
      <c r="B1342" s="3" t="n">
        <v>9</v>
      </c>
      <c r="C1342" s="3" t="n">
        <v>2</v>
      </c>
      <c r="D1342" s="3" t="s">
        <v>1346</v>
      </c>
      <c r="E1342" s="4" t="n">
        <v>0</v>
      </c>
    </row>
    <row r="1343" customFormat="false" ht="15" hidden="false" customHeight="false" outlineLevel="0" collapsed="false">
      <c r="A1343" s="3" t="n">
        <v>2015</v>
      </c>
      <c r="B1343" s="3" t="n">
        <v>9</v>
      </c>
      <c r="C1343" s="3" t="n">
        <v>3</v>
      </c>
      <c r="D1343" s="3" t="s">
        <v>1347</v>
      </c>
      <c r="E1343" s="4" t="n">
        <v>0</v>
      </c>
    </row>
    <row r="1344" customFormat="false" ht="15" hidden="false" customHeight="false" outlineLevel="0" collapsed="false">
      <c r="A1344" s="3" t="n">
        <v>2015</v>
      </c>
      <c r="B1344" s="3" t="n">
        <v>9</v>
      </c>
      <c r="C1344" s="3" t="n">
        <v>4</v>
      </c>
      <c r="D1344" s="3" t="s">
        <v>1348</v>
      </c>
      <c r="E1344" s="4" t="n">
        <v>0</v>
      </c>
    </row>
    <row r="1345" customFormat="false" ht="15" hidden="false" customHeight="false" outlineLevel="0" collapsed="false">
      <c r="A1345" s="3" t="n">
        <v>2015</v>
      </c>
      <c r="B1345" s="3" t="n">
        <v>9</v>
      </c>
      <c r="C1345" s="3" t="n">
        <v>5</v>
      </c>
      <c r="D1345" s="3" t="s">
        <v>1349</v>
      </c>
      <c r="E1345" s="4" t="n">
        <v>0</v>
      </c>
    </row>
    <row r="1346" customFormat="false" ht="15" hidden="false" customHeight="false" outlineLevel="0" collapsed="false">
      <c r="A1346" s="3" t="n">
        <v>2015</v>
      </c>
      <c r="B1346" s="3" t="n">
        <v>9</v>
      </c>
      <c r="C1346" s="3" t="n">
        <v>6</v>
      </c>
      <c r="D1346" s="3" t="s">
        <v>1350</v>
      </c>
      <c r="E1346" s="4" t="n">
        <v>0</v>
      </c>
    </row>
    <row r="1347" customFormat="false" ht="15" hidden="false" customHeight="false" outlineLevel="0" collapsed="false">
      <c r="A1347" s="3" t="n">
        <v>2015</v>
      </c>
      <c r="B1347" s="3" t="n">
        <v>9</v>
      </c>
      <c r="C1347" s="3" t="n">
        <v>7</v>
      </c>
      <c r="D1347" s="3" t="s">
        <v>1351</v>
      </c>
      <c r="E1347" s="4" t="n">
        <v>0</v>
      </c>
    </row>
    <row r="1348" customFormat="false" ht="15" hidden="false" customHeight="false" outlineLevel="0" collapsed="false">
      <c r="A1348" s="3" t="n">
        <v>2015</v>
      </c>
      <c r="B1348" s="3" t="n">
        <v>9</v>
      </c>
      <c r="C1348" s="3" t="n">
        <v>8</v>
      </c>
      <c r="D1348" s="3" t="s">
        <v>1352</v>
      </c>
      <c r="E1348" s="4" t="n">
        <v>0</v>
      </c>
    </row>
    <row r="1349" customFormat="false" ht="15" hidden="false" customHeight="false" outlineLevel="0" collapsed="false">
      <c r="A1349" s="3" t="n">
        <v>2015</v>
      </c>
      <c r="B1349" s="3" t="n">
        <v>9</v>
      </c>
      <c r="C1349" s="3" t="n">
        <v>9</v>
      </c>
      <c r="D1349" s="3" t="s">
        <v>1353</v>
      </c>
      <c r="E1349" s="4" t="n">
        <v>0</v>
      </c>
    </row>
    <row r="1350" customFormat="false" ht="15" hidden="false" customHeight="false" outlineLevel="0" collapsed="false">
      <c r="A1350" s="3" t="n">
        <v>2015</v>
      </c>
      <c r="B1350" s="3" t="n">
        <v>9</v>
      </c>
      <c r="C1350" s="3" t="n">
        <v>10</v>
      </c>
      <c r="D1350" s="3" t="s">
        <v>1354</v>
      </c>
      <c r="E1350" s="4" t="n">
        <v>0</v>
      </c>
    </row>
    <row r="1351" customFormat="false" ht="15" hidden="false" customHeight="false" outlineLevel="0" collapsed="false">
      <c r="A1351" s="3" t="n">
        <v>2015</v>
      </c>
      <c r="B1351" s="3" t="n">
        <v>9</v>
      </c>
      <c r="C1351" s="3" t="n">
        <v>11</v>
      </c>
      <c r="D1351" s="3" t="s">
        <v>1355</v>
      </c>
      <c r="E1351" s="4" t="n">
        <v>0</v>
      </c>
    </row>
    <row r="1352" customFormat="false" ht="15" hidden="false" customHeight="false" outlineLevel="0" collapsed="false">
      <c r="A1352" s="3" t="n">
        <v>2015</v>
      </c>
      <c r="B1352" s="3" t="n">
        <v>9</v>
      </c>
      <c r="C1352" s="3" t="n">
        <v>12</v>
      </c>
      <c r="D1352" s="3" t="s">
        <v>1356</v>
      </c>
      <c r="E1352" s="4" t="n">
        <v>0</v>
      </c>
    </row>
    <row r="1353" customFormat="false" ht="15" hidden="false" customHeight="false" outlineLevel="0" collapsed="false">
      <c r="A1353" s="3" t="n">
        <v>2015</v>
      </c>
      <c r="B1353" s="3" t="n">
        <v>9</v>
      </c>
      <c r="C1353" s="3" t="n">
        <v>13</v>
      </c>
      <c r="D1353" s="3" t="s">
        <v>1357</v>
      </c>
      <c r="E1353" s="4" t="n">
        <v>0</v>
      </c>
    </row>
    <row r="1354" customFormat="false" ht="15" hidden="false" customHeight="false" outlineLevel="0" collapsed="false">
      <c r="A1354" s="3" t="n">
        <v>2015</v>
      </c>
      <c r="B1354" s="3" t="n">
        <v>9</v>
      </c>
      <c r="C1354" s="3" t="n">
        <v>14</v>
      </c>
      <c r="D1354" s="3" t="s">
        <v>1358</v>
      </c>
      <c r="E1354" s="4" t="n">
        <v>0</v>
      </c>
    </row>
    <row r="1355" customFormat="false" ht="15" hidden="false" customHeight="false" outlineLevel="0" collapsed="false">
      <c r="A1355" s="3" t="n">
        <v>2015</v>
      </c>
      <c r="B1355" s="3" t="n">
        <v>9</v>
      </c>
      <c r="C1355" s="3" t="n">
        <v>15</v>
      </c>
      <c r="D1355" s="3" t="s">
        <v>1359</v>
      </c>
      <c r="E1355" s="4" t="n">
        <v>0</v>
      </c>
    </row>
    <row r="1356" customFormat="false" ht="15" hidden="false" customHeight="false" outlineLevel="0" collapsed="false">
      <c r="A1356" s="3" t="n">
        <v>2015</v>
      </c>
      <c r="B1356" s="3" t="n">
        <v>9</v>
      </c>
      <c r="C1356" s="3" t="n">
        <v>16</v>
      </c>
      <c r="D1356" s="3" t="s">
        <v>1360</v>
      </c>
      <c r="E1356" s="4" t="n">
        <v>0</v>
      </c>
    </row>
    <row r="1357" customFormat="false" ht="15" hidden="false" customHeight="false" outlineLevel="0" collapsed="false">
      <c r="A1357" s="3" t="n">
        <v>2015</v>
      </c>
      <c r="B1357" s="3" t="n">
        <v>9</v>
      </c>
      <c r="C1357" s="3" t="n">
        <v>17</v>
      </c>
      <c r="D1357" s="3" t="s">
        <v>1361</v>
      </c>
      <c r="E1357" s="4" t="n">
        <v>0</v>
      </c>
    </row>
    <row r="1358" customFormat="false" ht="15" hidden="false" customHeight="false" outlineLevel="0" collapsed="false">
      <c r="A1358" s="3" t="n">
        <v>2015</v>
      </c>
      <c r="B1358" s="3" t="n">
        <v>9</v>
      </c>
      <c r="C1358" s="3" t="n">
        <v>18</v>
      </c>
      <c r="D1358" s="3" t="s">
        <v>1362</v>
      </c>
      <c r="E1358" s="4" t="n">
        <v>0</v>
      </c>
    </row>
    <row r="1359" customFormat="false" ht="15" hidden="false" customHeight="false" outlineLevel="0" collapsed="false">
      <c r="A1359" s="3" t="n">
        <v>2015</v>
      </c>
      <c r="B1359" s="3" t="n">
        <v>9</v>
      </c>
      <c r="C1359" s="3" t="n">
        <v>19</v>
      </c>
      <c r="D1359" s="3" t="s">
        <v>1363</v>
      </c>
      <c r="E1359" s="4" t="n">
        <v>0</v>
      </c>
    </row>
    <row r="1360" customFormat="false" ht="15" hidden="false" customHeight="false" outlineLevel="0" collapsed="false">
      <c r="A1360" s="3" t="n">
        <v>2015</v>
      </c>
      <c r="B1360" s="3" t="n">
        <v>9</v>
      </c>
      <c r="C1360" s="3" t="n">
        <v>20</v>
      </c>
      <c r="D1360" s="3" t="s">
        <v>1364</v>
      </c>
      <c r="E1360" s="4" t="n">
        <v>20</v>
      </c>
    </row>
    <row r="1361" customFormat="false" ht="15" hidden="false" customHeight="false" outlineLevel="0" collapsed="false">
      <c r="A1361" s="3" t="n">
        <v>2015</v>
      </c>
      <c r="B1361" s="3" t="n">
        <v>9</v>
      </c>
      <c r="C1361" s="3" t="n">
        <v>21</v>
      </c>
      <c r="D1361" s="3" t="s">
        <v>1365</v>
      </c>
      <c r="E1361" s="4" t="n">
        <v>0</v>
      </c>
    </row>
    <row r="1362" customFormat="false" ht="15" hidden="false" customHeight="false" outlineLevel="0" collapsed="false">
      <c r="A1362" s="3" t="n">
        <v>2015</v>
      </c>
      <c r="B1362" s="3" t="n">
        <v>9</v>
      </c>
      <c r="C1362" s="3" t="n">
        <v>22</v>
      </c>
      <c r="D1362" s="3" t="s">
        <v>1366</v>
      </c>
      <c r="E1362" s="4" t="n">
        <v>0</v>
      </c>
    </row>
    <row r="1363" customFormat="false" ht="15" hidden="false" customHeight="false" outlineLevel="0" collapsed="false">
      <c r="A1363" s="3" t="n">
        <v>2015</v>
      </c>
      <c r="B1363" s="3" t="n">
        <v>9</v>
      </c>
      <c r="C1363" s="3" t="n">
        <v>23</v>
      </c>
      <c r="D1363" s="3" t="s">
        <v>1367</v>
      </c>
      <c r="E1363" s="4" t="n">
        <v>0</v>
      </c>
    </row>
    <row r="1364" customFormat="false" ht="15" hidden="false" customHeight="false" outlineLevel="0" collapsed="false">
      <c r="A1364" s="3" t="n">
        <v>2015</v>
      </c>
      <c r="B1364" s="3" t="n">
        <v>9</v>
      </c>
      <c r="C1364" s="3" t="n">
        <v>24</v>
      </c>
      <c r="D1364" s="3" t="s">
        <v>1368</v>
      </c>
      <c r="E1364" s="4" t="n">
        <v>0</v>
      </c>
    </row>
    <row r="1365" customFormat="false" ht="15" hidden="false" customHeight="false" outlineLevel="0" collapsed="false">
      <c r="A1365" s="3" t="n">
        <v>2015</v>
      </c>
      <c r="B1365" s="3" t="n">
        <v>9</v>
      </c>
      <c r="C1365" s="3" t="n">
        <v>25</v>
      </c>
      <c r="D1365" s="3" t="s">
        <v>1369</v>
      </c>
      <c r="E1365" s="4" t="n">
        <v>0</v>
      </c>
    </row>
    <row r="1366" customFormat="false" ht="15" hidden="false" customHeight="false" outlineLevel="0" collapsed="false">
      <c r="A1366" s="3" t="n">
        <v>2015</v>
      </c>
      <c r="B1366" s="3" t="n">
        <v>9</v>
      </c>
      <c r="C1366" s="3" t="n">
        <v>26</v>
      </c>
      <c r="D1366" s="3" t="s">
        <v>1370</v>
      </c>
      <c r="E1366" s="4" t="n">
        <v>0</v>
      </c>
    </row>
    <row r="1367" customFormat="false" ht="15" hidden="false" customHeight="false" outlineLevel="0" collapsed="false">
      <c r="A1367" s="3" t="n">
        <v>2015</v>
      </c>
      <c r="B1367" s="3" t="n">
        <v>9</v>
      </c>
      <c r="C1367" s="3" t="n">
        <v>27</v>
      </c>
      <c r="D1367" s="3" t="s">
        <v>1371</v>
      </c>
      <c r="E1367" s="4" t="n">
        <v>0</v>
      </c>
    </row>
    <row r="1368" customFormat="false" ht="15" hidden="false" customHeight="false" outlineLevel="0" collapsed="false">
      <c r="A1368" s="3" t="n">
        <v>2015</v>
      </c>
      <c r="B1368" s="3" t="n">
        <v>9</v>
      </c>
      <c r="C1368" s="3" t="n">
        <v>28</v>
      </c>
      <c r="D1368" s="3" t="s">
        <v>1372</v>
      </c>
      <c r="E1368" s="4" t="n">
        <v>0</v>
      </c>
    </row>
    <row r="1369" customFormat="false" ht="15" hidden="false" customHeight="false" outlineLevel="0" collapsed="false">
      <c r="A1369" s="3" t="n">
        <v>2015</v>
      </c>
      <c r="B1369" s="3" t="n">
        <v>9</v>
      </c>
      <c r="C1369" s="3" t="n">
        <v>29</v>
      </c>
      <c r="D1369" s="3" t="s">
        <v>1373</v>
      </c>
      <c r="E1369" s="4" t="n">
        <v>17</v>
      </c>
    </row>
    <row r="1370" customFormat="false" ht="15" hidden="false" customHeight="false" outlineLevel="0" collapsed="false">
      <c r="A1370" s="3" t="n">
        <v>2015</v>
      </c>
      <c r="B1370" s="3" t="n">
        <v>9</v>
      </c>
      <c r="C1370" s="3" t="n">
        <v>30</v>
      </c>
      <c r="D1370" s="3" t="s">
        <v>1374</v>
      </c>
      <c r="E1370" s="4" t="n">
        <v>0</v>
      </c>
    </row>
    <row r="1371" customFormat="false" ht="15" hidden="false" customHeight="false" outlineLevel="0" collapsed="false">
      <c r="A1371" s="3" t="n">
        <v>2015</v>
      </c>
      <c r="B1371" s="3" t="n">
        <v>10</v>
      </c>
      <c r="C1371" s="3" t="n">
        <v>1</v>
      </c>
      <c r="D1371" s="3" t="s">
        <v>1375</v>
      </c>
      <c r="E1371" s="4" t="n">
        <v>0</v>
      </c>
    </row>
    <row r="1372" customFormat="false" ht="15" hidden="false" customHeight="false" outlineLevel="0" collapsed="false">
      <c r="A1372" s="3" t="n">
        <v>2015</v>
      </c>
      <c r="B1372" s="3" t="n">
        <v>10</v>
      </c>
      <c r="C1372" s="3" t="n">
        <v>2</v>
      </c>
      <c r="D1372" s="3" t="s">
        <v>1376</v>
      </c>
      <c r="E1372" s="4" t="n">
        <v>0</v>
      </c>
    </row>
    <row r="1373" customFormat="false" ht="15" hidden="false" customHeight="false" outlineLevel="0" collapsed="false">
      <c r="A1373" s="3" t="n">
        <v>2015</v>
      </c>
      <c r="B1373" s="3" t="n">
        <v>10</v>
      </c>
      <c r="C1373" s="3" t="n">
        <v>3</v>
      </c>
      <c r="D1373" s="3" t="s">
        <v>1377</v>
      </c>
      <c r="E1373" s="4" t="n">
        <v>23</v>
      </c>
    </row>
    <row r="1374" customFormat="false" ht="15" hidden="false" customHeight="false" outlineLevel="0" collapsed="false">
      <c r="A1374" s="3" t="n">
        <v>2015</v>
      </c>
      <c r="B1374" s="3" t="n">
        <v>10</v>
      </c>
      <c r="C1374" s="3" t="n">
        <v>4</v>
      </c>
      <c r="D1374" s="3" t="s">
        <v>1378</v>
      </c>
      <c r="E1374" s="4" t="n">
        <v>0</v>
      </c>
    </row>
    <row r="1375" customFormat="false" ht="15" hidden="false" customHeight="false" outlineLevel="0" collapsed="false">
      <c r="A1375" s="3" t="n">
        <v>2015</v>
      </c>
      <c r="B1375" s="3" t="n">
        <v>10</v>
      </c>
      <c r="C1375" s="3" t="n">
        <v>5</v>
      </c>
      <c r="D1375" s="3" t="s">
        <v>1379</v>
      </c>
      <c r="E1375" s="4" t="n">
        <v>3</v>
      </c>
    </row>
    <row r="1376" customFormat="false" ht="15" hidden="false" customHeight="false" outlineLevel="0" collapsed="false">
      <c r="A1376" s="3" t="n">
        <v>2015</v>
      </c>
      <c r="B1376" s="3" t="n">
        <v>10</v>
      </c>
      <c r="C1376" s="3" t="n">
        <v>6</v>
      </c>
      <c r="D1376" s="3" t="s">
        <v>1380</v>
      </c>
      <c r="E1376" s="4" t="n">
        <v>0</v>
      </c>
    </row>
    <row r="1377" customFormat="false" ht="15" hidden="false" customHeight="false" outlineLevel="0" collapsed="false">
      <c r="A1377" s="3" t="n">
        <v>2015</v>
      </c>
      <c r="B1377" s="3" t="n">
        <v>10</v>
      </c>
      <c r="C1377" s="3" t="n">
        <v>7</v>
      </c>
      <c r="D1377" s="3" t="s">
        <v>1381</v>
      </c>
      <c r="E1377" s="4" t="n">
        <v>18</v>
      </c>
    </row>
    <row r="1378" customFormat="false" ht="15" hidden="false" customHeight="false" outlineLevel="0" collapsed="false">
      <c r="A1378" s="3" t="n">
        <v>2015</v>
      </c>
      <c r="B1378" s="3" t="n">
        <v>10</v>
      </c>
      <c r="C1378" s="3" t="n">
        <v>8</v>
      </c>
      <c r="D1378" s="3" t="s">
        <v>1382</v>
      </c>
      <c r="E1378" s="4" t="n">
        <v>0</v>
      </c>
    </row>
    <row r="1379" customFormat="false" ht="15" hidden="false" customHeight="false" outlineLevel="0" collapsed="false">
      <c r="A1379" s="3" t="n">
        <v>2015</v>
      </c>
      <c r="B1379" s="3" t="n">
        <v>10</v>
      </c>
      <c r="C1379" s="3" t="n">
        <v>9</v>
      </c>
      <c r="D1379" s="3" t="s">
        <v>1383</v>
      </c>
      <c r="E1379" s="4" t="n">
        <v>0</v>
      </c>
    </row>
    <row r="1380" customFormat="false" ht="15" hidden="false" customHeight="false" outlineLevel="0" collapsed="false">
      <c r="A1380" s="3" t="n">
        <v>2015</v>
      </c>
      <c r="B1380" s="3" t="n">
        <v>10</v>
      </c>
      <c r="C1380" s="3" t="n">
        <v>10</v>
      </c>
      <c r="D1380" s="3" t="s">
        <v>1384</v>
      </c>
      <c r="E1380" s="4" t="n">
        <v>0</v>
      </c>
    </row>
    <row r="1381" customFormat="false" ht="15" hidden="false" customHeight="false" outlineLevel="0" collapsed="false">
      <c r="A1381" s="3" t="n">
        <v>2015</v>
      </c>
      <c r="B1381" s="3" t="n">
        <v>10</v>
      </c>
      <c r="C1381" s="3" t="n">
        <v>11</v>
      </c>
      <c r="D1381" s="3" t="s">
        <v>1385</v>
      </c>
      <c r="E1381" s="4" t="n">
        <v>0</v>
      </c>
    </row>
    <row r="1382" customFormat="false" ht="15" hidden="false" customHeight="false" outlineLevel="0" collapsed="false">
      <c r="A1382" s="3" t="n">
        <v>2015</v>
      </c>
      <c r="B1382" s="3" t="n">
        <v>10</v>
      </c>
      <c r="C1382" s="3" t="n">
        <v>12</v>
      </c>
      <c r="D1382" s="3" t="s">
        <v>1386</v>
      </c>
      <c r="E1382" s="4" t="n">
        <v>6</v>
      </c>
    </row>
    <row r="1383" customFormat="false" ht="15" hidden="false" customHeight="false" outlineLevel="0" collapsed="false">
      <c r="A1383" s="3" t="n">
        <v>2015</v>
      </c>
      <c r="B1383" s="3" t="n">
        <v>10</v>
      </c>
      <c r="C1383" s="3" t="n">
        <v>13</v>
      </c>
      <c r="D1383" s="3" t="s">
        <v>1387</v>
      </c>
      <c r="E1383" s="4" t="n">
        <v>0</v>
      </c>
    </row>
    <row r="1384" customFormat="false" ht="15" hidden="false" customHeight="false" outlineLevel="0" collapsed="false">
      <c r="A1384" s="3" t="n">
        <v>2015</v>
      </c>
      <c r="B1384" s="3" t="n">
        <v>10</v>
      </c>
      <c r="C1384" s="3" t="n">
        <v>14</v>
      </c>
      <c r="D1384" s="3" t="s">
        <v>1388</v>
      </c>
      <c r="E1384" s="4" t="n">
        <v>0</v>
      </c>
    </row>
    <row r="1385" customFormat="false" ht="15" hidden="false" customHeight="false" outlineLevel="0" collapsed="false">
      <c r="A1385" s="3" t="n">
        <v>2015</v>
      </c>
      <c r="B1385" s="3" t="n">
        <v>10</v>
      </c>
      <c r="C1385" s="3" t="n">
        <v>15</v>
      </c>
      <c r="D1385" s="3" t="s">
        <v>1389</v>
      </c>
      <c r="E1385" s="4" t="n">
        <v>0</v>
      </c>
    </row>
    <row r="1386" customFormat="false" ht="15" hidden="false" customHeight="false" outlineLevel="0" collapsed="false">
      <c r="A1386" s="3" t="n">
        <v>2015</v>
      </c>
      <c r="B1386" s="3" t="n">
        <v>10</v>
      </c>
      <c r="C1386" s="3" t="n">
        <v>16</v>
      </c>
      <c r="D1386" s="3" t="s">
        <v>1390</v>
      </c>
      <c r="E1386" s="4" t="n">
        <v>0</v>
      </c>
    </row>
    <row r="1387" customFormat="false" ht="15" hidden="false" customHeight="false" outlineLevel="0" collapsed="false">
      <c r="A1387" s="3" t="n">
        <v>2015</v>
      </c>
      <c r="B1387" s="3" t="n">
        <v>10</v>
      </c>
      <c r="C1387" s="3" t="n">
        <v>17</v>
      </c>
      <c r="D1387" s="3" t="s">
        <v>1391</v>
      </c>
      <c r="E1387" s="4" t="n">
        <v>0</v>
      </c>
    </row>
    <row r="1388" customFormat="false" ht="15" hidden="false" customHeight="false" outlineLevel="0" collapsed="false">
      <c r="A1388" s="3" t="n">
        <v>2015</v>
      </c>
      <c r="B1388" s="3" t="n">
        <v>10</v>
      </c>
      <c r="C1388" s="3" t="n">
        <v>18</v>
      </c>
      <c r="D1388" s="3" t="s">
        <v>1392</v>
      </c>
      <c r="E1388" s="4" t="n">
        <v>0</v>
      </c>
    </row>
    <row r="1389" customFormat="false" ht="15" hidden="false" customHeight="false" outlineLevel="0" collapsed="false">
      <c r="A1389" s="3" t="n">
        <v>2015</v>
      </c>
      <c r="B1389" s="3" t="n">
        <v>10</v>
      </c>
      <c r="C1389" s="3" t="n">
        <v>19</v>
      </c>
      <c r="D1389" s="3" t="s">
        <v>1393</v>
      </c>
      <c r="E1389" s="4" t="n">
        <v>0</v>
      </c>
    </row>
    <row r="1390" customFormat="false" ht="15" hidden="false" customHeight="false" outlineLevel="0" collapsed="false">
      <c r="A1390" s="3" t="n">
        <v>2015</v>
      </c>
      <c r="B1390" s="3" t="n">
        <v>10</v>
      </c>
      <c r="C1390" s="3" t="n">
        <v>20</v>
      </c>
      <c r="D1390" s="3" t="s">
        <v>1394</v>
      </c>
      <c r="E1390" s="4" t="n">
        <v>0</v>
      </c>
    </row>
    <row r="1391" customFormat="false" ht="15" hidden="false" customHeight="false" outlineLevel="0" collapsed="false">
      <c r="A1391" s="3" t="n">
        <v>2015</v>
      </c>
      <c r="B1391" s="3" t="n">
        <v>10</v>
      </c>
      <c r="C1391" s="3" t="n">
        <v>21</v>
      </c>
      <c r="D1391" s="3" t="s">
        <v>1395</v>
      </c>
      <c r="E1391" s="4" t="n">
        <v>0</v>
      </c>
    </row>
    <row r="1392" customFormat="false" ht="15" hidden="false" customHeight="false" outlineLevel="0" collapsed="false">
      <c r="A1392" s="3" t="n">
        <v>2015</v>
      </c>
      <c r="B1392" s="3" t="n">
        <v>10</v>
      </c>
      <c r="C1392" s="3" t="n">
        <v>22</v>
      </c>
      <c r="D1392" s="3" t="s">
        <v>1396</v>
      </c>
      <c r="E1392" s="4" t="n">
        <v>0</v>
      </c>
    </row>
    <row r="1393" customFormat="false" ht="15" hidden="false" customHeight="false" outlineLevel="0" collapsed="false">
      <c r="A1393" s="3" t="n">
        <v>2015</v>
      </c>
      <c r="B1393" s="3" t="n">
        <v>10</v>
      </c>
      <c r="C1393" s="3" t="n">
        <v>23</v>
      </c>
      <c r="D1393" s="3" t="s">
        <v>1397</v>
      </c>
      <c r="E1393" s="4" t="n">
        <v>36</v>
      </c>
    </row>
    <row r="1394" customFormat="false" ht="15" hidden="false" customHeight="false" outlineLevel="0" collapsed="false">
      <c r="A1394" s="3" t="n">
        <v>2015</v>
      </c>
      <c r="B1394" s="3" t="n">
        <v>10</v>
      </c>
      <c r="C1394" s="3" t="n">
        <v>24</v>
      </c>
      <c r="D1394" s="3" t="s">
        <v>1398</v>
      </c>
      <c r="E1394" s="4" t="n">
        <v>22</v>
      </c>
    </row>
    <row r="1395" customFormat="false" ht="15" hidden="false" customHeight="false" outlineLevel="0" collapsed="false">
      <c r="A1395" s="3" t="n">
        <v>2015</v>
      </c>
      <c r="B1395" s="3" t="n">
        <v>10</v>
      </c>
      <c r="C1395" s="3" t="n">
        <v>25</v>
      </c>
      <c r="D1395" s="3" t="s">
        <v>1399</v>
      </c>
      <c r="E1395" s="4" t="n">
        <v>0</v>
      </c>
    </row>
    <row r="1396" customFormat="false" ht="15" hidden="false" customHeight="false" outlineLevel="0" collapsed="false">
      <c r="A1396" s="3" t="n">
        <v>2015</v>
      </c>
      <c r="B1396" s="3" t="n">
        <v>10</v>
      </c>
      <c r="C1396" s="3" t="n">
        <v>26</v>
      </c>
      <c r="D1396" s="3" t="s">
        <v>1400</v>
      </c>
      <c r="E1396" s="4" t="n">
        <v>0</v>
      </c>
    </row>
    <row r="1397" customFormat="false" ht="15" hidden="false" customHeight="false" outlineLevel="0" collapsed="false">
      <c r="A1397" s="3" t="n">
        <v>2015</v>
      </c>
      <c r="B1397" s="3" t="n">
        <v>10</v>
      </c>
      <c r="C1397" s="3" t="n">
        <v>27</v>
      </c>
      <c r="D1397" s="3" t="s">
        <v>1401</v>
      </c>
      <c r="E1397" s="4" t="n">
        <v>7</v>
      </c>
    </row>
    <row r="1398" customFormat="false" ht="15" hidden="false" customHeight="false" outlineLevel="0" collapsed="false">
      <c r="A1398" s="3" t="n">
        <v>2015</v>
      </c>
      <c r="B1398" s="3" t="n">
        <v>10</v>
      </c>
      <c r="C1398" s="3" t="n">
        <v>28</v>
      </c>
      <c r="D1398" s="3" t="s">
        <v>1402</v>
      </c>
      <c r="E1398" s="4" t="n">
        <v>0</v>
      </c>
    </row>
    <row r="1399" customFormat="false" ht="15" hidden="false" customHeight="false" outlineLevel="0" collapsed="false">
      <c r="A1399" s="3" t="n">
        <v>2015</v>
      </c>
      <c r="B1399" s="3" t="n">
        <v>10</v>
      </c>
      <c r="C1399" s="3" t="n">
        <v>29</v>
      </c>
      <c r="D1399" s="3" t="s">
        <v>1403</v>
      </c>
      <c r="E1399" s="4" t="n">
        <v>44</v>
      </c>
    </row>
    <row r="1400" customFormat="false" ht="15" hidden="false" customHeight="false" outlineLevel="0" collapsed="false">
      <c r="A1400" s="3" t="n">
        <v>2015</v>
      </c>
      <c r="B1400" s="3" t="n">
        <v>10</v>
      </c>
      <c r="C1400" s="3" t="n">
        <v>30</v>
      </c>
      <c r="D1400" s="3" t="s">
        <v>1404</v>
      </c>
      <c r="E1400" s="4" t="n">
        <v>0</v>
      </c>
    </row>
    <row r="1401" customFormat="false" ht="15" hidden="false" customHeight="false" outlineLevel="0" collapsed="false">
      <c r="A1401" s="3" t="n">
        <v>2015</v>
      </c>
      <c r="B1401" s="3" t="n">
        <v>10</v>
      </c>
      <c r="C1401" s="3" t="n">
        <v>31</v>
      </c>
      <c r="D1401" s="3" t="s">
        <v>1405</v>
      </c>
      <c r="E1401" s="4" t="n">
        <v>0</v>
      </c>
    </row>
    <row r="1402" customFormat="false" ht="15" hidden="false" customHeight="false" outlineLevel="0" collapsed="false">
      <c r="A1402" s="3" t="n">
        <v>2015</v>
      </c>
      <c r="B1402" s="3" t="n">
        <v>11</v>
      </c>
      <c r="C1402" s="3" t="n">
        <v>1</v>
      </c>
      <c r="D1402" s="3" t="s">
        <v>1406</v>
      </c>
      <c r="E1402" s="4" t="n">
        <v>33</v>
      </c>
    </row>
    <row r="1403" customFormat="false" ht="15" hidden="false" customHeight="false" outlineLevel="0" collapsed="false">
      <c r="A1403" s="3" t="n">
        <v>2015</v>
      </c>
      <c r="B1403" s="3" t="n">
        <v>11</v>
      </c>
      <c r="C1403" s="3" t="n">
        <v>2</v>
      </c>
      <c r="D1403" s="3" t="s">
        <v>1407</v>
      </c>
      <c r="E1403" s="4" t="n">
        <v>10</v>
      </c>
    </row>
    <row r="1404" customFormat="false" ht="15" hidden="false" customHeight="false" outlineLevel="0" collapsed="false">
      <c r="A1404" s="3" t="n">
        <v>2015</v>
      </c>
      <c r="B1404" s="3" t="n">
        <v>11</v>
      </c>
      <c r="C1404" s="3" t="n">
        <v>3</v>
      </c>
      <c r="D1404" s="3" t="s">
        <v>1408</v>
      </c>
      <c r="E1404" s="4" t="n">
        <v>0</v>
      </c>
    </row>
    <row r="1405" customFormat="false" ht="15" hidden="false" customHeight="false" outlineLevel="0" collapsed="false">
      <c r="A1405" s="3" t="n">
        <v>2015</v>
      </c>
      <c r="B1405" s="3" t="n">
        <v>11</v>
      </c>
      <c r="C1405" s="3" t="n">
        <v>4</v>
      </c>
      <c r="D1405" s="3" t="s">
        <v>1409</v>
      </c>
      <c r="E1405" s="4" t="n">
        <v>36</v>
      </c>
    </row>
    <row r="1406" customFormat="false" ht="15" hidden="false" customHeight="false" outlineLevel="0" collapsed="false">
      <c r="A1406" s="3" t="n">
        <v>2015</v>
      </c>
      <c r="B1406" s="3" t="n">
        <v>11</v>
      </c>
      <c r="C1406" s="3" t="n">
        <v>5</v>
      </c>
      <c r="D1406" s="3" t="s">
        <v>1410</v>
      </c>
      <c r="E1406" s="4" t="n">
        <v>51</v>
      </c>
    </row>
    <row r="1407" customFormat="false" ht="15" hidden="false" customHeight="false" outlineLevel="0" collapsed="false">
      <c r="A1407" s="3" t="n">
        <v>2015</v>
      </c>
      <c r="B1407" s="3" t="n">
        <v>11</v>
      </c>
      <c r="C1407" s="3" t="n">
        <v>6</v>
      </c>
      <c r="D1407" s="3" t="s">
        <v>1411</v>
      </c>
      <c r="E1407" s="4" t="n">
        <v>8</v>
      </c>
    </row>
    <row r="1408" customFormat="false" ht="15" hidden="false" customHeight="false" outlineLevel="0" collapsed="false">
      <c r="A1408" s="3" t="n">
        <v>2015</v>
      </c>
      <c r="B1408" s="3" t="n">
        <v>11</v>
      </c>
      <c r="C1408" s="3" t="n">
        <v>7</v>
      </c>
      <c r="D1408" s="3" t="s">
        <v>1412</v>
      </c>
      <c r="E1408" s="4" t="n">
        <v>14</v>
      </c>
    </row>
    <row r="1409" customFormat="false" ht="15" hidden="false" customHeight="false" outlineLevel="0" collapsed="false">
      <c r="A1409" s="3" t="n">
        <v>2015</v>
      </c>
      <c r="B1409" s="3" t="n">
        <v>11</v>
      </c>
      <c r="C1409" s="3" t="n">
        <v>8</v>
      </c>
      <c r="D1409" s="3" t="s">
        <v>1413</v>
      </c>
      <c r="E1409" s="4" t="n">
        <v>21</v>
      </c>
    </row>
    <row r="1410" customFormat="false" ht="15" hidden="false" customHeight="false" outlineLevel="0" collapsed="false">
      <c r="A1410" s="3" t="n">
        <v>2015</v>
      </c>
      <c r="B1410" s="3" t="n">
        <v>11</v>
      </c>
      <c r="C1410" s="3" t="n">
        <v>9</v>
      </c>
      <c r="D1410" s="3" t="s">
        <v>1414</v>
      </c>
      <c r="E1410" s="4" t="n">
        <v>0</v>
      </c>
    </row>
    <row r="1411" customFormat="false" ht="15" hidden="false" customHeight="false" outlineLevel="0" collapsed="false">
      <c r="A1411" s="3" t="n">
        <v>2015</v>
      </c>
      <c r="B1411" s="3" t="n">
        <v>11</v>
      </c>
      <c r="C1411" s="3" t="n">
        <v>10</v>
      </c>
      <c r="D1411" s="3" t="s">
        <v>1415</v>
      </c>
      <c r="E1411" s="4" t="n">
        <v>0</v>
      </c>
    </row>
    <row r="1412" customFormat="false" ht="15" hidden="false" customHeight="false" outlineLevel="0" collapsed="false">
      <c r="A1412" s="3" t="n">
        <v>2015</v>
      </c>
      <c r="B1412" s="3" t="n">
        <v>11</v>
      </c>
      <c r="C1412" s="3" t="n">
        <v>11</v>
      </c>
      <c r="D1412" s="3" t="s">
        <v>1416</v>
      </c>
      <c r="E1412" s="4" t="n">
        <v>13</v>
      </c>
    </row>
    <row r="1413" customFormat="false" ht="15" hidden="false" customHeight="false" outlineLevel="0" collapsed="false">
      <c r="A1413" s="3" t="n">
        <v>2015</v>
      </c>
      <c r="B1413" s="3" t="n">
        <v>11</v>
      </c>
      <c r="C1413" s="3" t="n">
        <v>12</v>
      </c>
      <c r="D1413" s="3" t="s">
        <v>1417</v>
      </c>
      <c r="E1413" s="4" t="n">
        <v>13</v>
      </c>
    </row>
    <row r="1414" customFormat="false" ht="15" hidden="false" customHeight="false" outlineLevel="0" collapsed="false">
      <c r="A1414" s="3" t="n">
        <v>2015</v>
      </c>
      <c r="B1414" s="3" t="n">
        <v>11</v>
      </c>
      <c r="C1414" s="3" t="n">
        <v>13</v>
      </c>
      <c r="D1414" s="3" t="s">
        <v>1418</v>
      </c>
      <c r="E1414" s="4" t="n">
        <v>34</v>
      </c>
    </row>
    <row r="1415" customFormat="false" ht="15" hidden="false" customHeight="false" outlineLevel="0" collapsed="false">
      <c r="A1415" s="3" t="n">
        <v>2015</v>
      </c>
      <c r="B1415" s="3" t="n">
        <v>11</v>
      </c>
      <c r="C1415" s="3" t="n">
        <v>14</v>
      </c>
      <c r="D1415" s="3" t="s">
        <v>1419</v>
      </c>
      <c r="E1415" s="4" t="n">
        <v>3</v>
      </c>
    </row>
    <row r="1416" customFormat="false" ht="15" hidden="false" customHeight="false" outlineLevel="0" collapsed="false">
      <c r="A1416" s="3" t="n">
        <v>2015</v>
      </c>
      <c r="B1416" s="3" t="n">
        <v>11</v>
      </c>
      <c r="C1416" s="3" t="n">
        <v>15</v>
      </c>
      <c r="D1416" s="3" t="s">
        <v>1420</v>
      </c>
      <c r="E1416" s="4" t="n">
        <v>2</v>
      </c>
    </row>
    <row r="1417" customFormat="false" ht="15" hidden="false" customHeight="false" outlineLevel="0" collapsed="false">
      <c r="A1417" s="3" t="n">
        <v>2015</v>
      </c>
      <c r="B1417" s="3" t="n">
        <v>11</v>
      </c>
      <c r="C1417" s="3" t="n">
        <v>16</v>
      </c>
      <c r="D1417" s="3" t="s">
        <v>1421</v>
      </c>
      <c r="E1417" s="4" t="n">
        <v>12</v>
      </c>
    </row>
    <row r="1418" customFormat="false" ht="15" hidden="false" customHeight="false" outlineLevel="0" collapsed="false">
      <c r="A1418" s="3" t="n">
        <v>2015</v>
      </c>
      <c r="B1418" s="3" t="n">
        <v>11</v>
      </c>
      <c r="C1418" s="3" t="n">
        <v>17</v>
      </c>
      <c r="D1418" s="3" t="s">
        <v>1422</v>
      </c>
      <c r="E1418" s="4" t="n">
        <v>66</v>
      </c>
    </row>
    <row r="1419" customFormat="false" ht="15" hidden="false" customHeight="false" outlineLevel="0" collapsed="false">
      <c r="A1419" s="3" t="n">
        <v>2015</v>
      </c>
      <c r="B1419" s="3" t="n">
        <v>11</v>
      </c>
      <c r="C1419" s="3" t="n">
        <v>18</v>
      </c>
      <c r="D1419" s="3" t="s">
        <v>1423</v>
      </c>
      <c r="E1419" s="4" t="n">
        <v>5</v>
      </c>
    </row>
    <row r="1420" customFormat="false" ht="15" hidden="false" customHeight="false" outlineLevel="0" collapsed="false">
      <c r="A1420" s="3" t="n">
        <v>2015</v>
      </c>
      <c r="B1420" s="3" t="n">
        <v>11</v>
      </c>
      <c r="C1420" s="3" t="n">
        <v>19</v>
      </c>
      <c r="D1420" s="3" t="s">
        <v>1424</v>
      </c>
      <c r="E1420" s="4" t="n">
        <v>0</v>
      </c>
    </row>
    <row r="1421" customFormat="false" ht="15" hidden="false" customHeight="false" outlineLevel="0" collapsed="false">
      <c r="A1421" s="3" t="n">
        <v>2015</v>
      </c>
      <c r="B1421" s="3" t="n">
        <v>11</v>
      </c>
      <c r="C1421" s="3" t="n">
        <v>20</v>
      </c>
      <c r="D1421" s="3" t="s">
        <v>1425</v>
      </c>
      <c r="E1421" s="4" t="n">
        <v>64</v>
      </c>
    </row>
    <row r="1422" customFormat="false" ht="15" hidden="false" customHeight="false" outlineLevel="0" collapsed="false">
      <c r="A1422" s="3" t="n">
        <v>2015</v>
      </c>
      <c r="B1422" s="3" t="n">
        <v>11</v>
      </c>
      <c r="C1422" s="3" t="n">
        <v>21</v>
      </c>
      <c r="D1422" s="3" t="s">
        <v>1426</v>
      </c>
      <c r="E1422" s="4" t="n">
        <v>0</v>
      </c>
    </row>
    <row r="1423" customFormat="false" ht="15" hidden="false" customHeight="false" outlineLevel="0" collapsed="false">
      <c r="A1423" s="3" t="n">
        <v>2015</v>
      </c>
      <c r="B1423" s="3" t="n">
        <v>11</v>
      </c>
      <c r="C1423" s="3" t="n">
        <v>22</v>
      </c>
      <c r="D1423" s="3" t="s">
        <v>1427</v>
      </c>
      <c r="E1423" s="4" t="n">
        <v>0</v>
      </c>
    </row>
    <row r="1424" customFormat="false" ht="15" hidden="false" customHeight="false" outlineLevel="0" collapsed="false">
      <c r="A1424" s="3" t="n">
        <v>2015</v>
      </c>
      <c r="B1424" s="3" t="n">
        <v>11</v>
      </c>
      <c r="C1424" s="3" t="n">
        <v>23</v>
      </c>
      <c r="D1424" s="3" t="s">
        <v>1428</v>
      </c>
      <c r="E1424" s="4" t="n">
        <v>23</v>
      </c>
    </row>
    <row r="1425" customFormat="false" ht="15" hidden="false" customHeight="false" outlineLevel="0" collapsed="false">
      <c r="A1425" s="3" t="n">
        <v>2015</v>
      </c>
      <c r="B1425" s="3" t="n">
        <v>11</v>
      </c>
      <c r="C1425" s="3" t="n">
        <v>24</v>
      </c>
      <c r="D1425" s="3" t="s">
        <v>1429</v>
      </c>
      <c r="E1425" s="4" t="n">
        <v>0</v>
      </c>
    </row>
    <row r="1426" customFormat="false" ht="15" hidden="false" customHeight="false" outlineLevel="0" collapsed="false">
      <c r="A1426" s="3" t="n">
        <v>2015</v>
      </c>
      <c r="B1426" s="3" t="n">
        <v>11</v>
      </c>
      <c r="C1426" s="3" t="n">
        <v>25</v>
      </c>
      <c r="D1426" s="3" t="s">
        <v>1430</v>
      </c>
      <c r="E1426" s="4" t="n">
        <v>0</v>
      </c>
    </row>
    <row r="1427" customFormat="false" ht="15" hidden="false" customHeight="false" outlineLevel="0" collapsed="false">
      <c r="A1427" s="3" t="n">
        <v>2015</v>
      </c>
      <c r="B1427" s="3" t="n">
        <v>11</v>
      </c>
      <c r="C1427" s="3" t="n">
        <v>26</v>
      </c>
      <c r="D1427" s="3" t="s">
        <v>1431</v>
      </c>
      <c r="E1427" s="4" t="n">
        <v>0</v>
      </c>
    </row>
    <row r="1428" customFormat="false" ht="15" hidden="false" customHeight="false" outlineLevel="0" collapsed="false">
      <c r="A1428" s="3" t="n">
        <v>2015</v>
      </c>
      <c r="B1428" s="3" t="n">
        <v>11</v>
      </c>
      <c r="C1428" s="3" t="n">
        <v>27</v>
      </c>
      <c r="D1428" s="3" t="s">
        <v>1432</v>
      </c>
      <c r="E1428" s="4" t="n">
        <v>45</v>
      </c>
    </row>
    <row r="1429" customFormat="false" ht="15" hidden="false" customHeight="false" outlineLevel="0" collapsed="false">
      <c r="A1429" s="3" t="n">
        <v>2015</v>
      </c>
      <c r="B1429" s="3" t="n">
        <v>11</v>
      </c>
      <c r="C1429" s="3" t="n">
        <v>28</v>
      </c>
      <c r="D1429" s="3" t="s">
        <v>1433</v>
      </c>
      <c r="E1429" s="4" t="n">
        <v>3</v>
      </c>
    </row>
    <row r="1430" customFormat="false" ht="15" hidden="false" customHeight="false" outlineLevel="0" collapsed="false">
      <c r="A1430" s="3" t="n">
        <v>2015</v>
      </c>
      <c r="B1430" s="3" t="n">
        <v>11</v>
      </c>
      <c r="C1430" s="3" t="n">
        <v>29</v>
      </c>
      <c r="D1430" s="3" t="s">
        <v>1434</v>
      </c>
      <c r="E1430" s="4" t="n">
        <v>0</v>
      </c>
    </row>
    <row r="1431" customFormat="false" ht="15" hidden="false" customHeight="false" outlineLevel="0" collapsed="false">
      <c r="A1431" s="3" t="n">
        <v>2015</v>
      </c>
      <c r="B1431" s="3" t="n">
        <v>11</v>
      </c>
      <c r="C1431" s="3" t="n">
        <v>30</v>
      </c>
      <c r="D1431" s="3" t="s">
        <v>1435</v>
      </c>
      <c r="E1431" s="4" t="n">
        <v>15</v>
      </c>
    </row>
    <row r="1432" customFormat="false" ht="15" hidden="false" customHeight="false" outlineLevel="0" collapsed="false">
      <c r="A1432" s="3" t="n">
        <v>2015</v>
      </c>
      <c r="B1432" s="3" t="n">
        <v>12</v>
      </c>
      <c r="C1432" s="3" t="n">
        <v>1</v>
      </c>
      <c r="D1432" s="3" t="s">
        <v>1436</v>
      </c>
      <c r="E1432" s="4" t="n">
        <v>0</v>
      </c>
    </row>
    <row r="1433" customFormat="false" ht="15" hidden="false" customHeight="false" outlineLevel="0" collapsed="false">
      <c r="A1433" s="3" t="n">
        <v>2015</v>
      </c>
      <c r="B1433" s="3" t="n">
        <v>12</v>
      </c>
      <c r="C1433" s="3" t="n">
        <v>2</v>
      </c>
      <c r="D1433" s="3" t="s">
        <v>1437</v>
      </c>
      <c r="E1433" s="4" t="n">
        <v>0</v>
      </c>
    </row>
    <row r="1434" customFormat="false" ht="15" hidden="false" customHeight="false" outlineLevel="0" collapsed="false">
      <c r="A1434" s="3" t="n">
        <v>2015</v>
      </c>
      <c r="B1434" s="3" t="n">
        <v>12</v>
      </c>
      <c r="C1434" s="3" t="n">
        <v>3</v>
      </c>
      <c r="D1434" s="3" t="s">
        <v>1438</v>
      </c>
      <c r="E1434" s="4" t="n">
        <v>0</v>
      </c>
    </row>
    <row r="1435" customFormat="false" ht="15" hidden="false" customHeight="false" outlineLevel="0" collapsed="false">
      <c r="A1435" s="3" t="n">
        <v>2015</v>
      </c>
      <c r="B1435" s="3" t="n">
        <v>12</v>
      </c>
      <c r="C1435" s="3" t="n">
        <v>4</v>
      </c>
      <c r="D1435" s="3" t="s">
        <v>1439</v>
      </c>
      <c r="E1435" s="4" t="n">
        <v>71</v>
      </c>
    </row>
    <row r="1436" customFormat="false" ht="15" hidden="false" customHeight="false" outlineLevel="0" collapsed="false">
      <c r="A1436" s="3" t="n">
        <v>2015</v>
      </c>
      <c r="B1436" s="3" t="n">
        <v>12</v>
      </c>
      <c r="C1436" s="3" t="n">
        <v>5</v>
      </c>
      <c r="D1436" s="3" t="s">
        <v>1440</v>
      </c>
      <c r="E1436" s="4" t="n">
        <v>9</v>
      </c>
    </row>
    <row r="1437" customFormat="false" ht="15" hidden="false" customHeight="false" outlineLevel="0" collapsed="false">
      <c r="A1437" s="3" t="n">
        <v>2015</v>
      </c>
      <c r="B1437" s="3" t="n">
        <v>12</v>
      </c>
      <c r="C1437" s="3" t="n">
        <v>6</v>
      </c>
      <c r="D1437" s="3" t="s">
        <v>1441</v>
      </c>
      <c r="E1437" s="4" t="n">
        <v>0</v>
      </c>
    </row>
    <row r="1438" customFormat="false" ht="15" hidden="false" customHeight="false" outlineLevel="0" collapsed="false">
      <c r="A1438" s="3" t="n">
        <v>2015</v>
      </c>
      <c r="B1438" s="3" t="n">
        <v>12</v>
      </c>
      <c r="C1438" s="3" t="n">
        <v>7</v>
      </c>
      <c r="D1438" s="3" t="s">
        <v>1442</v>
      </c>
      <c r="E1438" s="4" t="n">
        <v>3</v>
      </c>
    </row>
    <row r="1439" customFormat="false" ht="15" hidden="false" customHeight="false" outlineLevel="0" collapsed="false">
      <c r="A1439" s="3" t="n">
        <v>2015</v>
      </c>
      <c r="B1439" s="3" t="n">
        <v>12</v>
      </c>
      <c r="C1439" s="3" t="n">
        <v>8</v>
      </c>
      <c r="D1439" s="3" t="s">
        <v>1443</v>
      </c>
      <c r="E1439" s="4" t="n">
        <v>0</v>
      </c>
    </row>
    <row r="1440" customFormat="false" ht="15" hidden="false" customHeight="false" outlineLevel="0" collapsed="false">
      <c r="A1440" s="3" t="n">
        <v>2015</v>
      </c>
      <c r="B1440" s="3" t="n">
        <v>12</v>
      </c>
      <c r="C1440" s="3" t="n">
        <v>9</v>
      </c>
      <c r="D1440" s="3" t="s">
        <v>1444</v>
      </c>
      <c r="E1440" s="4" t="n">
        <v>33</v>
      </c>
    </row>
    <row r="1441" customFormat="false" ht="15" hidden="false" customHeight="false" outlineLevel="0" collapsed="false">
      <c r="A1441" s="3" t="n">
        <v>2015</v>
      </c>
      <c r="B1441" s="3" t="n">
        <v>12</v>
      </c>
      <c r="C1441" s="3" t="n">
        <v>10</v>
      </c>
      <c r="D1441" s="3" t="s">
        <v>1445</v>
      </c>
      <c r="E1441" s="4" t="n">
        <v>0</v>
      </c>
    </row>
    <row r="1442" customFormat="false" ht="15" hidden="false" customHeight="false" outlineLevel="0" collapsed="false">
      <c r="A1442" s="3" t="n">
        <v>2015</v>
      </c>
      <c r="B1442" s="3" t="n">
        <v>12</v>
      </c>
      <c r="C1442" s="3" t="n">
        <v>11</v>
      </c>
      <c r="D1442" s="3" t="s">
        <v>1446</v>
      </c>
      <c r="E1442" s="4" t="n">
        <v>49</v>
      </c>
    </row>
    <row r="1443" customFormat="false" ht="15" hidden="false" customHeight="false" outlineLevel="0" collapsed="false">
      <c r="A1443" s="3" t="n">
        <v>2015</v>
      </c>
      <c r="B1443" s="3" t="n">
        <v>12</v>
      </c>
      <c r="C1443" s="3" t="n">
        <v>12</v>
      </c>
      <c r="D1443" s="3" t="s">
        <v>1447</v>
      </c>
      <c r="E1443" s="4" t="n">
        <v>3</v>
      </c>
    </row>
    <row r="1444" customFormat="false" ht="15" hidden="false" customHeight="false" outlineLevel="0" collapsed="false">
      <c r="A1444" s="3" t="n">
        <v>2015</v>
      </c>
      <c r="B1444" s="3" t="n">
        <v>12</v>
      </c>
      <c r="C1444" s="3" t="n">
        <v>13</v>
      </c>
      <c r="D1444" s="3" t="s">
        <v>1448</v>
      </c>
      <c r="E1444" s="4" t="n">
        <v>0</v>
      </c>
    </row>
    <row r="1445" customFormat="false" ht="15" hidden="false" customHeight="false" outlineLevel="0" collapsed="false">
      <c r="A1445" s="3" t="n">
        <v>2015</v>
      </c>
      <c r="B1445" s="3" t="n">
        <v>12</v>
      </c>
      <c r="C1445" s="3" t="n">
        <v>14</v>
      </c>
      <c r="D1445" s="3" t="s">
        <v>1449</v>
      </c>
      <c r="E1445" s="4" t="n">
        <v>12</v>
      </c>
    </row>
    <row r="1446" customFormat="false" ht="15" hidden="false" customHeight="false" outlineLevel="0" collapsed="false">
      <c r="A1446" s="3" t="n">
        <v>2015</v>
      </c>
      <c r="B1446" s="3" t="n">
        <v>12</v>
      </c>
      <c r="C1446" s="3" t="n">
        <v>15</v>
      </c>
      <c r="D1446" s="3" t="s">
        <v>1450</v>
      </c>
      <c r="E1446" s="4" t="n">
        <v>3</v>
      </c>
    </row>
    <row r="1447" customFormat="false" ht="15" hidden="false" customHeight="false" outlineLevel="0" collapsed="false">
      <c r="A1447" s="3" t="n">
        <v>2015</v>
      </c>
      <c r="B1447" s="3" t="n">
        <v>12</v>
      </c>
      <c r="C1447" s="3" t="n">
        <v>16</v>
      </c>
      <c r="D1447" s="3" t="s">
        <v>1451</v>
      </c>
      <c r="E1447" s="4" t="n">
        <v>0</v>
      </c>
    </row>
    <row r="1448" customFormat="false" ht="15" hidden="false" customHeight="false" outlineLevel="0" collapsed="false">
      <c r="A1448" s="3" t="n">
        <v>2015</v>
      </c>
      <c r="B1448" s="3" t="n">
        <v>12</v>
      </c>
      <c r="C1448" s="3" t="n">
        <v>17</v>
      </c>
      <c r="D1448" s="3" t="s">
        <v>1452</v>
      </c>
      <c r="E1448" s="4" t="n">
        <v>1</v>
      </c>
    </row>
    <row r="1449" customFormat="false" ht="15" hidden="false" customHeight="false" outlineLevel="0" collapsed="false">
      <c r="A1449" s="3" t="n">
        <v>2015</v>
      </c>
      <c r="B1449" s="3" t="n">
        <v>12</v>
      </c>
      <c r="C1449" s="3" t="n">
        <v>18</v>
      </c>
      <c r="D1449" s="3" t="s">
        <v>1453</v>
      </c>
      <c r="E1449" s="4" t="n">
        <v>10</v>
      </c>
    </row>
    <row r="1450" customFormat="false" ht="15" hidden="false" customHeight="false" outlineLevel="0" collapsed="false">
      <c r="A1450" s="3" t="n">
        <v>2015</v>
      </c>
      <c r="B1450" s="3" t="n">
        <v>12</v>
      </c>
      <c r="C1450" s="3" t="n">
        <v>19</v>
      </c>
      <c r="D1450" s="3" t="s">
        <v>1454</v>
      </c>
      <c r="E1450" s="4" t="n">
        <v>20</v>
      </c>
    </row>
    <row r="1451" customFormat="false" ht="15" hidden="false" customHeight="false" outlineLevel="0" collapsed="false">
      <c r="A1451" s="3" t="n">
        <v>2015</v>
      </c>
      <c r="B1451" s="3" t="n">
        <v>12</v>
      </c>
      <c r="C1451" s="3" t="n">
        <v>20</v>
      </c>
      <c r="D1451" s="3" t="s">
        <v>1455</v>
      </c>
      <c r="E1451" s="4" t="n">
        <v>0</v>
      </c>
    </row>
    <row r="1452" customFormat="false" ht="15" hidden="false" customHeight="false" outlineLevel="0" collapsed="false">
      <c r="A1452" s="3" t="n">
        <v>2015</v>
      </c>
      <c r="B1452" s="3" t="n">
        <v>12</v>
      </c>
      <c r="C1452" s="3" t="n">
        <v>21</v>
      </c>
      <c r="D1452" s="3" t="s">
        <v>1456</v>
      </c>
      <c r="E1452" s="4" t="n">
        <v>0</v>
      </c>
    </row>
    <row r="1453" customFormat="false" ht="15" hidden="false" customHeight="false" outlineLevel="0" collapsed="false">
      <c r="A1453" s="3" t="n">
        <v>2015</v>
      </c>
      <c r="B1453" s="3" t="n">
        <v>12</v>
      </c>
      <c r="C1453" s="3" t="n">
        <v>22</v>
      </c>
      <c r="D1453" s="3" t="s">
        <v>1457</v>
      </c>
      <c r="E1453" s="4" t="n">
        <v>0</v>
      </c>
    </row>
    <row r="1454" customFormat="false" ht="15" hidden="false" customHeight="false" outlineLevel="0" collapsed="false">
      <c r="A1454" s="3" t="n">
        <v>2015</v>
      </c>
      <c r="B1454" s="3" t="n">
        <v>12</v>
      </c>
      <c r="C1454" s="3" t="n">
        <v>23</v>
      </c>
      <c r="D1454" s="3" t="s">
        <v>1458</v>
      </c>
      <c r="E1454" s="4" t="n">
        <v>0</v>
      </c>
    </row>
    <row r="1455" customFormat="false" ht="15" hidden="false" customHeight="false" outlineLevel="0" collapsed="false">
      <c r="A1455" s="3" t="n">
        <v>2015</v>
      </c>
      <c r="B1455" s="3" t="n">
        <v>12</v>
      </c>
      <c r="C1455" s="3" t="n">
        <v>24</v>
      </c>
      <c r="D1455" s="3" t="s">
        <v>1459</v>
      </c>
      <c r="E1455" s="4" t="n">
        <v>0</v>
      </c>
    </row>
    <row r="1456" customFormat="false" ht="15" hidden="false" customHeight="false" outlineLevel="0" collapsed="false">
      <c r="A1456" s="3" t="n">
        <v>2015</v>
      </c>
      <c r="B1456" s="3" t="n">
        <v>12</v>
      </c>
      <c r="C1456" s="3" t="n">
        <v>25</v>
      </c>
      <c r="D1456" s="3" t="s">
        <v>1460</v>
      </c>
      <c r="E1456" s="4" t="n">
        <v>0</v>
      </c>
    </row>
    <row r="1457" customFormat="false" ht="15" hidden="false" customHeight="false" outlineLevel="0" collapsed="false">
      <c r="A1457" s="3" t="n">
        <v>2015</v>
      </c>
      <c r="B1457" s="3" t="n">
        <v>12</v>
      </c>
      <c r="C1457" s="3" t="n">
        <v>26</v>
      </c>
      <c r="D1457" s="3" t="s">
        <v>1461</v>
      </c>
      <c r="E1457" s="4" t="n">
        <v>0</v>
      </c>
    </row>
    <row r="1458" customFormat="false" ht="15" hidden="false" customHeight="false" outlineLevel="0" collapsed="false">
      <c r="A1458" s="3" t="n">
        <v>2015</v>
      </c>
      <c r="B1458" s="3" t="n">
        <v>12</v>
      </c>
      <c r="C1458" s="3" t="n">
        <v>27</v>
      </c>
      <c r="D1458" s="3" t="s">
        <v>1462</v>
      </c>
      <c r="E1458" s="4" t="n">
        <v>0</v>
      </c>
    </row>
    <row r="1459" customFormat="false" ht="15" hidden="false" customHeight="false" outlineLevel="0" collapsed="false">
      <c r="A1459" s="3" t="n">
        <v>2015</v>
      </c>
      <c r="B1459" s="3" t="n">
        <v>12</v>
      </c>
      <c r="C1459" s="3" t="n">
        <v>28</v>
      </c>
      <c r="D1459" s="3" t="s">
        <v>1463</v>
      </c>
      <c r="E1459" s="4" t="n">
        <v>27</v>
      </c>
    </row>
    <row r="1460" customFormat="false" ht="15" hidden="false" customHeight="false" outlineLevel="0" collapsed="false">
      <c r="A1460" s="3" t="n">
        <v>2015</v>
      </c>
      <c r="B1460" s="3" t="n">
        <v>12</v>
      </c>
      <c r="C1460" s="3" t="n">
        <v>29</v>
      </c>
      <c r="D1460" s="3" t="s">
        <v>1464</v>
      </c>
      <c r="E1460" s="4" t="n">
        <v>11</v>
      </c>
    </row>
    <row r="1461" customFormat="false" ht="15" hidden="false" customHeight="false" outlineLevel="0" collapsed="false">
      <c r="A1461" s="3" t="n">
        <v>2015</v>
      </c>
      <c r="B1461" s="3" t="n">
        <v>12</v>
      </c>
      <c r="C1461" s="3" t="n">
        <v>30</v>
      </c>
      <c r="D1461" s="3" t="s">
        <v>1465</v>
      </c>
      <c r="E1461" s="4" t="n">
        <v>0</v>
      </c>
    </row>
    <row r="1462" customFormat="false" ht="15" hidden="false" customHeight="false" outlineLevel="0" collapsed="false">
      <c r="A1462" s="3" t="n">
        <v>2015</v>
      </c>
      <c r="B1462" s="3" t="n">
        <v>12</v>
      </c>
      <c r="C1462" s="3" t="n">
        <v>31</v>
      </c>
      <c r="D1462" s="3" t="s">
        <v>1466</v>
      </c>
      <c r="E1462" s="4" t="n">
        <v>0</v>
      </c>
    </row>
    <row r="1463" customFormat="false" ht="15" hidden="false" customHeight="false" outlineLevel="0" collapsed="false">
      <c r="A1463" s="3" t="n">
        <v>2016</v>
      </c>
      <c r="B1463" s="3" t="n">
        <v>1</v>
      </c>
      <c r="C1463" s="3" t="n">
        <v>1</v>
      </c>
      <c r="D1463" s="3" t="s">
        <v>1467</v>
      </c>
      <c r="E1463" s="4" t="n">
        <v>0</v>
      </c>
    </row>
    <row r="1464" customFormat="false" ht="15" hidden="false" customHeight="false" outlineLevel="0" collapsed="false">
      <c r="A1464" s="3" t="n">
        <v>2016</v>
      </c>
      <c r="B1464" s="3" t="n">
        <v>1</v>
      </c>
      <c r="C1464" s="3" t="n">
        <v>2</v>
      </c>
      <c r="D1464" s="3" t="s">
        <v>1468</v>
      </c>
      <c r="E1464" s="4" t="n">
        <v>0</v>
      </c>
    </row>
    <row r="1465" customFormat="false" ht="15" hidden="false" customHeight="false" outlineLevel="0" collapsed="false">
      <c r="A1465" s="3" t="n">
        <v>2016</v>
      </c>
      <c r="B1465" s="3" t="n">
        <v>1</v>
      </c>
      <c r="C1465" s="3" t="n">
        <v>3</v>
      </c>
      <c r="D1465" s="3" t="s">
        <v>1469</v>
      </c>
      <c r="E1465" s="4" t="n">
        <v>20</v>
      </c>
    </row>
    <row r="1466" customFormat="false" ht="15" hidden="false" customHeight="false" outlineLevel="0" collapsed="false">
      <c r="A1466" s="3" t="n">
        <v>2016</v>
      </c>
      <c r="B1466" s="3" t="n">
        <v>1</v>
      </c>
      <c r="C1466" s="3" t="n">
        <v>4</v>
      </c>
      <c r="D1466" s="3" t="s">
        <v>1470</v>
      </c>
      <c r="E1466" s="4" t="n">
        <v>0</v>
      </c>
    </row>
    <row r="1467" customFormat="false" ht="15" hidden="false" customHeight="false" outlineLevel="0" collapsed="false">
      <c r="A1467" s="3" t="n">
        <v>2016</v>
      </c>
      <c r="B1467" s="3" t="n">
        <v>1</v>
      </c>
      <c r="C1467" s="3" t="n">
        <v>5</v>
      </c>
      <c r="D1467" s="3" t="s">
        <v>1471</v>
      </c>
      <c r="E1467" s="4" t="n">
        <v>0</v>
      </c>
    </row>
    <row r="1468" customFormat="false" ht="15" hidden="false" customHeight="false" outlineLevel="0" collapsed="false">
      <c r="A1468" s="3" t="n">
        <v>2016</v>
      </c>
      <c r="B1468" s="3" t="n">
        <v>1</v>
      </c>
      <c r="C1468" s="3" t="n">
        <v>6</v>
      </c>
      <c r="D1468" s="3" t="s">
        <v>1472</v>
      </c>
      <c r="E1468" s="4" t="n">
        <v>0</v>
      </c>
    </row>
    <row r="1469" customFormat="false" ht="15" hidden="false" customHeight="false" outlineLevel="0" collapsed="false">
      <c r="A1469" s="3" t="n">
        <v>2016</v>
      </c>
      <c r="B1469" s="3" t="n">
        <v>1</v>
      </c>
      <c r="C1469" s="3" t="n">
        <v>7</v>
      </c>
      <c r="D1469" s="3" t="s">
        <v>1473</v>
      </c>
      <c r="E1469" s="4" t="n">
        <v>0</v>
      </c>
    </row>
    <row r="1470" customFormat="false" ht="15" hidden="false" customHeight="false" outlineLevel="0" collapsed="false">
      <c r="A1470" s="3" t="n">
        <v>2016</v>
      </c>
      <c r="B1470" s="3" t="n">
        <v>1</v>
      </c>
      <c r="C1470" s="3" t="n">
        <v>8</v>
      </c>
      <c r="D1470" s="3" t="s">
        <v>1474</v>
      </c>
      <c r="E1470" s="4" t="n">
        <v>0</v>
      </c>
    </row>
    <row r="1471" customFormat="false" ht="15" hidden="false" customHeight="false" outlineLevel="0" collapsed="false">
      <c r="A1471" s="3" t="n">
        <v>2016</v>
      </c>
      <c r="B1471" s="3" t="n">
        <v>1</v>
      </c>
      <c r="C1471" s="3" t="n">
        <v>9</v>
      </c>
      <c r="D1471" s="3" t="s">
        <v>1475</v>
      </c>
      <c r="E1471" s="4" t="n">
        <v>0</v>
      </c>
    </row>
    <row r="1472" customFormat="false" ht="15" hidden="false" customHeight="false" outlineLevel="0" collapsed="false">
      <c r="A1472" s="3" t="n">
        <v>2016</v>
      </c>
      <c r="B1472" s="3" t="n">
        <v>1</v>
      </c>
      <c r="C1472" s="3" t="n">
        <v>10</v>
      </c>
      <c r="D1472" s="3" t="s">
        <v>1476</v>
      </c>
      <c r="E1472" s="4" t="n">
        <v>57</v>
      </c>
    </row>
    <row r="1473" customFormat="false" ht="15" hidden="false" customHeight="false" outlineLevel="0" collapsed="false">
      <c r="A1473" s="3" t="n">
        <v>2016</v>
      </c>
      <c r="B1473" s="3" t="n">
        <v>1</v>
      </c>
      <c r="C1473" s="3" t="n">
        <v>11</v>
      </c>
      <c r="D1473" s="3" t="s">
        <v>1477</v>
      </c>
      <c r="E1473" s="4" t="n">
        <v>0</v>
      </c>
    </row>
    <row r="1474" customFormat="false" ht="15" hidden="false" customHeight="false" outlineLevel="0" collapsed="false">
      <c r="A1474" s="3" t="n">
        <v>2016</v>
      </c>
      <c r="B1474" s="3" t="n">
        <v>1</v>
      </c>
      <c r="C1474" s="3" t="n">
        <v>12</v>
      </c>
      <c r="D1474" s="3" t="s">
        <v>1478</v>
      </c>
      <c r="E1474" s="4" t="n">
        <v>0</v>
      </c>
    </row>
    <row r="1475" customFormat="false" ht="15" hidden="false" customHeight="false" outlineLevel="0" collapsed="false">
      <c r="A1475" s="3" t="n">
        <v>2016</v>
      </c>
      <c r="B1475" s="3" t="n">
        <v>1</v>
      </c>
      <c r="C1475" s="3" t="n">
        <v>13</v>
      </c>
      <c r="D1475" s="3" t="s">
        <v>1479</v>
      </c>
      <c r="E1475" s="4" t="n">
        <v>0</v>
      </c>
    </row>
    <row r="1476" customFormat="false" ht="15" hidden="false" customHeight="false" outlineLevel="0" collapsed="false">
      <c r="A1476" s="3" t="n">
        <v>2016</v>
      </c>
      <c r="B1476" s="3" t="n">
        <v>1</v>
      </c>
      <c r="C1476" s="3" t="n">
        <v>14</v>
      </c>
      <c r="D1476" s="3" t="s">
        <v>1480</v>
      </c>
      <c r="E1476" s="4" t="n">
        <v>0</v>
      </c>
    </row>
    <row r="1477" customFormat="false" ht="15" hidden="false" customHeight="false" outlineLevel="0" collapsed="false">
      <c r="A1477" s="3" t="n">
        <v>2016</v>
      </c>
      <c r="B1477" s="3" t="n">
        <v>1</v>
      </c>
      <c r="C1477" s="3" t="n">
        <v>15</v>
      </c>
      <c r="D1477" s="3" t="s">
        <v>1481</v>
      </c>
      <c r="E1477" s="4" t="n">
        <v>0</v>
      </c>
    </row>
    <row r="1478" customFormat="false" ht="15" hidden="false" customHeight="false" outlineLevel="0" collapsed="false">
      <c r="A1478" s="3" t="n">
        <v>2016</v>
      </c>
      <c r="B1478" s="3" t="n">
        <v>1</v>
      </c>
      <c r="C1478" s="3" t="n">
        <v>16</v>
      </c>
      <c r="D1478" s="3" t="s">
        <v>1482</v>
      </c>
      <c r="E1478" s="4" t="n">
        <v>0</v>
      </c>
    </row>
    <row r="1479" customFormat="false" ht="15" hidden="false" customHeight="false" outlineLevel="0" collapsed="false">
      <c r="A1479" s="3" t="n">
        <v>2016</v>
      </c>
      <c r="B1479" s="3" t="n">
        <v>1</v>
      </c>
      <c r="C1479" s="3" t="n">
        <v>17</v>
      </c>
      <c r="D1479" s="3" t="s">
        <v>1483</v>
      </c>
      <c r="E1479" s="4" t="n">
        <v>42</v>
      </c>
    </row>
    <row r="1480" customFormat="false" ht="15" hidden="false" customHeight="false" outlineLevel="0" collapsed="false">
      <c r="A1480" s="3" t="n">
        <v>2016</v>
      </c>
      <c r="B1480" s="3" t="n">
        <v>1</v>
      </c>
      <c r="C1480" s="3" t="n">
        <v>18</v>
      </c>
      <c r="D1480" s="3" t="s">
        <v>1484</v>
      </c>
      <c r="E1480" s="4" t="n">
        <v>9</v>
      </c>
    </row>
    <row r="1481" customFormat="false" ht="15" hidden="false" customHeight="false" outlineLevel="0" collapsed="false">
      <c r="A1481" s="3" t="n">
        <v>2016</v>
      </c>
      <c r="B1481" s="3" t="n">
        <v>1</v>
      </c>
      <c r="C1481" s="3" t="n">
        <v>19</v>
      </c>
      <c r="D1481" s="3" t="s">
        <v>1485</v>
      </c>
      <c r="E1481" s="4" t="n">
        <v>0</v>
      </c>
    </row>
    <row r="1482" customFormat="false" ht="15" hidden="false" customHeight="false" outlineLevel="0" collapsed="false">
      <c r="A1482" s="3" t="n">
        <v>2016</v>
      </c>
      <c r="B1482" s="3" t="n">
        <v>1</v>
      </c>
      <c r="C1482" s="3" t="n">
        <v>20</v>
      </c>
      <c r="D1482" s="3" t="s">
        <v>1486</v>
      </c>
      <c r="E1482" s="4" t="n">
        <v>0</v>
      </c>
    </row>
    <row r="1483" customFormat="false" ht="15" hidden="false" customHeight="false" outlineLevel="0" collapsed="false">
      <c r="A1483" s="3" t="n">
        <v>2016</v>
      </c>
      <c r="B1483" s="3" t="n">
        <v>1</v>
      </c>
      <c r="C1483" s="3" t="n">
        <v>21</v>
      </c>
      <c r="D1483" s="3" t="s">
        <v>1487</v>
      </c>
      <c r="E1483" s="4" t="n">
        <v>0</v>
      </c>
    </row>
    <row r="1484" customFormat="false" ht="15" hidden="false" customHeight="false" outlineLevel="0" collapsed="false">
      <c r="A1484" s="3" t="n">
        <v>2016</v>
      </c>
      <c r="B1484" s="3" t="n">
        <v>1</v>
      </c>
      <c r="C1484" s="3" t="n">
        <v>22</v>
      </c>
      <c r="D1484" s="3" t="s">
        <v>1488</v>
      </c>
      <c r="E1484" s="4" t="n">
        <v>23</v>
      </c>
    </row>
    <row r="1485" customFormat="false" ht="15" hidden="false" customHeight="false" outlineLevel="0" collapsed="false">
      <c r="A1485" s="3" t="n">
        <v>2016</v>
      </c>
      <c r="B1485" s="3" t="n">
        <v>1</v>
      </c>
      <c r="C1485" s="3" t="n">
        <v>23</v>
      </c>
      <c r="D1485" s="3" t="s">
        <v>1489</v>
      </c>
      <c r="E1485" s="4" t="n">
        <v>0</v>
      </c>
    </row>
    <row r="1486" customFormat="false" ht="15" hidden="false" customHeight="false" outlineLevel="0" collapsed="false">
      <c r="A1486" s="3" t="n">
        <v>2016</v>
      </c>
      <c r="B1486" s="3" t="n">
        <v>1</v>
      </c>
      <c r="C1486" s="3" t="n">
        <v>24</v>
      </c>
      <c r="D1486" s="3" t="s">
        <v>1490</v>
      </c>
      <c r="E1486" s="4" t="n">
        <v>27</v>
      </c>
    </row>
    <row r="1487" customFormat="false" ht="15" hidden="false" customHeight="false" outlineLevel="0" collapsed="false">
      <c r="A1487" s="3" t="n">
        <v>2016</v>
      </c>
      <c r="B1487" s="3" t="n">
        <v>1</v>
      </c>
      <c r="C1487" s="3" t="n">
        <v>25</v>
      </c>
      <c r="D1487" s="3" t="s">
        <v>1491</v>
      </c>
      <c r="E1487" s="4" t="n">
        <v>0</v>
      </c>
    </row>
    <row r="1488" customFormat="false" ht="15" hidden="false" customHeight="false" outlineLevel="0" collapsed="false">
      <c r="A1488" s="3" t="n">
        <v>2016</v>
      </c>
      <c r="B1488" s="3" t="n">
        <v>1</v>
      </c>
      <c r="C1488" s="3" t="n">
        <v>26</v>
      </c>
      <c r="D1488" s="3" t="s">
        <v>1492</v>
      </c>
      <c r="E1488" s="4" t="n">
        <v>0</v>
      </c>
    </row>
    <row r="1489" customFormat="false" ht="15" hidden="false" customHeight="false" outlineLevel="0" collapsed="false">
      <c r="A1489" s="3" t="n">
        <v>2016</v>
      </c>
      <c r="B1489" s="3" t="n">
        <v>1</v>
      </c>
      <c r="C1489" s="3" t="n">
        <v>27</v>
      </c>
      <c r="D1489" s="3" t="s">
        <v>1493</v>
      </c>
      <c r="E1489" s="4" t="n">
        <v>0</v>
      </c>
    </row>
    <row r="1490" customFormat="false" ht="15" hidden="false" customHeight="false" outlineLevel="0" collapsed="false">
      <c r="A1490" s="3" t="n">
        <v>2016</v>
      </c>
      <c r="B1490" s="3" t="n">
        <v>1</v>
      </c>
      <c r="C1490" s="3" t="n">
        <v>28</v>
      </c>
      <c r="D1490" s="3" t="s">
        <v>1494</v>
      </c>
      <c r="E1490" s="4" t="n">
        <v>27</v>
      </c>
    </row>
    <row r="1491" customFormat="false" ht="15" hidden="false" customHeight="false" outlineLevel="0" collapsed="false">
      <c r="A1491" s="3" t="n">
        <v>2016</v>
      </c>
      <c r="B1491" s="3" t="n">
        <v>1</v>
      </c>
      <c r="C1491" s="3" t="n">
        <v>29</v>
      </c>
      <c r="D1491" s="3" t="s">
        <v>1495</v>
      </c>
      <c r="E1491" s="4" t="n">
        <v>0</v>
      </c>
    </row>
    <row r="1492" customFormat="false" ht="15" hidden="false" customHeight="false" outlineLevel="0" collapsed="false">
      <c r="A1492" s="3" t="n">
        <v>2016</v>
      </c>
      <c r="B1492" s="3" t="n">
        <v>1</v>
      </c>
      <c r="C1492" s="3" t="n">
        <v>30</v>
      </c>
      <c r="D1492" s="3" t="s">
        <v>1496</v>
      </c>
      <c r="E1492" s="4" t="n">
        <v>40</v>
      </c>
    </row>
    <row r="1493" customFormat="false" ht="15" hidden="false" customHeight="false" outlineLevel="0" collapsed="false">
      <c r="A1493" s="3" t="n">
        <v>2016</v>
      </c>
      <c r="B1493" s="3" t="n">
        <v>1</v>
      </c>
      <c r="C1493" s="3" t="n">
        <v>31</v>
      </c>
      <c r="D1493" s="3" t="s">
        <v>1497</v>
      </c>
      <c r="E1493" s="4" t="n">
        <v>0</v>
      </c>
    </row>
    <row r="1494" customFormat="false" ht="15" hidden="false" customHeight="false" outlineLevel="0" collapsed="false">
      <c r="A1494" s="3" t="n">
        <v>2016</v>
      </c>
      <c r="B1494" s="3" t="n">
        <v>2</v>
      </c>
      <c r="C1494" s="3" t="n">
        <v>1</v>
      </c>
      <c r="D1494" s="3" t="s">
        <v>1498</v>
      </c>
      <c r="E1494" s="4" t="n">
        <v>0</v>
      </c>
    </row>
    <row r="1495" customFormat="false" ht="15" hidden="false" customHeight="false" outlineLevel="0" collapsed="false">
      <c r="A1495" s="3" t="n">
        <v>2016</v>
      </c>
      <c r="B1495" s="3" t="n">
        <v>2</v>
      </c>
      <c r="C1495" s="3" t="n">
        <v>2</v>
      </c>
      <c r="D1495" s="3" t="s">
        <v>1499</v>
      </c>
      <c r="E1495" s="4" t="n">
        <v>33</v>
      </c>
    </row>
    <row r="1496" customFormat="false" ht="15" hidden="false" customHeight="false" outlineLevel="0" collapsed="false">
      <c r="A1496" s="3" t="n">
        <v>2016</v>
      </c>
      <c r="B1496" s="3" t="n">
        <v>2</v>
      </c>
      <c r="C1496" s="3" t="n">
        <v>3</v>
      </c>
      <c r="D1496" s="3" t="s">
        <v>1500</v>
      </c>
      <c r="E1496" s="4" t="n">
        <v>0</v>
      </c>
    </row>
    <row r="1497" customFormat="false" ht="15" hidden="false" customHeight="false" outlineLevel="0" collapsed="false">
      <c r="A1497" s="3" t="n">
        <v>2016</v>
      </c>
      <c r="B1497" s="3" t="n">
        <v>2</v>
      </c>
      <c r="C1497" s="3" t="n">
        <v>4</v>
      </c>
      <c r="D1497" s="3" t="s">
        <v>1501</v>
      </c>
      <c r="E1497" s="4" t="n">
        <v>0</v>
      </c>
    </row>
    <row r="1498" customFormat="false" ht="15" hidden="false" customHeight="false" outlineLevel="0" collapsed="false">
      <c r="A1498" s="3" t="n">
        <v>2016</v>
      </c>
      <c r="B1498" s="3" t="n">
        <v>2</v>
      </c>
      <c r="C1498" s="3" t="n">
        <v>5</v>
      </c>
      <c r="D1498" s="3" t="s">
        <v>1502</v>
      </c>
      <c r="E1498" s="4" t="n">
        <v>0</v>
      </c>
    </row>
    <row r="1499" customFormat="false" ht="15" hidden="false" customHeight="false" outlineLevel="0" collapsed="false">
      <c r="A1499" s="3" t="n">
        <v>2016</v>
      </c>
      <c r="B1499" s="3" t="n">
        <v>2</v>
      </c>
      <c r="C1499" s="3" t="n">
        <v>6</v>
      </c>
      <c r="D1499" s="3" t="s">
        <v>1503</v>
      </c>
      <c r="E1499" s="4" t="n">
        <v>14</v>
      </c>
    </row>
    <row r="1500" customFormat="false" ht="15" hidden="false" customHeight="false" outlineLevel="0" collapsed="false">
      <c r="A1500" s="3" t="n">
        <v>2016</v>
      </c>
      <c r="B1500" s="3" t="n">
        <v>2</v>
      </c>
      <c r="C1500" s="3" t="n">
        <v>7</v>
      </c>
      <c r="D1500" s="3" t="s">
        <v>1504</v>
      </c>
      <c r="E1500" s="4" t="n">
        <v>0</v>
      </c>
    </row>
    <row r="1501" customFormat="false" ht="15" hidden="false" customHeight="false" outlineLevel="0" collapsed="false">
      <c r="A1501" s="3" t="n">
        <v>2016</v>
      </c>
      <c r="B1501" s="3" t="n">
        <v>2</v>
      </c>
      <c r="C1501" s="3" t="n">
        <v>8</v>
      </c>
      <c r="D1501" s="3" t="s">
        <v>1505</v>
      </c>
      <c r="E1501" s="4" t="n">
        <v>0</v>
      </c>
    </row>
    <row r="1502" customFormat="false" ht="15" hidden="false" customHeight="false" outlineLevel="0" collapsed="false">
      <c r="A1502" s="3" t="n">
        <v>2016</v>
      </c>
      <c r="B1502" s="3" t="n">
        <v>2</v>
      </c>
      <c r="C1502" s="3" t="n">
        <v>9</v>
      </c>
      <c r="D1502" s="3" t="s">
        <v>1506</v>
      </c>
      <c r="E1502" s="4" t="n">
        <v>7</v>
      </c>
    </row>
    <row r="1503" customFormat="false" ht="15" hidden="false" customHeight="false" outlineLevel="0" collapsed="false">
      <c r="A1503" s="3" t="n">
        <v>2016</v>
      </c>
      <c r="B1503" s="3" t="n">
        <v>2</v>
      </c>
      <c r="C1503" s="3" t="n">
        <v>10</v>
      </c>
      <c r="D1503" s="3" t="s">
        <v>1507</v>
      </c>
      <c r="E1503" s="4" t="n">
        <v>68</v>
      </c>
    </row>
    <row r="1504" customFormat="false" ht="15" hidden="false" customHeight="false" outlineLevel="0" collapsed="false">
      <c r="A1504" s="3" t="n">
        <v>2016</v>
      </c>
      <c r="B1504" s="3" t="n">
        <v>2</v>
      </c>
      <c r="C1504" s="3" t="n">
        <v>11</v>
      </c>
      <c r="D1504" s="3" t="s">
        <v>1508</v>
      </c>
      <c r="E1504" s="4" t="n">
        <v>0</v>
      </c>
    </row>
    <row r="1505" customFormat="false" ht="15" hidden="false" customHeight="false" outlineLevel="0" collapsed="false">
      <c r="A1505" s="3" t="n">
        <v>2016</v>
      </c>
      <c r="B1505" s="3" t="n">
        <v>2</v>
      </c>
      <c r="C1505" s="3" t="n">
        <v>12</v>
      </c>
      <c r="D1505" s="3" t="s">
        <v>1509</v>
      </c>
      <c r="E1505" s="4" t="n">
        <v>26</v>
      </c>
    </row>
    <row r="1506" customFormat="false" ht="15" hidden="false" customHeight="false" outlineLevel="0" collapsed="false">
      <c r="A1506" s="3" t="n">
        <v>2016</v>
      </c>
      <c r="B1506" s="3" t="n">
        <v>2</v>
      </c>
      <c r="C1506" s="3" t="n">
        <v>13</v>
      </c>
      <c r="D1506" s="3" t="s">
        <v>1510</v>
      </c>
      <c r="E1506" s="4" t="n">
        <v>0</v>
      </c>
    </row>
    <row r="1507" customFormat="false" ht="15" hidden="false" customHeight="false" outlineLevel="0" collapsed="false">
      <c r="A1507" s="3" t="n">
        <v>2016</v>
      </c>
      <c r="B1507" s="3" t="n">
        <v>2</v>
      </c>
      <c r="C1507" s="3" t="n">
        <v>14</v>
      </c>
      <c r="D1507" s="3" t="s">
        <v>1511</v>
      </c>
      <c r="E1507" s="4" t="n">
        <v>7</v>
      </c>
    </row>
    <row r="1508" customFormat="false" ht="15" hidden="false" customHeight="false" outlineLevel="0" collapsed="false">
      <c r="A1508" s="3" t="n">
        <v>2016</v>
      </c>
      <c r="B1508" s="3" t="n">
        <v>2</v>
      </c>
      <c r="C1508" s="3" t="n">
        <v>15</v>
      </c>
      <c r="D1508" s="3" t="s">
        <v>1512</v>
      </c>
      <c r="E1508" s="4" t="n">
        <v>0</v>
      </c>
    </row>
    <row r="1509" customFormat="false" ht="15" hidden="false" customHeight="false" outlineLevel="0" collapsed="false">
      <c r="A1509" s="3" t="n">
        <v>2016</v>
      </c>
      <c r="B1509" s="3" t="n">
        <v>2</v>
      </c>
      <c r="C1509" s="3" t="n">
        <v>16</v>
      </c>
      <c r="D1509" s="3" t="s">
        <v>1513</v>
      </c>
      <c r="E1509" s="4" t="n">
        <v>0</v>
      </c>
    </row>
    <row r="1510" customFormat="false" ht="15" hidden="false" customHeight="false" outlineLevel="0" collapsed="false">
      <c r="A1510" s="3" t="n">
        <v>2016</v>
      </c>
      <c r="B1510" s="3" t="n">
        <v>2</v>
      </c>
      <c r="C1510" s="3" t="n">
        <v>17</v>
      </c>
      <c r="D1510" s="3" t="s">
        <v>1514</v>
      </c>
      <c r="E1510" s="4" t="n">
        <v>3</v>
      </c>
    </row>
    <row r="1511" customFormat="false" ht="15" hidden="false" customHeight="false" outlineLevel="0" collapsed="false">
      <c r="A1511" s="3" t="n">
        <v>2016</v>
      </c>
      <c r="B1511" s="3" t="n">
        <v>2</v>
      </c>
      <c r="C1511" s="3" t="n">
        <v>18</v>
      </c>
      <c r="D1511" s="3" t="s">
        <v>1515</v>
      </c>
      <c r="E1511" s="4" t="n">
        <v>12</v>
      </c>
    </row>
    <row r="1512" customFormat="false" ht="15" hidden="false" customHeight="false" outlineLevel="0" collapsed="false">
      <c r="A1512" s="3" t="n">
        <v>2016</v>
      </c>
      <c r="B1512" s="3" t="n">
        <v>2</v>
      </c>
      <c r="C1512" s="3" t="n">
        <v>19</v>
      </c>
      <c r="D1512" s="3" t="s">
        <v>1516</v>
      </c>
      <c r="E1512" s="4" t="n">
        <v>4</v>
      </c>
    </row>
    <row r="1513" customFormat="false" ht="15" hidden="false" customHeight="false" outlineLevel="0" collapsed="false">
      <c r="A1513" s="3" t="n">
        <v>2016</v>
      </c>
      <c r="B1513" s="3" t="n">
        <v>2</v>
      </c>
      <c r="C1513" s="3" t="n">
        <v>20</v>
      </c>
      <c r="D1513" s="3" t="s">
        <v>1517</v>
      </c>
      <c r="E1513" s="4" t="n">
        <v>0</v>
      </c>
    </row>
    <row r="1514" customFormat="false" ht="15" hidden="false" customHeight="false" outlineLevel="0" collapsed="false">
      <c r="A1514" s="3" t="n">
        <v>2016</v>
      </c>
      <c r="B1514" s="3" t="n">
        <v>2</v>
      </c>
      <c r="C1514" s="3" t="n">
        <v>21</v>
      </c>
      <c r="D1514" s="3" t="s">
        <v>1518</v>
      </c>
      <c r="E1514" s="4" t="n">
        <v>0</v>
      </c>
    </row>
    <row r="1515" customFormat="false" ht="15" hidden="false" customHeight="false" outlineLevel="0" collapsed="false">
      <c r="A1515" s="3" t="n">
        <v>2016</v>
      </c>
      <c r="B1515" s="3" t="n">
        <v>2</v>
      </c>
      <c r="C1515" s="3" t="n">
        <v>22</v>
      </c>
      <c r="D1515" s="3" t="s">
        <v>1519</v>
      </c>
      <c r="E1515" s="4" t="n">
        <v>9</v>
      </c>
    </row>
    <row r="1516" customFormat="false" ht="15" hidden="false" customHeight="false" outlineLevel="0" collapsed="false">
      <c r="A1516" s="3" t="n">
        <v>2016</v>
      </c>
      <c r="B1516" s="3" t="n">
        <v>2</v>
      </c>
      <c r="C1516" s="3" t="n">
        <v>23</v>
      </c>
      <c r="D1516" s="3" t="s">
        <v>1520</v>
      </c>
      <c r="E1516" s="4" t="n">
        <v>0</v>
      </c>
    </row>
    <row r="1517" customFormat="false" ht="15" hidden="false" customHeight="false" outlineLevel="0" collapsed="false">
      <c r="A1517" s="3" t="n">
        <v>2016</v>
      </c>
      <c r="B1517" s="3" t="n">
        <v>2</v>
      </c>
      <c r="C1517" s="3" t="n">
        <v>24</v>
      </c>
      <c r="D1517" s="3" t="s">
        <v>1521</v>
      </c>
      <c r="E1517" s="4" t="n">
        <v>0</v>
      </c>
    </row>
    <row r="1518" customFormat="false" ht="15" hidden="false" customHeight="false" outlineLevel="0" collapsed="false">
      <c r="A1518" s="3" t="n">
        <v>2016</v>
      </c>
      <c r="B1518" s="3" t="n">
        <v>2</v>
      </c>
      <c r="C1518" s="3" t="n">
        <v>25</v>
      </c>
      <c r="D1518" s="3" t="s">
        <v>1522</v>
      </c>
      <c r="E1518" s="4" t="n">
        <v>6</v>
      </c>
    </row>
    <row r="1519" customFormat="false" ht="15" hidden="false" customHeight="false" outlineLevel="0" collapsed="false">
      <c r="A1519" s="3" t="n">
        <v>2016</v>
      </c>
      <c r="B1519" s="3" t="n">
        <v>2</v>
      </c>
      <c r="C1519" s="3" t="n">
        <v>26</v>
      </c>
      <c r="D1519" s="3" t="s">
        <v>1523</v>
      </c>
      <c r="E1519" s="4" t="n">
        <v>0</v>
      </c>
    </row>
    <row r="1520" customFormat="false" ht="15" hidden="false" customHeight="false" outlineLevel="0" collapsed="false">
      <c r="A1520" s="3" t="n">
        <v>2016</v>
      </c>
      <c r="B1520" s="3" t="n">
        <v>2</v>
      </c>
      <c r="C1520" s="3" t="n">
        <v>27</v>
      </c>
      <c r="D1520" s="3" t="s">
        <v>1524</v>
      </c>
      <c r="E1520" s="4" t="n">
        <v>0</v>
      </c>
    </row>
    <row r="1521" customFormat="false" ht="15" hidden="false" customHeight="false" outlineLevel="0" collapsed="false">
      <c r="A1521" s="3" t="n">
        <v>2016</v>
      </c>
      <c r="B1521" s="3" t="n">
        <v>2</v>
      </c>
      <c r="C1521" s="3" t="n">
        <v>28</v>
      </c>
      <c r="D1521" s="3" t="s">
        <v>1525</v>
      </c>
      <c r="E1521" s="4" t="n">
        <v>0</v>
      </c>
    </row>
    <row r="1522" customFormat="false" ht="15" hidden="false" customHeight="false" outlineLevel="0" collapsed="false">
      <c r="A1522" s="3" t="n">
        <v>2016</v>
      </c>
      <c r="B1522" s="3" t="n">
        <v>2</v>
      </c>
      <c r="C1522" s="3" t="n">
        <v>29</v>
      </c>
      <c r="D1522" s="3" t="s">
        <v>1526</v>
      </c>
      <c r="E1522" s="4" t="n">
        <v>15</v>
      </c>
    </row>
    <row r="1523" customFormat="false" ht="15" hidden="false" customHeight="false" outlineLevel="0" collapsed="false">
      <c r="A1523" s="3" t="n">
        <v>2016</v>
      </c>
      <c r="B1523" s="3" t="n">
        <v>3</v>
      </c>
      <c r="C1523" s="3" t="n">
        <v>1</v>
      </c>
      <c r="D1523" s="3" t="s">
        <v>1527</v>
      </c>
      <c r="E1523" s="4" t="n">
        <v>31</v>
      </c>
    </row>
    <row r="1524" customFormat="false" ht="15" hidden="false" customHeight="false" outlineLevel="0" collapsed="false">
      <c r="A1524" s="3" t="n">
        <v>2016</v>
      </c>
      <c r="B1524" s="3" t="n">
        <v>3</v>
      </c>
      <c r="C1524" s="3" t="n">
        <v>2</v>
      </c>
      <c r="D1524" s="3" t="s">
        <v>1528</v>
      </c>
      <c r="E1524" s="4" t="n">
        <v>7</v>
      </c>
    </row>
    <row r="1525" customFormat="false" ht="15" hidden="false" customHeight="false" outlineLevel="0" collapsed="false">
      <c r="A1525" s="3" t="n">
        <v>2016</v>
      </c>
      <c r="B1525" s="3" t="n">
        <v>3</v>
      </c>
      <c r="C1525" s="3" t="n">
        <v>3</v>
      </c>
      <c r="D1525" s="3" t="s">
        <v>1529</v>
      </c>
      <c r="E1525" s="4" t="n">
        <v>5</v>
      </c>
    </row>
    <row r="1526" customFormat="false" ht="15" hidden="false" customHeight="false" outlineLevel="0" collapsed="false">
      <c r="A1526" s="3" t="n">
        <v>2016</v>
      </c>
      <c r="B1526" s="3" t="n">
        <v>3</v>
      </c>
      <c r="C1526" s="3" t="n">
        <v>4</v>
      </c>
      <c r="D1526" s="3" t="s">
        <v>1530</v>
      </c>
      <c r="E1526" s="4" t="n">
        <v>52</v>
      </c>
    </row>
    <row r="1527" customFormat="false" ht="15" hidden="false" customHeight="false" outlineLevel="0" collapsed="false">
      <c r="A1527" s="3" t="n">
        <v>2016</v>
      </c>
      <c r="B1527" s="3" t="n">
        <v>3</v>
      </c>
      <c r="C1527" s="3" t="n">
        <v>5</v>
      </c>
      <c r="D1527" s="3" t="s">
        <v>1531</v>
      </c>
      <c r="E1527" s="4" t="n">
        <v>0</v>
      </c>
    </row>
    <row r="1528" customFormat="false" ht="15" hidden="false" customHeight="false" outlineLevel="0" collapsed="false">
      <c r="A1528" s="3" t="n">
        <v>2016</v>
      </c>
      <c r="B1528" s="3" t="n">
        <v>3</v>
      </c>
      <c r="C1528" s="3" t="n">
        <v>6</v>
      </c>
      <c r="D1528" s="3" t="s">
        <v>1532</v>
      </c>
      <c r="E1528" s="4" t="n">
        <v>25</v>
      </c>
    </row>
    <row r="1529" customFormat="false" ht="15" hidden="false" customHeight="false" outlineLevel="0" collapsed="false">
      <c r="A1529" s="3" t="n">
        <v>2016</v>
      </c>
      <c r="B1529" s="3" t="n">
        <v>3</v>
      </c>
      <c r="C1529" s="3" t="n">
        <v>7</v>
      </c>
      <c r="D1529" s="3" t="s">
        <v>1533</v>
      </c>
      <c r="E1529" s="4" t="n">
        <v>33</v>
      </c>
    </row>
    <row r="1530" customFormat="false" ht="15" hidden="false" customHeight="false" outlineLevel="0" collapsed="false">
      <c r="A1530" s="3" t="n">
        <v>2016</v>
      </c>
      <c r="B1530" s="3" t="n">
        <v>3</v>
      </c>
      <c r="C1530" s="3" t="n">
        <v>8</v>
      </c>
      <c r="D1530" s="3" t="s">
        <v>1534</v>
      </c>
      <c r="E1530" s="4" t="n">
        <v>0</v>
      </c>
    </row>
    <row r="1531" customFormat="false" ht="15" hidden="false" customHeight="false" outlineLevel="0" collapsed="false">
      <c r="A1531" s="3" t="n">
        <v>2016</v>
      </c>
      <c r="B1531" s="3" t="n">
        <v>3</v>
      </c>
      <c r="C1531" s="3" t="n">
        <v>9</v>
      </c>
      <c r="D1531" s="3" t="s">
        <v>1535</v>
      </c>
      <c r="E1531" s="4" t="n">
        <v>54</v>
      </c>
    </row>
    <row r="1532" customFormat="false" ht="15" hidden="false" customHeight="false" outlineLevel="0" collapsed="false">
      <c r="A1532" s="3" t="n">
        <v>2016</v>
      </c>
      <c r="B1532" s="3" t="n">
        <v>3</v>
      </c>
      <c r="C1532" s="3" t="n">
        <v>10</v>
      </c>
      <c r="D1532" s="3" t="s">
        <v>1536</v>
      </c>
      <c r="E1532" s="4" t="n">
        <v>88</v>
      </c>
    </row>
    <row r="1533" customFormat="false" ht="15" hidden="false" customHeight="false" outlineLevel="0" collapsed="false">
      <c r="A1533" s="3" t="n">
        <v>2016</v>
      </c>
      <c r="B1533" s="3" t="n">
        <v>3</v>
      </c>
      <c r="C1533" s="3" t="n">
        <v>11</v>
      </c>
      <c r="D1533" s="3" t="s">
        <v>1537</v>
      </c>
      <c r="E1533" s="4" t="n">
        <v>0</v>
      </c>
    </row>
    <row r="1534" customFormat="false" ht="15" hidden="false" customHeight="false" outlineLevel="0" collapsed="false">
      <c r="A1534" s="3" t="n">
        <v>2016</v>
      </c>
      <c r="B1534" s="3" t="n">
        <v>3</v>
      </c>
      <c r="C1534" s="3" t="n">
        <v>12</v>
      </c>
      <c r="D1534" s="3" t="s">
        <v>1538</v>
      </c>
      <c r="E1534" s="4" t="n">
        <v>15</v>
      </c>
    </row>
    <row r="1535" customFormat="false" ht="15" hidden="false" customHeight="false" outlineLevel="0" collapsed="false">
      <c r="A1535" s="3" t="n">
        <v>2016</v>
      </c>
      <c r="B1535" s="3" t="n">
        <v>3</v>
      </c>
      <c r="C1535" s="3" t="n">
        <v>13</v>
      </c>
      <c r="D1535" s="3" t="s">
        <v>1539</v>
      </c>
      <c r="E1535" s="4" t="n">
        <v>1</v>
      </c>
    </row>
    <row r="1536" customFormat="false" ht="15" hidden="false" customHeight="false" outlineLevel="0" collapsed="false">
      <c r="A1536" s="3" t="n">
        <v>2016</v>
      </c>
      <c r="B1536" s="3" t="n">
        <v>3</v>
      </c>
      <c r="C1536" s="3" t="n">
        <v>14</v>
      </c>
      <c r="D1536" s="3" t="s">
        <v>1540</v>
      </c>
      <c r="E1536" s="4" t="n">
        <v>7</v>
      </c>
    </row>
    <row r="1537" customFormat="false" ht="15" hidden="false" customHeight="false" outlineLevel="0" collapsed="false">
      <c r="A1537" s="3" t="n">
        <v>2016</v>
      </c>
      <c r="B1537" s="3" t="n">
        <v>3</v>
      </c>
      <c r="C1537" s="3" t="n">
        <v>15</v>
      </c>
      <c r="D1537" s="3" t="s">
        <v>1541</v>
      </c>
      <c r="E1537" s="4" t="n">
        <v>0</v>
      </c>
    </row>
    <row r="1538" customFormat="false" ht="15" hidden="false" customHeight="false" outlineLevel="0" collapsed="false">
      <c r="A1538" s="3" t="n">
        <v>2016</v>
      </c>
      <c r="B1538" s="3" t="n">
        <v>3</v>
      </c>
      <c r="C1538" s="3" t="n">
        <v>16</v>
      </c>
      <c r="D1538" s="3" t="s">
        <v>1542</v>
      </c>
      <c r="E1538" s="4" t="n">
        <v>0</v>
      </c>
    </row>
    <row r="1539" customFormat="false" ht="15" hidden="false" customHeight="false" outlineLevel="0" collapsed="false">
      <c r="A1539" s="3" t="n">
        <v>2016</v>
      </c>
      <c r="B1539" s="3" t="n">
        <v>3</v>
      </c>
      <c r="C1539" s="3" t="n">
        <v>17</v>
      </c>
      <c r="D1539" s="3" t="s">
        <v>1543</v>
      </c>
      <c r="E1539" s="4" t="n">
        <v>0</v>
      </c>
    </row>
    <row r="1540" customFormat="false" ht="15" hidden="false" customHeight="false" outlineLevel="0" collapsed="false">
      <c r="A1540" s="3" t="n">
        <v>2016</v>
      </c>
      <c r="B1540" s="3" t="n">
        <v>3</v>
      </c>
      <c r="C1540" s="3" t="n">
        <v>18</v>
      </c>
      <c r="D1540" s="3" t="s">
        <v>1544</v>
      </c>
      <c r="E1540" s="4" t="n">
        <v>12</v>
      </c>
    </row>
    <row r="1541" customFormat="false" ht="15" hidden="false" customHeight="false" outlineLevel="0" collapsed="false">
      <c r="A1541" s="3" t="n">
        <v>2016</v>
      </c>
      <c r="B1541" s="3" t="n">
        <v>3</v>
      </c>
      <c r="C1541" s="3" t="n">
        <v>19</v>
      </c>
      <c r="D1541" s="3" t="s">
        <v>1545</v>
      </c>
      <c r="E1541" s="4" t="n">
        <v>0</v>
      </c>
    </row>
    <row r="1542" customFormat="false" ht="15" hidden="false" customHeight="false" outlineLevel="0" collapsed="false">
      <c r="A1542" s="3" t="n">
        <v>2016</v>
      </c>
      <c r="B1542" s="3" t="n">
        <v>3</v>
      </c>
      <c r="C1542" s="3" t="n">
        <v>20</v>
      </c>
      <c r="D1542" s="3" t="s">
        <v>1546</v>
      </c>
      <c r="E1542" s="4" t="n">
        <v>0</v>
      </c>
    </row>
    <row r="1543" customFormat="false" ht="15" hidden="false" customHeight="false" outlineLevel="0" collapsed="false">
      <c r="A1543" s="3" t="n">
        <v>2016</v>
      </c>
      <c r="B1543" s="3" t="n">
        <v>3</v>
      </c>
      <c r="C1543" s="3" t="n">
        <v>21</v>
      </c>
      <c r="D1543" s="3" t="s">
        <v>1547</v>
      </c>
      <c r="E1543" s="4" t="n">
        <v>0</v>
      </c>
    </row>
    <row r="1544" customFormat="false" ht="15" hidden="false" customHeight="false" outlineLevel="0" collapsed="false">
      <c r="A1544" s="3" t="n">
        <v>2016</v>
      </c>
      <c r="B1544" s="3" t="n">
        <v>3</v>
      </c>
      <c r="C1544" s="3" t="n">
        <v>22</v>
      </c>
      <c r="D1544" s="3" t="s">
        <v>1548</v>
      </c>
      <c r="E1544" s="4" t="n">
        <v>0</v>
      </c>
    </row>
    <row r="1545" customFormat="false" ht="15" hidden="false" customHeight="false" outlineLevel="0" collapsed="false">
      <c r="A1545" s="3" t="n">
        <v>2016</v>
      </c>
      <c r="B1545" s="3" t="n">
        <v>3</v>
      </c>
      <c r="C1545" s="3" t="n">
        <v>23</v>
      </c>
      <c r="D1545" s="3" t="s">
        <v>1549</v>
      </c>
      <c r="E1545" s="4" t="n">
        <v>0</v>
      </c>
    </row>
    <row r="1546" customFormat="false" ht="15" hidden="false" customHeight="false" outlineLevel="0" collapsed="false">
      <c r="A1546" s="3" t="n">
        <v>2016</v>
      </c>
      <c r="B1546" s="3" t="n">
        <v>3</v>
      </c>
      <c r="C1546" s="3" t="n">
        <v>24</v>
      </c>
      <c r="D1546" s="3" t="s">
        <v>1550</v>
      </c>
      <c r="E1546" s="4" t="n">
        <v>0</v>
      </c>
    </row>
    <row r="1547" customFormat="false" ht="15" hidden="false" customHeight="false" outlineLevel="0" collapsed="false">
      <c r="A1547" s="3" t="n">
        <v>2016</v>
      </c>
      <c r="B1547" s="3" t="n">
        <v>3</v>
      </c>
      <c r="C1547" s="3" t="n">
        <v>25</v>
      </c>
      <c r="D1547" s="3" t="s">
        <v>1551</v>
      </c>
      <c r="E1547" s="4" t="n">
        <v>0</v>
      </c>
    </row>
    <row r="1548" customFormat="false" ht="15" hidden="false" customHeight="false" outlineLevel="0" collapsed="false">
      <c r="A1548" s="3" t="n">
        <v>2016</v>
      </c>
      <c r="B1548" s="3" t="n">
        <v>3</v>
      </c>
      <c r="C1548" s="3" t="n">
        <v>26</v>
      </c>
      <c r="D1548" s="3" t="s">
        <v>1552</v>
      </c>
      <c r="E1548" s="4" t="n">
        <v>0</v>
      </c>
    </row>
    <row r="1549" customFormat="false" ht="15" hidden="false" customHeight="false" outlineLevel="0" collapsed="false">
      <c r="A1549" s="3" t="n">
        <v>2016</v>
      </c>
      <c r="B1549" s="3" t="n">
        <v>3</v>
      </c>
      <c r="C1549" s="3" t="n">
        <v>27</v>
      </c>
      <c r="D1549" s="3" t="s">
        <v>1553</v>
      </c>
      <c r="E1549" s="4" t="n">
        <v>0</v>
      </c>
    </row>
    <row r="1550" customFormat="false" ht="15" hidden="false" customHeight="false" outlineLevel="0" collapsed="false">
      <c r="A1550" s="3" t="n">
        <v>2016</v>
      </c>
      <c r="B1550" s="3" t="n">
        <v>3</v>
      </c>
      <c r="C1550" s="3" t="n">
        <v>28</v>
      </c>
      <c r="D1550" s="3" t="s">
        <v>1554</v>
      </c>
      <c r="E1550" s="4" t="n">
        <v>18</v>
      </c>
    </row>
    <row r="1551" customFormat="false" ht="15" hidden="false" customHeight="false" outlineLevel="0" collapsed="false">
      <c r="A1551" s="3" t="n">
        <v>2016</v>
      </c>
      <c r="B1551" s="3" t="n">
        <v>3</v>
      </c>
      <c r="C1551" s="3" t="n">
        <v>29</v>
      </c>
      <c r="D1551" s="3" t="s">
        <v>1555</v>
      </c>
      <c r="E1551" s="4" t="n">
        <v>7</v>
      </c>
    </row>
    <row r="1552" customFormat="false" ht="15" hidden="false" customHeight="false" outlineLevel="0" collapsed="false">
      <c r="A1552" s="3" t="n">
        <v>2016</v>
      </c>
      <c r="B1552" s="3" t="n">
        <v>3</v>
      </c>
      <c r="C1552" s="3" t="n">
        <v>30</v>
      </c>
      <c r="D1552" s="3" t="s">
        <v>1556</v>
      </c>
      <c r="E1552" s="4" t="n">
        <v>26</v>
      </c>
    </row>
    <row r="1553" customFormat="false" ht="15" hidden="false" customHeight="false" outlineLevel="0" collapsed="false">
      <c r="A1553" s="3" t="n">
        <v>2016</v>
      </c>
      <c r="B1553" s="3" t="n">
        <v>3</v>
      </c>
      <c r="C1553" s="3" t="n">
        <v>31</v>
      </c>
      <c r="D1553" s="3" t="s">
        <v>1557</v>
      </c>
      <c r="E1553" s="4" t="n">
        <v>0</v>
      </c>
    </row>
    <row r="1554" customFormat="false" ht="15" hidden="false" customHeight="false" outlineLevel="0" collapsed="false">
      <c r="A1554" s="3" t="n">
        <v>2016</v>
      </c>
      <c r="B1554" s="3" t="n">
        <v>4</v>
      </c>
      <c r="C1554" s="3" t="n">
        <v>1</v>
      </c>
      <c r="D1554" s="3" t="s">
        <v>1558</v>
      </c>
      <c r="E1554" s="4" t="n">
        <v>0</v>
      </c>
    </row>
    <row r="1555" customFormat="false" ht="15" hidden="false" customHeight="false" outlineLevel="0" collapsed="false">
      <c r="A1555" s="3" t="n">
        <v>2016</v>
      </c>
      <c r="B1555" s="3" t="n">
        <v>4</v>
      </c>
      <c r="C1555" s="3" t="n">
        <v>2</v>
      </c>
      <c r="D1555" s="3" t="s">
        <v>1559</v>
      </c>
      <c r="E1555" s="4" t="n">
        <v>6</v>
      </c>
    </row>
    <row r="1556" customFormat="false" ht="15" hidden="false" customHeight="false" outlineLevel="0" collapsed="false">
      <c r="A1556" s="3" t="n">
        <v>2016</v>
      </c>
      <c r="B1556" s="3" t="n">
        <v>4</v>
      </c>
      <c r="C1556" s="3" t="n">
        <v>3</v>
      </c>
      <c r="D1556" s="3" t="s">
        <v>1560</v>
      </c>
      <c r="E1556" s="4" t="n">
        <v>0</v>
      </c>
    </row>
    <row r="1557" customFormat="false" ht="15" hidden="false" customHeight="false" outlineLevel="0" collapsed="false">
      <c r="A1557" s="3" t="n">
        <v>2016</v>
      </c>
      <c r="B1557" s="3" t="n">
        <v>4</v>
      </c>
      <c r="C1557" s="3" t="n">
        <v>4</v>
      </c>
      <c r="D1557" s="3" t="s">
        <v>1561</v>
      </c>
      <c r="E1557" s="4" t="n">
        <v>0</v>
      </c>
    </row>
    <row r="1558" customFormat="false" ht="15" hidden="false" customHeight="false" outlineLevel="0" collapsed="false">
      <c r="A1558" s="3" t="n">
        <v>2016</v>
      </c>
      <c r="B1558" s="3" t="n">
        <v>4</v>
      </c>
      <c r="C1558" s="3" t="n">
        <v>5</v>
      </c>
      <c r="D1558" s="3" t="s">
        <v>1562</v>
      </c>
      <c r="E1558" s="4" t="n">
        <v>31</v>
      </c>
    </row>
    <row r="1559" customFormat="false" ht="15" hidden="false" customHeight="false" outlineLevel="0" collapsed="false">
      <c r="A1559" s="3" t="n">
        <v>2016</v>
      </c>
      <c r="B1559" s="3" t="n">
        <v>4</v>
      </c>
      <c r="C1559" s="3" t="n">
        <v>6</v>
      </c>
      <c r="D1559" s="3" t="s">
        <v>1563</v>
      </c>
      <c r="E1559" s="4" t="n">
        <v>0</v>
      </c>
    </row>
    <row r="1560" customFormat="false" ht="15" hidden="false" customHeight="false" outlineLevel="0" collapsed="false">
      <c r="A1560" s="3" t="n">
        <v>2016</v>
      </c>
      <c r="B1560" s="3" t="n">
        <v>4</v>
      </c>
      <c r="C1560" s="3" t="n">
        <v>7</v>
      </c>
      <c r="D1560" s="3" t="s">
        <v>1564</v>
      </c>
      <c r="E1560" s="4" t="n">
        <v>0</v>
      </c>
    </row>
    <row r="1561" customFormat="false" ht="15" hidden="false" customHeight="false" outlineLevel="0" collapsed="false">
      <c r="A1561" s="3" t="n">
        <v>2016</v>
      </c>
      <c r="B1561" s="3" t="n">
        <v>4</v>
      </c>
      <c r="C1561" s="3" t="n">
        <v>8</v>
      </c>
      <c r="D1561" s="3" t="s">
        <v>1565</v>
      </c>
      <c r="E1561" s="4" t="n">
        <v>0</v>
      </c>
    </row>
    <row r="1562" customFormat="false" ht="15" hidden="false" customHeight="false" outlineLevel="0" collapsed="false">
      <c r="A1562" s="3" t="n">
        <v>2016</v>
      </c>
      <c r="B1562" s="3" t="n">
        <v>4</v>
      </c>
      <c r="C1562" s="3" t="n">
        <v>9</v>
      </c>
      <c r="D1562" s="3" t="s">
        <v>1566</v>
      </c>
      <c r="E1562" s="4" t="n">
        <v>0</v>
      </c>
    </row>
    <row r="1563" customFormat="false" ht="15" hidden="false" customHeight="false" outlineLevel="0" collapsed="false">
      <c r="A1563" s="3" t="n">
        <v>2016</v>
      </c>
      <c r="B1563" s="3" t="n">
        <v>4</v>
      </c>
      <c r="C1563" s="3" t="n">
        <v>10</v>
      </c>
      <c r="D1563" s="3" t="s">
        <v>1567</v>
      </c>
      <c r="E1563" s="4" t="n">
        <v>0</v>
      </c>
    </row>
    <row r="1564" customFormat="false" ht="15" hidden="false" customHeight="false" outlineLevel="0" collapsed="false">
      <c r="A1564" s="3" t="n">
        <v>2016</v>
      </c>
      <c r="B1564" s="3" t="n">
        <v>4</v>
      </c>
      <c r="C1564" s="3" t="n">
        <v>11</v>
      </c>
      <c r="D1564" s="3" t="s">
        <v>1568</v>
      </c>
      <c r="E1564" s="4" t="n">
        <v>0</v>
      </c>
    </row>
    <row r="1565" customFormat="false" ht="15" hidden="false" customHeight="false" outlineLevel="0" collapsed="false">
      <c r="A1565" s="3" t="n">
        <v>2016</v>
      </c>
      <c r="B1565" s="3" t="n">
        <v>4</v>
      </c>
      <c r="C1565" s="3" t="n">
        <v>12</v>
      </c>
      <c r="D1565" s="3" t="s">
        <v>1569</v>
      </c>
      <c r="E1565" s="4" t="n">
        <v>28</v>
      </c>
    </row>
    <row r="1566" customFormat="false" ht="15" hidden="false" customHeight="false" outlineLevel="0" collapsed="false">
      <c r="A1566" s="3" t="n">
        <v>2016</v>
      </c>
      <c r="B1566" s="3" t="n">
        <v>4</v>
      </c>
      <c r="C1566" s="3" t="n">
        <v>13</v>
      </c>
      <c r="D1566" s="3" t="s">
        <v>1570</v>
      </c>
      <c r="E1566" s="4" t="n">
        <v>2</v>
      </c>
    </row>
    <row r="1567" customFormat="false" ht="15" hidden="false" customHeight="false" outlineLevel="0" collapsed="false">
      <c r="A1567" s="3" t="n">
        <v>2016</v>
      </c>
      <c r="B1567" s="3" t="n">
        <v>4</v>
      </c>
      <c r="C1567" s="3" t="n">
        <v>14</v>
      </c>
      <c r="D1567" s="3" t="s">
        <v>1571</v>
      </c>
      <c r="E1567" s="4" t="n">
        <v>0</v>
      </c>
    </row>
    <row r="1568" customFormat="false" ht="15" hidden="false" customHeight="false" outlineLevel="0" collapsed="false">
      <c r="A1568" s="3" t="n">
        <v>2016</v>
      </c>
      <c r="B1568" s="3" t="n">
        <v>4</v>
      </c>
      <c r="C1568" s="3" t="n">
        <v>15</v>
      </c>
      <c r="D1568" s="3" t="s">
        <v>1572</v>
      </c>
      <c r="E1568" s="4" t="n">
        <v>13</v>
      </c>
    </row>
    <row r="1569" customFormat="false" ht="15" hidden="false" customHeight="false" outlineLevel="0" collapsed="false">
      <c r="A1569" s="3" t="n">
        <v>2016</v>
      </c>
      <c r="B1569" s="3" t="n">
        <v>4</v>
      </c>
      <c r="C1569" s="3" t="n">
        <v>16</v>
      </c>
      <c r="D1569" s="3" t="s">
        <v>1573</v>
      </c>
      <c r="E1569" s="4" t="n">
        <v>0</v>
      </c>
    </row>
    <row r="1570" customFormat="false" ht="15" hidden="false" customHeight="false" outlineLevel="0" collapsed="false">
      <c r="A1570" s="3" t="n">
        <v>2016</v>
      </c>
      <c r="B1570" s="3" t="n">
        <v>4</v>
      </c>
      <c r="C1570" s="3" t="n">
        <v>17</v>
      </c>
      <c r="D1570" s="3" t="s">
        <v>1574</v>
      </c>
      <c r="E1570" s="4" t="n">
        <v>59</v>
      </c>
    </row>
    <row r="1571" customFormat="false" ht="15" hidden="false" customHeight="false" outlineLevel="0" collapsed="false">
      <c r="A1571" s="3" t="n">
        <v>2016</v>
      </c>
      <c r="B1571" s="3" t="n">
        <v>4</v>
      </c>
      <c r="C1571" s="3" t="n">
        <v>18</v>
      </c>
      <c r="D1571" s="3" t="s">
        <v>1575</v>
      </c>
      <c r="E1571" s="4" t="n">
        <v>0</v>
      </c>
    </row>
    <row r="1572" customFormat="false" ht="15" hidden="false" customHeight="false" outlineLevel="0" collapsed="false">
      <c r="A1572" s="3" t="n">
        <v>2016</v>
      </c>
      <c r="B1572" s="3" t="n">
        <v>4</v>
      </c>
      <c r="C1572" s="3" t="n">
        <v>19</v>
      </c>
      <c r="D1572" s="3" t="s">
        <v>1576</v>
      </c>
      <c r="E1572" s="4" t="n">
        <v>0</v>
      </c>
    </row>
    <row r="1573" customFormat="false" ht="15" hidden="false" customHeight="false" outlineLevel="0" collapsed="false">
      <c r="A1573" s="3" t="n">
        <v>2016</v>
      </c>
      <c r="B1573" s="3" t="n">
        <v>4</v>
      </c>
      <c r="C1573" s="3" t="n">
        <v>20</v>
      </c>
      <c r="D1573" s="3" t="s">
        <v>1577</v>
      </c>
      <c r="E1573" s="4" t="n">
        <v>0</v>
      </c>
    </row>
    <row r="1574" customFormat="false" ht="15" hidden="false" customHeight="false" outlineLevel="0" collapsed="false">
      <c r="A1574" s="3" t="n">
        <v>2016</v>
      </c>
      <c r="B1574" s="3" t="n">
        <v>4</v>
      </c>
      <c r="C1574" s="3" t="n">
        <v>21</v>
      </c>
      <c r="D1574" s="3" t="s">
        <v>1578</v>
      </c>
      <c r="E1574" s="4" t="n">
        <v>28</v>
      </c>
    </row>
    <row r="1575" customFormat="false" ht="15" hidden="false" customHeight="false" outlineLevel="0" collapsed="false">
      <c r="A1575" s="3" t="n">
        <v>2016</v>
      </c>
      <c r="B1575" s="3" t="n">
        <v>4</v>
      </c>
      <c r="C1575" s="3" t="n">
        <v>22</v>
      </c>
      <c r="D1575" s="3" t="s">
        <v>1579</v>
      </c>
      <c r="E1575" s="4" t="n">
        <v>0</v>
      </c>
    </row>
    <row r="1576" customFormat="false" ht="15" hidden="false" customHeight="false" outlineLevel="0" collapsed="false">
      <c r="A1576" s="3" t="n">
        <v>2016</v>
      </c>
      <c r="B1576" s="3" t="n">
        <v>4</v>
      </c>
      <c r="C1576" s="3" t="n">
        <v>23</v>
      </c>
      <c r="D1576" s="3" t="s">
        <v>1580</v>
      </c>
      <c r="E1576" s="4" t="n">
        <v>0</v>
      </c>
    </row>
    <row r="1577" customFormat="false" ht="15" hidden="false" customHeight="false" outlineLevel="0" collapsed="false">
      <c r="A1577" s="3" t="n">
        <v>2016</v>
      </c>
      <c r="B1577" s="3" t="n">
        <v>4</v>
      </c>
      <c r="C1577" s="3" t="n">
        <v>24</v>
      </c>
      <c r="D1577" s="3" t="s">
        <v>1581</v>
      </c>
      <c r="E1577" s="4" t="n">
        <v>55</v>
      </c>
    </row>
    <row r="1578" customFormat="false" ht="15" hidden="false" customHeight="false" outlineLevel="0" collapsed="false">
      <c r="A1578" s="3" t="n">
        <v>2016</v>
      </c>
      <c r="B1578" s="3" t="n">
        <v>4</v>
      </c>
      <c r="C1578" s="3" t="n">
        <v>25</v>
      </c>
      <c r="D1578" s="3" t="s">
        <v>1582</v>
      </c>
      <c r="E1578" s="4" t="n">
        <v>0</v>
      </c>
    </row>
    <row r="1579" customFormat="false" ht="15" hidden="false" customHeight="false" outlineLevel="0" collapsed="false">
      <c r="A1579" s="3" t="n">
        <v>2016</v>
      </c>
      <c r="B1579" s="3" t="n">
        <v>4</v>
      </c>
      <c r="C1579" s="3" t="n">
        <v>26</v>
      </c>
      <c r="D1579" s="3" t="s">
        <v>1583</v>
      </c>
      <c r="E1579" s="4" t="n">
        <v>32</v>
      </c>
    </row>
    <row r="1580" customFormat="false" ht="15" hidden="false" customHeight="false" outlineLevel="0" collapsed="false">
      <c r="A1580" s="3" t="n">
        <v>2016</v>
      </c>
      <c r="B1580" s="3" t="n">
        <v>4</v>
      </c>
      <c r="C1580" s="3" t="n">
        <v>27</v>
      </c>
      <c r="D1580" s="3" t="s">
        <v>1584</v>
      </c>
      <c r="E1580" s="4" t="n">
        <v>20</v>
      </c>
    </row>
    <row r="1581" customFormat="false" ht="15" hidden="false" customHeight="false" outlineLevel="0" collapsed="false">
      <c r="A1581" s="3" t="n">
        <v>2016</v>
      </c>
      <c r="B1581" s="3" t="n">
        <v>4</v>
      </c>
      <c r="C1581" s="3" t="n">
        <v>28</v>
      </c>
      <c r="D1581" s="3" t="s">
        <v>1585</v>
      </c>
      <c r="E1581" s="4" t="n">
        <v>0</v>
      </c>
    </row>
    <row r="1582" customFormat="false" ht="15" hidden="false" customHeight="false" outlineLevel="0" collapsed="false">
      <c r="A1582" s="3" t="n">
        <v>2016</v>
      </c>
      <c r="B1582" s="3" t="n">
        <v>4</v>
      </c>
      <c r="C1582" s="3" t="n">
        <v>29</v>
      </c>
      <c r="D1582" s="3" t="s">
        <v>1586</v>
      </c>
      <c r="E1582" s="4" t="n">
        <v>0</v>
      </c>
    </row>
    <row r="1583" customFormat="false" ht="15" hidden="false" customHeight="false" outlineLevel="0" collapsed="false">
      <c r="A1583" s="3" t="n">
        <v>2016</v>
      </c>
      <c r="B1583" s="3" t="n">
        <v>4</v>
      </c>
      <c r="C1583" s="3" t="n">
        <v>30</v>
      </c>
      <c r="D1583" s="3" t="s">
        <v>1587</v>
      </c>
      <c r="E1583" s="4" t="n">
        <v>0</v>
      </c>
    </row>
    <row r="1584" customFormat="false" ht="15" hidden="false" customHeight="false" outlineLevel="0" collapsed="false">
      <c r="A1584" s="3" t="n">
        <v>2016</v>
      </c>
      <c r="B1584" s="3" t="n">
        <v>5</v>
      </c>
      <c r="C1584" s="3" t="n">
        <v>1</v>
      </c>
      <c r="D1584" s="3" t="s">
        <v>1588</v>
      </c>
      <c r="E1584" s="4" t="n">
        <v>67</v>
      </c>
    </row>
    <row r="1585" customFormat="false" ht="15" hidden="false" customHeight="false" outlineLevel="0" collapsed="false">
      <c r="A1585" s="3" t="n">
        <v>2016</v>
      </c>
      <c r="B1585" s="3" t="n">
        <v>5</v>
      </c>
      <c r="C1585" s="3" t="n">
        <v>2</v>
      </c>
      <c r="D1585" s="3" t="s">
        <v>1589</v>
      </c>
      <c r="E1585" s="4" t="n">
        <v>0</v>
      </c>
    </row>
    <row r="1586" customFormat="false" ht="15" hidden="false" customHeight="false" outlineLevel="0" collapsed="false">
      <c r="A1586" s="3" t="n">
        <v>2016</v>
      </c>
      <c r="B1586" s="3" t="n">
        <v>5</v>
      </c>
      <c r="C1586" s="3" t="n">
        <v>3</v>
      </c>
      <c r="D1586" s="3" t="s">
        <v>1590</v>
      </c>
      <c r="E1586" s="4" t="n">
        <v>12</v>
      </c>
    </row>
    <row r="1587" customFormat="false" ht="15" hidden="false" customHeight="false" outlineLevel="0" collapsed="false">
      <c r="A1587" s="3" t="n">
        <v>2016</v>
      </c>
      <c r="B1587" s="3" t="n">
        <v>5</v>
      </c>
      <c r="C1587" s="3" t="n">
        <v>4</v>
      </c>
      <c r="D1587" s="3" t="s">
        <v>1591</v>
      </c>
      <c r="E1587" s="4" t="n">
        <v>34</v>
      </c>
    </row>
    <row r="1588" customFormat="false" ht="15" hidden="false" customHeight="false" outlineLevel="0" collapsed="false">
      <c r="A1588" s="3" t="n">
        <v>2016</v>
      </c>
      <c r="B1588" s="3" t="n">
        <v>5</v>
      </c>
      <c r="C1588" s="3" t="n">
        <v>5</v>
      </c>
      <c r="D1588" s="3" t="s">
        <v>1592</v>
      </c>
      <c r="E1588" s="4" t="n">
        <v>0</v>
      </c>
    </row>
    <row r="1589" customFormat="false" ht="15" hidden="false" customHeight="false" outlineLevel="0" collapsed="false">
      <c r="A1589" s="3" t="n">
        <v>2016</v>
      </c>
      <c r="B1589" s="3" t="n">
        <v>5</v>
      </c>
      <c r="C1589" s="3" t="n">
        <v>6</v>
      </c>
      <c r="D1589" s="3" t="s">
        <v>1593</v>
      </c>
      <c r="E1589" s="4" t="n">
        <v>14</v>
      </c>
    </row>
    <row r="1590" customFormat="false" ht="15" hidden="false" customHeight="false" outlineLevel="0" collapsed="false">
      <c r="A1590" s="3" t="n">
        <v>2016</v>
      </c>
      <c r="B1590" s="3" t="n">
        <v>5</v>
      </c>
      <c r="C1590" s="3" t="n">
        <v>7</v>
      </c>
      <c r="D1590" s="3" t="s">
        <v>1594</v>
      </c>
      <c r="E1590" s="4" t="n">
        <v>0</v>
      </c>
    </row>
    <row r="1591" customFormat="false" ht="15" hidden="false" customHeight="false" outlineLevel="0" collapsed="false">
      <c r="A1591" s="3" t="n">
        <v>2016</v>
      </c>
      <c r="B1591" s="3" t="n">
        <v>5</v>
      </c>
      <c r="C1591" s="3" t="n">
        <v>8</v>
      </c>
      <c r="D1591" s="3" t="s">
        <v>1595</v>
      </c>
      <c r="E1591" s="4" t="n">
        <v>0</v>
      </c>
    </row>
    <row r="1592" customFormat="false" ht="15" hidden="false" customHeight="false" outlineLevel="0" collapsed="false">
      <c r="A1592" s="3" t="n">
        <v>2016</v>
      </c>
      <c r="B1592" s="3" t="n">
        <v>5</v>
      </c>
      <c r="C1592" s="3" t="n">
        <v>9</v>
      </c>
      <c r="D1592" s="3" t="s">
        <v>1596</v>
      </c>
      <c r="E1592" s="4" t="n">
        <v>10</v>
      </c>
    </row>
    <row r="1593" customFormat="false" ht="15" hidden="false" customHeight="false" outlineLevel="0" collapsed="false">
      <c r="A1593" s="3" t="n">
        <v>2016</v>
      </c>
      <c r="B1593" s="3" t="n">
        <v>5</v>
      </c>
      <c r="C1593" s="3" t="n">
        <v>10</v>
      </c>
      <c r="D1593" s="3" t="s">
        <v>1597</v>
      </c>
      <c r="E1593" s="4" t="n">
        <v>32</v>
      </c>
    </row>
    <row r="1594" customFormat="false" ht="15" hidden="false" customHeight="false" outlineLevel="0" collapsed="false">
      <c r="A1594" s="3" t="n">
        <v>2016</v>
      </c>
      <c r="B1594" s="3" t="n">
        <v>5</v>
      </c>
      <c r="C1594" s="3" t="n">
        <v>11</v>
      </c>
      <c r="D1594" s="3" t="s">
        <v>1598</v>
      </c>
      <c r="E1594" s="4" t="n">
        <v>35</v>
      </c>
    </row>
    <row r="1595" customFormat="false" ht="15" hidden="false" customHeight="false" outlineLevel="0" collapsed="false">
      <c r="A1595" s="3" t="n">
        <v>2016</v>
      </c>
      <c r="B1595" s="3" t="n">
        <v>5</v>
      </c>
      <c r="C1595" s="3" t="n">
        <v>12</v>
      </c>
      <c r="D1595" s="3" t="s">
        <v>1599</v>
      </c>
      <c r="E1595" s="4" t="n">
        <v>29</v>
      </c>
    </row>
    <row r="1596" customFormat="false" ht="15" hidden="false" customHeight="false" outlineLevel="0" collapsed="false">
      <c r="A1596" s="3" t="n">
        <v>2016</v>
      </c>
      <c r="B1596" s="3" t="n">
        <v>5</v>
      </c>
      <c r="C1596" s="3" t="n">
        <v>13</v>
      </c>
      <c r="D1596" s="3" t="s">
        <v>1600</v>
      </c>
      <c r="E1596" s="4" t="n">
        <v>2</v>
      </c>
    </row>
    <row r="1597" customFormat="false" ht="15" hidden="false" customHeight="false" outlineLevel="0" collapsed="false">
      <c r="A1597" s="3" t="n">
        <v>2016</v>
      </c>
      <c r="B1597" s="3" t="n">
        <v>5</v>
      </c>
      <c r="C1597" s="3" t="n">
        <v>14</v>
      </c>
      <c r="D1597" s="3" t="s">
        <v>1601</v>
      </c>
      <c r="E1597" s="4" t="n">
        <v>40</v>
      </c>
    </row>
    <row r="1598" customFormat="false" ht="15" hidden="false" customHeight="false" outlineLevel="0" collapsed="false">
      <c r="A1598" s="3" t="n">
        <v>2016</v>
      </c>
      <c r="B1598" s="3" t="n">
        <v>5</v>
      </c>
      <c r="C1598" s="3" t="n">
        <v>15</v>
      </c>
      <c r="D1598" s="3" t="s">
        <v>1602</v>
      </c>
      <c r="E1598" s="4" t="n">
        <v>55</v>
      </c>
    </row>
    <row r="1599" customFormat="false" ht="15" hidden="false" customHeight="false" outlineLevel="0" collapsed="false">
      <c r="A1599" s="3" t="n">
        <v>2016</v>
      </c>
      <c r="B1599" s="3" t="n">
        <v>5</v>
      </c>
      <c r="C1599" s="3" t="n">
        <v>16</v>
      </c>
      <c r="D1599" s="3" t="s">
        <v>1603</v>
      </c>
      <c r="E1599" s="4" t="n">
        <v>28</v>
      </c>
    </row>
    <row r="1600" customFormat="false" ht="15" hidden="false" customHeight="false" outlineLevel="0" collapsed="false">
      <c r="A1600" s="3" t="n">
        <v>2016</v>
      </c>
      <c r="B1600" s="3" t="n">
        <v>5</v>
      </c>
      <c r="C1600" s="3" t="n">
        <v>17</v>
      </c>
      <c r="D1600" s="3" t="s">
        <v>1604</v>
      </c>
      <c r="E1600" s="4" t="n">
        <v>0</v>
      </c>
    </row>
    <row r="1601" customFormat="false" ht="15" hidden="false" customHeight="false" outlineLevel="0" collapsed="false">
      <c r="A1601" s="3" t="n">
        <v>2016</v>
      </c>
      <c r="B1601" s="3" t="n">
        <v>5</v>
      </c>
      <c r="C1601" s="3" t="n">
        <v>18</v>
      </c>
      <c r="D1601" s="3" t="s">
        <v>1605</v>
      </c>
      <c r="E1601" s="4" t="n">
        <v>35</v>
      </c>
    </row>
    <row r="1602" customFormat="false" ht="15" hidden="false" customHeight="false" outlineLevel="0" collapsed="false">
      <c r="A1602" s="3" t="n">
        <v>2016</v>
      </c>
      <c r="B1602" s="3" t="n">
        <v>5</v>
      </c>
      <c r="C1602" s="3" t="n">
        <v>19</v>
      </c>
      <c r="D1602" s="3" t="s">
        <v>1606</v>
      </c>
      <c r="E1602" s="4" t="n">
        <v>23</v>
      </c>
    </row>
    <row r="1603" customFormat="false" ht="15" hidden="false" customHeight="false" outlineLevel="0" collapsed="false">
      <c r="A1603" s="3" t="n">
        <v>2016</v>
      </c>
      <c r="B1603" s="3" t="n">
        <v>5</v>
      </c>
      <c r="C1603" s="3" t="n">
        <v>20</v>
      </c>
      <c r="D1603" s="3" t="s">
        <v>1607</v>
      </c>
      <c r="E1603" s="4" t="n">
        <v>12</v>
      </c>
    </row>
    <row r="1604" customFormat="false" ht="15" hidden="false" customHeight="false" outlineLevel="0" collapsed="false">
      <c r="A1604" s="3" t="n">
        <v>2016</v>
      </c>
      <c r="B1604" s="3" t="n">
        <v>5</v>
      </c>
      <c r="C1604" s="3" t="n">
        <v>21</v>
      </c>
      <c r="D1604" s="3" t="s">
        <v>1608</v>
      </c>
      <c r="E1604" s="4" t="n">
        <v>0</v>
      </c>
    </row>
    <row r="1605" customFormat="false" ht="15" hidden="false" customHeight="false" outlineLevel="0" collapsed="false">
      <c r="A1605" s="3" t="n">
        <v>2016</v>
      </c>
      <c r="B1605" s="3" t="n">
        <v>5</v>
      </c>
      <c r="C1605" s="3" t="n">
        <v>22</v>
      </c>
      <c r="D1605" s="3" t="s">
        <v>1609</v>
      </c>
      <c r="E1605" s="4" t="n">
        <v>7</v>
      </c>
    </row>
    <row r="1606" customFormat="false" ht="15" hidden="false" customHeight="false" outlineLevel="0" collapsed="false">
      <c r="A1606" s="3" t="n">
        <v>2016</v>
      </c>
      <c r="B1606" s="3" t="n">
        <v>5</v>
      </c>
      <c r="C1606" s="3" t="n">
        <v>23</v>
      </c>
      <c r="D1606" s="3" t="s">
        <v>1610</v>
      </c>
      <c r="E1606" s="4" t="n">
        <v>0</v>
      </c>
    </row>
    <row r="1607" customFormat="false" ht="15" hidden="false" customHeight="false" outlineLevel="0" collapsed="false">
      <c r="A1607" s="3" t="n">
        <v>2016</v>
      </c>
      <c r="B1607" s="3" t="n">
        <v>5</v>
      </c>
      <c r="C1607" s="3" t="n">
        <v>24</v>
      </c>
      <c r="D1607" s="3" t="s">
        <v>1611</v>
      </c>
      <c r="E1607" s="4" t="n">
        <v>0</v>
      </c>
    </row>
    <row r="1608" customFormat="false" ht="15" hidden="false" customHeight="false" outlineLevel="0" collapsed="false">
      <c r="A1608" s="3" t="n">
        <v>2016</v>
      </c>
      <c r="B1608" s="3" t="n">
        <v>5</v>
      </c>
      <c r="C1608" s="3" t="n">
        <v>25</v>
      </c>
      <c r="D1608" s="3" t="s">
        <v>1612</v>
      </c>
      <c r="E1608" s="4" t="n">
        <v>0</v>
      </c>
    </row>
    <row r="1609" customFormat="false" ht="15" hidden="false" customHeight="false" outlineLevel="0" collapsed="false">
      <c r="A1609" s="3" t="n">
        <v>2016</v>
      </c>
      <c r="B1609" s="3" t="n">
        <v>5</v>
      </c>
      <c r="C1609" s="3" t="n">
        <v>26</v>
      </c>
      <c r="D1609" s="3" t="s">
        <v>1613</v>
      </c>
      <c r="E1609" s="4" t="n">
        <v>36</v>
      </c>
    </row>
    <row r="1610" customFormat="false" ht="15" hidden="false" customHeight="false" outlineLevel="0" collapsed="false">
      <c r="A1610" s="3" t="n">
        <v>2016</v>
      </c>
      <c r="B1610" s="3" t="n">
        <v>5</v>
      </c>
      <c r="C1610" s="3" t="n">
        <v>27</v>
      </c>
      <c r="D1610" s="3" t="s">
        <v>1614</v>
      </c>
      <c r="E1610" s="4" t="n">
        <v>0</v>
      </c>
    </row>
    <row r="1611" customFormat="false" ht="15" hidden="false" customHeight="false" outlineLevel="0" collapsed="false">
      <c r="A1611" s="3" t="n">
        <v>2016</v>
      </c>
      <c r="B1611" s="3" t="n">
        <v>5</v>
      </c>
      <c r="C1611" s="3" t="n">
        <v>28</v>
      </c>
      <c r="D1611" s="3" t="s">
        <v>1615</v>
      </c>
      <c r="E1611" s="4" t="n">
        <v>11</v>
      </c>
    </row>
    <row r="1612" customFormat="false" ht="15" hidden="false" customHeight="false" outlineLevel="0" collapsed="false">
      <c r="A1612" s="3" t="n">
        <v>2016</v>
      </c>
      <c r="B1612" s="3" t="n">
        <v>5</v>
      </c>
      <c r="C1612" s="3" t="n">
        <v>29</v>
      </c>
      <c r="D1612" s="3" t="s">
        <v>1616</v>
      </c>
      <c r="E1612" s="4" t="n">
        <v>0</v>
      </c>
    </row>
    <row r="1613" customFormat="false" ht="15" hidden="false" customHeight="false" outlineLevel="0" collapsed="false">
      <c r="A1613" s="3" t="n">
        <v>2016</v>
      </c>
      <c r="B1613" s="3" t="n">
        <v>5</v>
      </c>
      <c r="C1613" s="3" t="n">
        <v>30</v>
      </c>
      <c r="D1613" s="3" t="s">
        <v>1617</v>
      </c>
      <c r="E1613" s="4" t="n">
        <v>0</v>
      </c>
    </row>
    <row r="1614" customFormat="false" ht="15" hidden="false" customHeight="false" outlineLevel="0" collapsed="false">
      <c r="A1614" s="3" t="n">
        <v>2016</v>
      </c>
      <c r="B1614" s="3" t="n">
        <v>5</v>
      </c>
      <c r="C1614" s="3" t="n">
        <v>31</v>
      </c>
      <c r="D1614" s="3" t="s">
        <v>1618</v>
      </c>
      <c r="E1614" s="4" t="n">
        <v>32</v>
      </c>
    </row>
    <row r="1615" customFormat="false" ht="15" hidden="false" customHeight="false" outlineLevel="0" collapsed="false">
      <c r="A1615" s="3" t="n">
        <v>2016</v>
      </c>
      <c r="B1615" s="3" t="n">
        <v>6</v>
      </c>
      <c r="C1615" s="3" t="n">
        <v>1</v>
      </c>
      <c r="D1615" s="3" t="s">
        <v>1619</v>
      </c>
      <c r="E1615" s="4" t="n">
        <v>0</v>
      </c>
    </row>
    <row r="1616" customFormat="false" ht="15" hidden="false" customHeight="false" outlineLevel="0" collapsed="false">
      <c r="A1616" s="3" t="n">
        <v>2016</v>
      </c>
      <c r="B1616" s="3" t="n">
        <v>6</v>
      </c>
      <c r="C1616" s="3" t="n">
        <v>2</v>
      </c>
      <c r="D1616" s="3" t="s">
        <v>1620</v>
      </c>
      <c r="E1616" s="4" t="n">
        <v>4</v>
      </c>
    </row>
    <row r="1617" customFormat="false" ht="15" hidden="false" customHeight="false" outlineLevel="0" collapsed="false">
      <c r="A1617" s="3" t="n">
        <v>2016</v>
      </c>
      <c r="B1617" s="3" t="n">
        <v>6</v>
      </c>
      <c r="C1617" s="3" t="n">
        <v>3</v>
      </c>
      <c r="D1617" s="3" t="s">
        <v>1621</v>
      </c>
      <c r="E1617" s="4" t="n">
        <v>0</v>
      </c>
    </row>
    <row r="1618" customFormat="false" ht="15" hidden="false" customHeight="false" outlineLevel="0" collapsed="false">
      <c r="A1618" s="3" t="n">
        <v>2016</v>
      </c>
      <c r="B1618" s="3" t="n">
        <v>6</v>
      </c>
      <c r="C1618" s="3" t="n">
        <v>4</v>
      </c>
      <c r="D1618" s="3" t="s">
        <v>1622</v>
      </c>
      <c r="E1618" s="4" t="n">
        <v>1</v>
      </c>
    </row>
    <row r="1619" customFormat="false" ht="15" hidden="false" customHeight="false" outlineLevel="0" collapsed="false">
      <c r="A1619" s="3" t="n">
        <v>2016</v>
      </c>
      <c r="B1619" s="3" t="n">
        <v>6</v>
      </c>
      <c r="C1619" s="3" t="n">
        <v>5</v>
      </c>
      <c r="D1619" s="3" t="s">
        <v>1623</v>
      </c>
      <c r="E1619" s="4" t="n">
        <v>0</v>
      </c>
    </row>
    <row r="1620" customFormat="false" ht="15" hidden="false" customHeight="false" outlineLevel="0" collapsed="false">
      <c r="A1620" s="3" t="n">
        <v>2016</v>
      </c>
      <c r="B1620" s="3" t="n">
        <v>6</v>
      </c>
      <c r="C1620" s="3" t="n">
        <v>6</v>
      </c>
      <c r="D1620" s="3" t="s">
        <v>1624</v>
      </c>
      <c r="E1620" s="4" t="n">
        <v>8</v>
      </c>
    </row>
    <row r="1621" customFormat="false" ht="15" hidden="false" customHeight="false" outlineLevel="0" collapsed="false">
      <c r="A1621" s="3" t="n">
        <v>2016</v>
      </c>
      <c r="B1621" s="3" t="n">
        <v>6</v>
      </c>
      <c r="C1621" s="3" t="n">
        <v>7</v>
      </c>
      <c r="D1621" s="3" t="s">
        <v>1625</v>
      </c>
      <c r="E1621" s="4" t="n">
        <v>0</v>
      </c>
    </row>
    <row r="1622" customFormat="false" ht="15" hidden="false" customHeight="false" outlineLevel="0" collapsed="false">
      <c r="A1622" s="3" t="n">
        <v>2016</v>
      </c>
      <c r="B1622" s="3" t="n">
        <v>6</v>
      </c>
      <c r="C1622" s="3" t="n">
        <v>8</v>
      </c>
      <c r="D1622" s="3" t="s">
        <v>1626</v>
      </c>
      <c r="E1622" s="4" t="n">
        <v>0</v>
      </c>
    </row>
    <row r="1623" customFormat="false" ht="15" hidden="false" customHeight="false" outlineLevel="0" collapsed="false">
      <c r="A1623" s="3" t="n">
        <v>2016</v>
      </c>
      <c r="B1623" s="3" t="n">
        <v>6</v>
      </c>
      <c r="C1623" s="3" t="n">
        <v>9</v>
      </c>
      <c r="D1623" s="3" t="s">
        <v>1627</v>
      </c>
      <c r="E1623" s="4" t="n">
        <v>0</v>
      </c>
    </row>
    <row r="1624" customFormat="false" ht="15" hidden="false" customHeight="false" outlineLevel="0" collapsed="false">
      <c r="A1624" s="3" t="n">
        <v>2016</v>
      </c>
      <c r="B1624" s="3" t="n">
        <v>6</v>
      </c>
      <c r="C1624" s="3" t="n">
        <v>10</v>
      </c>
      <c r="D1624" s="3" t="s">
        <v>1628</v>
      </c>
      <c r="E1624" s="4" t="n">
        <v>1</v>
      </c>
    </row>
    <row r="1625" customFormat="false" ht="15" hidden="false" customHeight="false" outlineLevel="0" collapsed="false">
      <c r="A1625" s="3" t="n">
        <v>2016</v>
      </c>
      <c r="B1625" s="3" t="n">
        <v>6</v>
      </c>
      <c r="C1625" s="3" t="n">
        <v>11</v>
      </c>
      <c r="D1625" s="3" t="s">
        <v>1629</v>
      </c>
      <c r="E1625" s="4" t="n">
        <v>86</v>
      </c>
    </row>
    <row r="1626" customFormat="false" ht="15" hidden="false" customHeight="false" outlineLevel="0" collapsed="false">
      <c r="A1626" s="3" t="n">
        <v>2016</v>
      </c>
      <c r="B1626" s="3" t="n">
        <v>6</v>
      </c>
      <c r="C1626" s="3" t="n">
        <v>12</v>
      </c>
      <c r="D1626" s="3" t="s">
        <v>1630</v>
      </c>
      <c r="E1626" s="4" t="n">
        <v>0</v>
      </c>
    </row>
    <row r="1627" customFormat="false" ht="15" hidden="false" customHeight="false" outlineLevel="0" collapsed="false">
      <c r="A1627" s="3" t="n">
        <v>2016</v>
      </c>
      <c r="B1627" s="3" t="n">
        <v>6</v>
      </c>
      <c r="C1627" s="3" t="n">
        <v>13</v>
      </c>
      <c r="D1627" s="3" t="s">
        <v>1631</v>
      </c>
      <c r="E1627" s="4" t="n">
        <v>0</v>
      </c>
    </row>
    <row r="1628" customFormat="false" ht="15" hidden="false" customHeight="false" outlineLevel="0" collapsed="false">
      <c r="A1628" s="3" t="n">
        <v>2016</v>
      </c>
      <c r="B1628" s="3" t="n">
        <v>6</v>
      </c>
      <c r="C1628" s="3" t="n">
        <v>14</v>
      </c>
      <c r="D1628" s="3" t="s">
        <v>1632</v>
      </c>
      <c r="E1628" s="4" t="n">
        <v>0</v>
      </c>
    </row>
    <row r="1629" customFormat="false" ht="15" hidden="false" customHeight="false" outlineLevel="0" collapsed="false">
      <c r="A1629" s="3" t="n">
        <v>2016</v>
      </c>
      <c r="B1629" s="3" t="n">
        <v>6</v>
      </c>
      <c r="C1629" s="3" t="n">
        <v>15</v>
      </c>
      <c r="D1629" s="3" t="s">
        <v>1633</v>
      </c>
      <c r="E1629" s="4" t="n">
        <v>33</v>
      </c>
    </row>
    <row r="1630" customFormat="false" ht="15" hidden="false" customHeight="false" outlineLevel="0" collapsed="false">
      <c r="A1630" s="3" t="n">
        <v>2016</v>
      </c>
      <c r="B1630" s="3" t="n">
        <v>6</v>
      </c>
      <c r="C1630" s="3" t="n">
        <v>16</v>
      </c>
      <c r="D1630" s="3" t="s">
        <v>1634</v>
      </c>
      <c r="E1630" s="4" t="n">
        <v>0</v>
      </c>
    </row>
    <row r="1631" customFormat="false" ht="15" hidden="false" customHeight="false" outlineLevel="0" collapsed="false">
      <c r="A1631" s="3" t="n">
        <v>2016</v>
      </c>
      <c r="B1631" s="3" t="n">
        <v>6</v>
      </c>
      <c r="C1631" s="3" t="n">
        <v>17</v>
      </c>
      <c r="D1631" s="3" t="s">
        <v>1635</v>
      </c>
      <c r="E1631" s="4" t="n">
        <v>21</v>
      </c>
    </row>
    <row r="1632" customFormat="false" ht="15" hidden="false" customHeight="false" outlineLevel="0" collapsed="false">
      <c r="A1632" s="3" t="n">
        <v>2016</v>
      </c>
      <c r="B1632" s="3" t="n">
        <v>6</v>
      </c>
      <c r="C1632" s="3" t="n">
        <v>18</v>
      </c>
      <c r="D1632" s="3" t="s">
        <v>1636</v>
      </c>
      <c r="E1632" s="4" t="n">
        <v>61</v>
      </c>
    </row>
    <row r="1633" customFormat="false" ht="15" hidden="false" customHeight="false" outlineLevel="0" collapsed="false">
      <c r="A1633" s="3" t="n">
        <v>2016</v>
      </c>
      <c r="B1633" s="3" t="n">
        <v>6</v>
      </c>
      <c r="C1633" s="3" t="n">
        <v>19</v>
      </c>
      <c r="D1633" s="3" t="s">
        <v>1637</v>
      </c>
      <c r="E1633" s="4" t="n">
        <v>29</v>
      </c>
    </row>
    <row r="1634" customFormat="false" ht="15" hidden="false" customHeight="false" outlineLevel="0" collapsed="false">
      <c r="A1634" s="3" t="n">
        <v>2016</v>
      </c>
      <c r="B1634" s="3" t="n">
        <v>6</v>
      </c>
      <c r="C1634" s="3" t="n">
        <v>20</v>
      </c>
      <c r="D1634" s="3" t="s">
        <v>1638</v>
      </c>
      <c r="E1634" s="4" t="n">
        <v>23</v>
      </c>
    </row>
    <row r="1635" customFormat="false" ht="15" hidden="false" customHeight="false" outlineLevel="0" collapsed="false">
      <c r="A1635" s="3" t="n">
        <v>2016</v>
      </c>
      <c r="B1635" s="3" t="n">
        <v>6</v>
      </c>
      <c r="C1635" s="3" t="n">
        <v>21</v>
      </c>
      <c r="D1635" s="3" t="s">
        <v>1639</v>
      </c>
      <c r="E1635" s="4" t="n">
        <v>0</v>
      </c>
    </row>
    <row r="1636" customFormat="false" ht="15" hidden="false" customHeight="false" outlineLevel="0" collapsed="false">
      <c r="A1636" s="3" t="n">
        <v>2016</v>
      </c>
      <c r="B1636" s="3" t="n">
        <v>6</v>
      </c>
      <c r="C1636" s="3" t="n">
        <v>22</v>
      </c>
      <c r="D1636" s="3" t="s">
        <v>1640</v>
      </c>
      <c r="E1636" s="4" t="n">
        <v>0</v>
      </c>
    </row>
    <row r="1637" customFormat="false" ht="15" hidden="false" customHeight="false" outlineLevel="0" collapsed="false">
      <c r="A1637" s="3" t="n">
        <v>2016</v>
      </c>
      <c r="B1637" s="3" t="n">
        <v>6</v>
      </c>
      <c r="C1637" s="3" t="n">
        <v>23</v>
      </c>
      <c r="D1637" s="3" t="s">
        <v>1641</v>
      </c>
      <c r="E1637" s="4" t="n">
        <v>0</v>
      </c>
    </row>
    <row r="1638" customFormat="false" ht="15" hidden="false" customHeight="false" outlineLevel="0" collapsed="false">
      <c r="A1638" s="3" t="n">
        <v>2016</v>
      </c>
      <c r="B1638" s="3" t="n">
        <v>6</v>
      </c>
      <c r="C1638" s="3" t="n">
        <v>24</v>
      </c>
      <c r="D1638" s="3" t="s">
        <v>1642</v>
      </c>
      <c r="E1638" s="4" t="n">
        <v>0</v>
      </c>
    </row>
    <row r="1639" customFormat="false" ht="15" hidden="false" customHeight="false" outlineLevel="0" collapsed="false">
      <c r="A1639" s="3" t="n">
        <v>2016</v>
      </c>
      <c r="B1639" s="3" t="n">
        <v>6</v>
      </c>
      <c r="C1639" s="3" t="n">
        <v>25</v>
      </c>
      <c r="D1639" s="3" t="s">
        <v>1643</v>
      </c>
      <c r="E1639" s="4" t="n">
        <v>4</v>
      </c>
    </row>
    <row r="1640" customFormat="false" ht="15" hidden="false" customHeight="false" outlineLevel="0" collapsed="false">
      <c r="A1640" s="3" t="n">
        <v>2016</v>
      </c>
      <c r="B1640" s="3" t="n">
        <v>6</v>
      </c>
      <c r="C1640" s="3" t="n">
        <v>26</v>
      </c>
      <c r="D1640" s="3" t="s">
        <v>1644</v>
      </c>
      <c r="E1640" s="4" t="n">
        <v>7</v>
      </c>
    </row>
    <row r="1641" customFormat="false" ht="15" hidden="false" customHeight="false" outlineLevel="0" collapsed="false">
      <c r="A1641" s="3" t="n">
        <v>2016</v>
      </c>
      <c r="B1641" s="3" t="n">
        <v>6</v>
      </c>
      <c r="C1641" s="3" t="n">
        <v>27</v>
      </c>
      <c r="D1641" s="3" t="s">
        <v>1645</v>
      </c>
      <c r="E1641" s="4" t="n">
        <v>0</v>
      </c>
    </row>
    <row r="1642" customFormat="false" ht="15" hidden="false" customHeight="false" outlineLevel="0" collapsed="false">
      <c r="A1642" s="3" t="n">
        <v>2016</v>
      </c>
      <c r="B1642" s="3" t="n">
        <v>6</v>
      </c>
      <c r="C1642" s="3" t="n">
        <v>28</v>
      </c>
      <c r="D1642" s="3" t="s">
        <v>1646</v>
      </c>
      <c r="E1642" s="4" t="n">
        <v>0</v>
      </c>
    </row>
    <row r="1643" customFormat="false" ht="15" hidden="false" customHeight="false" outlineLevel="0" collapsed="false">
      <c r="A1643" s="3" t="n">
        <v>2016</v>
      </c>
      <c r="B1643" s="3" t="n">
        <v>6</v>
      </c>
      <c r="C1643" s="3" t="n">
        <v>29</v>
      </c>
      <c r="D1643" s="3" t="s">
        <v>1647</v>
      </c>
      <c r="E1643" s="4" t="n">
        <v>1</v>
      </c>
    </row>
    <row r="1644" customFormat="false" ht="15" hidden="false" customHeight="false" outlineLevel="0" collapsed="false">
      <c r="A1644" s="3" t="n">
        <v>2016</v>
      </c>
      <c r="B1644" s="3" t="n">
        <v>6</v>
      </c>
      <c r="C1644" s="3" t="n">
        <v>30</v>
      </c>
      <c r="D1644" s="3" t="s">
        <v>1648</v>
      </c>
      <c r="E1644" s="4" t="n">
        <v>0</v>
      </c>
    </row>
    <row r="1645" customFormat="false" ht="15" hidden="false" customHeight="false" outlineLevel="0" collapsed="false">
      <c r="A1645" s="3" t="n">
        <v>2016</v>
      </c>
      <c r="B1645" s="3" t="n">
        <v>7</v>
      </c>
      <c r="C1645" s="3" t="n">
        <v>1</v>
      </c>
      <c r="D1645" s="3" t="s">
        <v>1649</v>
      </c>
      <c r="E1645" s="4" t="n">
        <v>0</v>
      </c>
    </row>
    <row r="1646" customFormat="false" ht="15" hidden="false" customHeight="false" outlineLevel="0" collapsed="false">
      <c r="A1646" s="3" t="n">
        <v>2016</v>
      </c>
      <c r="B1646" s="3" t="n">
        <v>7</v>
      </c>
      <c r="C1646" s="3" t="n">
        <v>2</v>
      </c>
      <c r="D1646" s="3" t="s">
        <v>1650</v>
      </c>
      <c r="E1646" s="4" t="n">
        <v>0</v>
      </c>
    </row>
    <row r="1647" customFormat="false" ht="15" hidden="false" customHeight="false" outlineLevel="0" collapsed="false">
      <c r="A1647" s="3" t="n">
        <v>2016</v>
      </c>
      <c r="B1647" s="3" t="n">
        <v>7</v>
      </c>
      <c r="C1647" s="3" t="n">
        <v>3</v>
      </c>
      <c r="D1647" s="3" t="s">
        <v>1651</v>
      </c>
      <c r="E1647" s="4" t="n">
        <v>0</v>
      </c>
    </row>
    <row r="1648" customFormat="false" ht="15" hidden="false" customHeight="false" outlineLevel="0" collapsed="false">
      <c r="A1648" s="3" t="n">
        <v>2016</v>
      </c>
      <c r="B1648" s="3" t="n">
        <v>7</v>
      </c>
      <c r="C1648" s="3" t="n">
        <v>4</v>
      </c>
      <c r="D1648" s="3" t="s">
        <v>1652</v>
      </c>
      <c r="E1648" s="4" t="n">
        <v>4</v>
      </c>
    </row>
    <row r="1649" customFormat="false" ht="15" hidden="false" customHeight="false" outlineLevel="0" collapsed="false">
      <c r="A1649" s="3" t="n">
        <v>2016</v>
      </c>
      <c r="B1649" s="3" t="n">
        <v>7</v>
      </c>
      <c r="C1649" s="3" t="n">
        <v>5</v>
      </c>
      <c r="D1649" s="3" t="s">
        <v>1653</v>
      </c>
      <c r="E1649" s="4" t="n">
        <v>0</v>
      </c>
    </row>
    <row r="1650" customFormat="false" ht="15" hidden="false" customHeight="false" outlineLevel="0" collapsed="false">
      <c r="A1650" s="3" t="n">
        <v>2016</v>
      </c>
      <c r="B1650" s="3" t="n">
        <v>7</v>
      </c>
      <c r="C1650" s="3" t="n">
        <v>6</v>
      </c>
      <c r="D1650" s="3" t="s">
        <v>1654</v>
      </c>
      <c r="E1650" s="4" t="n">
        <v>0</v>
      </c>
    </row>
    <row r="1651" customFormat="false" ht="15" hidden="false" customHeight="false" outlineLevel="0" collapsed="false">
      <c r="A1651" s="3" t="n">
        <v>2016</v>
      </c>
      <c r="B1651" s="3" t="n">
        <v>7</v>
      </c>
      <c r="C1651" s="3" t="n">
        <v>7</v>
      </c>
      <c r="D1651" s="3" t="s">
        <v>1655</v>
      </c>
      <c r="E1651" s="4" t="n">
        <v>0</v>
      </c>
    </row>
    <row r="1652" customFormat="false" ht="15" hidden="false" customHeight="false" outlineLevel="0" collapsed="false">
      <c r="A1652" s="3" t="n">
        <v>2016</v>
      </c>
      <c r="B1652" s="3" t="n">
        <v>7</v>
      </c>
      <c r="C1652" s="3" t="n">
        <v>8</v>
      </c>
      <c r="D1652" s="3" t="s">
        <v>1656</v>
      </c>
      <c r="E1652" s="4" t="n">
        <v>0</v>
      </c>
    </row>
    <row r="1653" customFormat="false" ht="15" hidden="false" customHeight="false" outlineLevel="0" collapsed="false">
      <c r="A1653" s="3" t="n">
        <v>2016</v>
      </c>
      <c r="B1653" s="3" t="n">
        <v>7</v>
      </c>
      <c r="C1653" s="3" t="n">
        <v>9</v>
      </c>
      <c r="D1653" s="3" t="s">
        <v>1657</v>
      </c>
      <c r="E1653" s="4" t="n">
        <v>0</v>
      </c>
    </row>
    <row r="1654" customFormat="false" ht="15" hidden="false" customHeight="false" outlineLevel="0" collapsed="false">
      <c r="A1654" s="3" t="n">
        <v>2016</v>
      </c>
      <c r="B1654" s="3" t="n">
        <v>7</v>
      </c>
      <c r="C1654" s="3" t="n">
        <v>10</v>
      </c>
      <c r="D1654" s="3" t="s">
        <v>1658</v>
      </c>
      <c r="E1654" s="4" t="n">
        <v>0</v>
      </c>
    </row>
    <row r="1655" customFormat="false" ht="15" hidden="false" customHeight="false" outlineLevel="0" collapsed="false">
      <c r="A1655" s="3" t="n">
        <v>2016</v>
      </c>
      <c r="B1655" s="3" t="n">
        <v>7</v>
      </c>
      <c r="C1655" s="3" t="n">
        <v>11</v>
      </c>
      <c r="D1655" s="3" t="s">
        <v>1659</v>
      </c>
      <c r="E1655" s="4" t="n">
        <v>0</v>
      </c>
    </row>
    <row r="1656" customFormat="false" ht="15" hidden="false" customHeight="false" outlineLevel="0" collapsed="false">
      <c r="A1656" s="3" t="n">
        <v>2016</v>
      </c>
      <c r="B1656" s="3" t="n">
        <v>7</v>
      </c>
      <c r="C1656" s="3" t="n">
        <v>12</v>
      </c>
      <c r="D1656" s="3" t="s">
        <v>1660</v>
      </c>
      <c r="E1656" s="4" t="n">
        <v>0</v>
      </c>
    </row>
    <row r="1657" customFormat="false" ht="15" hidden="false" customHeight="false" outlineLevel="0" collapsed="false">
      <c r="A1657" s="3" t="n">
        <v>2016</v>
      </c>
      <c r="B1657" s="3" t="n">
        <v>7</v>
      </c>
      <c r="C1657" s="3" t="n">
        <v>13</v>
      </c>
      <c r="D1657" s="3" t="s">
        <v>1661</v>
      </c>
      <c r="E1657" s="4" t="n">
        <v>20</v>
      </c>
    </row>
    <row r="1658" customFormat="false" ht="15" hidden="false" customHeight="false" outlineLevel="0" collapsed="false">
      <c r="A1658" s="3" t="n">
        <v>2016</v>
      </c>
      <c r="B1658" s="3" t="n">
        <v>7</v>
      </c>
      <c r="C1658" s="3" t="n">
        <v>14</v>
      </c>
      <c r="D1658" s="3" t="s">
        <v>1662</v>
      </c>
      <c r="E1658" s="4" t="n">
        <v>0</v>
      </c>
    </row>
    <row r="1659" customFormat="false" ht="15" hidden="false" customHeight="false" outlineLevel="0" collapsed="false">
      <c r="A1659" s="3" t="n">
        <v>2016</v>
      </c>
      <c r="B1659" s="3" t="n">
        <v>7</v>
      </c>
      <c r="C1659" s="3" t="n">
        <v>15</v>
      </c>
      <c r="D1659" s="3" t="s">
        <v>1663</v>
      </c>
      <c r="E1659" s="4" t="n">
        <v>21</v>
      </c>
    </row>
    <row r="1660" customFormat="false" ht="15" hidden="false" customHeight="false" outlineLevel="0" collapsed="false">
      <c r="A1660" s="3" t="n">
        <v>2016</v>
      </c>
      <c r="B1660" s="3" t="n">
        <v>7</v>
      </c>
      <c r="C1660" s="3" t="n">
        <v>16</v>
      </c>
      <c r="D1660" s="3" t="s">
        <v>1664</v>
      </c>
      <c r="E1660" s="4" t="n">
        <v>35</v>
      </c>
    </row>
    <row r="1661" customFormat="false" ht="15" hidden="false" customHeight="false" outlineLevel="0" collapsed="false">
      <c r="A1661" s="3" t="n">
        <v>2016</v>
      </c>
      <c r="B1661" s="3" t="n">
        <v>7</v>
      </c>
      <c r="C1661" s="3" t="n">
        <v>17</v>
      </c>
      <c r="D1661" s="3" t="s">
        <v>1665</v>
      </c>
      <c r="E1661" s="4" t="n">
        <v>2</v>
      </c>
    </row>
    <row r="1662" customFormat="false" ht="15" hidden="false" customHeight="false" outlineLevel="0" collapsed="false">
      <c r="A1662" s="3" t="n">
        <v>2016</v>
      </c>
      <c r="B1662" s="3" t="n">
        <v>7</v>
      </c>
      <c r="C1662" s="3" t="n">
        <v>18</v>
      </c>
      <c r="D1662" s="3" t="s">
        <v>1666</v>
      </c>
      <c r="E1662" s="4" t="n">
        <v>3</v>
      </c>
    </row>
    <row r="1663" customFormat="false" ht="15" hidden="false" customHeight="false" outlineLevel="0" collapsed="false">
      <c r="A1663" s="3" t="n">
        <v>2016</v>
      </c>
      <c r="B1663" s="3" t="n">
        <v>7</v>
      </c>
      <c r="C1663" s="3" t="n">
        <v>19</v>
      </c>
      <c r="D1663" s="3" t="s">
        <v>1667</v>
      </c>
      <c r="E1663" s="4" t="n">
        <v>0</v>
      </c>
    </row>
    <row r="1664" customFormat="false" ht="15" hidden="false" customHeight="false" outlineLevel="0" collapsed="false">
      <c r="A1664" s="3" t="n">
        <v>2016</v>
      </c>
      <c r="B1664" s="3" t="n">
        <v>7</v>
      </c>
      <c r="C1664" s="3" t="n">
        <v>20</v>
      </c>
      <c r="D1664" s="3" t="s">
        <v>1668</v>
      </c>
      <c r="E1664" s="4" t="n">
        <v>59</v>
      </c>
    </row>
    <row r="1665" customFormat="false" ht="15" hidden="false" customHeight="false" outlineLevel="0" collapsed="false">
      <c r="A1665" s="3" t="n">
        <v>2016</v>
      </c>
      <c r="B1665" s="3" t="n">
        <v>7</v>
      </c>
      <c r="C1665" s="3" t="n">
        <v>21</v>
      </c>
      <c r="D1665" s="3" t="s">
        <v>1669</v>
      </c>
      <c r="E1665" s="4" t="n">
        <v>0</v>
      </c>
    </row>
    <row r="1666" customFormat="false" ht="15" hidden="false" customHeight="false" outlineLevel="0" collapsed="false">
      <c r="A1666" s="3" t="n">
        <v>2016</v>
      </c>
      <c r="B1666" s="3" t="n">
        <v>7</v>
      </c>
      <c r="C1666" s="3" t="n">
        <v>22</v>
      </c>
      <c r="D1666" s="3" t="s">
        <v>1670</v>
      </c>
      <c r="E1666" s="4" t="n">
        <v>34</v>
      </c>
    </row>
    <row r="1667" customFormat="false" ht="15" hidden="false" customHeight="false" outlineLevel="0" collapsed="false">
      <c r="A1667" s="3" t="n">
        <v>2016</v>
      </c>
      <c r="B1667" s="3" t="n">
        <v>7</v>
      </c>
      <c r="C1667" s="3" t="n">
        <v>23</v>
      </c>
      <c r="D1667" s="3" t="s">
        <v>1671</v>
      </c>
      <c r="E1667" s="4" t="n">
        <v>0</v>
      </c>
    </row>
    <row r="1668" customFormat="false" ht="15" hidden="false" customHeight="false" outlineLevel="0" collapsed="false">
      <c r="A1668" s="3" t="n">
        <v>2016</v>
      </c>
      <c r="B1668" s="3" t="n">
        <v>7</v>
      </c>
      <c r="C1668" s="3" t="n">
        <v>24</v>
      </c>
      <c r="D1668" s="3" t="s">
        <v>1672</v>
      </c>
      <c r="E1668" s="4" t="n">
        <v>30</v>
      </c>
    </row>
    <row r="1669" customFormat="false" ht="15" hidden="false" customHeight="false" outlineLevel="0" collapsed="false">
      <c r="A1669" s="3" t="n">
        <v>2016</v>
      </c>
      <c r="B1669" s="3" t="n">
        <v>7</v>
      </c>
      <c r="C1669" s="3" t="n">
        <v>25</v>
      </c>
      <c r="D1669" s="3" t="s">
        <v>1673</v>
      </c>
      <c r="E1669" s="4" t="n">
        <v>29</v>
      </c>
    </row>
    <row r="1670" customFormat="false" ht="15" hidden="false" customHeight="false" outlineLevel="0" collapsed="false">
      <c r="A1670" s="3" t="n">
        <v>2016</v>
      </c>
      <c r="B1670" s="3" t="n">
        <v>7</v>
      </c>
      <c r="C1670" s="3" t="n">
        <v>26</v>
      </c>
      <c r="D1670" s="3" t="s">
        <v>1674</v>
      </c>
      <c r="E1670" s="4" t="n">
        <v>0</v>
      </c>
    </row>
    <row r="1671" customFormat="false" ht="15" hidden="false" customHeight="false" outlineLevel="0" collapsed="false">
      <c r="A1671" s="3" t="n">
        <v>2016</v>
      </c>
      <c r="B1671" s="3" t="n">
        <v>7</v>
      </c>
      <c r="C1671" s="3" t="n">
        <v>27</v>
      </c>
      <c r="D1671" s="3" t="s">
        <v>1675</v>
      </c>
      <c r="E1671" s="4" t="n">
        <v>0</v>
      </c>
    </row>
    <row r="1672" customFormat="false" ht="15" hidden="false" customHeight="false" outlineLevel="0" collapsed="false">
      <c r="A1672" s="3" t="n">
        <v>2016</v>
      </c>
      <c r="B1672" s="3" t="n">
        <v>7</v>
      </c>
      <c r="C1672" s="3" t="n">
        <v>28</v>
      </c>
      <c r="D1672" s="3" t="s">
        <v>1676</v>
      </c>
      <c r="E1672" s="4" t="n">
        <v>0</v>
      </c>
    </row>
    <row r="1673" customFormat="false" ht="15" hidden="false" customHeight="false" outlineLevel="0" collapsed="false">
      <c r="A1673" s="3" t="n">
        <v>2016</v>
      </c>
      <c r="B1673" s="3" t="n">
        <v>7</v>
      </c>
      <c r="C1673" s="3" t="n">
        <v>29</v>
      </c>
      <c r="D1673" s="3" t="s">
        <v>1677</v>
      </c>
      <c r="E1673" s="4" t="n">
        <v>0</v>
      </c>
    </row>
    <row r="1674" customFormat="false" ht="15" hidden="false" customHeight="false" outlineLevel="0" collapsed="false">
      <c r="A1674" s="3" t="n">
        <v>2016</v>
      </c>
      <c r="B1674" s="3" t="n">
        <v>7</v>
      </c>
      <c r="C1674" s="3" t="n">
        <v>30</v>
      </c>
      <c r="D1674" s="3" t="s">
        <v>1678</v>
      </c>
      <c r="E1674" s="4" t="n">
        <v>17</v>
      </c>
    </row>
    <row r="1675" customFormat="false" ht="15" hidden="false" customHeight="false" outlineLevel="0" collapsed="false">
      <c r="A1675" s="3" t="n">
        <v>2016</v>
      </c>
      <c r="B1675" s="3" t="n">
        <v>7</v>
      </c>
      <c r="C1675" s="3" t="n">
        <v>31</v>
      </c>
      <c r="D1675" s="3" t="s">
        <v>1679</v>
      </c>
      <c r="E1675" s="4" t="n">
        <v>0</v>
      </c>
    </row>
    <row r="1676" customFormat="false" ht="15" hidden="false" customHeight="false" outlineLevel="0" collapsed="false">
      <c r="A1676" s="3" t="n">
        <v>2016</v>
      </c>
      <c r="B1676" s="3" t="n">
        <v>8</v>
      </c>
      <c r="C1676" s="3" t="n">
        <v>1</v>
      </c>
      <c r="D1676" s="3" t="s">
        <v>1680</v>
      </c>
      <c r="E1676" s="4" t="n">
        <v>0</v>
      </c>
    </row>
    <row r="1677" customFormat="false" ht="15" hidden="false" customHeight="false" outlineLevel="0" collapsed="false">
      <c r="A1677" s="3" t="n">
        <v>2016</v>
      </c>
      <c r="B1677" s="3" t="n">
        <v>8</v>
      </c>
      <c r="C1677" s="3" t="n">
        <v>2</v>
      </c>
      <c r="D1677" s="3" t="s">
        <v>1681</v>
      </c>
      <c r="E1677" s="4" t="n">
        <v>0</v>
      </c>
    </row>
    <row r="1678" customFormat="false" ht="15" hidden="false" customHeight="false" outlineLevel="0" collapsed="false">
      <c r="A1678" s="3" t="n">
        <v>2016</v>
      </c>
      <c r="B1678" s="3" t="n">
        <v>8</v>
      </c>
      <c r="C1678" s="3" t="n">
        <v>3</v>
      </c>
      <c r="D1678" s="3" t="s">
        <v>1682</v>
      </c>
      <c r="E1678" s="4" t="n">
        <v>0</v>
      </c>
    </row>
    <row r="1679" customFormat="false" ht="15" hidden="false" customHeight="false" outlineLevel="0" collapsed="false">
      <c r="A1679" s="3" t="n">
        <v>2016</v>
      </c>
      <c r="B1679" s="3" t="n">
        <v>8</v>
      </c>
      <c r="C1679" s="3" t="n">
        <v>4</v>
      </c>
      <c r="D1679" s="3" t="s">
        <v>1683</v>
      </c>
      <c r="E1679" s="4" t="n">
        <v>0</v>
      </c>
    </row>
    <row r="1680" customFormat="false" ht="15" hidden="false" customHeight="false" outlineLevel="0" collapsed="false">
      <c r="A1680" s="3" t="n">
        <v>2016</v>
      </c>
      <c r="B1680" s="3" t="n">
        <v>8</v>
      </c>
      <c r="C1680" s="3" t="n">
        <v>5</v>
      </c>
      <c r="D1680" s="3" t="s">
        <v>1684</v>
      </c>
      <c r="E1680" s="4" t="n">
        <v>1</v>
      </c>
    </row>
    <row r="1681" customFormat="false" ht="15" hidden="false" customHeight="false" outlineLevel="0" collapsed="false">
      <c r="A1681" s="3" t="n">
        <v>2016</v>
      </c>
      <c r="B1681" s="3" t="n">
        <v>8</v>
      </c>
      <c r="C1681" s="3" t="n">
        <v>6</v>
      </c>
      <c r="D1681" s="3" t="s">
        <v>1685</v>
      </c>
      <c r="E1681" s="4" t="n">
        <v>0</v>
      </c>
    </row>
    <row r="1682" customFormat="false" ht="15" hidden="false" customHeight="false" outlineLevel="0" collapsed="false">
      <c r="A1682" s="3" t="n">
        <v>2016</v>
      </c>
      <c r="B1682" s="3" t="n">
        <v>8</v>
      </c>
      <c r="C1682" s="3" t="n">
        <v>7</v>
      </c>
      <c r="D1682" s="3" t="s">
        <v>1686</v>
      </c>
      <c r="E1682" s="4" t="n">
        <v>0</v>
      </c>
    </row>
    <row r="1683" customFormat="false" ht="15" hidden="false" customHeight="false" outlineLevel="0" collapsed="false">
      <c r="A1683" s="3" t="n">
        <v>2016</v>
      </c>
      <c r="B1683" s="3" t="n">
        <v>8</v>
      </c>
      <c r="C1683" s="3" t="n">
        <v>8</v>
      </c>
      <c r="D1683" s="3" t="s">
        <v>1687</v>
      </c>
      <c r="E1683" s="4" t="n">
        <v>0</v>
      </c>
    </row>
    <row r="1684" customFormat="false" ht="15" hidden="false" customHeight="false" outlineLevel="0" collapsed="false">
      <c r="A1684" s="3" t="n">
        <v>2016</v>
      </c>
      <c r="B1684" s="3" t="n">
        <v>8</v>
      </c>
      <c r="C1684" s="3" t="n">
        <v>9</v>
      </c>
      <c r="D1684" s="3" t="s">
        <v>1688</v>
      </c>
      <c r="E1684" s="4" t="n">
        <v>0</v>
      </c>
    </row>
    <row r="1685" customFormat="false" ht="15" hidden="false" customHeight="false" outlineLevel="0" collapsed="false">
      <c r="A1685" s="3" t="n">
        <v>2016</v>
      </c>
      <c r="B1685" s="3" t="n">
        <v>8</v>
      </c>
      <c r="C1685" s="3" t="n">
        <v>10</v>
      </c>
      <c r="D1685" s="3" t="s">
        <v>1689</v>
      </c>
      <c r="E1685" s="4" t="n">
        <v>0</v>
      </c>
    </row>
    <row r="1686" customFormat="false" ht="15" hidden="false" customHeight="false" outlineLevel="0" collapsed="false">
      <c r="A1686" s="3" t="n">
        <v>2016</v>
      </c>
      <c r="B1686" s="3" t="n">
        <v>8</v>
      </c>
      <c r="C1686" s="3" t="n">
        <v>11</v>
      </c>
      <c r="D1686" s="3" t="s">
        <v>1690</v>
      </c>
      <c r="E1686" s="4" t="n">
        <v>0</v>
      </c>
    </row>
    <row r="1687" customFormat="false" ht="15" hidden="false" customHeight="false" outlineLevel="0" collapsed="false">
      <c r="A1687" s="3" t="n">
        <v>2016</v>
      </c>
      <c r="B1687" s="3" t="n">
        <v>8</v>
      </c>
      <c r="C1687" s="3" t="n">
        <v>12</v>
      </c>
      <c r="D1687" s="3" t="s">
        <v>1691</v>
      </c>
      <c r="E1687" s="4" t="n">
        <v>0</v>
      </c>
    </row>
    <row r="1688" customFormat="false" ht="15" hidden="false" customHeight="false" outlineLevel="0" collapsed="false">
      <c r="A1688" s="3" t="n">
        <v>2016</v>
      </c>
      <c r="B1688" s="3" t="n">
        <v>8</v>
      </c>
      <c r="C1688" s="3" t="n">
        <v>13</v>
      </c>
      <c r="D1688" s="3" t="s">
        <v>1692</v>
      </c>
      <c r="E1688" s="4" t="n">
        <v>0</v>
      </c>
    </row>
    <row r="1689" customFormat="false" ht="15" hidden="false" customHeight="false" outlineLevel="0" collapsed="false">
      <c r="A1689" s="3" t="n">
        <v>2016</v>
      </c>
      <c r="B1689" s="3" t="n">
        <v>8</v>
      </c>
      <c r="C1689" s="3" t="n">
        <v>14</v>
      </c>
      <c r="D1689" s="3" t="s">
        <v>1693</v>
      </c>
      <c r="E1689" s="4" t="n">
        <v>0</v>
      </c>
    </row>
    <row r="1690" customFormat="false" ht="15" hidden="false" customHeight="false" outlineLevel="0" collapsed="false">
      <c r="A1690" s="3" t="n">
        <v>2016</v>
      </c>
      <c r="B1690" s="3" t="n">
        <v>8</v>
      </c>
      <c r="C1690" s="3" t="n">
        <v>15</v>
      </c>
      <c r="D1690" s="3" t="s">
        <v>1694</v>
      </c>
      <c r="E1690" s="4" t="n">
        <v>0</v>
      </c>
    </row>
    <row r="1691" customFormat="false" ht="15" hidden="false" customHeight="false" outlineLevel="0" collapsed="false">
      <c r="A1691" s="3" t="n">
        <v>2016</v>
      </c>
      <c r="B1691" s="3" t="n">
        <v>8</v>
      </c>
      <c r="C1691" s="3" t="n">
        <v>16</v>
      </c>
      <c r="D1691" s="3" t="s">
        <v>1695</v>
      </c>
      <c r="E1691" s="4" t="n">
        <v>0</v>
      </c>
    </row>
    <row r="1692" customFormat="false" ht="15" hidden="false" customHeight="false" outlineLevel="0" collapsed="false">
      <c r="A1692" s="3" t="n">
        <v>2016</v>
      </c>
      <c r="B1692" s="3" t="n">
        <v>8</v>
      </c>
      <c r="C1692" s="3" t="n">
        <v>17</v>
      </c>
      <c r="D1692" s="3" t="s">
        <v>1696</v>
      </c>
      <c r="E1692" s="4" t="n">
        <v>0</v>
      </c>
    </row>
    <row r="1693" customFormat="false" ht="15" hidden="false" customHeight="false" outlineLevel="0" collapsed="false">
      <c r="A1693" s="3" t="n">
        <v>2016</v>
      </c>
      <c r="B1693" s="3" t="n">
        <v>8</v>
      </c>
      <c r="C1693" s="3" t="n">
        <v>18</v>
      </c>
      <c r="D1693" s="3" t="s">
        <v>1697</v>
      </c>
      <c r="E1693" s="4" t="n">
        <v>0</v>
      </c>
    </row>
    <row r="1694" customFormat="false" ht="15" hidden="false" customHeight="false" outlineLevel="0" collapsed="false">
      <c r="A1694" s="3" t="n">
        <v>2016</v>
      </c>
      <c r="B1694" s="3" t="n">
        <v>8</v>
      </c>
      <c r="C1694" s="3" t="n">
        <v>19</v>
      </c>
      <c r="D1694" s="3" t="s">
        <v>1698</v>
      </c>
      <c r="E1694" s="4" t="n">
        <v>0</v>
      </c>
    </row>
    <row r="1695" customFormat="false" ht="15" hidden="false" customHeight="false" outlineLevel="0" collapsed="false">
      <c r="A1695" s="3" t="n">
        <v>2016</v>
      </c>
      <c r="B1695" s="3" t="n">
        <v>8</v>
      </c>
      <c r="C1695" s="3" t="n">
        <v>20</v>
      </c>
      <c r="D1695" s="3" t="s">
        <v>1699</v>
      </c>
      <c r="E1695" s="4" t="n">
        <v>0</v>
      </c>
    </row>
    <row r="1696" customFormat="false" ht="15" hidden="false" customHeight="false" outlineLevel="0" collapsed="false">
      <c r="A1696" s="3" t="n">
        <v>2016</v>
      </c>
      <c r="B1696" s="3" t="n">
        <v>8</v>
      </c>
      <c r="C1696" s="3" t="n">
        <v>21</v>
      </c>
      <c r="D1696" s="3" t="s">
        <v>1700</v>
      </c>
      <c r="E1696" s="4" t="n">
        <v>0</v>
      </c>
    </row>
    <row r="1697" customFormat="false" ht="15" hidden="false" customHeight="false" outlineLevel="0" collapsed="false">
      <c r="A1697" s="3" t="n">
        <v>2016</v>
      </c>
      <c r="B1697" s="3" t="n">
        <v>8</v>
      </c>
      <c r="C1697" s="3" t="n">
        <v>22</v>
      </c>
      <c r="D1697" s="3" t="s">
        <v>1701</v>
      </c>
      <c r="E1697" s="4" t="n">
        <v>0</v>
      </c>
    </row>
    <row r="1698" customFormat="false" ht="15" hidden="false" customHeight="false" outlineLevel="0" collapsed="false">
      <c r="A1698" s="3" t="n">
        <v>2016</v>
      </c>
      <c r="B1698" s="3" t="n">
        <v>8</v>
      </c>
      <c r="C1698" s="3" t="n">
        <v>23</v>
      </c>
      <c r="D1698" s="3" t="s">
        <v>1702</v>
      </c>
      <c r="E1698" s="4" t="n">
        <v>5</v>
      </c>
    </row>
    <row r="1699" customFormat="false" ht="15" hidden="false" customHeight="false" outlineLevel="0" collapsed="false">
      <c r="A1699" s="3" t="n">
        <v>2016</v>
      </c>
      <c r="B1699" s="3" t="n">
        <v>8</v>
      </c>
      <c r="C1699" s="3" t="n">
        <v>24</v>
      </c>
      <c r="D1699" s="3" t="s">
        <v>1703</v>
      </c>
      <c r="E1699" s="4" t="n">
        <v>0</v>
      </c>
    </row>
    <row r="1700" customFormat="false" ht="15" hidden="false" customHeight="false" outlineLevel="0" collapsed="false">
      <c r="A1700" s="3" t="n">
        <v>2016</v>
      </c>
      <c r="B1700" s="3" t="n">
        <v>8</v>
      </c>
      <c r="C1700" s="3" t="n">
        <v>25</v>
      </c>
      <c r="D1700" s="3" t="s">
        <v>1704</v>
      </c>
      <c r="E1700" s="4" t="n">
        <v>0</v>
      </c>
    </row>
    <row r="1701" customFormat="false" ht="15" hidden="false" customHeight="false" outlineLevel="0" collapsed="false">
      <c r="A1701" s="3" t="n">
        <v>2016</v>
      </c>
      <c r="B1701" s="3" t="n">
        <v>8</v>
      </c>
      <c r="C1701" s="3" t="n">
        <v>26</v>
      </c>
      <c r="D1701" s="3" t="s">
        <v>1705</v>
      </c>
      <c r="E1701" s="4" t="n">
        <v>1</v>
      </c>
    </row>
    <row r="1702" customFormat="false" ht="15" hidden="false" customHeight="false" outlineLevel="0" collapsed="false">
      <c r="A1702" s="3" t="n">
        <v>2016</v>
      </c>
      <c r="B1702" s="3" t="n">
        <v>8</v>
      </c>
      <c r="C1702" s="3" t="n">
        <v>27</v>
      </c>
      <c r="D1702" s="3" t="s">
        <v>1706</v>
      </c>
      <c r="E1702" s="4" t="n">
        <v>1</v>
      </c>
    </row>
    <row r="1703" customFormat="false" ht="15" hidden="false" customHeight="false" outlineLevel="0" collapsed="false">
      <c r="A1703" s="3" t="n">
        <v>2016</v>
      </c>
      <c r="B1703" s="3" t="n">
        <v>8</v>
      </c>
      <c r="C1703" s="3" t="n">
        <v>28</v>
      </c>
      <c r="D1703" s="3" t="s">
        <v>1707</v>
      </c>
      <c r="E1703" s="4" t="n">
        <v>3</v>
      </c>
    </row>
    <row r="1704" customFormat="false" ht="15" hidden="false" customHeight="false" outlineLevel="0" collapsed="false">
      <c r="A1704" s="3" t="n">
        <v>2016</v>
      </c>
      <c r="B1704" s="3" t="n">
        <v>8</v>
      </c>
      <c r="C1704" s="3" t="n">
        <v>29</v>
      </c>
      <c r="D1704" s="3" t="s">
        <v>1708</v>
      </c>
      <c r="E1704" s="4" t="n">
        <v>0</v>
      </c>
    </row>
    <row r="1705" customFormat="false" ht="15" hidden="false" customHeight="false" outlineLevel="0" collapsed="false">
      <c r="A1705" s="3" t="n">
        <v>2016</v>
      </c>
      <c r="B1705" s="3" t="n">
        <v>8</v>
      </c>
      <c r="C1705" s="3" t="n">
        <v>30</v>
      </c>
      <c r="D1705" s="3" t="s">
        <v>1709</v>
      </c>
      <c r="E1705" s="4" t="n">
        <v>0</v>
      </c>
    </row>
    <row r="1706" customFormat="false" ht="15" hidden="false" customHeight="false" outlineLevel="0" collapsed="false">
      <c r="A1706" s="3" t="n">
        <v>2016</v>
      </c>
      <c r="B1706" s="3" t="n">
        <v>8</v>
      </c>
      <c r="C1706" s="3" t="n">
        <v>31</v>
      </c>
      <c r="D1706" s="3" t="s">
        <v>1710</v>
      </c>
      <c r="E1706" s="4" t="n">
        <v>3</v>
      </c>
    </row>
    <row r="1707" customFormat="false" ht="15" hidden="false" customHeight="false" outlineLevel="0" collapsed="false">
      <c r="A1707" s="3" t="n">
        <v>2016</v>
      </c>
      <c r="B1707" s="3" t="n">
        <v>9</v>
      </c>
      <c r="C1707" s="3" t="n">
        <v>1</v>
      </c>
      <c r="D1707" s="3" t="s">
        <v>1711</v>
      </c>
      <c r="E1707" s="4" t="n">
        <v>1</v>
      </c>
    </row>
    <row r="1708" customFormat="false" ht="15" hidden="false" customHeight="false" outlineLevel="0" collapsed="false">
      <c r="A1708" s="3" t="n">
        <v>2016</v>
      </c>
      <c r="B1708" s="3" t="n">
        <v>9</v>
      </c>
      <c r="C1708" s="3" t="n">
        <v>2</v>
      </c>
      <c r="D1708" s="3" t="s">
        <v>1712</v>
      </c>
      <c r="E1708" s="4" t="n">
        <v>0</v>
      </c>
    </row>
    <row r="1709" customFormat="false" ht="15" hidden="false" customHeight="false" outlineLevel="0" collapsed="false">
      <c r="A1709" s="3" t="n">
        <v>2016</v>
      </c>
      <c r="B1709" s="3" t="n">
        <v>9</v>
      </c>
      <c r="C1709" s="3" t="n">
        <v>3</v>
      </c>
      <c r="D1709" s="3" t="s">
        <v>1713</v>
      </c>
      <c r="E1709" s="4" t="n">
        <v>33</v>
      </c>
    </row>
    <row r="1710" customFormat="false" ht="15" hidden="false" customHeight="false" outlineLevel="0" collapsed="false">
      <c r="A1710" s="3" t="n">
        <v>2016</v>
      </c>
      <c r="B1710" s="3" t="n">
        <v>9</v>
      </c>
      <c r="C1710" s="3" t="n">
        <v>4</v>
      </c>
      <c r="D1710" s="3" t="s">
        <v>1714</v>
      </c>
      <c r="E1710" s="4" t="n">
        <v>0</v>
      </c>
    </row>
    <row r="1711" customFormat="false" ht="15" hidden="false" customHeight="false" outlineLevel="0" collapsed="false">
      <c r="A1711" s="3" t="n">
        <v>2016</v>
      </c>
      <c r="B1711" s="3" t="n">
        <v>9</v>
      </c>
      <c r="C1711" s="3" t="n">
        <v>5</v>
      </c>
      <c r="D1711" s="3" t="s">
        <v>1715</v>
      </c>
      <c r="E1711" s="4" t="n">
        <v>0</v>
      </c>
    </row>
    <row r="1712" customFormat="false" ht="15" hidden="false" customHeight="false" outlineLevel="0" collapsed="false">
      <c r="A1712" s="3" t="n">
        <v>2016</v>
      </c>
      <c r="B1712" s="3" t="n">
        <v>9</v>
      </c>
      <c r="C1712" s="3" t="n">
        <v>6</v>
      </c>
      <c r="D1712" s="3" t="s">
        <v>1716</v>
      </c>
      <c r="E1712" s="4" t="n">
        <v>0</v>
      </c>
    </row>
    <row r="1713" customFormat="false" ht="15" hidden="false" customHeight="false" outlineLevel="0" collapsed="false">
      <c r="A1713" s="3" t="n">
        <v>2016</v>
      </c>
      <c r="B1713" s="3" t="n">
        <v>9</v>
      </c>
      <c r="C1713" s="3" t="n">
        <v>7</v>
      </c>
      <c r="D1713" s="3" t="s">
        <v>1717</v>
      </c>
      <c r="E1713" s="4" t="n">
        <v>52</v>
      </c>
    </row>
    <row r="1714" customFormat="false" ht="15" hidden="false" customHeight="false" outlineLevel="0" collapsed="false">
      <c r="A1714" s="3" t="n">
        <v>2016</v>
      </c>
      <c r="B1714" s="3" t="n">
        <v>9</v>
      </c>
      <c r="C1714" s="3" t="n">
        <v>8</v>
      </c>
      <c r="D1714" s="3" t="s">
        <v>1718</v>
      </c>
      <c r="E1714" s="4" t="n">
        <v>0</v>
      </c>
    </row>
    <row r="1715" customFormat="false" ht="15" hidden="false" customHeight="false" outlineLevel="0" collapsed="false">
      <c r="A1715" s="3" t="n">
        <v>2016</v>
      </c>
      <c r="B1715" s="3" t="n">
        <v>9</v>
      </c>
      <c r="C1715" s="3" t="n">
        <v>9</v>
      </c>
      <c r="D1715" s="3" t="s">
        <v>1719</v>
      </c>
      <c r="E1715" s="4" t="n">
        <v>5</v>
      </c>
    </row>
    <row r="1716" customFormat="false" ht="15" hidden="false" customHeight="false" outlineLevel="0" collapsed="false">
      <c r="A1716" s="3" t="n">
        <v>2016</v>
      </c>
      <c r="B1716" s="3" t="n">
        <v>9</v>
      </c>
      <c r="C1716" s="3" t="n">
        <v>10</v>
      </c>
      <c r="D1716" s="3" t="s">
        <v>1720</v>
      </c>
      <c r="E1716" s="4" t="n">
        <v>0</v>
      </c>
    </row>
    <row r="1717" customFormat="false" ht="15" hidden="false" customHeight="false" outlineLevel="0" collapsed="false">
      <c r="A1717" s="3" t="n">
        <v>2016</v>
      </c>
      <c r="B1717" s="3" t="n">
        <v>9</v>
      </c>
      <c r="C1717" s="3" t="n">
        <v>11</v>
      </c>
      <c r="D1717" s="3" t="s">
        <v>1721</v>
      </c>
      <c r="E1717" s="4" t="n">
        <v>0</v>
      </c>
    </row>
    <row r="1718" customFormat="false" ht="15" hidden="false" customHeight="false" outlineLevel="0" collapsed="false">
      <c r="A1718" s="3" t="n">
        <v>2016</v>
      </c>
      <c r="B1718" s="3" t="n">
        <v>9</v>
      </c>
      <c r="C1718" s="3" t="n">
        <v>12</v>
      </c>
      <c r="D1718" s="3" t="s">
        <v>1722</v>
      </c>
      <c r="E1718" s="4" t="n">
        <v>0</v>
      </c>
    </row>
    <row r="1719" customFormat="false" ht="15" hidden="false" customHeight="false" outlineLevel="0" collapsed="false">
      <c r="A1719" s="3" t="n">
        <v>2016</v>
      </c>
      <c r="B1719" s="3" t="n">
        <v>9</v>
      </c>
      <c r="C1719" s="3" t="n">
        <v>13</v>
      </c>
      <c r="D1719" s="3" t="s">
        <v>1723</v>
      </c>
      <c r="E1719" s="4" t="n">
        <v>0</v>
      </c>
    </row>
    <row r="1720" customFormat="false" ht="15" hidden="false" customHeight="false" outlineLevel="0" collapsed="false">
      <c r="A1720" s="3" t="n">
        <v>2016</v>
      </c>
      <c r="B1720" s="3" t="n">
        <v>9</v>
      </c>
      <c r="C1720" s="3" t="n">
        <v>14</v>
      </c>
      <c r="D1720" s="3" t="s">
        <v>1724</v>
      </c>
      <c r="E1720" s="4" t="n">
        <v>0</v>
      </c>
    </row>
    <row r="1721" customFormat="false" ht="15" hidden="false" customHeight="false" outlineLevel="0" collapsed="false">
      <c r="A1721" s="3" t="n">
        <v>2016</v>
      </c>
      <c r="B1721" s="3" t="n">
        <v>9</v>
      </c>
      <c r="C1721" s="3" t="n">
        <v>15</v>
      </c>
      <c r="D1721" s="3" t="s">
        <v>1725</v>
      </c>
      <c r="E1721" s="4" t="n">
        <v>0</v>
      </c>
    </row>
    <row r="1722" customFormat="false" ht="15" hidden="false" customHeight="false" outlineLevel="0" collapsed="false">
      <c r="A1722" s="3" t="n">
        <v>2016</v>
      </c>
      <c r="B1722" s="3" t="n">
        <v>9</v>
      </c>
      <c r="C1722" s="3" t="n">
        <v>16</v>
      </c>
      <c r="D1722" s="3" t="s">
        <v>1726</v>
      </c>
      <c r="E1722" s="4" t="n">
        <v>0</v>
      </c>
    </row>
    <row r="1723" customFormat="false" ht="15" hidden="false" customHeight="false" outlineLevel="0" collapsed="false">
      <c r="A1723" s="3" t="n">
        <v>2016</v>
      </c>
      <c r="B1723" s="3" t="n">
        <v>9</v>
      </c>
      <c r="C1723" s="3" t="n">
        <v>17</v>
      </c>
      <c r="D1723" s="3" t="s">
        <v>1727</v>
      </c>
      <c r="E1723" s="4" t="n">
        <v>1</v>
      </c>
    </row>
    <row r="1724" customFormat="false" ht="15" hidden="false" customHeight="false" outlineLevel="0" collapsed="false">
      <c r="A1724" s="3" t="n">
        <v>2016</v>
      </c>
      <c r="B1724" s="3" t="n">
        <v>9</v>
      </c>
      <c r="C1724" s="3" t="n">
        <v>18</v>
      </c>
      <c r="D1724" s="3" t="s">
        <v>1728</v>
      </c>
      <c r="E1724" s="4" t="n">
        <v>0</v>
      </c>
    </row>
    <row r="1725" customFormat="false" ht="15" hidden="false" customHeight="false" outlineLevel="0" collapsed="false">
      <c r="A1725" s="3" t="n">
        <v>2016</v>
      </c>
      <c r="B1725" s="3" t="n">
        <v>9</v>
      </c>
      <c r="C1725" s="3" t="n">
        <v>19</v>
      </c>
      <c r="D1725" s="3" t="s">
        <v>1729</v>
      </c>
      <c r="E1725" s="4" t="n">
        <v>0</v>
      </c>
    </row>
    <row r="1726" customFormat="false" ht="15" hidden="false" customHeight="false" outlineLevel="0" collapsed="false">
      <c r="A1726" s="3" t="n">
        <v>2016</v>
      </c>
      <c r="B1726" s="3" t="n">
        <v>9</v>
      </c>
      <c r="C1726" s="3" t="n">
        <v>20</v>
      </c>
      <c r="D1726" s="3" t="s">
        <v>1730</v>
      </c>
      <c r="E1726" s="4" t="n">
        <v>40</v>
      </c>
    </row>
    <row r="1727" customFormat="false" ht="15" hidden="false" customHeight="false" outlineLevel="0" collapsed="false">
      <c r="A1727" s="3" t="n">
        <v>2016</v>
      </c>
      <c r="B1727" s="3" t="n">
        <v>9</v>
      </c>
      <c r="C1727" s="3" t="n">
        <v>21</v>
      </c>
      <c r="D1727" s="3" t="s">
        <v>1731</v>
      </c>
      <c r="E1727" s="4" t="n">
        <v>18</v>
      </c>
    </row>
    <row r="1728" customFormat="false" ht="15" hidden="false" customHeight="false" outlineLevel="0" collapsed="false">
      <c r="A1728" s="3" t="n">
        <v>2016</v>
      </c>
      <c r="B1728" s="3" t="n">
        <v>9</v>
      </c>
      <c r="C1728" s="3" t="n">
        <v>22</v>
      </c>
      <c r="D1728" s="3" t="s">
        <v>1732</v>
      </c>
      <c r="E1728" s="4" t="n">
        <v>28</v>
      </c>
    </row>
    <row r="1729" customFormat="false" ht="15" hidden="false" customHeight="false" outlineLevel="0" collapsed="false">
      <c r="A1729" s="3" t="n">
        <v>2016</v>
      </c>
      <c r="B1729" s="3" t="n">
        <v>9</v>
      </c>
      <c r="C1729" s="3" t="n">
        <v>23</v>
      </c>
      <c r="D1729" s="3" t="s">
        <v>1733</v>
      </c>
      <c r="E1729" s="4" t="n">
        <v>7</v>
      </c>
    </row>
    <row r="1730" customFormat="false" ht="15" hidden="false" customHeight="false" outlineLevel="0" collapsed="false">
      <c r="A1730" s="3" t="n">
        <v>2016</v>
      </c>
      <c r="B1730" s="3" t="n">
        <v>9</v>
      </c>
      <c r="C1730" s="3" t="n">
        <v>24</v>
      </c>
      <c r="D1730" s="3" t="s">
        <v>1734</v>
      </c>
      <c r="E1730" s="4" t="n">
        <v>0</v>
      </c>
    </row>
    <row r="1731" customFormat="false" ht="15" hidden="false" customHeight="false" outlineLevel="0" collapsed="false">
      <c r="A1731" s="3" t="n">
        <v>2016</v>
      </c>
      <c r="B1731" s="3" t="n">
        <v>9</v>
      </c>
      <c r="C1731" s="3" t="n">
        <v>25</v>
      </c>
      <c r="D1731" s="3" t="s">
        <v>1735</v>
      </c>
      <c r="E1731" s="4" t="n">
        <v>0</v>
      </c>
    </row>
    <row r="1732" customFormat="false" ht="15" hidden="false" customHeight="false" outlineLevel="0" collapsed="false">
      <c r="A1732" s="3" t="n">
        <v>2016</v>
      </c>
      <c r="B1732" s="3" t="n">
        <v>9</v>
      </c>
      <c r="C1732" s="3" t="n">
        <v>26</v>
      </c>
      <c r="D1732" s="3" t="s">
        <v>1736</v>
      </c>
      <c r="E1732" s="4" t="n">
        <v>0</v>
      </c>
    </row>
    <row r="1733" customFormat="false" ht="15" hidden="false" customHeight="false" outlineLevel="0" collapsed="false">
      <c r="A1733" s="3" t="n">
        <v>2016</v>
      </c>
      <c r="B1733" s="3" t="n">
        <v>9</v>
      </c>
      <c r="C1733" s="3" t="n">
        <v>27</v>
      </c>
      <c r="D1733" s="3" t="s">
        <v>1737</v>
      </c>
      <c r="E1733" s="4" t="n">
        <v>15</v>
      </c>
    </row>
    <row r="1734" customFormat="false" ht="15" hidden="false" customHeight="false" outlineLevel="0" collapsed="false">
      <c r="A1734" s="3" t="n">
        <v>2016</v>
      </c>
      <c r="B1734" s="3" t="n">
        <v>9</v>
      </c>
      <c r="C1734" s="3" t="n">
        <v>28</v>
      </c>
      <c r="D1734" s="3" t="s">
        <v>1738</v>
      </c>
      <c r="E1734" s="4" t="n">
        <v>0</v>
      </c>
    </row>
    <row r="1735" customFormat="false" ht="15" hidden="false" customHeight="false" outlineLevel="0" collapsed="false">
      <c r="A1735" s="3" t="n">
        <v>2016</v>
      </c>
      <c r="B1735" s="3" t="n">
        <v>9</v>
      </c>
      <c r="C1735" s="3" t="n">
        <v>29</v>
      </c>
      <c r="D1735" s="3" t="s">
        <v>1739</v>
      </c>
      <c r="E1735" s="4" t="n">
        <v>0</v>
      </c>
    </row>
    <row r="1736" customFormat="false" ht="15" hidden="false" customHeight="false" outlineLevel="0" collapsed="false">
      <c r="A1736" s="3" t="n">
        <v>2016</v>
      </c>
      <c r="B1736" s="3" t="n">
        <v>9</v>
      </c>
      <c r="C1736" s="3" t="n">
        <v>30</v>
      </c>
      <c r="D1736" s="3" t="s">
        <v>1740</v>
      </c>
      <c r="E1736" s="4" t="n">
        <v>0</v>
      </c>
    </row>
    <row r="1737" customFormat="false" ht="15" hidden="false" customHeight="false" outlineLevel="0" collapsed="false">
      <c r="A1737" s="3" t="n">
        <v>2016</v>
      </c>
      <c r="B1737" s="3" t="n">
        <v>10</v>
      </c>
      <c r="C1737" s="3" t="n">
        <v>1</v>
      </c>
      <c r="D1737" s="3" t="s">
        <v>1741</v>
      </c>
      <c r="E1737" s="4" t="n">
        <v>0</v>
      </c>
    </row>
    <row r="1738" customFormat="false" ht="15" hidden="false" customHeight="false" outlineLevel="0" collapsed="false">
      <c r="A1738" s="3" t="n">
        <v>2016</v>
      </c>
      <c r="B1738" s="3" t="n">
        <v>10</v>
      </c>
      <c r="C1738" s="3" t="n">
        <v>2</v>
      </c>
      <c r="D1738" s="3" t="s">
        <v>1742</v>
      </c>
      <c r="E1738" s="4" t="n">
        <v>11</v>
      </c>
    </row>
    <row r="1739" customFormat="false" ht="15" hidden="false" customHeight="false" outlineLevel="0" collapsed="false">
      <c r="A1739" s="3" t="n">
        <v>2016</v>
      </c>
      <c r="B1739" s="3" t="n">
        <v>10</v>
      </c>
      <c r="C1739" s="3" t="n">
        <v>3</v>
      </c>
      <c r="D1739" s="3" t="s">
        <v>1743</v>
      </c>
      <c r="E1739" s="4" t="n">
        <v>0</v>
      </c>
    </row>
    <row r="1740" customFormat="false" ht="15" hidden="false" customHeight="false" outlineLevel="0" collapsed="false">
      <c r="A1740" s="3" t="n">
        <v>2016</v>
      </c>
      <c r="B1740" s="3" t="n">
        <v>10</v>
      </c>
      <c r="C1740" s="3" t="n">
        <v>4</v>
      </c>
      <c r="D1740" s="3" t="s">
        <v>1744</v>
      </c>
      <c r="E1740" s="4" t="n">
        <v>1</v>
      </c>
    </row>
    <row r="1741" customFormat="false" ht="15" hidden="false" customHeight="false" outlineLevel="0" collapsed="false">
      <c r="A1741" s="3" t="n">
        <v>2016</v>
      </c>
      <c r="B1741" s="3" t="n">
        <v>10</v>
      </c>
      <c r="C1741" s="3" t="n">
        <v>5</v>
      </c>
      <c r="D1741" s="3" t="s">
        <v>1745</v>
      </c>
      <c r="E1741" s="4" t="n">
        <v>0</v>
      </c>
    </row>
    <row r="1742" customFormat="false" ht="15" hidden="false" customHeight="false" outlineLevel="0" collapsed="false">
      <c r="A1742" s="3" t="n">
        <v>2016</v>
      </c>
      <c r="B1742" s="3" t="n">
        <v>10</v>
      </c>
      <c r="C1742" s="3" t="n">
        <v>6</v>
      </c>
      <c r="D1742" s="3" t="s">
        <v>1746</v>
      </c>
      <c r="E1742" s="4" t="n">
        <v>0</v>
      </c>
    </row>
    <row r="1743" customFormat="false" ht="15" hidden="false" customHeight="false" outlineLevel="0" collapsed="false">
      <c r="A1743" s="3" t="n">
        <v>2016</v>
      </c>
      <c r="B1743" s="3" t="n">
        <v>10</v>
      </c>
      <c r="C1743" s="3" t="n">
        <v>7</v>
      </c>
      <c r="D1743" s="3" t="s">
        <v>1747</v>
      </c>
      <c r="E1743" s="4" t="n">
        <v>0</v>
      </c>
    </row>
    <row r="1744" customFormat="false" ht="15" hidden="false" customHeight="false" outlineLevel="0" collapsed="false">
      <c r="A1744" s="3" t="n">
        <v>2016</v>
      </c>
      <c r="B1744" s="3" t="n">
        <v>10</v>
      </c>
      <c r="C1744" s="3" t="n">
        <v>8</v>
      </c>
      <c r="D1744" s="3" t="s">
        <v>1748</v>
      </c>
      <c r="E1744" s="4" t="n">
        <v>12</v>
      </c>
    </row>
    <row r="1745" customFormat="false" ht="15" hidden="false" customHeight="false" outlineLevel="0" collapsed="false">
      <c r="A1745" s="3" t="n">
        <v>2016</v>
      </c>
      <c r="B1745" s="3" t="n">
        <v>10</v>
      </c>
      <c r="C1745" s="3" t="n">
        <v>9</v>
      </c>
      <c r="D1745" s="3" t="s">
        <v>1749</v>
      </c>
      <c r="E1745" s="4" t="n">
        <v>50</v>
      </c>
    </row>
    <row r="1746" customFormat="false" ht="15" hidden="false" customHeight="false" outlineLevel="0" collapsed="false">
      <c r="A1746" s="3" t="n">
        <v>2016</v>
      </c>
      <c r="B1746" s="3" t="n">
        <v>10</v>
      </c>
      <c r="C1746" s="3" t="n">
        <v>10</v>
      </c>
      <c r="D1746" s="3" t="s">
        <v>1750</v>
      </c>
      <c r="E1746" s="4" t="n">
        <v>0</v>
      </c>
    </row>
    <row r="1747" customFormat="false" ht="15" hidden="false" customHeight="false" outlineLevel="0" collapsed="false">
      <c r="A1747" s="3" t="n">
        <v>2016</v>
      </c>
      <c r="B1747" s="3" t="n">
        <v>10</v>
      </c>
      <c r="C1747" s="3" t="n">
        <v>11</v>
      </c>
      <c r="D1747" s="3" t="s">
        <v>1751</v>
      </c>
      <c r="E1747" s="4" t="n">
        <v>0</v>
      </c>
    </row>
    <row r="1748" customFormat="false" ht="15" hidden="false" customHeight="false" outlineLevel="0" collapsed="false">
      <c r="A1748" s="3" t="n">
        <v>2016</v>
      </c>
      <c r="B1748" s="3" t="n">
        <v>10</v>
      </c>
      <c r="C1748" s="3" t="n">
        <v>12</v>
      </c>
      <c r="D1748" s="3" t="s">
        <v>1752</v>
      </c>
      <c r="E1748" s="4" t="n">
        <v>0</v>
      </c>
    </row>
    <row r="1749" customFormat="false" ht="15" hidden="false" customHeight="false" outlineLevel="0" collapsed="false">
      <c r="A1749" s="3" t="n">
        <v>2016</v>
      </c>
      <c r="B1749" s="3" t="n">
        <v>10</v>
      </c>
      <c r="C1749" s="3" t="n">
        <v>13</v>
      </c>
      <c r="D1749" s="3" t="s">
        <v>1753</v>
      </c>
      <c r="E1749" s="4" t="n">
        <v>0</v>
      </c>
    </row>
    <row r="1750" customFormat="false" ht="15" hidden="false" customHeight="false" outlineLevel="0" collapsed="false">
      <c r="A1750" s="3" t="n">
        <v>2016</v>
      </c>
      <c r="B1750" s="3" t="n">
        <v>10</v>
      </c>
      <c r="C1750" s="3" t="n">
        <v>14</v>
      </c>
      <c r="D1750" s="3" t="s">
        <v>1754</v>
      </c>
      <c r="E1750" s="4" t="n">
        <v>44</v>
      </c>
    </row>
    <row r="1751" customFormat="false" ht="15" hidden="false" customHeight="false" outlineLevel="0" collapsed="false">
      <c r="A1751" s="3" t="n">
        <v>2016</v>
      </c>
      <c r="B1751" s="3" t="n">
        <v>10</v>
      </c>
      <c r="C1751" s="3" t="n">
        <v>15</v>
      </c>
      <c r="D1751" s="3" t="s">
        <v>1755</v>
      </c>
      <c r="E1751" s="4" t="n">
        <v>0</v>
      </c>
    </row>
    <row r="1752" customFormat="false" ht="15" hidden="false" customHeight="false" outlineLevel="0" collapsed="false">
      <c r="A1752" s="3" t="n">
        <v>2016</v>
      </c>
      <c r="B1752" s="3" t="n">
        <v>10</v>
      </c>
      <c r="C1752" s="3" t="n">
        <v>16</v>
      </c>
      <c r="D1752" s="3" t="s">
        <v>1756</v>
      </c>
      <c r="E1752" s="4" t="n">
        <v>0</v>
      </c>
    </row>
    <row r="1753" customFormat="false" ht="15" hidden="false" customHeight="false" outlineLevel="0" collapsed="false">
      <c r="A1753" s="3" t="n">
        <v>2016</v>
      </c>
      <c r="B1753" s="3" t="n">
        <v>10</v>
      </c>
      <c r="C1753" s="3" t="n">
        <v>17</v>
      </c>
      <c r="D1753" s="3" t="s">
        <v>1757</v>
      </c>
      <c r="E1753" s="4" t="n">
        <v>0</v>
      </c>
    </row>
    <row r="1754" customFormat="false" ht="15" hidden="false" customHeight="false" outlineLevel="0" collapsed="false">
      <c r="A1754" s="3" t="n">
        <v>2016</v>
      </c>
      <c r="B1754" s="3" t="n">
        <v>10</v>
      </c>
      <c r="C1754" s="3" t="n">
        <v>18</v>
      </c>
      <c r="D1754" s="3" t="s">
        <v>1758</v>
      </c>
      <c r="E1754" s="4" t="n">
        <v>32</v>
      </c>
    </row>
    <row r="1755" customFormat="false" ht="15" hidden="false" customHeight="false" outlineLevel="0" collapsed="false">
      <c r="A1755" s="3" t="n">
        <v>2016</v>
      </c>
      <c r="B1755" s="3" t="n">
        <v>10</v>
      </c>
      <c r="C1755" s="3" t="n">
        <v>19</v>
      </c>
      <c r="D1755" s="3" t="s">
        <v>1759</v>
      </c>
      <c r="E1755" s="4" t="n">
        <v>0</v>
      </c>
    </row>
    <row r="1756" customFormat="false" ht="15" hidden="false" customHeight="false" outlineLevel="0" collapsed="false">
      <c r="A1756" s="3" t="n">
        <v>2016</v>
      </c>
      <c r="B1756" s="3" t="n">
        <v>10</v>
      </c>
      <c r="C1756" s="3" t="n">
        <v>20</v>
      </c>
      <c r="D1756" s="3" t="s">
        <v>1760</v>
      </c>
      <c r="E1756" s="4" t="n">
        <v>29</v>
      </c>
    </row>
    <row r="1757" customFormat="false" ht="15" hidden="false" customHeight="false" outlineLevel="0" collapsed="false">
      <c r="A1757" s="3" t="n">
        <v>2016</v>
      </c>
      <c r="B1757" s="3" t="n">
        <v>10</v>
      </c>
      <c r="C1757" s="3" t="n">
        <v>21</v>
      </c>
      <c r="D1757" s="3" t="s">
        <v>1761</v>
      </c>
      <c r="E1757" s="4" t="n">
        <v>0</v>
      </c>
    </row>
    <row r="1758" customFormat="false" ht="15" hidden="false" customHeight="false" outlineLevel="0" collapsed="false">
      <c r="A1758" s="3" t="n">
        <v>2016</v>
      </c>
      <c r="B1758" s="3" t="n">
        <v>10</v>
      </c>
      <c r="C1758" s="3" t="n">
        <v>22</v>
      </c>
      <c r="D1758" s="3" t="s">
        <v>1762</v>
      </c>
      <c r="E1758" s="4" t="n">
        <v>0</v>
      </c>
    </row>
    <row r="1759" customFormat="false" ht="15" hidden="false" customHeight="false" outlineLevel="0" collapsed="false">
      <c r="A1759" s="3" t="n">
        <v>2016</v>
      </c>
      <c r="B1759" s="3" t="n">
        <v>10</v>
      </c>
      <c r="C1759" s="3" t="n">
        <v>23</v>
      </c>
      <c r="D1759" s="3" t="s">
        <v>1763</v>
      </c>
      <c r="E1759" s="4" t="n">
        <v>25</v>
      </c>
    </row>
    <row r="1760" customFormat="false" ht="15" hidden="false" customHeight="false" outlineLevel="0" collapsed="false">
      <c r="A1760" s="3" t="n">
        <v>2016</v>
      </c>
      <c r="B1760" s="3" t="n">
        <v>10</v>
      </c>
      <c r="C1760" s="3" t="n">
        <v>24</v>
      </c>
      <c r="D1760" s="3" t="s">
        <v>1764</v>
      </c>
      <c r="E1760" s="4" t="n">
        <v>12</v>
      </c>
    </row>
    <row r="1761" customFormat="false" ht="15" hidden="false" customHeight="false" outlineLevel="0" collapsed="false">
      <c r="A1761" s="3" t="n">
        <v>2016</v>
      </c>
      <c r="B1761" s="3" t="n">
        <v>10</v>
      </c>
      <c r="C1761" s="3" t="n">
        <v>25</v>
      </c>
      <c r="D1761" s="3" t="s">
        <v>1765</v>
      </c>
      <c r="E1761" s="4" t="n">
        <v>0</v>
      </c>
    </row>
    <row r="1762" customFormat="false" ht="15" hidden="false" customHeight="false" outlineLevel="0" collapsed="false">
      <c r="A1762" s="3" t="n">
        <v>2016</v>
      </c>
      <c r="B1762" s="3" t="n">
        <v>10</v>
      </c>
      <c r="C1762" s="3" t="n">
        <v>26</v>
      </c>
      <c r="D1762" s="3" t="s">
        <v>1766</v>
      </c>
      <c r="E1762" s="4" t="n">
        <v>3</v>
      </c>
    </row>
    <row r="1763" customFormat="false" ht="15" hidden="false" customHeight="false" outlineLevel="0" collapsed="false">
      <c r="A1763" s="3" t="n">
        <v>2016</v>
      </c>
      <c r="B1763" s="3" t="n">
        <v>10</v>
      </c>
      <c r="C1763" s="3" t="n">
        <v>27</v>
      </c>
      <c r="D1763" s="3" t="s">
        <v>1767</v>
      </c>
      <c r="E1763" s="4" t="n">
        <v>0</v>
      </c>
    </row>
    <row r="1764" customFormat="false" ht="15" hidden="false" customHeight="false" outlineLevel="0" collapsed="false">
      <c r="A1764" s="3" t="n">
        <v>2016</v>
      </c>
      <c r="B1764" s="3" t="n">
        <v>10</v>
      </c>
      <c r="C1764" s="3" t="n">
        <v>28</v>
      </c>
      <c r="D1764" s="3" t="s">
        <v>1768</v>
      </c>
      <c r="E1764" s="4" t="n">
        <v>72</v>
      </c>
    </row>
    <row r="1765" customFormat="false" ht="15" hidden="false" customHeight="false" outlineLevel="0" collapsed="false">
      <c r="A1765" s="3" t="n">
        <v>2016</v>
      </c>
      <c r="B1765" s="3" t="n">
        <v>10</v>
      </c>
      <c r="C1765" s="3" t="n">
        <v>29</v>
      </c>
      <c r="D1765" s="3" t="s">
        <v>1769</v>
      </c>
      <c r="E1765" s="4" t="n">
        <v>3</v>
      </c>
    </row>
    <row r="1766" customFormat="false" ht="15" hidden="false" customHeight="false" outlineLevel="0" collapsed="false">
      <c r="A1766" s="3" t="n">
        <v>2016</v>
      </c>
      <c r="B1766" s="3" t="n">
        <v>10</v>
      </c>
      <c r="C1766" s="3" t="n">
        <v>30</v>
      </c>
      <c r="D1766" s="3" t="s">
        <v>1770</v>
      </c>
      <c r="E1766" s="4" t="n">
        <v>8</v>
      </c>
    </row>
    <row r="1767" customFormat="false" ht="15" hidden="false" customHeight="false" outlineLevel="0" collapsed="false">
      <c r="A1767" s="3" t="n">
        <v>2016</v>
      </c>
      <c r="B1767" s="3" t="n">
        <v>10</v>
      </c>
      <c r="C1767" s="3" t="n">
        <v>31</v>
      </c>
      <c r="D1767" s="3" t="s">
        <v>1771</v>
      </c>
      <c r="E1767" s="4" t="n">
        <v>0</v>
      </c>
    </row>
    <row r="1768" customFormat="false" ht="15" hidden="false" customHeight="false" outlineLevel="0" collapsed="false">
      <c r="A1768" s="3" t="n">
        <v>2016</v>
      </c>
      <c r="B1768" s="3" t="n">
        <v>11</v>
      </c>
      <c r="C1768" s="3" t="n">
        <v>1</v>
      </c>
      <c r="D1768" s="3" t="s">
        <v>1772</v>
      </c>
      <c r="E1768" s="4" t="n">
        <v>0</v>
      </c>
    </row>
    <row r="1769" customFormat="false" ht="15" hidden="false" customHeight="false" outlineLevel="0" collapsed="false">
      <c r="A1769" s="3" t="n">
        <v>2016</v>
      </c>
      <c r="B1769" s="3" t="n">
        <v>11</v>
      </c>
      <c r="C1769" s="3" t="n">
        <v>2</v>
      </c>
      <c r="D1769" s="3" t="s">
        <v>1773</v>
      </c>
      <c r="E1769" s="4" t="n">
        <v>23</v>
      </c>
    </row>
    <row r="1770" customFormat="false" ht="15" hidden="false" customHeight="false" outlineLevel="0" collapsed="false">
      <c r="A1770" s="3" t="n">
        <v>2016</v>
      </c>
      <c r="B1770" s="3" t="n">
        <v>11</v>
      </c>
      <c r="C1770" s="3" t="n">
        <v>3</v>
      </c>
      <c r="D1770" s="3" t="s">
        <v>1774</v>
      </c>
      <c r="E1770" s="4" t="n">
        <v>10</v>
      </c>
    </row>
    <row r="1771" customFormat="false" ht="15" hidden="false" customHeight="false" outlineLevel="0" collapsed="false">
      <c r="A1771" s="3" t="n">
        <v>2016</v>
      </c>
      <c r="B1771" s="3" t="n">
        <v>11</v>
      </c>
      <c r="C1771" s="3" t="n">
        <v>4</v>
      </c>
      <c r="D1771" s="3" t="s">
        <v>1775</v>
      </c>
      <c r="E1771" s="4" t="n">
        <v>0</v>
      </c>
    </row>
    <row r="1772" customFormat="false" ht="15" hidden="false" customHeight="false" outlineLevel="0" collapsed="false">
      <c r="A1772" s="3" t="n">
        <v>2016</v>
      </c>
      <c r="B1772" s="3" t="n">
        <v>11</v>
      </c>
      <c r="C1772" s="3" t="n">
        <v>5</v>
      </c>
      <c r="D1772" s="3" t="s">
        <v>1776</v>
      </c>
      <c r="E1772" s="4" t="n">
        <v>0</v>
      </c>
    </row>
    <row r="1773" customFormat="false" ht="15" hidden="false" customHeight="false" outlineLevel="0" collapsed="false">
      <c r="A1773" s="3" t="n">
        <v>2016</v>
      </c>
      <c r="B1773" s="3" t="n">
        <v>11</v>
      </c>
      <c r="C1773" s="3" t="n">
        <v>6</v>
      </c>
      <c r="D1773" s="3" t="s">
        <v>1777</v>
      </c>
      <c r="E1773" s="4" t="n">
        <v>42</v>
      </c>
    </row>
    <row r="1774" customFormat="false" ht="15" hidden="false" customHeight="false" outlineLevel="0" collapsed="false">
      <c r="A1774" s="3" t="n">
        <v>2016</v>
      </c>
      <c r="B1774" s="3" t="n">
        <v>11</v>
      </c>
      <c r="C1774" s="3" t="n">
        <v>7</v>
      </c>
      <c r="D1774" s="3" t="s">
        <v>1778</v>
      </c>
      <c r="E1774" s="4" t="n">
        <v>13</v>
      </c>
    </row>
    <row r="1775" customFormat="false" ht="15" hidden="false" customHeight="false" outlineLevel="0" collapsed="false">
      <c r="A1775" s="3" t="n">
        <v>2016</v>
      </c>
      <c r="B1775" s="3" t="n">
        <v>11</v>
      </c>
      <c r="C1775" s="3" t="n">
        <v>8</v>
      </c>
      <c r="D1775" s="3" t="s">
        <v>1779</v>
      </c>
      <c r="E1775" s="4" t="n">
        <v>0</v>
      </c>
    </row>
    <row r="1776" customFormat="false" ht="15" hidden="false" customHeight="false" outlineLevel="0" collapsed="false">
      <c r="A1776" s="3" t="n">
        <v>2016</v>
      </c>
      <c r="B1776" s="3" t="n">
        <v>11</v>
      </c>
      <c r="C1776" s="3" t="n">
        <v>9</v>
      </c>
      <c r="D1776" s="3" t="s">
        <v>1780</v>
      </c>
      <c r="E1776" s="4" t="n">
        <v>8</v>
      </c>
    </row>
    <row r="1777" customFormat="false" ht="15" hidden="false" customHeight="false" outlineLevel="0" collapsed="false">
      <c r="A1777" s="3" t="n">
        <v>2016</v>
      </c>
      <c r="B1777" s="3" t="n">
        <v>11</v>
      </c>
      <c r="C1777" s="3" t="n">
        <v>10</v>
      </c>
      <c r="D1777" s="3" t="s">
        <v>1781</v>
      </c>
      <c r="E1777" s="4" t="n">
        <v>6</v>
      </c>
    </row>
    <row r="1778" customFormat="false" ht="15" hidden="false" customHeight="false" outlineLevel="0" collapsed="false">
      <c r="A1778" s="3" t="n">
        <v>2016</v>
      </c>
      <c r="B1778" s="3" t="n">
        <v>11</v>
      </c>
      <c r="C1778" s="3" t="n">
        <v>11</v>
      </c>
      <c r="D1778" s="3" t="s">
        <v>1782</v>
      </c>
      <c r="E1778" s="4" t="n">
        <v>44</v>
      </c>
    </row>
    <row r="1779" customFormat="false" ht="15" hidden="false" customHeight="false" outlineLevel="0" collapsed="false">
      <c r="A1779" s="3" t="n">
        <v>2016</v>
      </c>
      <c r="B1779" s="3" t="n">
        <v>11</v>
      </c>
      <c r="C1779" s="3" t="n">
        <v>12</v>
      </c>
      <c r="D1779" s="3" t="s">
        <v>1783</v>
      </c>
      <c r="E1779" s="4" t="n">
        <v>1</v>
      </c>
    </row>
    <row r="1780" customFormat="false" ht="15" hidden="false" customHeight="false" outlineLevel="0" collapsed="false">
      <c r="A1780" s="3" t="n">
        <v>2016</v>
      </c>
      <c r="B1780" s="3" t="n">
        <v>11</v>
      </c>
      <c r="C1780" s="3" t="n">
        <v>13</v>
      </c>
      <c r="D1780" s="3" t="s">
        <v>1784</v>
      </c>
      <c r="E1780" s="4" t="n">
        <v>0</v>
      </c>
    </row>
    <row r="1781" customFormat="false" ht="15" hidden="false" customHeight="false" outlineLevel="0" collapsed="false">
      <c r="A1781" s="3" t="n">
        <v>2016</v>
      </c>
      <c r="B1781" s="3" t="n">
        <v>11</v>
      </c>
      <c r="C1781" s="3" t="n">
        <v>14</v>
      </c>
      <c r="D1781" s="3" t="s">
        <v>1785</v>
      </c>
      <c r="E1781" s="4" t="n">
        <v>0</v>
      </c>
    </row>
    <row r="1782" customFormat="false" ht="15" hidden="false" customHeight="false" outlineLevel="0" collapsed="false">
      <c r="A1782" s="3" t="n">
        <v>2016</v>
      </c>
      <c r="B1782" s="3" t="n">
        <v>11</v>
      </c>
      <c r="C1782" s="3" t="n">
        <v>15</v>
      </c>
      <c r="D1782" s="3" t="s">
        <v>1786</v>
      </c>
      <c r="E1782" s="4" t="n">
        <v>14</v>
      </c>
    </row>
    <row r="1783" customFormat="false" ht="15" hidden="false" customHeight="false" outlineLevel="0" collapsed="false">
      <c r="A1783" s="3" t="n">
        <v>2016</v>
      </c>
      <c r="B1783" s="3" t="n">
        <v>11</v>
      </c>
      <c r="C1783" s="3" t="n">
        <v>16</v>
      </c>
      <c r="D1783" s="3" t="s">
        <v>1787</v>
      </c>
      <c r="E1783" s="4" t="n">
        <v>0</v>
      </c>
    </row>
    <row r="1784" customFormat="false" ht="15" hidden="false" customHeight="false" outlineLevel="0" collapsed="false">
      <c r="A1784" s="3" t="n">
        <v>2016</v>
      </c>
      <c r="B1784" s="3" t="n">
        <v>11</v>
      </c>
      <c r="C1784" s="3" t="n">
        <v>17</v>
      </c>
      <c r="D1784" s="3" t="s">
        <v>1788</v>
      </c>
      <c r="E1784" s="4" t="n">
        <v>0</v>
      </c>
    </row>
    <row r="1785" customFormat="false" ht="15" hidden="false" customHeight="false" outlineLevel="0" collapsed="false">
      <c r="A1785" s="3" t="n">
        <v>2016</v>
      </c>
      <c r="B1785" s="3" t="n">
        <v>11</v>
      </c>
      <c r="C1785" s="3" t="n">
        <v>18</v>
      </c>
      <c r="D1785" s="3" t="s">
        <v>1789</v>
      </c>
      <c r="E1785" s="4" t="n">
        <v>16</v>
      </c>
    </row>
    <row r="1786" customFormat="false" ht="15" hidden="false" customHeight="false" outlineLevel="0" collapsed="false">
      <c r="A1786" s="3" t="n">
        <v>2016</v>
      </c>
      <c r="B1786" s="3" t="n">
        <v>11</v>
      </c>
      <c r="C1786" s="3" t="n">
        <v>19</v>
      </c>
      <c r="D1786" s="3" t="s">
        <v>1790</v>
      </c>
      <c r="E1786" s="4" t="n">
        <v>10</v>
      </c>
    </row>
    <row r="1787" customFormat="false" ht="15" hidden="false" customHeight="false" outlineLevel="0" collapsed="false">
      <c r="A1787" s="3" t="n">
        <v>2016</v>
      </c>
      <c r="B1787" s="3" t="n">
        <v>11</v>
      </c>
      <c r="C1787" s="3" t="n">
        <v>20</v>
      </c>
      <c r="D1787" s="3" t="s">
        <v>1791</v>
      </c>
      <c r="E1787" s="4" t="n">
        <v>0</v>
      </c>
    </row>
    <row r="1788" customFormat="false" ht="15" hidden="false" customHeight="false" outlineLevel="0" collapsed="false">
      <c r="A1788" s="3" t="n">
        <v>2016</v>
      </c>
      <c r="B1788" s="3" t="n">
        <v>11</v>
      </c>
      <c r="C1788" s="3" t="n">
        <v>21</v>
      </c>
      <c r="D1788" s="3" t="s">
        <v>1792</v>
      </c>
      <c r="E1788" s="4" t="n">
        <v>0</v>
      </c>
    </row>
    <row r="1789" customFormat="false" ht="15" hidden="false" customHeight="false" outlineLevel="0" collapsed="false">
      <c r="A1789" s="3" t="n">
        <v>2016</v>
      </c>
      <c r="B1789" s="3" t="n">
        <v>11</v>
      </c>
      <c r="C1789" s="3" t="n">
        <v>22</v>
      </c>
      <c r="D1789" s="3" t="s">
        <v>1793</v>
      </c>
      <c r="E1789" s="4" t="n">
        <v>35</v>
      </c>
    </row>
    <row r="1790" customFormat="false" ht="15" hidden="false" customHeight="false" outlineLevel="0" collapsed="false">
      <c r="A1790" s="3" t="n">
        <v>2016</v>
      </c>
      <c r="B1790" s="3" t="n">
        <v>11</v>
      </c>
      <c r="C1790" s="3" t="n">
        <v>23</v>
      </c>
      <c r="D1790" s="3" t="s">
        <v>1794</v>
      </c>
      <c r="E1790" s="4" t="n">
        <v>0</v>
      </c>
    </row>
    <row r="1791" customFormat="false" ht="15" hidden="false" customHeight="false" outlineLevel="0" collapsed="false">
      <c r="A1791" s="3" t="n">
        <v>2016</v>
      </c>
      <c r="B1791" s="3" t="n">
        <v>11</v>
      </c>
      <c r="C1791" s="3" t="n">
        <v>24</v>
      </c>
      <c r="D1791" s="3" t="s">
        <v>1795</v>
      </c>
      <c r="E1791" s="4" t="n">
        <v>0</v>
      </c>
    </row>
    <row r="1792" customFormat="false" ht="15" hidden="false" customHeight="false" outlineLevel="0" collapsed="false">
      <c r="A1792" s="3" t="n">
        <v>2016</v>
      </c>
      <c r="B1792" s="3" t="n">
        <v>11</v>
      </c>
      <c r="C1792" s="3" t="n">
        <v>25</v>
      </c>
      <c r="D1792" s="3" t="s">
        <v>1796</v>
      </c>
      <c r="E1792" s="4" t="n">
        <v>0</v>
      </c>
    </row>
    <row r="1793" customFormat="false" ht="15" hidden="false" customHeight="false" outlineLevel="0" collapsed="false">
      <c r="A1793" s="3" t="n">
        <v>2016</v>
      </c>
      <c r="B1793" s="3" t="n">
        <v>11</v>
      </c>
      <c r="C1793" s="3" t="n">
        <v>26</v>
      </c>
      <c r="D1793" s="3" t="s">
        <v>1797</v>
      </c>
      <c r="E1793" s="4" t="n">
        <v>0</v>
      </c>
    </row>
    <row r="1794" customFormat="false" ht="15" hidden="false" customHeight="false" outlineLevel="0" collapsed="false">
      <c r="A1794" s="3" t="n">
        <v>2016</v>
      </c>
      <c r="B1794" s="3" t="n">
        <v>11</v>
      </c>
      <c r="C1794" s="3" t="n">
        <v>27</v>
      </c>
      <c r="D1794" s="3" t="s">
        <v>1798</v>
      </c>
      <c r="E1794" s="4" t="n">
        <v>0</v>
      </c>
    </row>
    <row r="1795" customFormat="false" ht="15" hidden="false" customHeight="false" outlineLevel="0" collapsed="false">
      <c r="A1795" s="3" t="n">
        <v>2016</v>
      </c>
      <c r="B1795" s="3" t="n">
        <v>11</v>
      </c>
      <c r="C1795" s="3" t="n">
        <v>28</v>
      </c>
      <c r="D1795" s="3" t="s">
        <v>1799</v>
      </c>
      <c r="E1795" s="4" t="n">
        <v>2</v>
      </c>
    </row>
    <row r="1796" customFormat="false" ht="15" hidden="false" customHeight="false" outlineLevel="0" collapsed="false">
      <c r="A1796" s="3" t="n">
        <v>2016</v>
      </c>
      <c r="B1796" s="3" t="n">
        <v>11</v>
      </c>
      <c r="C1796" s="3" t="n">
        <v>29</v>
      </c>
      <c r="D1796" s="3" t="s">
        <v>1800</v>
      </c>
      <c r="E1796" s="4" t="n">
        <v>0</v>
      </c>
    </row>
    <row r="1797" customFormat="false" ht="15" hidden="false" customHeight="false" outlineLevel="0" collapsed="false">
      <c r="A1797" s="3" t="n">
        <v>2016</v>
      </c>
      <c r="B1797" s="3" t="n">
        <v>11</v>
      </c>
      <c r="C1797" s="3" t="n">
        <v>30</v>
      </c>
      <c r="D1797" s="3" t="s">
        <v>1801</v>
      </c>
      <c r="E1797" s="4" t="n">
        <v>32</v>
      </c>
    </row>
    <row r="1798" customFormat="false" ht="15" hidden="false" customHeight="false" outlineLevel="0" collapsed="false">
      <c r="A1798" s="3" t="n">
        <v>2016</v>
      </c>
      <c r="B1798" s="3" t="n">
        <v>12</v>
      </c>
      <c r="C1798" s="3" t="n">
        <v>1</v>
      </c>
      <c r="D1798" s="3" t="s">
        <v>1802</v>
      </c>
      <c r="E1798" s="4" t="n">
        <v>32</v>
      </c>
    </row>
    <row r="1799" customFormat="false" ht="15" hidden="false" customHeight="false" outlineLevel="0" collapsed="false">
      <c r="A1799" s="3" t="n">
        <v>2016</v>
      </c>
      <c r="B1799" s="3" t="n">
        <v>12</v>
      </c>
      <c r="C1799" s="3" t="n">
        <v>2</v>
      </c>
      <c r="D1799" s="3" t="s">
        <v>1803</v>
      </c>
      <c r="E1799" s="4" t="n">
        <v>52</v>
      </c>
    </row>
    <row r="1800" customFormat="false" ht="15" hidden="false" customHeight="false" outlineLevel="0" collapsed="false">
      <c r="A1800" s="3" t="n">
        <v>2016</v>
      </c>
      <c r="B1800" s="3" t="n">
        <v>12</v>
      </c>
      <c r="C1800" s="3" t="n">
        <v>3</v>
      </c>
      <c r="D1800" s="3" t="s">
        <v>1804</v>
      </c>
      <c r="E1800" s="4" t="n">
        <v>0</v>
      </c>
    </row>
    <row r="1801" customFormat="false" ht="15" hidden="false" customHeight="false" outlineLevel="0" collapsed="false">
      <c r="A1801" s="3" t="n">
        <v>2016</v>
      </c>
      <c r="B1801" s="3" t="n">
        <v>12</v>
      </c>
      <c r="C1801" s="3" t="n">
        <v>4</v>
      </c>
      <c r="D1801" s="3" t="s">
        <v>1805</v>
      </c>
      <c r="E1801" s="4" t="n">
        <v>0</v>
      </c>
    </row>
    <row r="1802" customFormat="false" ht="15" hidden="false" customHeight="false" outlineLevel="0" collapsed="false">
      <c r="A1802" s="3" t="n">
        <v>2016</v>
      </c>
      <c r="B1802" s="3" t="n">
        <v>12</v>
      </c>
      <c r="C1802" s="3" t="n">
        <v>5</v>
      </c>
      <c r="D1802" s="3" t="s">
        <v>1806</v>
      </c>
      <c r="E1802" s="4" t="n">
        <v>33</v>
      </c>
    </row>
    <row r="1803" customFormat="false" ht="15" hidden="false" customHeight="false" outlineLevel="0" collapsed="false">
      <c r="A1803" s="3" t="n">
        <v>2016</v>
      </c>
      <c r="B1803" s="3" t="n">
        <v>12</v>
      </c>
      <c r="C1803" s="3" t="n">
        <v>6</v>
      </c>
      <c r="D1803" s="3" t="s">
        <v>1807</v>
      </c>
      <c r="E1803" s="4" t="n">
        <v>0</v>
      </c>
    </row>
    <row r="1804" customFormat="false" ht="15" hidden="false" customHeight="false" outlineLevel="0" collapsed="false">
      <c r="A1804" s="3" t="n">
        <v>2016</v>
      </c>
      <c r="B1804" s="3" t="n">
        <v>12</v>
      </c>
      <c r="C1804" s="3" t="n">
        <v>7</v>
      </c>
      <c r="D1804" s="3" t="s">
        <v>1808</v>
      </c>
      <c r="E1804" s="4" t="n">
        <v>0</v>
      </c>
    </row>
    <row r="1805" customFormat="false" ht="15" hidden="false" customHeight="false" outlineLevel="0" collapsed="false">
      <c r="A1805" s="3" t="n">
        <v>2016</v>
      </c>
      <c r="B1805" s="3" t="n">
        <v>12</v>
      </c>
      <c r="C1805" s="3" t="n">
        <v>8</v>
      </c>
      <c r="D1805" s="3" t="s">
        <v>1809</v>
      </c>
      <c r="E1805" s="4" t="n">
        <v>4</v>
      </c>
    </row>
    <row r="1806" customFormat="false" ht="15" hidden="false" customHeight="false" outlineLevel="0" collapsed="false">
      <c r="A1806" s="3" t="n">
        <v>2016</v>
      </c>
      <c r="B1806" s="3" t="n">
        <v>12</v>
      </c>
      <c r="C1806" s="3" t="n">
        <v>9</v>
      </c>
      <c r="D1806" s="3" t="s">
        <v>1810</v>
      </c>
      <c r="E1806" s="4" t="n">
        <v>6</v>
      </c>
    </row>
    <row r="1807" customFormat="false" ht="15" hidden="false" customHeight="false" outlineLevel="0" collapsed="false">
      <c r="A1807" s="3" t="n">
        <v>2016</v>
      </c>
      <c r="B1807" s="3" t="n">
        <v>12</v>
      </c>
      <c r="C1807" s="3" t="n">
        <v>10</v>
      </c>
      <c r="D1807" s="3" t="s">
        <v>1811</v>
      </c>
      <c r="E1807" s="4" t="n">
        <v>30</v>
      </c>
    </row>
    <row r="1808" customFormat="false" ht="15" hidden="false" customHeight="false" outlineLevel="0" collapsed="false">
      <c r="A1808" s="3" t="n">
        <v>2016</v>
      </c>
      <c r="B1808" s="3" t="n">
        <v>12</v>
      </c>
      <c r="C1808" s="3" t="n">
        <v>11</v>
      </c>
      <c r="D1808" s="3" t="s">
        <v>1812</v>
      </c>
      <c r="E1808" s="4" t="n">
        <v>31</v>
      </c>
    </row>
    <row r="1809" customFormat="false" ht="15" hidden="false" customHeight="false" outlineLevel="0" collapsed="false">
      <c r="A1809" s="3" t="n">
        <v>2016</v>
      </c>
      <c r="B1809" s="3" t="n">
        <v>12</v>
      </c>
      <c r="C1809" s="3" t="n">
        <v>12</v>
      </c>
      <c r="D1809" s="3" t="s">
        <v>1813</v>
      </c>
      <c r="E1809" s="4" t="n">
        <v>0</v>
      </c>
    </row>
    <row r="1810" customFormat="false" ht="15" hidden="false" customHeight="false" outlineLevel="0" collapsed="false">
      <c r="A1810" s="3" t="n">
        <v>2016</v>
      </c>
      <c r="B1810" s="3" t="n">
        <v>12</v>
      </c>
      <c r="C1810" s="3" t="n">
        <v>13</v>
      </c>
      <c r="D1810" s="3" t="s">
        <v>1814</v>
      </c>
      <c r="E1810" s="4" t="n">
        <v>0</v>
      </c>
    </row>
    <row r="1811" customFormat="false" ht="15" hidden="false" customHeight="false" outlineLevel="0" collapsed="false">
      <c r="A1811" s="3" t="n">
        <v>2016</v>
      </c>
      <c r="B1811" s="3" t="n">
        <v>12</v>
      </c>
      <c r="C1811" s="3" t="n">
        <v>14</v>
      </c>
      <c r="D1811" s="3" t="s">
        <v>1815</v>
      </c>
      <c r="E1811" s="4" t="n">
        <v>0</v>
      </c>
    </row>
    <row r="1812" customFormat="false" ht="15" hidden="false" customHeight="false" outlineLevel="0" collapsed="false">
      <c r="A1812" s="3" t="n">
        <v>2016</v>
      </c>
      <c r="B1812" s="3" t="n">
        <v>12</v>
      </c>
      <c r="C1812" s="3" t="n">
        <v>15</v>
      </c>
      <c r="D1812" s="3" t="s">
        <v>1816</v>
      </c>
      <c r="E1812" s="4" t="n">
        <v>0</v>
      </c>
    </row>
    <row r="1813" customFormat="false" ht="15" hidden="false" customHeight="false" outlineLevel="0" collapsed="false">
      <c r="A1813" s="3" t="n">
        <v>2016</v>
      </c>
      <c r="B1813" s="3" t="n">
        <v>12</v>
      </c>
      <c r="C1813" s="3" t="n">
        <v>16</v>
      </c>
      <c r="D1813" s="3" t="s">
        <v>1817</v>
      </c>
      <c r="E1813" s="4" t="n">
        <v>0</v>
      </c>
    </row>
    <row r="1814" customFormat="false" ht="15" hidden="false" customHeight="false" outlineLevel="0" collapsed="false">
      <c r="A1814" s="3" t="n">
        <v>2016</v>
      </c>
      <c r="B1814" s="3" t="n">
        <v>12</v>
      </c>
      <c r="C1814" s="3" t="n">
        <v>17</v>
      </c>
      <c r="D1814" s="3" t="s">
        <v>1818</v>
      </c>
      <c r="E1814" s="4" t="n">
        <v>0</v>
      </c>
    </row>
    <row r="1815" customFormat="false" ht="15" hidden="false" customHeight="false" outlineLevel="0" collapsed="false">
      <c r="A1815" s="3" t="n">
        <v>2016</v>
      </c>
      <c r="B1815" s="3" t="n">
        <v>12</v>
      </c>
      <c r="C1815" s="3" t="n">
        <v>18</v>
      </c>
      <c r="D1815" s="3" t="s">
        <v>1819</v>
      </c>
      <c r="E1815" s="4" t="n">
        <v>0</v>
      </c>
    </row>
    <row r="1816" customFormat="false" ht="15" hidden="false" customHeight="false" outlineLevel="0" collapsed="false">
      <c r="A1816" s="3" t="n">
        <v>2016</v>
      </c>
      <c r="B1816" s="3" t="n">
        <v>12</v>
      </c>
      <c r="C1816" s="3" t="n">
        <v>19</v>
      </c>
      <c r="D1816" s="3" t="s">
        <v>1820</v>
      </c>
      <c r="E1816" s="4" t="n">
        <v>0</v>
      </c>
    </row>
    <row r="1817" customFormat="false" ht="15" hidden="false" customHeight="false" outlineLevel="0" collapsed="false">
      <c r="A1817" s="3" t="n">
        <v>2016</v>
      </c>
      <c r="B1817" s="3" t="n">
        <v>12</v>
      </c>
      <c r="C1817" s="3" t="n">
        <v>20</v>
      </c>
      <c r="D1817" s="3" t="s">
        <v>1821</v>
      </c>
      <c r="E1817" s="4" t="n">
        <v>24</v>
      </c>
    </row>
    <row r="1818" customFormat="false" ht="15" hidden="false" customHeight="false" outlineLevel="0" collapsed="false">
      <c r="A1818" s="3" t="n">
        <v>2016</v>
      </c>
      <c r="B1818" s="3" t="n">
        <v>12</v>
      </c>
      <c r="C1818" s="3" t="n">
        <v>21</v>
      </c>
      <c r="D1818" s="3" t="s">
        <v>1822</v>
      </c>
      <c r="E1818" s="4" t="n">
        <v>0</v>
      </c>
    </row>
    <row r="1819" customFormat="false" ht="15" hidden="false" customHeight="false" outlineLevel="0" collapsed="false">
      <c r="A1819" s="3" t="n">
        <v>2016</v>
      </c>
      <c r="B1819" s="3" t="n">
        <v>12</v>
      </c>
      <c r="C1819" s="3" t="n">
        <v>22</v>
      </c>
      <c r="D1819" s="3" t="s">
        <v>1823</v>
      </c>
      <c r="E1819" s="4" t="n">
        <v>0</v>
      </c>
    </row>
    <row r="1820" customFormat="false" ht="15" hidden="false" customHeight="false" outlineLevel="0" collapsed="false">
      <c r="A1820" s="3" t="n">
        <v>2016</v>
      </c>
      <c r="B1820" s="3" t="n">
        <v>12</v>
      </c>
      <c r="C1820" s="3" t="n">
        <v>23</v>
      </c>
      <c r="D1820" s="3" t="s">
        <v>1824</v>
      </c>
      <c r="E1820" s="4" t="n">
        <v>5</v>
      </c>
    </row>
    <row r="1821" customFormat="false" ht="15" hidden="false" customHeight="false" outlineLevel="0" collapsed="false">
      <c r="A1821" s="3" t="n">
        <v>2016</v>
      </c>
      <c r="B1821" s="3" t="n">
        <v>12</v>
      </c>
      <c r="C1821" s="3" t="n">
        <v>24</v>
      </c>
      <c r="D1821" s="3" t="s">
        <v>1825</v>
      </c>
      <c r="E1821" s="4" t="n">
        <v>0</v>
      </c>
    </row>
    <row r="1822" customFormat="false" ht="15" hidden="false" customHeight="false" outlineLevel="0" collapsed="false">
      <c r="A1822" s="3" t="n">
        <v>2016</v>
      </c>
      <c r="B1822" s="3" t="n">
        <v>12</v>
      </c>
      <c r="C1822" s="3" t="n">
        <v>25</v>
      </c>
      <c r="D1822" s="3" t="s">
        <v>1826</v>
      </c>
      <c r="E1822" s="4" t="n">
        <v>18</v>
      </c>
    </row>
    <row r="1823" customFormat="false" ht="15" hidden="false" customHeight="false" outlineLevel="0" collapsed="false">
      <c r="A1823" s="3" t="n">
        <v>2016</v>
      </c>
      <c r="B1823" s="3" t="n">
        <v>12</v>
      </c>
      <c r="C1823" s="3" t="n">
        <v>26</v>
      </c>
      <c r="D1823" s="3" t="s">
        <v>1827</v>
      </c>
      <c r="E1823" s="4" t="n">
        <v>26</v>
      </c>
    </row>
    <row r="1824" customFormat="false" ht="15" hidden="false" customHeight="false" outlineLevel="0" collapsed="false">
      <c r="A1824" s="3" t="n">
        <v>2016</v>
      </c>
      <c r="B1824" s="3" t="n">
        <v>12</v>
      </c>
      <c r="C1824" s="3" t="n">
        <v>27</v>
      </c>
      <c r="D1824" s="3" t="s">
        <v>1828</v>
      </c>
      <c r="E1824" s="4" t="n">
        <v>3</v>
      </c>
    </row>
    <row r="1825" customFormat="false" ht="15" hidden="false" customHeight="false" outlineLevel="0" collapsed="false">
      <c r="A1825" s="3" t="n">
        <v>2016</v>
      </c>
      <c r="B1825" s="3" t="n">
        <v>12</v>
      </c>
      <c r="C1825" s="3" t="n">
        <v>28</v>
      </c>
      <c r="D1825" s="3" t="s">
        <v>1829</v>
      </c>
      <c r="E1825" s="4" t="n">
        <v>24</v>
      </c>
    </row>
    <row r="1826" customFormat="false" ht="15" hidden="false" customHeight="false" outlineLevel="0" collapsed="false">
      <c r="A1826" s="3" t="n">
        <v>2016</v>
      </c>
      <c r="B1826" s="3" t="n">
        <v>12</v>
      </c>
      <c r="C1826" s="3" t="n">
        <v>29</v>
      </c>
      <c r="D1826" s="3" t="s">
        <v>1830</v>
      </c>
      <c r="E1826" s="4" t="n">
        <v>17</v>
      </c>
    </row>
    <row r="1827" customFormat="false" ht="15" hidden="false" customHeight="false" outlineLevel="0" collapsed="false">
      <c r="A1827" s="3" t="n">
        <v>2016</v>
      </c>
      <c r="B1827" s="3" t="n">
        <v>12</v>
      </c>
      <c r="C1827" s="3" t="n">
        <v>30</v>
      </c>
      <c r="D1827" s="3" t="s">
        <v>1831</v>
      </c>
      <c r="E1827" s="4" t="n">
        <v>0</v>
      </c>
    </row>
    <row r="1828" customFormat="false" ht="15" hidden="false" customHeight="false" outlineLevel="0" collapsed="false">
      <c r="A1828" s="3" t="n">
        <v>2016</v>
      </c>
      <c r="B1828" s="3" t="n">
        <v>12</v>
      </c>
      <c r="C1828" s="3" t="n">
        <v>31</v>
      </c>
      <c r="D1828" s="3" t="s">
        <v>1832</v>
      </c>
      <c r="E1828" s="4" t="n">
        <v>0</v>
      </c>
    </row>
    <row r="1829" customFormat="false" ht="15" hidden="false" customHeight="false" outlineLevel="0" collapsed="false">
      <c r="A1829" s="3" t="n">
        <v>2017</v>
      </c>
      <c r="B1829" s="3" t="n">
        <v>1</v>
      </c>
      <c r="C1829" s="3" t="n">
        <v>1</v>
      </c>
      <c r="D1829" s="3" t="s">
        <v>1833</v>
      </c>
      <c r="E1829" s="4" t="n">
        <v>8</v>
      </c>
    </row>
    <row r="1830" customFormat="false" ht="15" hidden="false" customHeight="false" outlineLevel="0" collapsed="false">
      <c r="A1830" s="3" t="n">
        <v>2017</v>
      </c>
      <c r="B1830" s="3" t="n">
        <v>1</v>
      </c>
      <c r="C1830" s="3" t="n">
        <v>2</v>
      </c>
      <c r="D1830" s="3" t="s">
        <v>1834</v>
      </c>
      <c r="E1830" s="4" t="n">
        <v>0</v>
      </c>
    </row>
    <row r="1831" customFormat="false" ht="15" hidden="false" customHeight="false" outlineLevel="0" collapsed="false">
      <c r="A1831" s="3" t="n">
        <v>2017</v>
      </c>
      <c r="B1831" s="3" t="n">
        <v>1</v>
      </c>
      <c r="C1831" s="3" t="n">
        <v>3</v>
      </c>
      <c r="D1831" s="3" t="s">
        <v>1835</v>
      </c>
      <c r="E1831" s="4" t="n">
        <v>0</v>
      </c>
    </row>
    <row r="1832" customFormat="false" ht="15" hidden="false" customHeight="false" outlineLevel="0" collapsed="false">
      <c r="A1832" s="3" t="n">
        <v>2017</v>
      </c>
      <c r="B1832" s="3" t="n">
        <v>1</v>
      </c>
      <c r="C1832" s="3" t="n">
        <v>4</v>
      </c>
      <c r="D1832" s="3" t="s">
        <v>1836</v>
      </c>
      <c r="E1832" s="4" t="n">
        <v>0</v>
      </c>
    </row>
    <row r="1833" customFormat="false" ht="15" hidden="false" customHeight="false" outlineLevel="0" collapsed="false">
      <c r="A1833" s="3" t="n">
        <v>2017</v>
      </c>
      <c r="B1833" s="3" t="n">
        <v>1</v>
      </c>
      <c r="C1833" s="3" t="n">
        <v>5</v>
      </c>
      <c r="D1833" s="3" t="s">
        <v>1837</v>
      </c>
      <c r="E1833" s="4" t="n">
        <v>0</v>
      </c>
    </row>
    <row r="1834" customFormat="false" ht="15" hidden="false" customHeight="false" outlineLevel="0" collapsed="false">
      <c r="A1834" s="3" t="n">
        <v>2017</v>
      </c>
      <c r="B1834" s="3" t="n">
        <v>1</v>
      </c>
      <c r="C1834" s="3" t="n">
        <v>6</v>
      </c>
      <c r="D1834" s="3" t="s">
        <v>1838</v>
      </c>
      <c r="E1834" s="4" t="n">
        <v>0</v>
      </c>
    </row>
    <row r="1835" customFormat="false" ht="15" hidden="false" customHeight="false" outlineLevel="0" collapsed="false">
      <c r="A1835" s="3" t="n">
        <v>2017</v>
      </c>
      <c r="B1835" s="3" t="n">
        <v>1</v>
      </c>
      <c r="C1835" s="3" t="n">
        <v>7</v>
      </c>
      <c r="D1835" s="3" t="s">
        <v>1839</v>
      </c>
      <c r="E1835" s="4" t="n">
        <v>0</v>
      </c>
    </row>
    <row r="1836" customFormat="false" ht="15" hidden="false" customHeight="false" outlineLevel="0" collapsed="false">
      <c r="A1836" s="3" t="n">
        <v>2017</v>
      </c>
      <c r="B1836" s="3" t="n">
        <v>1</v>
      </c>
      <c r="C1836" s="3" t="n">
        <v>8</v>
      </c>
      <c r="D1836" s="3" t="s">
        <v>1840</v>
      </c>
      <c r="E1836" s="4" t="n">
        <v>0</v>
      </c>
    </row>
    <row r="1837" customFormat="false" ht="15" hidden="false" customHeight="false" outlineLevel="0" collapsed="false">
      <c r="A1837" s="3" t="n">
        <v>2017</v>
      </c>
      <c r="B1837" s="3" t="n">
        <v>1</v>
      </c>
      <c r="C1837" s="3" t="n">
        <v>9</v>
      </c>
      <c r="D1837" s="3" t="s">
        <v>1841</v>
      </c>
      <c r="E1837" s="4" t="n">
        <v>0</v>
      </c>
    </row>
    <row r="1838" customFormat="false" ht="15" hidden="false" customHeight="false" outlineLevel="0" collapsed="false">
      <c r="A1838" s="3" t="n">
        <v>2017</v>
      </c>
      <c r="B1838" s="3" t="n">
        <v>1</v>
      </c>
      <c r="C1838" s="3" t="n">
        <v>10</v>
      </c>
      <c r="D1838" s="3" t="s">
        <v>1842</v>
      </c>
      <c r="E1838" s="4" t="n">
        <v>0</v>
      </c>
    </row>
    <row r="1839" customFormat="false" ht="15" hidden="false" customHeight="false" outlineLevel="0" collapsed="false">
      <c r="A1839" s="3" t="n">
        <v>2017</v>
      </c>
      <c r="B1839" s="3" t="n">
        <v>1</v>
      </c>
      <c r="C1839" s="3" t="n">
        <v>11</v>
      </c>
      <c r="D1839" s="3" t="s">
        <v>1843</v>
      </c>
      <c r="E1839" s="4" t="n">
        <v>0</v>
      </c>
    </row>
    <row r="1840" customFormat="false" ht="15" hidden="false" customHeight="false" outlineLevel="0" collapsed="false">
      <c r="A1840" s="3" t="n">
        <v>2017</v>
      </c>
      <c r="B1840" s="3" t="n">
        <v>1</v>
      </c>
      <c r="C1840" s="3" t="n">
        <v>12</v>
      </c>
      <c r="D1840" s="3" t="s">
        <v>1844</v>
      </c>
      <c r="E1840" s="4" t="n">
        <v>0</v>
      </c>
    </row>
    <row r="1841" customFormat="false" ht="15" hidden="false" customHeight="false" outlineLevel="0" collapsed="false">
      <c r="A1841" s="3" t="n">
        <v>2017</v>
      </c>
      <c r="B1841" s="3" t="n">
        <v>1</v>
      </c>
      <c r="C1841" s="3" t="n">
        <v>13</v>
      </c>
      <c r="D1841" s="3" t="s">
        <v>1845</v>
      </c>
      <c r="E1841" s="4" t="n">
        <v>13</v>
      </c>
    </row>
    <row r="1842" customFormat="false" ht="15" hidden="false" customHeight="false" outlineLevel="0" collapsed="false">
      <c r="A1842" s="3" t="n">
        <v>2017</v>
      </c>
      <c r="B1842" s="3" t="n">
        <v>1</v>
      </c>
      <c r="C1842" s="3" t="n">
        <v>14</v>
      </c>
      <c r="D1842" s="3" t="s">
        <v>1846</v>
      </c>
      <c r="E1842" s="4" t="n">
        <v>2</v>
      </c>
    </row>
    <row r="1843" customFormat="false" ht="15" hidden="false" customHeight="false" outlineLevel="0" collapsed="false">
      <c r="A1843" s="3" t="n">
        <v>2017</v>
      </c>
      <c r="B1843" s="3" t="n">
        <v>1</v>
      </c>
      <c r="C1843" s="3" t="n">
        <v>15</v>
      </c>
      <c r="D1843" s="3" t="s">
        <v>1847</v>
      </c>
      <c r="E1843" s="4" t="n">
        <v>0</v>
      </c>
    </row>
    <row r="1844" customFormat="false" ht="15" hidden="false" customHeight="false" outlineLevel="0" collapsed="false">
      <c r="A1844" s="3" t="n">
        <v>2017</v>
      </c>
      <c r="B1844" s="3" t="n">
        <v>1</v>
      </c>
      <c r="C1844" s="3" t="n">
        <v>16</v>
      </c>
      <c r="D1844" s="3" t="s">
        <v>1848</v>
      </c>
      <c r="E1844" s="4" t="n">
        <v>0</v>
      </c>
    </row>
    <row r="1845" customFormat="false" ht="15" hidden="false" customHeight="false" outlineLevel="0" collapsed="false">
      <c r="A1845" s="3" t="n">
        <v>2017</v>
      </c>
      <c r="B1845" s="3" t="n">
        <v>1</v>
      </c>
      <c r="C1845" s="3" t="n">
        <v>17</v>
      </c>
      <c r="D1845" s="3" t="s">
        <v>1849</v>
      </c>
      <c r="E1845" s="4" t="n">
        <v>0</v>
      </c>
    </row>
    <row r="1846" customFormat="false" ht="15" hidden="false" customHeight="false" outlineLevel="0" collapsed="false">
      <c r="A1846" s="3" t="n">
        <v>2017</v>
      </c>
      <c r="B1846" s="3" t="n">
        <v>1</v>
      </c>
      <c r="C1846" s="3" t="n">
        <v>18</v>
      </c>
      <c r="D1846" s="3" t="s">
        <v>1850</v>
      </c>
      <c r="E1846" s="4" t="n">
        <v>0</v>
      </c>
    </row>
    <row r="1847" customFormat="false" ht="15" hidden="false" customHeight="false" outlineLevel="0" collapsed="false">
      <c r="A1847" s="3" t="n">
        <v>2017</v>
      </c>
      <c r="B1847" s="3" t="n">
        <v>1</v>
      </c>
      <c r="C1847" s="3" t="n">
        <v>19</v>
      </c>
      <c r="D1847" s="3" t="s">
        <v>1851</v>
      </c>
      <c r="E1847" s="4" t="n">
        <v>0</v>
      </c>
    </row>
    <row r="1848" customFormat="false" ht="15" hidden="false" customHeight="false" outlineLevel="0" collapsed="false">
      <c r="A1848" s="3" t="n">
        <v>2017</v>
      </c>
      <c r="B1848" s="3" t="n">
        <v>1</v>
      </c>
      <c r="C1848" s="3" t="n">
        <v>20</v>
      </c>
      <c r="D1848" s="3" t="s">
        <v>1852</v>
      </c>
      <c r="E1848" s="4" t="n">
        <v>0</v>
      </c>
    </row>
    <row r="1849" customFormat="false" ht="15" hidden="false" customHeight="false" outlineLevel="0" collapsed="false">
      <c r="A1849" s="3" t="n">
        <v>2017</v>
      </c>
      <c r="B1849" s="3" t="n">
        <v>1</v>
      </c>
      <c r="C1849" s="3" t="n">
        <v>21</v>
      </c>
      <c r="D1849" s="3" t="s">
        <v>1853</v>
      </c>
      <c r="E1849" s="4" t="n">
        <v>10</v>
      </c>
    </row>
    <row r="1850" customFormat="false" ht="15" hidden="false" customHeight="false" outlineLevel="0" collapsed="false">
      <c r="A1850" s="3" t="n">
        <v>2017</v>
      </c>
      <c r="B1850" s="3" t="n">
        <v>1</v>
      </c>
      <c r="C1850" s="3" t="n">
        <v>22</v>
      </c>
      <c r="D1850" s="3" t="s">
        <v>1854</v>
      </c>
      <c r="E1850" s="4" t="n">
        <v>1</v>
      </c>
    </row>
    <row r="1851" customFormat="false" ht="15" hidden="false" customHeight="false" outlineLevel="0" collapsed="false">
      <c r="A1851" s="3" t="n">
        <v>2017</v>
      </c>
      <c r="B1851" s="3" t="n">
        <v>1</v>
      </c>
      <c r="C1851" s="3" t="n">
        <v>23</v>
      </c>
      <c r="D1851" s="3" t="s">
        <v>1855</v>
      </c>
      <c r="E1851" s="4" t="n">
        <v>0</v>
      </c>
    </row>
    <row r="1852" customFormat="false" ht="15" hidden="false" customHeight="false" outlineLevel="0" collapsed="false">
      <c r="A1852" s="3" t="n">
        <v>2017</v>
      </c>
      <c r="B1852" s="3" t="n">
        <v>1</v>
      </c>
      <c r="C1852" s="3" t="n">
        <v>24</v>
      </c>
      <c r="D1852" s="3" t="s">
        <v>1856</v>
      </c>
      <c r="E1852" s="4" t="n">
        <v>19</v>
      </c>
    </row>
    <row r="1853" customFormat="false" ht="15" hidden="false" customHeight="false" outlineLevel="0" collapsed="false">
      <c r="A1853" s="3" t="n">
        <v>2017</v>
      </c>
      <c r="B1853" s="3" t="n">
        <v>1</v>
      </c>
      <c r="C1853" s="3" t="n">
        <v>25</v>
      </c>
      <c r="D1853" s="3" t="s">
        <v>1857</v>
      </c>
      <c r="E1853" s="4" t="n">
        <v>23</v>
      </c>
    </row>
    <row r="1854" customFormat="false" ht="15" hidden="false" customHeight="false" outlineLevel="0" collapsed="false">
      <c r="A1854" s="3" t="n">
        <v>2017</v>
      </c>
      <c r="B1854" s="3" t="n">
        <v>1</v>
      </c>
      <c r="C1854" s="3" t="n">
        <v>26</v>
      </c>
      <c r="D1854" s="3" t="s">
        <v>1858</v>
      </c>
      <c r="E1854" s="4" t="n">
        <v>34</v>
      </c>
    </row>
    <row r="1855" customFormat="false" ht="15" hidden="false" customHeight="false" outlineLevel="0" collapsed="false">
      <c r="A1855" s="3" t="n">
        <v>2017</v>
      </c>
      <c r="B1855" s="3" t="n">
        <v>1</v>
      </c>
      <c r="C1855" s="3" t="n">
        <v>27</v>
      </c>
      <c r="D1855" s="3" t="s">
        <v>1859</v>
      </c>
      <c r="E1855" s="4" t="n">
        <v>24</v>
      </c>
    </row>
    <row r="1856" customFormat="false" ht="15" hidden="false" customHeight="false" outlineLevel="0" collapsed="false">
      <c r="A1856" s="3" t="n">
        <v>2017</v>
      </c>
      <c r="B1856" s="3" t="n">
        <v>1</v>
      </c>
      <c r="C1856" s="3" t="n">
        <v>28</v>
      </c>
      <c r="D1856" s="3" t="s">
        <v>1860</v>
      </c>
      <c r="E1856" s="4" t="n">
        <v>8</v>
      </c>
    </row>
    <row r="1857" customFormat="false" ht="15" hidden="false" customHeight="false" outlineLevel="0" collapsed="false">
      <c r="A1857" s="3" t="n">
        <v>2017</v>
      </c>
      <c r="B1857" s="3" t="n">
        <v>1</v>
      </c>
      <c r="C1857" s="3" t="n">
        <v>29</v>
      </c>
      <c r="D1857" s="3" t="s">
        <v>1861</v>
      </c>
      <c r="E1857" s="4" t="n">
        <v>36</v>
      </c>
    </row>
    <row r="1858" customFormat="false" ht="15" hidden="false" customHeight="false" outlineLevel="0" collapsed="false">
      <c r="A1858" s="3" t="n">
        <v>2017</v>
      </c>
      <c r="B1858" s="3" t="n">
        <v>1</v>
      </c>
      <c r="C1858" s="3" t="n">
        <v>30</v>
      </c>
      <c r="D1858" s="3" t="s">
        <v>1862</v>
      </c>
      <c r="E1858" s="4" t="n">
        <v>34</v>
      </c>
    </row>
    <row r="1859" customFormat="false" ht="15" hidden="false" customHeight="false" outlineLevel="0" collapsed="false">
      <c r="A1859" s="3" t="n">
        <v>2017</v>
      </c>
      <c r="B1859" s="3" t="n">
        <v>1</v>
      </c>
      <c r="C1859" s="3" t="n">
        <v>31</v>
      </c>
      <c r="D1859" s="3" t="s">
        <v>1863</v>
      </c>
      <c r="E1859" s="4" t="n">
        <v>0</v>
      </c>
    </row>
    <row r="1860" customFormat="false" ht="15" hidden="false" customHeight="false" outlineLevel="0" collapsed="false">
      <c r="A1860" s="3" t="n">
        <v>2017</v>
      </c>
      <c r="B1860" s="3" t="n">
        <v>2</v>
      </c>
      <c r="C1860" s="3" t="n">
        <v>1</v>
      </c>
      <c r="D1860" s="3" t="s">
        <v>1864</v>
      </c>
      <c r="E1860" s="4" t="n">
        <v>0</v>
      </c>
    </row>
    <row r="1861" customFormat="false" ht="15" hidden="false" customHeight="false" outlineLevel="0" collapsed="false">
      <c r="A1861" s="3" t="n">
        <v>2017</v>
      </c>
      <c r="B1861" s="3" t="n">
        <v>2</v>
      </c>
      <c r="C1861" s="3" t="n">
        <v>2</v>
      </c>
      <c r="D1861" s="3" t="s">
        <v>1865</v>
      </c>
      <c r="E1861" s="4" t="n">
        <v>27</v>
      </c>
    </row>
    <row r="1862" customFormat="false" ht="15" hidden="false" customHeight="false" outlineLevel="0" collapsed="false">
      <c r="A1862" s="3" t="n">
        <v>2017</v>
      </c>
      <c r="B1862" s="3" t="n">
        <v>2</v>
      </c>
      <c r="C1862" s="3" t="n">
        <v>3</v>
      </c>
      <c r="D1862" s="3" t="s">
        <v>1866</v>
      </c>
      <c r="E1862" s="4" t="n">
        <v>21</v>
      </c>
    </row>
    <row r="1863" customFormat="false" ht="15" hidden="false" customHeight="false" outlineLevel="0" collapsed="false">
      <c r="A1863" s="3" t="n">
        <v>2017</v>
      </c>
      <c r="B1863" s="3" t="n">
        <v>2</v>
      </c>
      <c r="C1863" s="3" t="n">
        <v>4</v>
      </c>
      <c r="D1863" s="3" t="s">
        <v>1867</v>
      </c>
      <c r="E1863" s="4" t="n">
        <v>0</v>
      </c>
    </row>
    <row r="1864" customFormat="false" ht="15" hidden="false" customHeight="false" outlineLevel="0" collapsed="false">
      <c r="A1864" s="3" t="n">
        <v>2017</v>
      </c>
      <c r="B1864" s="3" t="n">
        <v>2</v>
      </c>
      <c r="C1864" s="3" t="n">
        <v>5</v>
      </c>
      <c r="D1864" s="3" t="s">
        <v>1868</v>
      </c>
      <c r="E1864" s="4" t="n">
        <v>0</v>
      </c>
    </row>
    <row r="1865" customFormat="false" ht="15" hidden="false" customHeight="false" outlineLevel="0" collapsed="false">
      <c r="A1865" s="3" t="n">
        <v>2017</v>
      </c>
      <c r="B1865" s="3" t="n">
        <v>2</v>
      </c>
      <c r="C1865" s="3" t="n">
        <v>6</v>
      </c>
      <c r="D1865" s="3" t="s">
        <v>1869</v>
      </c>
      <c r="E1865" s="4" t="n">
        <v>0</v>
      </c>
    </row>
    <row r="1866" customFormat="false" ht="15" hidden="false" customHeight="false" outlineLevel="0" collapsed="false">
      <c r="A1866" s="3" t="n">
        <v>2017</v>
      </c>
      <c r="B1866" s="3" t="n">
        <v>2</v>
      </c>
      <c r="C1866" s="3" t="n">
        <v>7</v>
      </c>
      <c r="D1866" s="3" t="s">
        <v>1870</v>
      </c>
      <c r="E1866" s="4" t="n">
        <v>0</v>
      </c>
    </row>
    <row r="1867" customFormat="false" ht="15" hidden="false" customHeight="false" outlineLevel="0" collapsed="false">
      <c r="A1867" s="3" t="n">
        <v>2017</v>
      </c>
      <c r="B1867" s="3" t="n">
        <v>2</v>
      </c>
      <c r="C1867" s="3" t="n">
        <v>8</v>
      </c>
      <c r="D1867" s="3" t="s">
        <v>1871</v>
      </c>
      <c r="E1867" s="4" t="n">
        <v>0</v>
      </c>
    </row>
    <row r="1868" customFormat="false" ht="15" hidden="false" customHeight="false" outlineLevel="0" collapsed="false">
      <c r="A1868" s="3" t="n">
        <v>2017</v>
      </c>
      <c r="B1868" s="3" t="n">
        <v>2</v>
      </c>
      <c r="C1868" s="3" t="n">
        <v>9</v>
      </c>
      <c r="D1868" s="3" t="s">
        <v>1872</v>
      </c>
      <c r="E1868" s="4" t="n">
        <v>0</v>
      </c>
    </row>
    <row r="1869" customFormat="false" ht="15" hidden="false" customHeight="false" outlineLevel="0" collapsed="false">
      <c r="A1869" s="3" t="n">
        <v>2017</v>
      </c>
      <c r="B1869" s="3" t="n">
        <v>2</v>
      </c>
      <c r="C1869" s="3" t="n">
        <v>10</v>
      </c>
      <c r="D1869" s="3" t="s">
        <v>1873</v>
      </c>
      <c r="E1869" s="4" t="n">
        <v>0</v>
      </c>
    </row>
    <row r="1870" customFormat="false" ht="15" hidden="false" customHeight="false" outlineLevel="0" collapsed="false">
      <c r="A1870" s="3" t="n">
        <v>2017</v>
      </c>
      <c r="B1870" s="3" t="n">
        <v>2</v>
      </c>
      <c r="C1870" s="3" t="n">
        <v>11</v>
      </c>
      <c r="D1870" s="3" t="s">
        <v>1874</v>
      </c>
      <c r="E1870" s="4" t="n">
        <v>0</v>
      </c>
    </row>
    <row r="1871" customFormat="false" ht="15" hidden="false" customHeight="false" outlineLevel="0" collapsed="false">
      <c r="A1871" s="3" t="n">
        <v>2017</v>
      </c>
      <c r="B1871" s="3" t="n">
        <v>2</v>
      </c>
      <c r="C1871" s="3" t="n">
        <v>12</v>
      </c>
      <c r="D1871" s="3" t="s">
        <v>1875</v>
      </c>
      <c r="E1871" s="4" t="n">
        <v>0</v>
      </c>
    </row>
    <row r="1872" customFormat="false" ht="15" hidden="false" customHeight="false" outlineLevel="0" collapsed="false">
      <c r="A1872" s="3" t="n">
        <v>2017</v>
      </c>
      <c r="B1872" s="3" t="n">
        <v>2</v>
      </c>
      <c r="C1872" s="3" t="n">
        <v>13</v>
      </c>
      <c r="D1872" s="3" t="s">
        <v>1876</v>
      </c>
      <c r="E1872" s="4" t="n">
        <v>0</v>
      </c>
    </row>
    <row r="1873" customFormat="false" ht="15" hidden="false" customHeight="false" outlineLevel="0" collapsed="false">
      <c r="A1873" s="3" t="n">
        <v>2017</v>
      </c>
      <c r="B1873" s="3" t="n">
        <v>2</v>
      </c>
      <c r="C1873" s="3" t="n">
        <v>14</v>
      </c>
      <c r="D1873" s="3" t="s">
        <v>1877</v>
      </c>
      <c r="E1873" s="4" t="n">
        <v>17</v>
      </c>
    </row>
    <row r="1874" customFormat="false" ht="15" hidden="false" customHeight="false" outlineLevel="0" collapsed="false">
      <c r="A1874" s="3" t="n">
        <v>2017</v>
      </c>
      <c r="B1874" s="3" t="n">
        <v>2</v>
      </c>
      <c r="C1874" s="3" t="n">
        <v>15</v>
      </c>
      <c r="D1874" s="3" t="s">
        <v>1878</v>
      </c>
      <c r="E1874" s="4" t="n">
        <v>14</v>
      </c>
    </row>
    <row r="1875" customFormat="false" ht="15" hidden="false" customHeight="false" outlineLevel="0" collapsed="false">
      <c r="A1875" s="3" t="n">
        <v>2017</v>
      </c>
      <c r="B1875" s="3" t="n">
        <v>2</v>
      </c>
      <c r="C1875" s="3" t="n">
        <v>16</v>
      </c>
      <c r="D1875" s="3" t="s">
        <v>1879</v>
      </c>
      <c r="E1875" s="4" t="n">
        <v>36</v>
      </c>
    </row>
    <row r="1876" customFormat="false" ht="15" hidden="false" customHeight="false" outlineLevel="0" collapsed="false">
      <c r="A1876" s="3" t="n">
        <v>2017</v>
      </c>
      <c r="B1876" s="3" t="n">
        <v>2</v>
      </c>
      <c r="C1876" s="3" t="n">
        <v>17</v>
      </c>
      <c r="D1876" s="3" t="s">
        <v>1880</v>
      </c>
      <c r="E1876" s="4" t="n">
        <v>0</v>
      </c>
    </row>
    <row r="1877" customFormat="false" ht="15" hidden="false" customHeight="false" outlineLevel="0" collapsed="false">
      <c r="A1877" s="3" t="n">
        <v>2017</v>
      </c>
      <c r="B1877" s="3" t="n">
        <v>2</v>
      </c>
      <c r="C1877" s="3" t="n">
        <v>18</v>
      </c>
      <c r="D1877" s="3" t="s">
        <v>1881</v>
      </c>
      <c r="E1877" s="4" t="n">
        <v>7</v>
      </c>
    </row>
    <row r="1878" customFormat="false" ht="15" hidden="false" customHeight="false" outlineLevel="0" collapsed="false">
      <c r="A1878" s="3" t="n">
        <v>2017</v>
      </c>
      <c r="B1878" s="3" t="n">
        <v>2</v>
      </c>
      <c r="C1878" s="3" t="n">
        <v>19</v>
      </c>
      <c r="D1878" s="3" t="s">
        <v>1882</v>
      </c>
      <c r="E1878" s="4" t="n">
        <v>0</v>
      </c>
    </row>
    <row r="1879" customFormat="false" ht="15" hidden="false" customHeight="false" outlineLevel="0" collapsed="false">
      <c r="A1879" s="3" t="n">
        <v>2017</v>
      </c>
      <c r="B1879" s="3" t="n">
        <v>2</v>
      </c>
      <c r="C1879" s="3" t="n">
        <v>20</v>
      </c>
      <c r="D1879" s="3" t="s">
        <v>1883</v>
      </c>
      <c r="E1879" s="4" t="n">
        <v>6</v>
      </c>
    </row>
    <row r="1880" customFormat="false" ht="15" hidden="false" customHeight="false" outlineLevel="0" collapsed="false">
      <c r="A1880" s="3" t="n">
        <v>2017</v>
      </c>
      <c r="B1880" s="3" t="n">
        <v>2</v>
      </c>
      <c r="C1880" s="3" t="n">
        <v>21</v>
      </c>
      <c r="D1880" s="3" t="s">
        <v>1884</v>
      </c>
      <c r="E1880" s="4" t="n">
        <v>4</v>
      </c>
    </row>
    <row r="1881" customFormat="false" ht="15" hidden="false" customHeight="false" outlineLevel="0" collapsed="false">
      <c r="A1881" s="3" t="n">
        <v>2017</v>
      </c>
      <c r="B1881" s="3" t="n">
        <v>2</v>
      </c>
      <c r="C1881" s="3" t="n">
        <v>22</v>
      </c>
      <c r="D1881" s="3" t="s">
        <v>1885</v>
      </c>
      <c r="E1881" s="4" t="n">
        <v>0</v>
      </c>
    </row>
    <row r="1882" customFormat="false" ht="15" hidden="false" customHeight="false" outlineLevel="0" collapsed="false">
      <c r="A1882" s="3" t="n">
        <v>2017</v>
      </c>
      <c r="B1882" s="3" t="n">
        <v>2</v>
      </c>
      <c r="C1882" s="3" t="n">
        <v>23</v>
      </c>
      <c r="D1882" s="3" t="s">
        <v>1886</v>
      </c>
      <c r="E1882" s="4" t="n">
        <v>11</v>
      </c>
    </row>
    <row r="1883" customFormat="false" ht="15" hidden="false" customHeight="false" outlineLevel="0" collapsed="false">
      <c r="A1883" s="3" t="n">
        <v>2017</v>
      </c>
      <c r="B1883" s="3" t="n">
        <v>2</v>
      </c>
      <c r="C1883" s="3" t="n">
        <v>24</v>
      </c>
      <c r="D1883" s="3" t="s">
        <v>1887</v>
      </c>
      <c r="E1883" s="4" t="n">
        <v>16</v>
      </c>
    </row>
    <row r="1884" customFormat="false" ht="15" hidden="false" customHeight="false" outlineLevel="0" collapsed="false">
      <c r="A1884" s="3" t="n">
        <v>2017</v>
      </c>
      <c r="B1884" s="3" t="n">
        <v>2</v>
      </c>
      <c r="C1884" s="3" t="n">
        <v>25</v>
      </c>
      <c r="D1884" s="3" t="s">
        <v>1888</v>
      </c>
      <c r="E1884" s="4" t="n">
        <v>1</v>
      </c>
    </row>
    <row r="1885" customFormat="false" ht="15" hidden="false" customHeight="false" outlineLevel="0" collapsed="false">
      <c r="A1885" s="3" t="n">
        <v>2017</v>
      </c>
      <c r="B1885" s="3" t="n">
        <v>2</v>
      </c>
      <c r="C1885" s="3" t="n">
        <v>26</v>
      </c>
      <c r="D1885" s="3" t="s">
        <v>1889</v>
      </c>
      <c r="E1885" s="4" t="n">
        <v>0</v>
      </c>
    </row>
    <row r="1886" customFormat="false" ht="15" hidden="false" customHeight="false" outlineLevel="0" collapsed="false">
      <c r="A1886" s="3" t="n">
        <v>2017</v>
      </c>
      <c r="B1886" s="3" t="n">
        <v>2</v>
      </c>
      <c r="C1886" s="3" t="n">
        <v>27</v>
      </c>
      <c r="D1886" s="3" t="s">
        <v>1890</v>
      </c>
      <c r="E1886" s="4" t="n">
        <v>31</v>
      </c>
    </row>
    <row r="1887" customFormat="false" ht="15" hidden="false" customHeight="false" outlineLevel="0" collapsed="false">
      <c r="A1887" s="3" t="n">
        <v>2017</v>
      </c>
      <c r="B1887" s="3" t="n">
        <v>2</v>
      </c>
      <c r="C1887" s="3" t="n">
        <v>28</v>
      </c>
      <c r="D1887" s="3" t="s">
        <v>1891</v>
      </c>
      <c r="E1887" s="4" t="n">
        <v>7</v>
      </c>
    </row>
    <row r="1888" customFormat="false" ht="15" hidden="false" customHeight="false" outlineLevel="0" collapsed="false">
      <c r="A1888" s="3" t="n">
        <v>2017</v>
      </c>
      <c r="B1888" s="3" t="n">
        <v>3</v>
      </c>
      <c r="C1888" s="3" t="n">
        <v>1</v>
      </c>
      <c r="D1888" s="3" t="s">
        <v>1892</v>
      </c>
      <c r="E1888" s="4" t="n">
        <v>3</v>
      </c>
    </row>
    <row r="1889" customFormat="false" ht="15" hidden="false" customHeight="false" outlineLevel="0" collapsed="false">
      <c r="A1889" s="3" t="n">
        <v>2017</v>
      </c>
      <c r="B1889" s="3" t="n">
        <v>3</v>
      </c>
      <c r="C1889" s="3" t="n">
        <v>2</v>
      </c>
      <c r="D1889" s="3" t="s">
        <v>1893</v>
      </c>
      <c r="E1889" s="4" t="n">
        <v>13</v>
      </c>
    </row>
    <row r="1890" customFormat="false" ht="15" hidden="false" customHeight="false" outlineLevel="0" collapsed="false">
      <c r="A1890" s="3" t="n">
        <v>2017</v>
      </c>
      <c r="B1890" s="3" t="n">
        <v>3</v>
      </c>
      <c r="C1890" s="3" t="n">
        <v>3</v>
      </c>
      <c r="D1890" s="3" t="s">
        <v>1894</v>
      </c>
      <c r="E1890" s="4" t="n">
        <v>0</v>
      </c>
    </row>
    <row r="1891" customFormat="false" ht="15" hidden="false" customHeight="false" outlineLevel="0" collapsed="false">
      <c r="A1891" s="3" t="n">
        <v>2017</v>
      </c>
      <c r="B1891" s="3" t="n">
        <v>3</v>
      </c>
      <c r="C1891" s="3" t="n">
        <v>4</v>
      </c>
      <c r="D1891" s="3" t="s">
        <v>1895</v>
      </c>
      <c r="E1891" s="4" t="n">
        <v>0</v>
      </c>
    </row>
    <row r="1892" customFormat="false" ht="15" hidden="false" customHeight="false" outlineLevel="0" collapsed="false">
      <c r="A1892" s="3" t="n">
        <v>2017</v>
      </c>
      <c r="B1892" s="3" t="n">
        <v>3</v>
      </c>
      <c r="C1892" s="3" t="n">
        <v>5</v>
      </c>
      <c r="D1892" s="3" t="s">
        <v>1896</v>
      </c>
      <c r="E1892" s="4" t="n">
        <v>5</v>
      </c>
    </row>
    <row r="1893" customFormat="false" ht="15" hidden="false" customHeight="false" outlineLevel="0" collapsed="false">
      <c r="A1893" s="3" t="n">
        <v>2017</v>
      </c>
      <c r="B1893" s="3" t="n">
        <v>3</v>
      </c>
      <c r="C1893" s="3" t="n">
        <v>6</v>
      </c>
      <c r="D1893" s="3" t="s">
        <v>1897</v>
      </c>
      <c r="E1893" s="4" t="n">
        <v>8</v>
      </c>
    </row>
    <row r="1894" customFormat="false" ht="15" hidden="false" customHeight="false" outlineLevel="0" collapsed="false">
      <c r="A1894" s="3" t="n">
        <v>2017</v>
      </c>
      <c r="B1894" s="3" t="n">
        <v>3</v>
      </c>
      <c r="C1894" s="3" t="n">
        <v>7</v>
      </c>
      <c r="D1894" s="3" t="s">
        <v>1898</v>
      </c>
      <c r="E1894" s="4" t="n">
        <v>0</v>
      </c>
    </row>
    <row r="1895" customFormat="false" ht="15" hidden="false" customHeight="false" outlineLevel="0" collapsed="false">
      <c r="A1895" s="3" t="n">
        <v>2017</v>
      </c>
      <c r="B1895" s="3" t="n">
        <v>3</v>
      </c>
      <c r="C1895" s="3" t="n">
        <v>8</v>
      </c>
      <c r="D1895" s="3" t="s">
        <v>1899</v>
      </c>
      <c r="E1895" s="4" t="n">
        <v>0</v>
      </c>
    </row>
    <row r="1896" customFormat="false" ht="15" hidden="false" customHeight="false" outlineLevel="0" collapsed="false">
      <c r="A1896" s="3" t="n">
        <v>2017</v>
      </c>
      <c r="B1896" s="3" t="n">
        <v>3</v>
      </c>
      <c r="C1896" s="3" t="n">
        <v>9</v>
      </c>
      <c r="D1896" s="3" t="s">
        <v>1900</v>
      </c>
      <c r="E1896" s="4" t="n">
        <v>0</v>
      </c>
    </row>
    <row r="1897" customFormat="false" ht="15" hidden="false" customHeight="false" outlineLevel="0" collapsed="false">
      <c r="A1897" s="3" t="n">
        <v>2017</v>
      </c>
      <c r="B1897" s="3" t="n">
        <v>3</v>
      </c>
      <c r="C1897" s="3" t="n">
        <v>10</v>
      </c>
      <c r="D1897" s="3" t="s">
        <v>1901</v>
      </c>
      <c r="E1897" s="4" t="n">
        <v>8</v>
      </c>
    </row>
    <row r="1898" customFormat="false" ht="15" hidden="false" customHeight="false" outlineLevel="0" collapsed="false">
      <c r="A1898" s="3" t="n">
        <v>2017</v>
      </c>
      <c r="B1898" s="3" t="n">
        <v>3</v>
      </c>
      <c r="C1898" s="3" t="n">
        <v>11</v>
      </c>
      <c r="D1898" s="3" t="s">
        <v>1902</v>
      </c>
      <c r="E1898" s="4" t="n">
        <v>15</v>
      </c>
    </row>
    <row r="1899" customFormat="false" ht="15" hidden="false" customHeight="false" outlineLevel="0" collapsed="false">
      <c r="A1899" s="3" t="n">
        <v>2017</v>
      </c>
      <c r="B1899" s="3" t="n">
        <v>3</v>
      </c>
      <c r="C1899" s="3" t="n">
        <v>12</v>
      </c>
      <c r="D1899" s="3" t="s">
        <v>1903</v>
      </c>
      <c r="E1899" s="4" t="n">
        <v>41</v>
      </c>
    </row>
    <row r="1900" customFormat="false" ht="15" hidden="false" customHeight="false" outlineLevel="0" collapsed="false">
      <c r="A1900" s="3" t="n">
        <v>2017</v>
      </c>
      <c r="B1900" s="3" t="n">
        <v>3</v>
      </c>
      <c r="C1900" s="3" t="n">
        <v>13</v>
      </c>
      <c r="D1900" s="3" t="s">
        <v>1904</v>
      </c>
      <c r="E1900" s="4" t="n">
        <v>16</v>
      </c>
    </row>
    <row r="1901" customFormat="false" ht="15" hidden="false" customHeight="false" outlineLevel="0" collapsed="false">
      <c r="A1901" s="3" t="n">
        <v>2017</v>
      </c>
      <c r="B1901" s="3" t="n">
        <v>3</v>
      </c>
      <c r="C1901" s="3" t="n">
        <v>14</v>
      </c>
      <c r="D1901" s="3" t="s">
        <v>1905</v>
      </c>
      <c r="E1901" s="4" t="n">
        <v>0</v>
      </c>
    </row>
    <row r="1902" customFormat="false" ht="15" hidden="false" customHeight="false" outlineLevel="0" collapsed="false">
      <c r="A1902" s="3" t="n">
        <v>2017</v>
      </c>
      <c r="B1902" s="3" t="n">
        <v>3</v>
      </c>
      <c r="C1902" s="3" t="n">
        <v>15</v>
      </c>
      <c r="D1902" s="3" t="s">
        <v>1906</v>
      </c>
      <c r="E1902" s="4" t="n">
        <v>0</v>
      </c>
    </row>
    <row r="1903" customFormat="false" ht="15" hidden="false" customHeight="false" outlineLevel="0" collapsed="false">
      <c r="A1903" s="3" t="n">
        <v>2017</v>
      </c>
      <c r="B1903" s="3" t="n">
        <v>3</v>
      </c>
      <c r="C1903" s="3" t="n">
        <v>16</v>
      </c>
      <c r="D1903" s="3" t="s">
        <v>1907</v>
      </c>
      <c r="E1903" s="4" t="n">
        <v>11</v>
      </c>
    </row>
    <row r="1904" customFormat="false" ht="15" hidden="false" customHeight="false" outlineLevel="0" collapsed="false">
      <c r="A1904" s="3" t="n">
        <v>2017</v>
      </c>
      <c r="B1904" s="3" t="n">
        <v>3</v>
      </c>
      <c r="C1904" s="3" t="n">
        <v>17</v>
      </c>
      <c r="D1904" s="3" t="s">
        <v>1908</v>
      </c>
      <c r="E1904" s="4" t="n">
        <v>4</v>
      </c>
    </row>
    <row r="1905" customFormat="false" ht="15" hidden="false" customHeight="false" outlineLevel="0" collapsed="false">
      <c r="A1905" s="3" t="n">
        <v>2017</v>
      </c>
      <c r="B1905" s="3" t="n">
        <v>3</v>
      </c>
      <c r="C1905" s="3" t="n">
        <v>18</v>
      </c>
      <c r="D1905" s="3" t="s">
        <v>1909</v>
      </c>
      <c r="E1905" s="4" t="n">
        <v>2</v>
      </c>
    </row>
    <row r="1906" customFormat="false" ht="15" hidden="false" customHeight="false" outlineLevel="0" collapsed="false">
      <c r="A1906" s="3" t="n">
        <v>2017</v>
      </c>
      <c r="B1906" s="3" t="n">
        <v>3</v>
      </c>
      <c r="C1906" s="3" t="n">
        <v>19</v>
      </c>
      <c r="D1906" s="3" t="s">
        <v>1910</v>
      </c>
      <c r="E1906" s="4" t="n">
        <v>14</v>
      </c>
    </row>
    <row r="1907" customFormat="false" ht="15" hidden="false" customHeight="false" outlineLevel="0" collapsed="false">
      <c r="A1907" s="3" t="n">
        <v>2017</v>
      </c>
      <c r="B1907" s="3" t="n">
        <v>3</v>
      </c>
      <c r="C1907" s="3" t="n">
        <v>20</v>
      </c>
      <c r="D1907" s="3" t="s">
        <v>1911</v>
      </c>
      <c r="E1907" s="4" t="n">
        <v>0</v>
      </c>
    </row>
    <row r="1908" customFormat="false" ht="15" hidden="false" customHeight="false" outlineLevel="0" collapsed="false">
      <c r="A1908" s="3" t="n">
        <v>2017</v>
      </c>
      <c r="B1908" s="3" t="n">
        <v>3</v>
      </c>
      <c r="C1908" s="3" t="n">
        <v>21</v>
      </c>
      <c r="D1908" s="3" t="s">
        <v>1912</v>
      </c>
      <c r="E1908" s="4" t="n">
        <v>13</v>
      </c>
    </row>
    <row r="1909" customFormat="false" ht="15" hidden="false" customHeight="false" outlineLevel="0" collapsed="false">
      <c r="A1909" s="3" t="n">
        <v>2017</v>
      </c>
      <c r="B1909" s="3" t="n">
        <v>3</v>
      </c>
      <c r="C1909" s="3" t="n">
        <v>22</v>
      </c>
      <c r="D1909" s="3" t="s">
        <v>1913</v>
      </c>
      <c r="E1909" s="4" t="n">
        <v>11</v>
      </c>
    </row>
    <row r="1910" customFormat="false" ht="15" hidden="false" customHeight="false" outlineLevel="0" collapsed="false">
      <c r="A1910" s="3" t="n">
        <v>2017</v>
      </c>
      <c r="B1910" s="3" t="n">
        <v>3</v>
      </c>
      <c r="C1910" s="3" t="n">
        <v>23</v>
      </c>
      <c r="D1910" s="3" t="s">
        <v>1914</v>
      </c>
      <c r="E1910" s="4" t="n">
        <v>2</v>
      </c>
    </row>
    <row r="1911" customFormat="false" ht="15" hidden="false" customHeight="false" outlineLevel="0" collapsed="false">
      <c r="A1911" s="3" t="n">
        <v>2017</v>
      </c>
      <c r="B1911" s="3" t="n">
        <v>3</v>
      </c>
      <c r="C1911" s="3" t="n">
        <v>24</v>
      </c>
      <c r="D1911" s="3" t="s">
        <v>1915</v>
      </c>
      <c r="E1911" s="4" t="n">
        <v>0</v>
      </c>
    </row>
    <row r="1912" customFormat="false" ht="15" hidden="false" customHeight="false" outlineLevel="0" collapsed="false">
      <c r="A1912" s="3" t="n">
        <v>2017</v>
      </c>
      <c r="B1912" s="3" t="n">
        <v>3</v>
      </c>
      <c r="C1912" s="3" t="n">
        <v>25</v>
      </c>
      <c r="D1912" s="3" t="s">
        <v>1916</v>
      </c>
      <c r="E1912" s="4" t="n">
        <v>0</v>
      </c>
    </row>
    <row r="1913" customFormat="false" ht="15" hidden="false" customHeight="false" outlineLevel="0" collapsed="false">
      <c r="A1913" s="3" t="n">
        <v>2017</v>
      </c>
      <c r="B1913" s="3" t="n">
        <v>3</v>
      </c>
      <c r="C1913" s="3" t="n">
        <v>26</v>
      </c>
      <c r="D1913" s="3" t="s">
        <v>1917</v>
      </c>
      <c r="E1913" s="4" t="n">
        <v>0</v>
      </c>
    </row>
    <row r="1914" customFormat="false" ht="15" hidden="false" customHeight="false" outlineLevel="0" collapsed="false">
      <c r="A1914" s="3" t="n">
        <v>2017</v>
      </c>
      <c r="B1914" s="3" t="n">
        <v>3</v>
      </c>
      <c r="C1914" s="3" t="n">
        <v>27</v>
      </c>
      <c r="D1914" s="3" t="s">
        <v>1918</v>
      </c>
      <c r="E1914" s="4" t="n">
        <v>44</v>
      </c>
    </row>
    <row r="1915" customFormat="false" ht="15" hidden="false" customHeight="false" outlineLevel="0" collapsed="false">
      <c r="A1915" s="3" t="n">
        <v>2017</v>
      </c>
      <c r="B1915" s="3" t="n">
        <v>3</v>
      </c>
      <c r="C1915" s="3" t="n">
        <v>28</v>
      </c>
      <c r="D1915" s="3" t="s">
        <v>1919</v>
      </c>
      <c r="E1915" s="4" t="n">
        <v>68</v>
      </c>
    </row>
    <row r="1916" customFormat="false" ht="15" hidden="false" customHeight="false" outlineLevel="0" collapsed="false">
      <c r="A1916" s="3" t="n">
        <v>2017</v>
      </c>
      <c r="B1916" s="3" t="n">
        <v>3</v>
      </c>
      <c r="C1916" s="3" t="n">
        <v>29</v>
      </c>
      <c r="D1916" s="3" t="s">
        <v>1920</v>
      </c>
      <c r="E1916" s="4" t="n">
        <v>0</v>
      </c>
    </row>
    <row r="1917" customFormat="false" ht="15" hidden="false" customHeight="false" outlineLevel="0" collapsed="false">
      <c r="A1917" s="3" t="n">
        <v>2017</v>
      </c>
      <c r="B1917" s="3" t="n">
        <v>3</v>
      </c>
      <c r="C1917" s="3" t="n">
        <v>30</v>
      </c>
      <c r="D1917" s="3" t="s">
        <v>1921</v>
      </c>
      <c r="E1917" s="4" t="n">
        <v>0</v>
      </c>
    </row>
    <row r="1918" customFormat="false" ht="15" hidden="false" customHeight="false" outlineLevel="0" collapsed="false">
      <c r="A1918" s="3" t="n">
        <v>2017</v>
      </c>
      <c r="B1918" s="3" t="n">
        <v>3</v>
      </c>
      <c r="C1918" s="3" t="n">
        <v>31</v>
      </c>
      <c r="D1918" s="3" t="s">
        <v>1922</v>
      </c>
      <c r="E1918" s="4" t="n">
        <v>32</v>
      </c>
    </row>
    <row r="1919" customFormat="false" ht="15" hidden="false" customHeight="false" outlineLevel="0" collapsed="false">
      <c r="A1919" s="3" t="n">
        <v>2017</v>
      </c>
      <c r="B1919" s="3" t="n">
        <v>4</v>
      </c>
      <c r="C1919" s="3" t="n">
        <v>1</v>
      </c>
      <c r="D1919" s="3" t="s">
        <v>1923</v>
      </c>
      <c r="E1919" s="4" t="n">
        <v>0</v>
      </c>
    </row>
    <row r="1920" customFormat="false" ht="15" hidden="false" customHeight="false" outlineLevel="0" collapsed="false">
      <c r="A1920" s="3" t="n">
        <v>2017</v>
      </c>
      <c r="B1920" s="3" t="n">
        <v>4</v>
      </c>
      <c r="C1920" s="3" t="n">
        <v>2</v>
      </c>
      <c r="D1920" s="3" t="s">
        <v>1924</v>
      </c>
      <c r="E1920" s="4" t="n">
        <v>0</v>
      </c>
    </row>
    <row r="1921" customFormat="false" ht="15" hidden="false" customHeight="false" outlineLevel="0" collapsed="false">
      <c r="A1921" s="3" t="n">
        <v>2017</v>
      </c>
      <c r="B1921" s="3" t="n">
        <v>4</v>
      </c>
      <c r="C1921" s="3" t="n">
        <v>3</v>
      </c>
      <c r="D1921" s="3" t="s">
        <v>1925</v>
      </c>
      <c r="E1921" s="4" t="n">
        <v>45</v>
      </c>
    </row>
    <row r="1922" customFormat="false" ht="15" hidden="false" customHeight="false" outlineLevel="0" collapsed="false">
      <c r="A1922" s="3" t="n">
        <v>2017</v>
      </c>
      <c r="B1922" s="3" t="n">
        <v>4</v>
      </c>
      <c r="C1922" s="3" t="n">
        <v>4</v>
      </c>
      <c r="D1922" s="3" t="s">
        <v>1926</v>
      </c>
      <c r="E1922" s="4" t="n">
        <v>0</v>
      </c>
    </row>
    <row r="1923" customFormat="false" ht="15" hidden="false" customHeight="false" outlineLevel="0" collapsed="false">
      <c r="A1923" s="3" t="n">
        <v>2017</v>
      </c>
      <c r="B1923" s="3" t="n">
        <v>4</v>
      </c>
      <c r="C1923" s="3" t="n">
        <v>5</v>
      </c>
      <c r="D1923" s="3" t="s">
        <v>1927</v>
      </c>
      <c r="E1923" s="4" t="n">
        <v>0</v>
      </c>
    </row>
    <row r="1924" customFormat="false" ht="15" hidden="false" customHeight="false" outlineLevel="0" collapsed="false">
      <c r="A1924" s="3" t="n">
        <v>2017</v>
      </c>
      <c r="B1924" s="3" t="n">
        <v>4</v>
      </c>
      <c r="C1924" s="3" t="n">
        <v>6</v>
      </c>
      <c r="D1924" s="3" t="s">
        <v>1928</v>
      </c>
      <c r="E1924" s="4" t="n">
        <v>0</v>
      </c>
    </row>
    <row r="1925" customFormat="false" ht="15" hidden="false" customHeight="false" outlineLevel="0" collapsed="false">
      <c r="A1925" s="3" t="n">
        <v>2017</v>
      </c>
      <c r="B1925" s="3" t="n">
        <v>4</v>
      </c>
      <c r="C1925" s="3" t="n">
        <v>7</v>
      </c>
      <c r="D1925" s="3" t="s">
        <v>1929</v>
      </c>
      <c r="E1925" s="4" t="n">
        <v>0</v>
      </c>
    </row>
    <row r="1926" customFormat="false" ht="15" hidden="false" customHeight="false" outlineLevel="0" collapsed="false">
      <c r="A1926" s="3" t="n">
        <v>2017</v>
      </c>
      <c r="B1926" s="3" t="n">
        <v>4</v>
      </c>
      <c r="C1926" s="3" t="n">
        <v>8</v>
      </c>
      <c r="D1926" s="3" t="s">
        <v>1930</v>
      </c>
      <c r="E1926" s="4" t="n">
        <v>0</v>
      </c>
    </row>
    <row r="1927" customFormat="false" ht="15" hidden="false" customHeight="false" outlineLevel="0" collapsed="false">
      <c r="A1927" s="3" t="n">
        <v>2017</v>
      </c>
      <c r="B1927" s="3" t="n">
        <v>4</v>
      </c>
      <c r="C1927" s="3" t="n">
        <v>9</v>
      </c>
      <c r="D1927" s="3" t="s">
        <v>1931</v>
      </c>
      <c r="E1927" s="4" t="n">
        <v>0</v>
      </c>
    </row>
    <row r="1928" customFormat="false" ht="15" hidden="false" customHeight="false" outlineLevel="0" collapsed="false">
      <c r="A1928" s="3" t="n">
        <v>2017</v>
      </c>
      <c r="B1928" s="3" t="n">
        <v>4</v>
      </c>
      <c r="C1928" s="3" t="n">
        <v>10</v>
      </c>
      <c r="D1928" s="3" t="s">
        <v>1932</v>
      </c>
      <c r="E1928" s="4" t="n">
        <v>1</v>
      </c>
    </row>
    <row r="1929" customFormat="false" ht="15" hidden="false" customHeight="false" outlineLevel="0" collapsed="false">
      <c r="A1929" s="3" t="n">
        <v>2017</v>
      </c>
      <c r="B1929" s="3" t="n">
        <v>4</v>
      </c>
      <c r="C1929" s="3" t="n">
        <v>11</v>
      </c>
      <c r="D1929" s="3" t="s">
        <v>1933</v>
      </c>
      <c r="E1929" s="4" t="n">
        <v>0</v>
      </c>
    </row>
    <row r="1930" customFormat="false" ht="15" hidden="false" customHeight="false" outlineLevel="0" collapsed="false">
      <c r="A1930" s="3" t="n">
        <v>2017</v>
      </c>
      <c r="B1930" s="3" t="n">
        <v>4</v>
      </c>
      <c r="C1930" s="3" t="n">
        <v>12</v>
      </c>
      <c r="D1930" s="3" t="s">
        <v>1934</v>
      </c>
      <c r="E1930" s="4" t="n">
        <v>0</v>
      </c>
    </row>
    <row r="1931" customFormat="false" ht="15" hidden="false" customHeight="false" outlineLevel="0" collapsed="false">
      <c r="A1931" s="3" t="n">
        <v>2017</v>
      </c>
      <c r="B1931" s="3" t="n">
        <v>4</v>
      </c>
      <c r="C1931" s="3" t="n">
        <v>13</v>
      </c>
      <c r="D1931" s="3" t="s">
        <v>1935</v>
      </c>
      <c r="E1931" s="4" t="n">
        <v>0</v>
      </c>
    </row>
    <row r="1932" customFormat="false" ht="15" hidden="false" customHeight="false" outlineLevel="0" collapsed="false">
      <c r="A1932" s="3" t="n">
        <v>2017</v>
      </c>
      <c r="B1932" s="3" t="n">
        <v>4</v>
      </c>
      <c r="C1932" s="3" t="n">
        <v>14</v>
      </c>
      <c r="D1932" s="3" t="s">
        <v>1936</v>
      </c>
      <c r="E1932" s="4" t="n">
        <v>0</v>
      </c>
    </row>
    <row r="1933" customFormat="false" ht="15" hidden="false" customHeight="false" outlineLevel="0" collapsed="false">
      <c r="A1933" s="3" t="n">
        <v>2017</v>
      </c>
      <c r="B1933" s="3" t="n">
        <v>4</v>
      </c>
      <c r="C1933" s="3" t="n">
        <v>15</v>
      </c>
      <c r="D1933" s="3" t="s">
        <v>1937</v>
      </c>
      <c r="E1933" s="4" t="n">
        <v>1</v>
      </c>
    </row>
    <row r="1934" customFormat="false" ht="15" hidden="false" customHeight="false" outlineLevel="0" collapsed="false">
      <c r="A1934" s="3" t="n">
        <v>2017</v>
      </c>
      <c r="B1934" s="3" t="n">
        <v>4</v>
      </c>
      <c r="C1934" s="3" t="n">
        <v>16</v>
      </c>
      <c r="D1934" s="3" t="s">
        <v>1938</v>
      </c>
      <c r="E1934" s="4" t="n">
        <v>17</v>
      </c>
    </row>
    <row r="1935" customFormat="false" ht="15" hidden="false" customHeight="false" outlineLevel="0" collapsed="false">
      <c r="A1935" s="3" t="n">
        <v>2017</v>
      </c>
      <c r="B1935" s="3" t="n">
        <v>4</v>
      </c>
      <c r="C1935" s="3" t="n">
        <v>17</v>
      </c>
      <c r="D1935" s="3" t="s">
        <v>1939</v>
      </c>
      <c r="E1935" s="4" t="n">
        <v>14</v>
      </c>
    </row>
    <row r="1936" customFormat="false" ht="15" hidden="false" customHeight="false" outlineLevel="0" collapsed="false">
      <c r="A1936" s="3" t="n">
        <v>2017</v>
      </c>
      <c r="B1936" s="3" t="n">
        <v>4</v>
      </c>
      <c r="C1936" s="3" t="n">
        <v>18</v>
      </c>
      <c r="D1936" s="3" t="s">
        <v>1940</v>
      </c>
      <c r="E1936" s="4" t="n">
        <v>0</v>
      </c>
    </row>
    <row r="1937" customFormat="false" ht="15" hidden="false" customHeight="false" outlineLevel="0" collapsed="false">
      <c r="A1937" s="3" t="n">
        <v>2017</v>
      </c>
      <c r="B1937" s="3" t="n">
        <v>4</v>
      </c>
      <c r="C1937" s="3" t="n">
        <v>19</v>
      </c>
      <c r="D1937" s="3" t="s">
        <v>1941</v>
      </c>
      <c r="E1937" s="4" t="n">
        <v>3</v>
      </c>
    </row>
    <row r="1938" customFormat="false" ht="15" hidden="false" customHeight="false" outlineLevel="0" collapsed="false">
      <c r="A1938" s="3" t="n">
        <v>2017</v>
      </c>
      <c r="B1938" s="3" t="n">
        <v>4</v>
      </c>
      <c r="C1938" s="3" t="n">
        <v>20</v>
      </c>
      <c r="D1938" s="3" t="s">
        <v>1942</v>
      </c>
      <c r="E1938" s="4" t="n">
        <v>0</v>
      </c>
    </row>
    <row r="1939" customFormat="false" ht="15" hidden="false" customHeight="false" outlineLevel="0" collapsed="false">
      <c r="A1939" s="3" t="n">
        <v>2017</v>
      </c>
      <c r="B1939" s="3" t="n">
        <v>4</v>
      </c>
      <c r="C1939" s="3" t="n">
        <v>21</v>
      </c>
      <c r="D1939" s="3" t="s">
        <v>1943</v>
      </c>
      <c r="E1939" s="4" t="n">
        <v>0</v>
      </c>
    </row>
    <row r="1940" customFormat="false" ht="15" hidden="false" customHeight="false" outlineLevel="0" collapsed="false">
      <c r="A1940" s="3" t="n">
        <v>2017</v>
      </c>
      <c r="B1940" s="3" t="n">
        <v>4</v>
      </c>
      <c r="C1940" s="3" t="n">
        <v>22</v>
      </c>
      <c r="D1940" s="3" t="s">
        <v>1944</v>
      </c>
      <c r="E1940" s="4" t="n">
        <v>0</v>
      </c>
    </row>
    <row r="1941" customFormat="false" ht="15" hidden="false" customHeight="false" outlineLevel="0" collapsed="false">
      <c r="A1941" s="3" t="n">
        <v>2017</v>
      </c>
      <c r="B1941" s="3" t="n">
        <v>4</v>
      </c>
      <c r="C1941" s="3" t="n">
        <v>23</v>
      </c>
      <c r="D1941" s="3" t="s">
        <v>1945</v>
      </c>
      <c r="E1941" s="4" t="n">
        <v>63</v>
      </c>
    </row>
    <row r="1942" customFormat="false" ht="15" hidden="false" customHeight="false" outlineLevel="0" collapsed="false">
      <c r="A1942" s="3" t="n">
        <v>2017</v>
      </c>
      <c r="B1942" s="3" t="n">
        <v>4</v>
      </c>
      <c r="C1942" s="3" t="n">
        <v>24</v>
      </c>
      <c r="D1942" s="3" t="s">
        <v>1946</v>
      </c>
      <c r="E1942" s="4" t="n">
        <v>0</v>
      </c>
    </row>
    <row r="1943" customFormat="false" ht="15" hidden="false" customHeight="false" outlineLevel="0" collapsed="false">
      <c r="A1943" s="3" t="n">
        <v>2017</v>
      </c>
      <c r="B1943" s="3" t="n">
        <v>4</v>
      </c>
      <c r="C1943" s="3" t="n">
        <v>25</v>
      </c>
      <c r="D1943" s="3" t="s">
        <v>1947</v>
      </c>
      <c r="E1943" s="4" t="n">
        <v>0</v>
      </c>
    </row>
    <row r="1944" customFormat="false" ht="15" hidden="false" customHeight="false" outlineLevel="0" collapsed="false">
      <c r="A1944" s="3" t="n">
        <v>2017</v>
      </c>
      <c r="B1944" s="3" t="n">
        <v>4</v>
      </c>
      <c r="C1944" s="3" t="n">
        <v>26</v>
      </c>
      <c r="D1944" s="3" t="s">
        <v>1948</v>
      </c>
      <c r="E1944" s="4" t="n">
        <v>0</v>
      </c>
    </row>
    <row r="1945" customFormat="false" ht="15" hidden="false" customHeight="false" outlineLevel="0" collapsed="false">
      <c r="A1945" s="3" t="n">
        <v>2017</v>
      </c>
      <c r="B1945" s="3" t="n">
        <v>4</v>
      </c>
      <c r="C1945" s="3" t="n">
        <v>27</v>
      </c>
      <c r="D1945" s="3" t="s">
        <v>1949</v>
      </c>
      <c r="E1945" s="4" t="n">
        <v>0</v>
      </c>
    </row>
    <row r="1946" customFormat="false" ht="15" hidden="false" customHeight="false" outlineLevel="0" collapsed="false">
      <c r="A1946" s="3" t="n">
        <v>2017</v>
      </c>
      <c r="B1946" s="3" t="n">
        <v>4</v>
      </c>
      <c r="C1946" s="3" t="n">
        <v>28</v>
      </c>
      <c r="D1946" s="3" t="s">
        <v>1950</v>
      </c>
      <c r="E1946" s="4" t="n">
        <v>40</v>
      </c>
    </row>
    <row r="1947" customFormat="false" ht="15" hidden="false" customHeight="false" outlineLevel="0" collapsed="false">
      <c r="A1947" s="3" t="n">
        <v>2017</v>
      </c>
      <c r="B1947" s="3" t="n">
        <v>4</v>
      </c>
      <c r="C1947" s="3" t="n">
        <v>29</v>
      </c>
      <c r="D1947" s="3" t="s">
        <v>1951</v>
      </c>
      <c r="E1947" s="4" t="n">
        <v>30</v>
      </c>
    </row>
    <row r="1948" customFormat="false" ht="15" hidden="false" customHeight="false" outlineLevel="0" collapsed="false">
      <c r="A1948" s="3" t="n">
        <v>2017</v>
      </c>
      <c r="B1948" s="3" t="n">
        <v>4</v>
      </c>
      <c r="C1948" s="3" t="n">
        <v>30</v>
      </c>
      <c r="D1948" s="3" t="s">
        <v>1952</v>
      </c>
      <c r="E1948" s="4" t="n">
        <v>2</v>
      </c>
    </row>
    <row r="1949" customFormat="false" ht="15" hidden="false" customHeight="false" outlineLevel="0" collapsed="false">
      <c r="A1949" s="3" t="n">
        <v>2017</v>
      </c>
      <c r="B1949" s="3" t="n">
        <v>5</v>
      </c>
      <c r="C1949" s="3" t="n">
        <v>1</v>
      </c>
      <c r="D1949" s="3" t="s">
        <v>1953</v>
      </c>
      <c r="E1949" s="4" t="n">
        <v>0</v>
      </c>
    </row>
    <row r="1950" customFormat="false" ht="15" hidden="false" customHeight="false" outlineLevel="0" collapsed="false">
      <c r="A1950" s="3" t="n">
        <v>2017</v>
      </c>
      <c r="B1950" s="3" t="n">
        <v>5</v>
      </c>
      <c r="C1950" s="3" t="n">
        <v>2</v>
      </c>
      <c r="D1950" s="3" t="s">
        <v>1954</v>
      </c>
      <c r="E1950" s="4" t="n">
        <v>6</v>
      </c>
    </row>
    <row r="1951" customFormat="false" ht="15" hidden="false" customHeight="false" outlineLevel="0" collapsed="false">
      <c r="A1951" s="3" t="n">
        <v>2017</v>
      </c>
      <c r="B1951" s="3" t="n">
        <v>5</v>
      </c>
      <c r="C1951" s="3" t="n">
        <v>3</v>
      </c>
      <c r="D1951" s="3" t="s">
        <v>1955</v>
      </c>
      <c r="E1951" s="4" t="n">
        <v>6</v>
      </c>
    </row>
    <row r="1952" customFormat="false" ht="15" hidden="false" customHeight="false" outlineLevel="0" collapsed="false">
      <c r="A1952" s="3" t="n">
        <v>2017</v>
      </c>
      <c r="B1952" s="3" t="n">
        <v>5</v>
      </c>
      <c r="C1952" s="3" t="n">
        <v>4</v>
      </c>
      <c r="D1952" s="3" t="s">
        <v>1956</v>
      </c>
      <c r="E1952" s="4" t="n">
        <v>0</v>
      </c>
    </row>
    <row r="1953" customFormat="false" ht="15" hidden="false" customHeight="false" outlineLevel="0" collapsed="false">
      <c r="A1953" s="3" t="n">
        <v>2017</v>
      </c>
      <c r="B1953" s="3" t="n">
        <v>5</v>
      </c>
      <c r="C1953" s="3" t="n">
        <v>5</v>
      </c>
      <c r="D1953" s="3" t="s">
        <v>1957</v>
      </c>
      <c r="E1953" s="4" t="n">
        <v>59</v>
      </c>
    </row>
    <row r="1954" customFormat="false" ht="15" hidden="false" customHeight="false" outlineLevel="0" collapsed="false">
      <c r="A1954" s="3" t="n">
        <v>2017</v>
      </c>
      <c r="B1954" s="3" t="n">
        <v>5</v>
      </c>
      <c r="C1954" s="3" t="n">
        <v>6</v>
      </c>
      <c r="D1954" s="3" t="s">
        <v>1958</v>
      </c>
      <c r="E1954" s="4" t="n">
        <v>8</v>
      </c>
    </row>
    <row r="1955" customFormat="false" ht="15" hidden="false" customHeight="false" outlineLevel="0" collapsed="false">
      <c r="A1955" s="3" t="n">
        <v>2017</v>
      </c>
      <c r="B1955" s="3" t="n">
        <v>5</v>
      </c>
      <c r="C1955" s="3" t="n">
        <v>7</v>
      </c>
      <c r="D1955" s="3" t="s">
        <v>1959</v>
      </c>
      <c r="E1955" s="4" t="n">
        <v>0</v>
      </c>
    </row>
    <row r="1956" customFormat="false" ht="15" hidden="false" customHeight="false" outlineLevel="0" collapsed="false">
      <c r="A1956" s="3" t="n">
        <v>2017</v>
      </c>
      <c r="B1956" s="3" t="n">
        <v>5</v>
      </c>
      <c r="C1956" s="3" t="n">
        <v>8</v>
      </c>
      <c r="D1956" s="3" t="s">
        <v>1960</v>
      </c>
      <c r="E1956" s="4" t="n">
        <v>2</v>
      </c>
    </row>
    <row r="1957" customFormat="false" ht="15" hidden="false" customHeight="false" outlineLevel="0" collapsed="false">
      <c r="A1957" s="3" t="n">
        <v>2017</v>
      </c>
      <c r="B1957" s="3" t="n">
        <v>5</v>
      </c>
      <c r="C1957" s="3" t="n">
        <v>9</v>
      </c>
      <c r="D1957" s="3" t="s">
        <v>1961</v>
      </c>
      <c r="E1957" s="4" t="n">
        <v>9</v>
      </c>
    </row>
    <row r="1958" customFormat="false" ht="15" hidden="false" customHeight="false" outlineLevel="0" collapsed="false">
      <c r="A1958" s="3" t="n">
        <v>2017</v>
      </c>
      <c r="B1958" s="3" t="n">
        <v>5</v>
      </c>
      <c r="C1958" s="3" t="n">
        <v>10</v>
      </c>
      <c r="D1958" s="3" t="s">
        <v>1962</v>
      </c>
      <c r="E1958" s="4" t="n">
        <v>0</v>
      </c>
    </row>
    <row r="1959" customFormat="false" ht="15" hidden="false" customHeight="false" outlineLevel="0" collapsed="false">
      <c r="A1959" s="3" t="n">
        <v>2017</v>
      </c>
      <c r="B1959" s="3" t="n">
        <v>5</v>
      </c>
      <c r="C1959" s="3" t="n">
        <v>11</v>
      </c>
      <c r="D1959" s="3" t="s">
        <v>1963</v>
      </c>
      <c r="E1959" s="4" t="n">
        <v>64</v>
      </c>
    </row>
    <row r="1960" customFormat="false" ht="15" hidden="false" customHeight="false" outlineLevel="0" collapsed="false">
      <c r="A1960" s="3" t="n">
        <v>2017</v>
      </c>
      <c r="B1960" s="3" t="n">
        <v>5</v>
      </c>
      <c r="C1960" s="3" t="n">
        <v>12</v>
      </c>
      <c r="D1960" s="3" t="s">
        <v>1964</v>
      </c>
      <c r="E1960" s="4" t="n">
        <v>18</v>
      </c>
    </row>
    <row r="1961" customFormat="false" ht="15" hidden="false" customHeight="false" outlineLevel="0" collapsed="false">
      <c r="A1961" s="3" t="n">
        <v>2017</v>
      </c>
      <c r="B1961" s="3" t="n">
        <v>5</v>
      </c>
      <c r="C1961" s="3" t="n">
        <v>13</v>
      </c>
      <c r="D1961" s="3" t="s">
        <v>1965</v>
      </c>
      <c r="E1961" s="4" t="n">
        <v>3</v>
      </c>
    </row>
    <row r="1962" customFormat="false" ht="15" hidden="false" customHeight="false" outlineLevel="0" collapsed="false">
      <c r="A1962" s="3" t="n">
        <v>2017</v>
      </c>
      <c r="B1962" s="3" t="n">
        <v>5</v>
      </c>
      <c r="C1962" s="3" t="n">
        <v>14</v>
      </c>
      <c r="D1962" s="3" t="s">
        <v>1966</v>
      </c>
      <c r="E1962" s="4" t="n">
        <v>0</v>
      </c>
    </row>
    <row r="1963" customFormat="false" ht="15" hidden="false" customHeight="false" outlineLevel="0" collapsed="false">
      <c r="A1963" s="3" t="n">
        <v>2017</v>
      </c>
      <c r="B1963" s="3" t="n">
        <v>5</v>
      </c>
      <c r="C1963" s="3" t="n">
        <v>15</v>
      </c>
      <c r="D1963" s="3" t="s">
        <v>1967</v>
      </c>
      <c r="E1963" s="4" t="n">
        <v>0</v>
      </c>
    </row>
    <row r="1964" customFormat="false" ht="15" hidden="false" customHeight="false" outlineLevel="0" collapsed="false">
      <c r="A1964" s="3" t="n">
        <v>2017</v>
      </c>
      <c r="B1964" s="3" t="n">
        <v>5</v>
      </c>
      <c r="C1964" s="3" t="n">
        <v>16</v>
      </c>
      <c r="D1964" s="3" t="s">
        <v>1968</v>
      </c>
      <c r="E1964" s="4" t="n">
        <v>0</v>
      </c>
    </row>
    <row r="1965" customFormat="false" ht="15" hidden="false" customHeight="false" outlineLevel="0" collapsed="false">
      <c r="A1965" s="3" t="n">
        <v>2017</v>
      </c>
      <c r="B1965" s="3" t="n">
        <v>5</v>
      </c>
      <c r="C1965" s="3" t="n">
        <v>17</v>
      </c>
      <c r="D1965" s="3" t="s">
        <v>1969</v>
      </c>
      <c r="E1965" s="4" t="n">
        <v>3</v>
      </c>
    </row>
    <row r="1966" customFormat="false" ht="15" hidden="false" customHeight="false" outlineLevel="0" collapsed="false">
      <c r="A1966" s="3" t="n">
        <v>2017</v>
      </c>
      <c r="B1966" s="3" t="n">
        <v>5</v>
      </c>
      <c r="C1966" s="3" t="n">
        <v>18</v>
      </c>
      <c r="D1966" s="3" t="s">
        <v>1970</v>
      </c>
      <c r="E1966" s="4" t="n">
        <v>0</v>
      </c>
    </row>
    <row r="1967" customFormat="false" ht="15" hidden="false" customHeight="false" outlineLevel="0" collapsed="false">
      <c r="A1967" s="3" t="n">
        <v>2017</v>
      </c>
      <c r="B1967" s="3" t="n">
        <v>5</v>
      </c>
      <c r="C1967" s="3" t="n">
        <v>19</v>
      </c>
      <c r="D1967" s="3" t="s">
        <v>1971</v>
      </c>
      <c r="E1967" s="4" t="n">
        <v>12</v>
      </c>
    </row>
    <row r="1968" customFormat="false" ht="15" hidden="false" customHeight="false" outlineLevel="0" collapsed="false">
      <c r="A1968" s="3" t="n">
        <v>2017</v>
      </c>
      <c r="B1968" s="3" t="n">
        <v>5</v>
      </c>
      <c r="C1968" s="3" t="n">
        <v>20</v>
      </c>
      <c r="D1968" s="3" t="s">
        <v>1972</v>
      </c>
      <c r="E1968" s="4" t="n">
        <v>16</v>
      </c>
    </row>
    <row r="1969" customFormat="false" ht="15" hidden="false" customHeight="false" outlineLevel="0" collapsed="false">
      <c r="A1969" s="3" t="n">
        <v>2017</v>
      </c>
      <c r="B1969" s="3" t="n">
        <v>5</v>
      </c>
      <c r="C1969" s="3" t="n">
        <v>21</v>
      </c>
      <c r="D1969" s="3" t="s">
        <v>1973</v>
      </c>
      <c r="E1969" s="4" t="n">
        <v>0</v>
      </c>
    </row>
    <row r="1970" customFormat="false" ht="15" hidden="false" customHeight="false" outlineLevel="0" collapsed="false">
      <c r="A1970" s="3" t="n">
        <v>2017</v>
      </c>
      <c r="B1970" s="3" t="n">
        <v>5</v>
      </c>
      <c r="C1970" s="3" t="n">
        <v>22</v>
      </c>
      <c r="D1970" s="3" t="s">
        <v>1974</v>
      </c>
      <c r="E1970" s="4" t="n">
        <v>0</v>
      </c>
    </row>
    <row r="1971" customFormat="false" ht="15" hidden="false" customHeight="false" outlineLevel="0" collapsed="false">
      <c r="A1971" s="3" t="n">
        <v>2017</v>
      </c>
      <c r="B1971" s="3" t="n">
        <v>5</v>
      </c>
      <c r="C1971" s="3" t="n">
        <v>23</v>
      </c>
      <c r="D1971" s="3" t="s">
        <v>1975</v>
      </c>
      <c r="E1971" s="4" t="n">
        <v>0</v>
      </c>
    </row>
    <row r="1972" customFormat="false" ht="15" hidden="false" customHeight="false" outlineLevel="0" collapsed="false">
      <c r="A1972" s="3" t="n">
        <v>2017</v>
      </c>
      <c r="B1972" s="3" t="n">
        <v>5</v>
      </c>
      <c r="C1972" s="3" t="n">
        <v>24</v>
      </c>
      <c r="D1972" s="3" t="s">
        <v>1976</v>
      </c>
      <c r="E1972" s="4" t="n">
        <v>0</v>
      </c>
    </row>
    <row r="1973" customFormat="false" ht="15" hidden="false" customHeight="false" outlineLevel="0" collapsed="false">
      <c r="A1973" s="3" t="n">
        <v>2017</v>
      </c>
      <c r="B1973" s="3" t="n">
        <v>5</v>
      </c>
      <c r="C1973" s="3" t="n">
        <v>25</v>
      </c>
      <c r="D1973" s="3" t="s">
        <v>1977</v>
      </c>
      <c r="E1973" s="4" t="n">
        <v>0</v>
      </c>
    </row>
    <row r="1974" customFormat="false" ht="15" hidden="false" customHeight="false" outlineLevel="0" collapsed="false">
      <c r="A1974" s="3" t="n">
        <v>2017</v>
      </c>
      <c r="B1974" s="3" t="n">
        <v>5</v>
      </c>
      <c r="C1974" s="3" t="n">
        <v>26</v>
      </c>
      <c r="D1974" s="3" t="s">
        <v>1978</v>
      </c>
      <c r="E1974" s="4" t="n">
        <v>0</v>
      </c>
    </row>
    <row r="1975" customFormat="false" ht="15" hidden="false" customHeight="false" outlineLevel="0" collapsed="false">
      <c r="A1975" s="3" t="n">
        <v>2017</v>
      </c>
      <c r="B1975" s="3" t="n">
        <v>5</v>
      </c>
      <c r="C1975" s="3" t="n">
        <v>27</v>
      </c>
      <c r="D1975" s="3" t="s">
        <v>1979</v>
      </c>
      <c r="E1975" s="4" t="n">
        <v>86</v>
      </c>
    </row>
    <row r="1976" customFormat="false" ht="15" hidden="false" customHeight="false" outlineLevel="0" collapsed="false">
      <c r="A1976" s="3" t="n">
        <v>2017</v>
      </c>
      <c r="B1976" s="3" t="n">
        <v>5</v>
      </c>
      <c r="C1976" s="3" t="n">
        <v>28</v>
      </c>
      <c r="D1976" s="3" t="s">
        <v>1980</v>
      </c>
      <c r="E1976" s="4" t="n">
        <v>8</v>
      </c>
    </row>
    <row r="1977" customFormat="false" ht="15" hidden="false" customHeight="false" outlineLevel="0" collapsed="false">
      <c r="A1977" s="3" t="n">
        <v>2017</v>
      </c>
      <c r="B1977" s="3" t="n">
        <v>5</v>
      </c>
      <c r="C1977" s="3" t="n">
        <v>29</v>
      </c>
      <c r="D1977" s="3" t="s">
        <v>1981</v>
      </c>
      <c r="E1977" s="4" t="n">
        <v>12</v>
      </c>
    </row>
    <row r="1978" customFormat="false" ht="15" hidden="false" customHeight="false" outlineLevel="0" collapsed="false">
      <c r="A1978" s="3" t="n">
        <v>2017</v>
      </c>
      <c r="B1978" s="3" t="n">
        <v>5</v>
      </c>
      <c r="C1978" s="3" t="n">
        <v>30</v>
      </c>
      <c r="D1978" s="3" t="s">
        <v>1982</v>
      </c>
      <c r="E1978" s="4" t="n">
        <v>2</v>
      </c>
    </row>
    <row r="1979" customFormat="false" ht="15" hidden="false" customHeight="false" outlineLevel="0" collapsed="false">
      <c r="A1979" s="3" t="n">
        <v>2017</v>
      </c>
      <c r="B1979" s="3" t="n">
        <v>5</v>
      </c>
      <c r="C1979" s="3" t="n">
        <v>31</v>
      </c>
      <c r="D1979" s="3" t="s">
        <v>1983</v>
      </c>
      <c r="E1979" s="4" t="n">
        <v>0</v>
      </c>
    </row>
    <row r="1980" customFormat="false" ht="15" hidden="false" customHeight="false" outlineLevel="0" collapsed="false">
      <c r="A1980" s="3" t="n">
        <v>2017</v>
      </c>
      <c r="B1980" s="3" t="n">
        <v>6</v>
      </c>
      <c r="C1980" s="3" t="n">
        <v>1</v>
      </c>
      <c r="D1980" s="3" t="s">
        <v>1984</v>
      </c>
      <c r="E1980" s="4" t="n">
        <v>60</v>
      </c>
    </row>
    <row r="1981" customFormat="false" ht="15" hidden="false" customHeight="false" outlineLevel="0" collapsed="false">
      <c r="A1981" s="3" t="n">
        <v>2017</v>
      </c>
      <c r="B1981" s="3" t="n">
        <v>6</v>
      </c>
      <c r="C1981" s="3" t="n">
        <v>2</v>
      </c>
      <c r="D1981" s="3" t="s">
        <v>1985</v>
      </c>
      <c r="E1981" s="4" t="n">
        <v>36</v>
      </c>
    </row>
    <row r="1982" customFormat="false" ht="15" hidden="false" customHeight="false" outlineLevel="0" collapsed="false">
      <c r="A1982" s="3" t="n">
        <v>2017</v>
      </c>
      <c r="B1982" s="3" t="n">
        <v>6</v>
      </c>
      <c r="C1982" s="3" t="n">
        <v>3</v>
      </c>
      <c r="D1982" s="3" t="s">
        <v>1986</v>
      </c>
      <c r="E1982" s="4" t="n">
        <v>0</v>
      </c>
    </row>
    <row r="1983" customFormat="false" ht="15" hidden="false" customHeight="false" outlineLevel="0" collapsed="false">
      <c r="A1983" s="3" t="n">
        <v>2017</v>
      </c>
      <c r="B1983" s="3" t="n">
        <v>6</v>
      </c>
      <c r="C1983" s="3" t="n">
        <v>4</v>
      </c>
      <c r="D1983" s="3" t="s">
        <v>1987</v>
      </c>
      <c r="E1983" s="4" t="n">
        <v>0</v>
      </c>
    </row>
    <row r="1984" customFormat="false" ht="15" hidden="false" customHeight="false" outlineLevel="0" collapsed="false">
      <c r="A1984" s="3" t="n">
        <v>2017</v>
      </c>
      <c r="B1984" s="3" t="n">
        <v>6</v>
      </c>
      <c r="C1984" s="3" t="n">
        <v>5</v>
      </c>
      <c r="D1984" s="3" t="s">
        <v>1988</v>
      </c>
      <c r="E1984" s="4" t="n">
        <v>0</v>
      </c>
    </row>
    <row r="1985" customFormat="false" ht="15" hidden="false" customHeight="false" outlineLevel="0" collapsed="false">
      <c r="A1985" s="3" t="n">
        <v>2017</v>
      </c>
      <c r="B1985" s="3" t="n">
        <v>6</v>
      </c>
      <c r="C1985" s="3" t="n">
        <v>6</v>
      </c>
      <c r="D1985" s="3" t="s">
        <v>1989</v>
      </c>
      <c r="E1985" s="4" t="n">
        <v>0</v>
      </c>
    </row>
    <row r="1986" customFormat="false" ht="15" hidden="false" customHeight="false" outlineLevel="0" collapsed="false">
      <c r="A1986" s="3" t="n">
        <v>2017</v>
      </c>
      <c r="B1986" s="3" t="n">
        <v>6</v>
      </c>
      <c r="C1986" s="3" t="n">
        <v>7</v>
      </c>
      <c r="D1986" s="3" t="s">
        <v>1990</v>
      </c>
      <c r="E1986" s="4" t="n">
        <v>5</v>
      </c>
    </row>
    <row r="1987" customFormat="false" ht="15" hidden="false" customHeight="false" outlineLevel="0" collapsed="false">
      <c r="A1987" s="3" t="n">
        <v>2017</v>
      </c>
      <c r="B1987" s="3" t="n">
        <v>6</v>
      </c>
      <c r="C1987" s="3" t="n">
        <v>8</v>
      </c>
      <c r="D1987" s="3" t="s">
        <v>1991</v>
      </c>
      <c r="E1987" s="4" t="n">
        <v>0</v>
      </c>
    </row>
    <row r="1988" customFormat="false" ht="15" hidden="false" customHeight="false" outlineLevel="0" collapsed="false">
      <c r="A1988" s="3" t="n">
        <v>2017</v>
      </c>
      <c r="B1988" s="3" t="n">
        <v>6</v>
      </c>
      <c r="C1988" s="3" t="n">
        <v>9</v>
      </c>
      <c r="D1988" s="3" t="s">
        <v>1992</v>
      </c>
      <c r="E1988" s="4" t="n">
        <v>0</v>
      </c>
    </row>
    <row r="1989" customFormat="false" ht="15" hidden="false" customHeight="false" outlineLevel="0" collapsed="false">
      <c r="A1989" s="3" t="n">
        <v>2017</v>
      </c>
      <c r="B1989" s="3" t="n">
        <v>6</v>
      </c>
      <c r="C1989" s="3" t="n">
        <v>10</v>
      </c>
      <c r="D1989" s="3" t="s">
        <v>1993</v>
      </c>
      <c r="E1989" s="4" t="n">
        <v>8</v>
      </c>
    </row>
    <row r="1990" customFormat="false" ht="15" hidden="false" customHeight="false" outlineLevel="0" collapsed="false">
      <c r="A1990" s="3" t="n">
        <v>2017</v>
      </c>
      <c r="B1990" s="3" t="n">
        <v>6</v>
      </c>
      <c r="C1990" s="3" t="n">
        <v>11</v>
      </c>
      <c r="D1990" s="3" t="s">
        <v>1994</v>
      </c>
      <c r="E1990" s="4" t="n">
        <v>0</v>
      </c>
    </row>
    <row r="1991" customFormat="false" ht="15" hidden="false" customHeight="false" outlineLevel="0" collapsed="false">
      <c r="A1991" s="3" t="n">
        <v>2017</v>
      </c>
      <c r="B1991" s="3" t="n">
        <v>6</v>
      </c>
      <c r="C1991" s="3" t="n">
        <v>12</v>
      </c>
      <c r="D1991" s="3" t="s">
        <v>1995</v>
      </c>
      <c r="E1991" s="4" t="n">
        <v>0</v>
      </c>
    </row>
    <row r="1992" customFormat="false" ht="15" hidden="false" customHeight="false" outlineLevel="0" collapsed="false">
      <c r="A1992" s="3" t="n">
        <v>2017</v>
      </c>
      <c r="B1992" s="3" t="n">
        <v>6</v>
      </c>
      <c r="C1992" s="3" t="n">
        <v>13</v>
      </c>
      <c r="D1992" s="3" t="s">
        <v>1996</v>
      </c>
      <c r="E1992" s="4" t="n">
        <v>0</v>
      </c>
    </row>
    <row r="1993" customFormat="false" ht="15" hidden="false" customHeight="false" outlineLevel="0" collapsed="false">
      <c r="A1993" s="3" t="n">
        <v>2017</v>
      </c>
      <c r="B1993" s="3" t="n">
        <v>6</v>
      </c>
      <c r="C1993" s="3" t="n">
        <v>14</v>
      </c>
      <c r="D1993" s="3" t="s">
        <v>1997</v>
      </c>
      <c r="E1993" s="4" t="n">
        <v>1</v>
      </c>
    </row>
    <row r="1994" customFormat="false" ht="15" hidden="false" customHeight="false" outlineLevel="0" collapsed="false">
      <c r="A1994" s="3" t="n">
        <v>2017</v>
      </c>
      <c r="B1994" s="3" t="n">
        <v>6</v>
      </c>
      <c r="C1994" s="3" t="n">
        <v>15</v>
      </c>
      <c r="D1994" s="3" t="s">
        <v>1998</v>
      </c>
      <c r="E1994" s="4" t="n">
        <v>25</v>
      </c>
    </row>
    <row r="1995" customFormat="false" ht="15" hidden="false" customHeight="false" outlineLevel="0" collapsed="false">
      <c r="A1995" s="3" t="n">
        <v>2017</v>
      </c>
      <c r="B1995" s="3" t="n">
        <v>6</v>
      </c>
      <c r="C1995" s="3" t="n">
        <v>16</v>
      </c>
      <c r="D1995" s="3" t="s">
        <v>1999</v>
      </c>
      <c r="E1995" s="4" t="n">
        <v>29</v>
      </c>
    </row>
    <row r="1996" customFormat="false" ht="15" hidden="false" customHeight="false" outlineLevel="0" collapsed="false">
      <c r="A1996" s="3" t="n">
        <v>2017</v>
      </c>
      <c r="B1996" s="3" t="n">
        <v>6</v>
      </c>
      <c r="C1996" s="3" t="n">
        <v>17</v>
      </c>
      <c r="D1996" s="3" t="s">
        <v>2000</v>
      </c>
      <c r="E1996" s="4" t="n">
        <v>0</v>
      </c>
    </row>
    <row r="1997" customFormat="false" ht="15" hidden="false" customHeight="false" outlineLevel="0" collapsed="false">
      <c r="A1997" s="3" t="n">
        <v>2017</v>
      </c>
      <c r="B1997" s="3" t="n">
        <v>6</v>
      </c>
      <c r="C1997" s="3" t="n">
        <v>18</v>
      </c>
      <c r="D1997" s="3" t="s">
        <v>2001</v>
      </c>
      <c r="E1997" s="4" t="n">
        <v>0</v>
      </c>
    </row>
    <row r="1998" customFormat="false" ht="15" hidden="false" customHeight="false" outlineLevel="0" collapsed="false">
      <c r="A1998" s="3" t="n">
        <v>2017</v>
      </c>
      <c r="B1998" s="3" t="n">
        <v>6</v>
      </c>
      <c r="C1998" s="3" t="n">
        <v>19</v>
      </c>
      <c r="D1998" s="3" t="s">
        <v>2002</v>
      </c>
      <c r="E1998" s="4" t="n">
        <v>13</v>
      </c>
    </row>
    <row r="1999" customFormat="false" ht="15" hidden="false" customHeight="false" outlineLevel="0" collapsed="false">
      <c r="A1999" s="3" t="n">
        <v>2017</v>
      </c>
      <c r="B1999" s="3" t="n">
        <v>6</v>
      </c>
      <c r="C1999" s="3" t="n">
        <v>20</v>
      </c>
      <c r="D1999" s="3" t="s">
        <v>2003</v>
      </c>
      <c r="E1999" s="4" t="n">
        <v>0</v>
      </c>
    </row>
    <row r="2000" customFormat="false" ht="15" hidden="false" customHeight="false" outlineLevel="0" collapsed="false">
      <c r="A2000" s="3" t="n">
        <v>2017</v>
      </c>
      <c r="B2000" s="3" t="n">
        <v>6</v>
      </c>
      <c r="C2000" s="3" t="n">
        <v>21</v>
      </c>
      <c r="D2000" s="3" t="s">
        <v>2004</v>
      </c>
      <c r="E2000" s="4" t="n">
        <v>1</v>
      </c>
    </row>
    <row r="2001" customFormat="false" ht="15" hidden="false" customHeight="false" outlineLevel="0" collapsed="false">
      <c r="A2001" s="3" t="n">
        <v>2017</v>
      </c>
      <c r="B2001" s="3" t="n">
        <v>6</v>
      </c>
      <c r="C2001" s="3" t="n">
        <v>22</v>
      </c>
      <c r="D2001" s="3" t="s">
        <v>2005</v>
      </c>
      <c r="E2001" s="4" t="n">
        <v>0</v>
      </c>
    </row>
    <row r="2002" customFormat="false" ht="15" hidden="false" customHeight="false" outlineLevel="0" collapsed="false">
      <c r="A2002" s="3" t="n">
        <v>2017</v>
      </c>
      <c r="B2002" s="3" t="n">
        <v>6</v>
      </c>
      <c r="C2002" s="3" t="n">
        <v>23</v>
      </c>
      <c r="D2002" s="3" t="s">
        <v>2006</v>
      </c>
      <c r="E2002" s="4" t="n">
        <v>0</v>
      </c>
    </row>
    <row r="2003" customFormat="false" ht="15" hidden="false" customHeight="false" outlineLevel="0" collapsed="false">
      <c r="A2003" s="3" t="n">
        <v>2017</v>
      </c>
      <c r="B2003" s="3" t="n">
        <v>6</v>
      </c>
      <c r="C2003" s="3" t="n">
        <v>24</v>
      </c>
      <c r="D2003" s="3" t="s">
        <v>2007</v>
      </c>
      <c r="E2003" s="4" t="n">
        <v>33</v>
      </c>
    </row>
    <row r="2004" customFormat="false" ht="15" hidden="false" customHeight="false" outlineLevel="0" collapsed="false">
      <c r="A2004" s="3" t="n">
        <v>2017</v>
      </c>
      <c r="B2004" s="3" t="n">
        <v>6</v>
      </c>
      <c r="C2004" s="3" t="n">
        <v>25</v>
      </c>
      <c r="D2004" s="3" t="s">
        <v>2008</v>
      </c>
      <c r="E2004" s="4" t="n">
        <v>0</v>
      </c>
    </row>
    <row r="2005" customFormat="false" ht="15" hidden="false" customHeight="false" outlineLevel="0" collapsed="false">
      <c r="A2005" s="3" t="n">
        <v>2017</v>
      </c>
      <c r="B2005" s="3" t="n">
        <v>6</v>
      </c>
      <c r="C2005" s="3" t="n">
        <v>26</v>
      </c>
      <c r="D2005" s="3" t="s">
        <v>2009</v>
      </c>
      <c r="E2005" s="4" t="n">
        <v>10</v>
      </c>
    </row>
    <row r="2006" customFormat="false" ht="15" hidden="false" customHeight="false" outlineLevel="0" collapsed="false">
      <c r="A2006" s="3" t="n">
        <v>2017</v>
      </c>
      <c r="B2006" s="3" t="n">
        <v>6</v>
      </c>
      <c r="C2006" s="3" t="n">
        <v>27</v>
      </c>
      <c r="D2006" s="3" t="s">
        <v>2010</v>
      </c>
      <c r="E2006" s="4" t="n">
        <v>25</v>
      </c>
    </row>
    <row r="2007" customFormat="false" ht="15" hidden="false" customHeight="false" outlineLevel="0" collapsed="false">
      <c r="A2007" s="3" t="n">
        <v>2017</v>
      </c>
      <c r="B2007" s="3" t="n">
        <v>6</v>
      </c>
      <c r="C2007" s="3" t="n">
        <v>28</v>
      </c>
      <c r="D2007" s="3" t="s">
        <v>2011</v>
      </c>
      <c r="E2007" s="4" t="n">
        <v>2</v>
      </c>
    </row>
    <row r="2008" customFormat="false" ht="15" hidden="false" customHeight="false" outlineLevel="0" collapsed="false">
      <c r="A2008" s="3" t="n">
        <v>2017</v>
      </c>
      <c r="B2008" s="3" t="n">
        <v>6</v>
      </c>
      <c r="C2008" s="3" t="n">
        <v>29</v>
      </c>
      <c r="D2008" s="3" t="s">
        <v>2012</v>
      </c>
      <c r="E2008" s="4" t="n">
        <v>0</v>
      </c>
    </row>
    <row r="2009" customFormat="false" ht="15" hidden="false" customHeight="false" outlineLevel="0" collapsed="false">
      <c r="A2009" s="3" t="n">
        <v>2017</v>
      </c>
      <c r="B2009" s="3" t="n">
        <v>6</v>
      </c>
      <c r="C2009" s="3" t="n">
        <v>30</v>
      </c>
      <c r="D2009" s="3" t="s">
        <v>2013</v>
      </c>
      <c r="E2009" s="4" t="n">
        <v>0</v>
      </c>
    </row>
    <row r="2010" customFormat="false" ht="15" hidden="false" customHeight="false" outlineLevel="0" collapsed="false">
      <c r="A2010" s="3" t="n">
        <v>2017</v>
      </c>
      <c r="B2010" s="3" t="n">
        <v>7</v>
      </c>
      <c r="C2010" s="3" t="n">
        <v>1</v>
      </c>
      <c r="D2010" s="3" t="s">
        <v>2014</v>
      </c>
      <c r="E2010" s="4" t="n">
        <v>39</v>
      </c>
    </row>
    <row r="2011" customFormat="false" ht="15" hidden="false" customHeight="false" outlineLevel="0" collapsed="false">
      <c r="A2011" s="3" t="n">
        <v>2017</v>
      </c>
      <c r="B2011" s="3" t="n">
        <v>7</v>
      </c>
      <c r="C2011" s="3" t="n">
        <v>2</v>
      </c>
      <c r="D2011" s="3" t="s">
        <v>2015</v>
      </c>
      <c r="E2011" s="4" t="n">
        <v>0</v>
      </c>
    </row>
    <row r="2012" customFormat="false" ht="15" hidden="false" customHeight="false" outlineLevel="0" collapsed="false">
      <c r="A2012" s="3" t="n">
        <v>2017</v>
      </c>
      <c r="B2012" s="3" t="n">
        <v>7</v>
      </c>
      <c r="C2012" s="3" t="n">
        <v>3</v>
      </c>
      <c r="D2012" s="3" t="s">
        <v>2016</v>
      </c>
      <c r="E2012" s="4" t="n">
        <v>0</v>
      </c>
    </row>
    <row r="2013" customFormat="false" ht="15" hidden="false" customHeight="false" outlineLevel="0" collapsed="false">
      <c r="A2013" s="3" t="n">
        <v>2017</v>
      </c>
      <c r="B2013" s="3" t="n">
        <v>7</v>
      </c>
      <c r="C2013" s="3" t="n">
        <v>4</v>
      </c>
      <c r="D2013" s="3" t="s">
        <v>2017</v>
      </c>
      <c r="E2013" s="4" t="n">
        <v>0</v>
      </c>
    </row>
    <row r="2014" customFormat="false" ht="15" hidden="false" customHeight="false" outlineLevel="0" collapsed="false">
      <c r="A2014" s="3" t="n">
        <v>2017</v>
      </c>
      <c r="B2014" s="3" t="n">
        <v>7</v>
      </c>
      <c r="C2014" s="3" t="n">
        <v>5</v>
      </c>
      <c r="D2014" s="3" t="s">
        <v>2018</v>
      </c>
      <c r="E2014" s="4" t="n">
        <v>0</v>
      </c>
    </row>
    <row r="2015" customFormat="false" ht="15" hidden="false" customHeight="false" outlineLevel="0" collapsed="false">
      <c r="A2015" s="3" t="n">
        <v>2017</v>
      </c>
      <c r="B2015" s="3" t="n">
        <v>7</v>
      </c>
      <c r="C2015" s="3" t="n">
        <v>6</v>
      </c>
      <c r="D2015" s="3" t="s">
        <v>2019</v>
      </c>
      <c r="E2015" s="4" t="n">
        <v>37</v>
      </c>
    </row>
    <row r="2016" customFormat="false" ht="15" hidden="false" customHeight="false" outlineLevel="0" collapsed="false">
      <c r="A2016" s="3" t="n">
        <v>2017</v>
      </c>
      <c r="B2016" s="3" t="n">
        <v>7</v>
      </c>
      <c r="C2016" s="3" t="n">
        <v>7</v>
      </c>
      <c r="D2016" s="3" t="s">
        <v>2020</v>
      </c>
      <c r="E2016" s="4" t="n">
        <v>0</v>
      </c>
    </row>
    <row r="2017" customFormat="false" ht="15" hidden="false" customHeight="false" outlineLevel="0" collapsed="false">
      <c r="A2017" s="3" t="n">
        <v>2017</v>
      </c>
      <c r="B2017" s="3" t="n">
        <v>7</v>
      </c>
      <c r="C2017" s="3" t="n">
        <v>8</v>
      </c>
      <c r="D2017" s="3" t="s">
        <v>2021</v>
      </c>
      <c r="E2017" s="4" t="n">
        <v>0</v>
      </c>
    </row>
    <row r="2018" customFormat="false" ht="15" hidden="false" customHeight="false" outlineLevel="0" collapsed="false">
      <c r="A2018" s="3" t="n">
        <v>2017</v>
      </c>
      <c r="B2018" s="3" t="n">
        <v>7</v>
      </c>
      <c r="C2018" s="3" t="n">
        <v>9</v>
      </c>
      <c r="D2018" s="3" t="s">
        <v>2022</v>
      </c>
      <c r="E2018" s="4" t="n">
        <v>63</v>
      </c>
    </row>
    <row r="2019" customFormat="false" ht="15" hidden="false" customHeight="false" outlineLevel="0" collapsed="false">
      <c r="A2019" s="3" t="n">
        <v>2017</v>
      </c>
      <c r="B2019" s="3" t="n">
        <v>7</v>
      </c>
      <c r="C2019" s="3" t="n">
        <v>10</v>
      </c>
      <c r="D2019" s="3" t="s">
        <v>2023</v>
      </c>
      <c r="E2019" s="4" t="n">
        <v>24</v>
      </c>
    </row>
    <row r="2020" customFormat="false" ht="15" hidden="false" customHeight="false" outlineLevel="0" collapsed="false">
      <c r="A2020" s="3" t="n">
        <v>2017</v>
      </c>
      <c r="B2020" s="3" t="n">
        <v>7</v>
      </c>
      <c r="C2020" s="3" t="n">
        <v>11</v>
      </c>
      <c r="D2020" s="3" t="s">
        <v>2024</v>
      </c>
      <c r="E2020" s="4" t="n">
        <v>12</v>
      </c>
    </row>
    <row r="2021" customFormat="false" ht="15" hidden="false" customHeight="false" outlineLevel="0" collapsed="false">
      <c r="A2021" s="3" t="n">
        <v>2017</v>
      </c>
      <c r="B2021" s="3" t="n">
        <v>7</v>
      </c>
      <c r="C2021" s="3" t="n">
        <v>12</v>
      </c>
      <c r="D2021" s="3" t="s">
        <v>2025</v>
      </c>
      <c r="E2021" s="4" t="n">
        <v>32</v>
      </c>
    </row>
    <row r="2022" customFormat="false" ht="15" hidden="false" customHeight="false" outlineLevel="0" collapsed="false">
      <c r="A2022" s="3" t="n">
        <v>2017</v>
      </c>
      <c r="B2022" s="3" t="n">
        <v>7</v>
      </c>
      <c r="C2022" s="3" t="n">
        <v>13</v>
      </c>
      <c r="D2022" s="3" t="s">
        <v>2026</v>
      </c>
      <c r="E2022" s="4" t="n">
        <v>20</v>
      </c>
    </row>
    <row r="2023" customFormat="false" ht="15" hidden="false" customHeight="false" outlineLevel="0" collapsed="false">
      <c r="A2023" s="3" t="n">
        <v>2017</v>
      </c>
      <c r="B2023" s="3" t="n">
        <v>7</v>
      </c>
      <c r="C2023" s="3" t="n">
        <v>14</v>
      </c>
      <c r="D2023" s="3" t="s">
        <v>2027</v>
      </c>
      <c r="E2023" s="4" t="n">
        <v>1</v>
      </c>
    </row>
    <row r="2024" customFormat="false" ht="15" hidden="false" customHeight="false" outlineLevel="0" collapsed="false">
      <c r="A2024" s="3" t="n">
        <v>2017</v>
      </c>
      <c r="B2024" s="3" t="n">
        <v>7</v>
      </c>
      <c r="C2024" s="3" t="n">
        <v>15</v>
      </c>
      <c r="D2024" s="3" t="s">
        <v>2028</v>
      </c>
      <c r="E2024" s="4" t="n">
        <v>0</v>
      </c>
    </row>
    <row r="2025" customFormat="false" ht="15" hidden="false" customHeight="false" outlineLevel="0" collapsed="false">
      <c r="A2025" s="3" t="n">
        <v>2017</v>
      </c>
      <c r="B2025" s="3" t="n">
        <v>7</v>
      </c>
      <c r="C2025" s="3" t="n">
        <v>16</v>
      </c>
      <c r="D2025" s="3" t="s">
        <v>2029</v>
      </c>
      <c r="E2025" s="4" t="n">
        <v>14</v>
      </c>
    </row>
    <row r="2026" customFormat="false" ht="15" hidden="false" customHeight="false" outlineLevel="0" collapsed="false">
      <c r="A2026" s="3" t="n">
        <v>2017</v>
      </c>
      <c r="B2026" s="3" t="n">
        <v>7</v>
      </c>
      <c r="C2026" s="3" t="n">
        <v>17</v>
      </c>
      <c r="D2026" s="3" t="s">
        <v>2030</v>
      </c>
      <c r="E2026" s="4" t="n">
        <v>0</v>
      </c>
    </row>
    <row r="2027" customFormat="false" ht="15" hidden="false" customHeight="false" outlineLevel="0" collapsed="false">
      <c r="A2027" s="3" t="n">
        <v>2017</v>
      </c>
      <c r="B2027" s="3" t="n">
        <v>7</v>
      </c>
      <c r="C2027" s="3" t="n">
        <v>18</v>
      </c>
      <c r="D2027" s="3" t="s">
        <v>2031</v>
      </c>
      <c r="E2027" s="4" t="n">
        <v>17</v>
      </c>
    </row>
    <row r="2028" customFormat="false" ht="15" hidden="false" customHeight="false" outlineLevel="0" collapsed="false">
      <c r="A2028" s="3" t="n">
        <v>2017</v>
      </c>
      <c r="B2028" s="3" t="n">
        <v>7</v>
      </c>
      <c r="C2028" s="3" t="n">
        <v>19</v>
      </c>
      <c r="D2028" s="3" t="s">
        <v>2032</v>
      </c>
      <c r="E2028" s="4" t="n">
        <v>0</v>
      </c>
    </row>
    <row r="2029" customFormat="false" ht="15" hidden="false" customHeight="false" outlineLevel="0" collapsed="false">
      <c r="A2029" s="3" t="n">
        <v>2017</v>
      </c>
      <c r="B2029" s="3" t="n">
        <v>7</v>
      </c>
      <c r="C2029" s="3" t="n">
        <v>20</v>
      </c>
      <c r="D2029" s="3" t="s">
        <v>2033</v>
      </c>
      <c r="E2029" s="4" t="n">
        <v>0</v>
      </c>
    </row>
    <row r="2030" customFormat="false" ht="15" hidden="false" customHeight="false" outlineLevel="0" collapsed="false">
      <c r="A2030" s="3" t="n">
        <v>2017</v>
      </c>
      <c r="B2030" s="3" t="n">
        <v>7</v>
      </c>
      <c r="C2030" s="3" t="n">
        <v>21</v>
      </c>
      <c r="D2030" s="3" t="s">
        <v>2034</v>
      </c>
      <c r="E2030" s="4" t="n">
        <v>0</v>
      </c>
    </row>
    <row r="2031" customFormat="false" ht="15" hidden="false" customHeight="false" outlineLevel="0" collapsed="false">
      <c r="A2031" s="3" t="n">
        <v>2017</v>
      </c>
      <c r="B2031" s="3" t="n">
        <v>7</v>
      </c>
      <c r="C2031" s="3" t="n">
        <v>22</v>
      </c>
      <c r="D2031" s="3" t="s">
        <v>2035</v>
      </c>
      <c r="E2031" s="4" t="n">
        <v>0</v>
      </c>
    </row>
    <row r="2032" customFormat="false" ht="15" hidden="false" customHeight="false" outlineLevel="0" collapsed="false">
      <c r="A2032" s="3" t="n">
        <v>2017</v>
      </c>
      <c r="B2032" s="3" t="n">
        <v>7</v>
      </c>
      <c r="C2032" s="3" t="n">
        <v>23</v>
      </c>
      <c r="D2032" s="3" t="s">
        <v>2036</v>
      </c>
      <c r="E2032" s="4" t="n">
        <v>20</v>
      </c>
    </row>
    <row r="2033" customFormat="false" ht="15" hidden="false" customHeight="false" outlineLevel="0" collapsed="false">
      <c r="A2033" s="3" t="n">
        <v>2017</v>
      </c>
      <c r="B2033" s="3" t="n">
        <v>7</v>
      </c>
      <c r="C2033" s="3" t="n">
        <v>24</v>
      </c>
      <c r="D2033" s="3" t="s">
        <v>2037</v>
      </c>
      <c r="E2033" s="4" t="n">
        <v>0</v>
      </c>
    </row>
    <row r="2034" customFormat="false" ht="15" hidden="false" customHeight="false" outlineLevel="0" collapsed="false">
      <c r="A2034" s="3" t="n">
        <v>2017</v>
      </c>
      <c r="B2034" s="3" t="n">
        <v>7</v>
      </c>
      <c r="C2034" s="3" t="n">
        <v>25</v>
      </c>
      <c r="D2034" s="3" t="s">
        <v>2038</v>
      </c>
      <c r="E2034" s="4" t="n">
        <v>0</v>
      </c>
    </row>
    <row r="2035" customFormat="false" ht="15" hidden="false" customHeight="false" outlineLevel="0" collapsed="false">
      <c r="A2035" s="3" t="n">
        <v>2017</v>
      </c>
      <c r="B2035" s="3" t="n">
        <v>7</v>
      </c>
      <c r="C2035" s="3" t="n">
        <v>26</v>
      </c>
      <c r="D2035" s="3" t="s">
        <v>2039</v>
      </c>
      <c r="E2035" s="4" t="n">
        <v>0</v>
      </c>
    </row>
    <row r="2036" customFormat="false" ht="15" hidden="false" customHeight="false" outlineLevel="0" collapsed="false">
      <c r="A2036" s="3" t="n">
        <v>2017</v>
      </c>
      <c r="B2036" s="3" t="n">
        <v>7</v>
      </c>
      <c r="C2036" s="3" t="n">
        <v>27</v>
      </c>
      <c r="D2036" s="3" t="s">
        <v>2040</v>
      </c>
      <c r="E2036" s="4" t="n">
        <v>0</v>
      </c>
    </row>
    <row r="2037" customFormat="false" ht="15" hidden="false" customHeight="false" outlineLevel="0" collapsed="false">
      <c r="A2037" s="3" t="n">
        <v>2017</v>
      </c>
      <c r="B2037" s="3" t="n">
        <v>7</v>
      </c>
      <c r="C2037" s="3" t="n">
        <v>28</v>
      </c>
      <c r="D2037" s="3" t="s">
        <v>2041</v>
      </c>
      <c r="E2037" s="4" t="n">
        <v>0</v>
      </c>
    </row>
    <row r="2038" customFormat="false" ht="15" hidden="false" customHeight="false" outlineLevel="0" collapsed="false">
      <c r="A2038" s="3" t="n">
        <v>2017</v>
      </c>
      <c r="B2038" s="3" t="n">
        <v>7</v>
      </c>
      <c r="C2038" s="3" t="n">
        <v>29</v>
      </c>
      <c r="D2038" s="3" t="s">
        <v>2042</v>
      </c>
      <c r="E2038" s="4" t="n">
        <v>0</v>
      </c>
    </row>
    <row r="2039" customFormat="false" ht="15" hidden="false" customHeight="false" outlineLevel="0" collapsed="false">
      <c r="A2039" s="3" t="n">
        <v>2017</v>
      </c>
      <c r="B2039" s="3" t="n">
        <v>7</v>
      </c>
      <c r="C2039" s="3" t="n">
        <v>30</v>
      </c>
      <c r="D2039" s="3" t="s">
        <v>2043</v>
      </c>
      <c r="E2039" s="4" t="n">
        <v>0</v>
      </c>
    </row>
    <row r="2040" customFormat="false" ht="15" hidden="false" customHeight="false" outlineLevel="0" collapsed="false">
      <c r="A2040" s="3" t="n">
        <v>2017</v>
      </c>
      <c r="B2040" s="3" t="n">
        <v>7</v>
      </c>
      <c r="C2040" s="3" t="n">
        <v>31</v>
      </c>
      <c r="D2040" s="3" t="s">
        <v>2044</v>
      </c>
      <c r="E2040" s="4" t="n">
        <v>0</v>
      </c>
    </row>
    <row r="2041" customFormat="false" ht="15" hidden="false" customHeight="false" outlineLevel="0" collapsed="false">
      <c r="A2041" s="3" t="n">
        <v>2017</v>
      </c>
      <c r="B2041" s="3" t="n">
        <v>8</v>
      </c>
      <c r="C2041" s="3" t="n">
        <v>1</v>
      </c>
      <c r="D2041" s="3" t="s">
        <v>2045</v>
      </c>
      <c r="E2041" s="4" t="n">
        <v>0</v>
      </c>
    </row>
    <row r="2042" customFormat="false" ht="15" hidden="false" customHeight="false" outlineLevel="0" collapsed="false">
      <c r="A2042" s="3" t="n">
        <v>2017</v>
      </c>
      <c r="B2042" s="3" t="n">
        <v>8</v>
      </c>
      <c r="C2042" s="3" t="n">
        <v>2</v>
      </c>
      <c r="D2042" s="3" t="s">
        <v>2046</v>
      </c>
      <c r="E2042" s="4" t="n">
        <v>0</v>
      </c>
    </row>
    <row r="2043" customFormat="false" ht="15" hidden="false" customHeight="false" outlineLevel="0" collapsed="false">
      <c r="A2043" s="3" t="n">
        <v>2017</v>
      </c>
      <c r="B2043" s="3" t="n">
        <v>8</v>
      </c>
      <c r="C2043" s="3" t="n">
        <v>3</v>
      </c>
      <c r="D2043" s="3" t="s">
        <v>2047</v>
      </c>
      <c r="E2043" s="4" t="n">
        <v>0</v>
      </c>
    </row>
    <row r="2044" customFormat="false" ht="15" hidden="false" customHeight="false" outlineLevel="0" collapsed="false">
      <c r="A2044" s="3" t="n">
        <v>2017</v>
      </c>
      <c r="B2044" s="3" t="n">
        <v>8</v>
      </c>
      <c r="C2044" s="3" t="n">
        <v>4</v>
      </c>
      <c r="D2044" s="3" t="s">
        <v>2048</v>
      </c>
      <c r="E2044" s="4" t="n">
        <v>0</v>
      </c>
    </row>
    <row r="2045" customFormat="false" ht="15" hidden="false" customHeight="false" outlineLevel="0" collapsed="false">
      <c r="A2045" s="3" t="n">
        <v>2017</v>
      </c>
      <c r="B2045" s="3" t="n">
        <v>8</v>
      </c>
      <c r="C2045" s="3" t="n">
        <v>5</v>
      </c>
      <c r="D2045" s="3" t="s">
        <v>2049</v>
      </c>
      <c r="E2045" s="4" t="n">
        <v>0</v>
      </c>
    </row>
    <row r="2046" customFormat="false" ht="15" hidden="false" customHeight="false" outlineLevel="0" collapsed="false">
      <c r="A2046" s="3" t="n">
        <v>2017</v>
      </c>
      <c r="B2046" s="3" t="n">
        <v>8</v>
      </c>
      <c r="C2046" s="3" t="n">
        <v>6</v>
      </c>
      <c r="D2046" s="3" t="s">
        <v>2050</v>
      </c>
      <c r="E2046" s="4" t="n">
        <v>0</v>
      </c>
    </row>
    <row r="2047" customFormat="false" ht="15" hidden="false" customHeight="false" outlineLevel="0" collapsed="false">
      <c r="A2047" s="3" t="n">
        <v>2017</v>
      </c>
      <c r="B2047" s="3" t="n">
        <v>8</v>
      </c>
      <c r="C2047" s="3" t="n">
        <v>7</v>
      </c>
      <c r="D2047" s="3" t="s">
        <v>2051</v>
      </c>
      <c r="E2047" s="4" t="n">
        <v>47</v>
      </c>
    </row>
    <row r="2048" customFormat="false" ht="15" hidden="false" customHeight="false" outlineLevel="0" collapsed="false">
      <c r="A2048" s="3" t="n">
        <v>2017</v>
      </c>
      <c r="B2048" s="3" t="n">
        <v>8</v>
      </c>
      <c r="C2048" s="3" t="n">
        <v>8</v>
      </c>
      <c r="D2048" s="3" t="s">
        <v>2052</v>
      </c>
      <c r="E2048" s="4" t="n">
        <v>1</v>
      </c>
    </row>
    <row r="2049" customFormat="false" ht="15" hidden="false" customHeight="false" outlineLevel="0" collapsed="false">
      <c r="A2049" s="3" t="n">
        <v>2017</v>
      </c>
      <c r="B2049" s="3" t="n">
        <v>8</v>
      </c>
      <c r="C2049" s="3" t="n">
        <v>9</v>
      </c>
      <c r="D2049" s="3" t="s">
        <v>2053</v>
      </c>
      <c r="E2049" s="4" t="n">
        <v>0</v>
      </c>
    </row>
    <row r="2050" customFormat="false" ht="15" hidden="false" customHeight="false" outlineLevel="0" collapsed="false">
      <c r="A2050" s="3" t="n">
        <v>2017</v>
      </c>
      <c r="B2050" s="3" t="n">
        <v>8</v>
      </c>
      <c r="C2050" s="3" t="n">
        <v>10</v>
      </c>
      <c r="D2050" s="3" t="s">
        <v>2054</v>
      </c>
      <c r="E2050" s="4" t="n">
        <v>59</v>
      </c>
    </row>
    <row r="2051" customFormat="false" ht="15" hidden="false" customHeight="false" outlineLevel="0" collapsed="false">
      <c r="A2051" s="3" t="n">
        <v>2017</v>
      </c>
      <c r="B2051" s="3" t="n">
        <v>8</v>
      </c>
      <c r="C2051" s="3" t="n">
        <v>11</v>
      </c>
      <c r="D2051" s="3" t="s">
        <v>2055</v>
      </c>
      <c r="E2051" s="4" t="n">
        <v>34</v>
      </c>
    </row>
    <row r="2052" customFormat="false" ht="15" hidden="false" customHeight="false" outlineLevel="0" collapsed="false">
      <c r="A2052" s="3" t="n">
        <v>2017</v>
      </c>
      <c r="B2052" s="3" t="n">
        <v>8</v>
      </c>
      <c r="C2052" s="3" t="n">
        <v>12</v>
      </c>
      <c r="D2052" s="3" t="s">
        <v>2056</v>
      </c>
      <c r="E2052" s="4" t="n">
        <v>0</v>
      </c>
    </row>
    <row r="2053" customFormat="false" ht="15" hidden="false" customHeight="false" outlineLevel="0" collapsed="false">
      <c r="A2053" s="3" t="n">
        <v>2017</v>
      </c>
      <c r="B2053" s="3" t="n">
        <v>8</v>
      </c>
      <c r="C2053" s="3" t="n">
        <v>13</v>
      </c>
      <c r="D2053" s="3" t="s">
        <v>2057</v>
      </c>
      <c r="E2053" s="4" t="n">
        <v>13</v>
      </c>
    </row>
    <row r="2054" customFormat="false" ht="15" hidden="false" customHeight="false" outlineLevel="0" collapsed="false">
      <c r="A2054" s="3" t="n">
        <v>2017</v>
      </c>
      <c r="B2054" s="3" t="n">
        <v>8</v>
      </c>
      <c r="C2054" s="3" t="n">
        <v>14</v>
      </c>
      <c r="D2054" s="3" t="s">
        <v>2058</v>
      </c>
      <c r="E2054" s="4" t="n">
        <v>66</v>
      </c>
    </row>
    <row r="2055" customFormat="false" ht="15" hidden="false" customHeight="false" outlineLevel="0" collapsed="false">
      <c r="A2055" s="3" t="n">
        <v>2017</v>
      </c>
      <c r="B2055" s="3" t="n">
        <v>8</v>
      </c>
      <c r="C2055" s="3" t="n">
        <v>15</v>
      </c>
      <c r="D2055" s="3" t="s">
        <v>2059</v>
      </c>
      <c r="E2055" s="4" t="n">
        <v>0</v>
      </c>
    </row>
    <row r="2056" customFormat="false" ht="15" hidden="false" customHeight="false" outlineLevel="0" collapsed="false">
      <c r="A2056" s="3" t="n">
        <v>2017</v>
      </c>
      <c r="B2056" s="3" t="n">
        <v>8</v>
      </c>
      <c r="C2056" s="3" t="n">
        <v>16</v>
      </c>
      <c r="D2056" s="3" t="s">
        <v>2060</v>
      </c>
      <c r="E2056" s="4" t="n">
        <v>1</v>
      </c>
    </row>
    <row r="2057" customFormat="false" ht="15" hidden="false" customHeight="false" outlineLevel="0" collapsed="false">
      <c r="A2057" s="3" t="n">
        <v>2017</v>
      </c>
      <c r="B2057" s="3" t="n">
        <v>8</v>
      </c>
      <c r="C2057" s="3" t="n">
        <v>17</v>
      </c>
      <c r="D2057" s="3" t="s">
        <v>2061</v>
      </c>
      <c r="E2057" s="4" t="n">
        <v>0</v>
      </c>
    </row>
    <row r="2058" customFormat="false" ht="15" hidden="false" customHeight="false" outlineLevel="0" collapsed="false">
      <c r="A2058" s="3" t="n">
        <v>2017</v>
      </c>
      <c r="B2058" s="3" t="n">
        <v>8</v>
      </c>
      <c r="C2058" s="3" t="n">
        <v>18</v>
      </c>
      <c r="D2058" s="3" t="s">
        <v>2062</v>
      </c>
      <c r="E2058" s="4" t="n">
        <v>0</v>
      </c>
    </row>
    <row r="2059" customFormat="false" ht="15" hidden="false" customHeight="false" outlineLevel="0" collapsed="false">
      <c r="A2059" s="3" t="n">
        <v>2017</v>
      </c>
      <c r="B2059" s="3" t="n">
        <v>8</v>
      </c>
      <c r="C2059" s="3" t="n">
        <v>19</v>
      </c>
      <c r="D2059" s="3" t="s">
        <v>2063</v>
      </c>
      <c r="E2059" s="4" t="n">
        <v>0</v>
      </c>
    </row>
    <row r="2060" customFormat="false" ht="15" hidden="false" customHeight="false" outlineLevel="0" collapsed="false">
      <c r="A2060" s="3" t="n">
        <v>2017</v>
      </c>
      <c r="B2060" s="3" t="n">
        <v>8</v>
      </c>
      <c r="C2060" s="3" t="n">
        <v>20</v>
      </c>
      <c r="D2060" s="3" t="s">
        <v>2064</v>
      </c>
      <c r="E2060" s="4" t="n">
        <v>1</v>
      </c>
    </row>
    <row r="2061" customFormat="false" ht="15" hidden="false" customHeight="false" outlineLevel="0" collapsed="false">
      <c r="A2061" s="3" t="n">
        <v>2017</v>
      </c>
      <c r="B2061" s="3" t="n">
        <v>8</v>
      </c>
      <c r="C2061" s="3" t="n">
        <v>21</v>
      </c>
      <c r="D2061" s="3" t="s">
        <v>2065</v>
      </c>
      <c r="E2061" s="4" t="n">
        <v>10</v>
      </c>
    </row>
    <row r="2062" customFormat="false" ht="15" hidden="false" customHeight="false" outlineLevel="0" collapsed="false">
      <c r="A2062" s="3" t="n">
        <v>2017</v>
      </c>
      <c r="B2062" s="3" t="n">
        <v>8</v>
      </c>
      <c r="C2062" s="3" t="n">
        <v>22</v>
      </c>
      <c r="D2062" s="3" t="s">
        <v>2066</v>
      </c>
      <c r="E2062" s="4" t="n">
        <v>5</v>
      </c>
    </row>
    <row r="2063" customFormat="false" ht="15" hidden="false" customHeight="false" outlineLevel="0" collapsed="false">
      <c r="A2063" s="3" t="n">
        <v>2017</v>
      </c>
      <c r="B2063" s="3" t="n">
        <v>8</v>
      </c>
      <c r="C2063" s="3" t="n">
        <v>23</v>
      </c>
      <c r="D2063" s="3" t="s">
        <v>2067</v>
      </c>
      <c r="E2063" s="4" t="n">
        <v>18</v>
      </c>
    </row>
    <row r="2064" customFormat="false" ht="15" hidden="false" customHeight="false" outlineLevel="0" collapsed="false">
      <c r="A2064" s="3" t="n">
        <v>2017</v>
      </c>
      <c r="B2064" s="3" t="n">
        <v>8</v>
      </c>
      <c r="C2064" s="3" t="n">
        <v>24</v>
      </c>
      <c r="D2064" s="3" t="s">
        <v>2068</v>
      </c>
      <c r="E2064" s="4" t="n">
        <v>0</v>
      </c>
    </row>
    <row r="2065" customFormat="false" ht="15" hidden="false" customHeight="false" outlineLevel="0" collapsed="false">
      <c r="A2065" s="3" t="n">
        <v>2017</v>
      </c>
      <c r="B2065" s="3" t="n">
        <v>8</v>
      </c>
      <c r="C2065" s="3" t="n">
        <v>25</v>
      </c>
      <c r="D2065" s="3" t="s">
        <v>2069</v>
      </c>
      <c r="E2065" s="4" t="n">
        <v>9</v>
      </c>
    </row>
    <row r="2066" customFormat="false" ht="15" hidden="false" customHeight="false" outlineLevel="0" collapsed="false">
      <c r="A2066" s="3" t="n">
        <v>2017</v>
      </c>
      <c r="B2066" s="3" t="n">
        <v>8</v>
      </c>
      <c r="C2066" s="3" t="n">
        <v>26</v>
      </c>
      <c r="D2066" s="3" t="s">
        <v>2070</v>
      </c>
      <c r="E2066" s="4" t="n">
        <v>9</v>
      </c>
    </row>
    <row r="2067" customFormat="false" ht="15" hidden="false" customHeight="false" outlineLevel="0" collapsed="false">
      <c r="A2067" s="3" t="n">
        <v>2017</v>
      </c>
      <c r="B2067" s="3" t="n">
        <v>8</v>
      </c>
      <c r="C2067" s="3" t="n">
        <v>27</v>
      </c>
      <c r="D2067" s="3" t="s">
        <v>2071</v>
      </c>
      <c r="E2067" s="4" t="n">
        <v>0</v>
      </c>
    </row>
    <row r="2068" customFormat="false" ht="15" hidden="false" customHeight="false" outlineLevel="0" collapsed="false">
      <c r="A2068" s="3" t="n">
        <v>2017</v>
      </c>
      <c r="B2068" s="3" t="n">
        <v>8</v>
      </c>
      <c r="C2068" s="3" t="n">
        <v>28</v>
      </c>
      <c r="D2068" s="3" t="s">
        <v>2072</v>
      </c>
      <c r="E2068" s="4" t="n">
        <v>23</v>
      </c>
    </row>
    <row r="2069" customFormat="false" ht="15" hidden="false" customHeight="false" outlineLevel="0" collapsed="false">
      <c r="A2069" s="3" t="n">
        <v>2017</v>
      </c>
      <c r="B2069" s="3" t="n">
        <v>8</v>
      </c>
      <c r="C2069" s="3" t="n">
        <v>29</v>
      </c>
      <c r="D2069" s="3" t="s">
        <v>2073</v>
      </c>
      <c r="E2069" s="4" t="n">
        <v>22</v>
      </c>
    </row>
    <row r="2070" customFormat="false" ht="15" hidden="false" customHeight="false" outlineLevel="0" collapsed="false">
      <c r="A2070" s="3" t="n">
        <v>2017</v>
      </c>
      <c r="B2070" s="3" t="n">
        <v>8</v>
      </c>
      <c r="C2070" s="3" t="n">
        <v>30</v>
      </c>
      <c r="D2070" s="3" t="s">
        <v>2074</v>
      </c>
      <c r="E2070" s="4" t="n">
        <v>3</v>
      </c>
    </row>
    <row r="2071" customFormat="false" ht="15" hidden="false" customHeight="false" outlineLevel="0" collapsed="false">
      <c r="A2071" s="3" t="n">
        <v>2017</v>
      </c>
      <c r="B2071" s="3" t="n">
        <v>8</v>
      </c>
      <c r="C2071" s="3" t="n">
        <v>31</v>
      </c>
      <c r="D2071" s="3" t="s">
        <v>2075</v>
      </c>
      <c r="E2071" s="4" t="n">
        <v>0</v>
      </c>
    </row>
    <row r="2072" customFormat="false" ht="15" hidden="false" customHeight="false" outlineLevel="0" collapsed="false">
      <c r="A2072" s="3" t="n">
        <v>2017</v>
      </c>
      <c r="B2072" s="3" t="n">
        <v>9</v>
      </c>
      <c r="C2072" s="3" t="n">
        <v>1</v>
      </c>
      <c r="D2072" s="3" t="s">
        <v>2076</v>
      </c>
      <c r="E2072" s="4" t="n">
        <v>0</v>
      </c>
    </row>
    <row r="2073" customFormat="false" ht="15" hidden="false" customHeight="false" outlineLevel="0" collapsed="false">
      <c r="A2073" s="3" t="n">
        <v>2017</v>
      </c>
      <c r="B2073" s="3" t="n">
        <v>9</v>
      </c>
      <c r="C2073" s="3" t="n">
        <v>2</v>
      </c>
      <c r="D2073" s="3" t="s">
        <v>2077</v>
      </c>
      <c r="E2073" s="4" t="n">
        <v>0</v>
      </c>
    </row>
    <row r="2074" customFormat="false" ht="15" hidden="false" customHeight="false" outlineLevel="0" collapsed="false">
      <c r="A2074" s="3" t="n">
        <v>2017</v>
      </c>
      <c r="B2074" s="3" t="n">
        <v>9</v>
      </c>
      <c r="C2074" s="3" t="n">
        <v>3</v>
      </c>
      <c r="D2074" s="3" t="s">
        <v>2078</v>
      </c>
      <c r="E2074" s="4" t="n">
        <v>0</v>
      </c>
    </row>
    <row r="2075" customFormat="false" ht="15" hidden="false" customHeight="false" outlineLevel="0" collapsed="false">
      <c r="A2075" s="3" t="n">
        <v>2017</v>
      </c>
      <c r="B2075" s="3" t="n">
        <v>9</v>
      </c>
      <c r="C2075" s="3" t="n">
        <v>4</v>
      </c>
      <c r="D2075" s="3" t="s">
        <v>2079</v>
      </c>
      <c r="E2075" s="4" t="n">
        <v>15</v>
      </c>
    </row>
    <row r="2076" customFormat="false" ht="15" hidden="false" customHeight="false" outlineLevel="0" collapsed="false">
      <c r="A2076" s="3" t="n">
        <v>2017</v>
      </c>
      <c r="B2076" s="3" t="n">
        <v>9</v>
      </c>
      <c r="C2076" s="3" t="n">
        <v>5</v>
      </c>
      <c r="D2076" s="3" t="s">
        <v>2080</v>
      </c>
      <c r="E2076" s="4" t="n">
        <v>0</v>
      </c>
    </row>
    <row r="2077" customFormat="false" ht="15" hidden="false" customHeight="false" outlineLevel="0" collapsed="false">
      <c r="A2077" s="3" t="n">
        <v>2017</v>
      </c>
      <c r="B2077" s="3" t="n">
        <v>9</v>
      </c>
      <c r="C2077" s="3" t="n">
        <v>6</v>
      </c>
      <c r="D2077" s="3" t="s">
        <v>2081</v>
      </c>
      <c r="E2077" s="4" t="n">
        <v>17</v>
      </c>
    </row>
    <row r="2078" customFormat="false" ht="15" hidden="false" customHeight="false" outlineLevel="0" collapsed="false">
      <c r="A2078" s="3" t="n">
        <v>2017</v>
      </c>
      <c r="B2078" s="3" t="n">
        <v>9</v>
      </c>
      <c r="C2078" s="3" t="n">
        <v>7</v>
      </c>
      <c r="D2078" s="3" t="s">
        <v>2082</v>
      </c>
      <c r="E2078" s="4" t="n">
        <v>14</v>
      </c>
    </row>
    <row r="2079" customFormat="false" ht="15" hidden="false" customHeight="false" outlineLevel="0" collapsed="false">
      <c r="A2079" s="3" t="n">
        <v>2017</v>
      </c>
      <c r="B2079" s="3" t="n">
        <v>9</v>
      </c>
      <c r="C2079" s="3" t="n">
        <v>8</v>
      </c>
      <c r="D2079" s="3" t="s">
        <v>2083</v>
      </c>
      <c r="E2079" s="4" t="n">
        <v>5</v>
      </c>
    </row>
    <row r="2080" customFormat="false" ht="15" hidden="false" customHeight="false" outlineLevel="0" collapsed="false">
      <c r="A2080" s="3" t="n">
        <v>2017</v>
      </c>
      <c r="B2080" s="3" t="n">
        <v>9</v>
      </c>
      <c r="C2080" s="3" t="n">
        <v>9</v>
      </c>
      <c r="D2080" s="3" t="s">
        <v>2084</v>
      </c>
      <c r="E2080" s="4" t="n">
        <v>11</v>
      </c>
    </row>
    <row r="2081" customFormat="false" ht="15" hidden="false" customHeight="false" outlineLevel="0" collapsed="false">
      <c r="A2081" s="3" t="n">
        <v>2017</v>
      </c>
      <c r="B2081" s="3" t="n">
        <v>9</v>
      </c>
      <c r="C2081" s="3" t="n">
        <v>10</v>
      </c>
      <c r="D2081" s="3" t="s">
        <v>2085</v>
      </c>
      <c r="E2081" s="4" t="n">
        <v>10</v>
      </c>
    </row>
    <row r="2082" customFormat="false" ht="15" hidden="false" customHeight="false" outlineLevel="0" collapsed="false">
      <c r="A2082" s="3" t="n">
        <v>2017</v>
      </c>
      <c r="B2082" s="3" t="n">
        <v>9</v>
      </c>
      <c r="C2082" s="3" t="n">
        <v>11</v>
      </c>
      <c r="D2082" s="3" t="s">
        <v>2086</v>
      </c>
      <c r="E2082" s="4" t="n">
        <v>12</v>
      </c>
    </row>
    <row r="2083" customFormat="false" ht="15" hidden="false" customHeight="false" outlineLevel="0" collapsed="false">
      <c r="A2083" s="3" t="n">
        <v>2017</v>
      </c>
      <c r="B2083" s="3" t="n">
        <v>9</v>
      </c>
      <c r="C2083" s="3" t="n">
        <v>12</v>
      </c>
      <c r="D2083" s="3" t="s">
        <v>2087</v>
      </c>
      <c r="E2083" s="4" t="n">
        <v>4</v>
      </c>
    </row>
    <row r="2084" customFormat="false" ht="15" hidden="false" customHeight="false" outlineLevel="0" collapsed="false">
      <c r="A2084" s="3" t="n">
        <v>2017</v>
      </c>
      <c r="B2084" s="3" t="n">
        <v>9</v>
      </c>
      <c r="C2084" s="3" t="n">
        <v>13</v>
      </c>
      <c r="D2084" s="3" t="s">
        <v>2088</v>
      </c>
      <c r="E2084" s="4" t="n">
        <v>0</v>
      </c>
    </row>
    <row r="2085" customFormat="false" ht="15" hidden="false" customHeight="false" outlineLevel="0" collapsed="false">
      <c r="A2085" s="3" t="n">
        <v>2017</v>
      </c>
      <c r="B2085" s="3" t="n">
        <v>9</v>
      </c>
      <c r="C2085" s="3" t="n">
        <v>14</v>
      </c>
      <c r="D2085" s="3" t="s">
        <v>2089</v>
      </c>
      <c r="E2085" s="4" t="n">
        <v>0</v>
      </c>
    </row>
    <row r="2086" customFormat="false" ht="15" hidden="false" customHeight="false" outlineLevel="0" collapsed="false">
      <c r="A2086" s="3" t="n">
        <v>2017</v>
      </c>
      <c r="B2086" s="3" t="n">
        <v>9</v>
      </c>
      <c r="C2086" s="3" t="n">
        <v>15</v>
      </c>
      <c r="D2086" s="3" t="s">
        <v>2090</v>
      </c>
      <c r="E2086" s="4" t="n">
        <v>0</v>
      </c>
    </row>
    <row r="2087" customFormat="false" ht="15" hidden="false" customHeight="false" outlineLevel="0" collapsed="false">
      <c r="A2087" s="3" t="n">
        <v>2017</v>
      </c>
      <c r="B2087" s="3" t="n">
        <v>9</v>
      </c>
      <c r="C2087" s="3" t="n">
        <v>16</v>
      </c>
      <c r="D2087" s="3" t="s">
        <v>2091</v>
      </c>
      <c r="E2087" s="4" t="n">
        <v>0</v>
      </c>
    </row>
    <row r="2088" customFormat="false" ht="15" hidden="false" customHeight="false" outlineLevel="0" collapsed="false">
      <c r="A2088" s="3" t="n">
        <v>2017</v>
      </c>
      <c r="B2088" s="3" t="n">
        <v>9</v>
      </c>
      <c r="C2088" s="3" t="n">
        <v>17</v>
      </c>
      <c r="D2088" s="3" t="s">
        <v>2092</v>
      </c>
      <c r="E2088" s="4" t="n">
        <v>0</v>
      </c>
    </row>
    <row r="2089" customFormat="false" ht="15" hidden="false" customHeight="false" outlineLevel="0" collapsed="false">
      <c r="A2089" s="3" t="n">
        <v>2017</v>
      </c>
      <c r="B2089" s="3" t="n">
        <v>9</v>
      </c>
      <c r="C2089" s="3" t="n">
        <v>18</v>
      </c>
      <c r="D2089" s="3" t="s">
        <v>2093</v>
      </c>
      <c r="E2089" s="4" t="n">
        <v>18</v>
      </c>
    </row>
    <row r="2090" customFormat="false" ht="15" hidden="false" customHeight="false" outlineLevel="0" collapsed="false">
      <c r="A2090" s="3" t="n">
        <v>2017</v>
      </c>
      <c r="B2090" s="3" t="n">
        <v>9</v>
      </c>
      <c r="C2090" s="3" t="n">
        <v>19</v>
      </c>
      <c r="D2090" s="3" t="s">
        <v>2094</v>
      </c>
      <c r="E2090" s="4" t="n">
        <v>4</v>
      </c>
    </row>
    <row r="2091" customFormat="false" ht="15" hidden="false" customHeight="false" outlineLevel="0" collapsed="false">
      <c r="A2091" s="3" t="n">
        <v>2017</v>
      </c>
      <c r="B2091" s="3" t="n">
        <v>9</v>
      </c>
      <c r="C2091" s="3" t="n">
        <v>20</v>
      </c>
      <c r="D2091" s="3" t="s">
        <v>2095</v>
      </c>
      <c r="E2091" s="4" t="n">
        <v>9</v>
      </c>
    </row>
    <row r="2092" customFormat="false" ht="15" hidden="false" customHeight="false" outlineLevel="0" collapsed="false">
      <c r="A2092" s="3" t="n">
        <v>2017</v>
      </c>
      <c r="B2092" s="3" t="n">
        <v>9</v>
      </c>
      <c r="C2092" s="3" t="n">
        <v>21</v>
      </c>
      <c r="D2092" s="3" t="s">
        <v>2096</v>
      </c>
      <c r="E2092" s="4" t="n">
        <v>0</v>
      </c>
    </row>
    <row r="2093" customFormat="false" ht="15" hidden="false" customHeight="false" outlineLevel="0" collapsed="false">
      <c r="A2093" s="3" t="n">
        <v>2017</v>
      </c>
      <c r="B2093" s="3" t="n">
        <v>9</v>
      </c>
      <c r="C2093" s="3" t="n">
        <v>22</v>
      </c>
      <c r="D2093" s="3" t="s">
        <v>2097</v>
      </c>
      <c r="E2093" s="4" t="n">
        <v>0</v>
      </c>
    </row>
    <row r="2094" customFormat="false" ht="15" hidden="false" customHeight="false" outlineLevel="0" collapsed="false">
      <c r="A2094" s="3" t="n">
        <v>2017</v>
      </c>
      <c r="B2094" s="3" t="n">
        <v>9</v>
      </c>
      <c r="C2094" s="3" t="n">
        <v>23</v>
      </c>
      <c r="D2094" s="3" t="s">
        <v>2098</v>
      </c>
      <c r="E2094" s="4" t="n">
        <v>0</v>
      </c>
    </row>
    <row r="2095" customFormat="false" ht="15" hidden="false" customHeight="false" outlineLevel="0" collapsed="false">
      <c r="A2095" s="3" t="n">
        <v>2017</v>
      </c>
      <c r="B2095" s="3" t="n">
        <v>9</v>
      </c>
      <c r="C2095" s="3" t="n">
        <v>24</v>
      </c>
      <c r="D2095" s="3" t="s">
        <v>2099</v>
      </c>
      <c r="E2095" s="4" t="n">
        <v>0</v>
      </c>
    </row>
    <row r="2096" customFormat="false" ht="15" hidden="false" customHeight="false" outlineLevel="0" collapsed="false">
      <c r="A2096" s="3" t="n">
        <v>2017</v>
      </c>
      <c r="B2096" s="3" t="n">
        <v>9</v>
      </c>
      <c r="C2096" s="3" t="n">
        <v>25</v>
      </c>
      <c r="D2096" s="3" t="s">
        <v>2100</v>
      </c>
      <c r="E2096" s="4" t="n">
        <v>0</v>
      </c>
    </row>
    <row r="2097" customFormat="false" ht="15" hidden="false" customHeight="false" outlineLevel="0" collapsed="false">
      <c r="A2097" s="3" t="n">
        <v>2017</v>
      </c>
      <c r="B2097" s="3" t="n">
        <v>9</v>
      </c>
      <c r="C2097" s="3" t="n">
        <v>26</v>
      </c>
      <c r="D2097" s="3" t="s">
        <v>2101</v>
      </c>
      <c r="E2097" s="4" t="n">
        <v>0</v>
      </c>
    </row>
    <row r="2098" customFormat="false" ht="15" hidden="false" customHeight="false" outlineLevel="0" collapsed="false">
      <c r="A2098" s="3" t="n">
        <v>2017</v>
      </c>
      <c r="B2098" s="3" t="n">
        <v>9</v>
      </c>
      <c r="C2098" s="3" t="n">
        <v>27</v>
      </c>
      <c r="D2098" s="3" t="s">
        <v>2102</v>
      </c>
      <c r="E2098" s="4" t="n">
        <v>0</v>
      </c>
    </row>
    <row r="2099" customFormat="false" ht="15" hidden="false" customHeight="false" outlineLevel="0" collapsed="false">
      <c r="A2099" s="3" t="n">
        <v>2017</v>
      </c>
      <c r="B2099" s="3" t="n">
        <v>9</v>
      </c>
      <c r="C2099" s="3" t="n">
        <v>28</v>
      </c>
      <c r="D2099" s="3" t="s">
        <v>2103</v>
      </c>
      <c r="E2099" s="4" t="n">
        <v>0</v>
      </c>
    </row>
    <row r="2100" customFormat="false" ht="15" hidden="false" customHeight="false" outlineLevel="0" collapsed="false">
      <c r="A2100" s="3" t="n">
        <v>2017</v>
      </c>
      <c r="B2100" s="3" t="n">
        <v>9</v>
      </c>
      <c r="C2100" s="3" t="n">
        <v>29</v>
      </c>
      <c r="D2100" s="3" t="s">
        <v>2104</v>
      </c>
      <c r="E2100" s="4" t="n">
        <v>3</v>
      </c>
    </row>
    <row r="2101" customFormat="false" ht="15" hidden="false" customHeight="false" outlineLevel="0" collapsed="false">
      <c r="A2101" s="3" t="n">
        <v>2017</v>
      </c>
      <c r="B2101" s="3" t="n">
        <v>9</v>
      </c>
      <c r="C2101" s="3" t="n">
        <v>30</v>
      </c>
      <c r="D2101" s="3" t="s">
        <v>2105</v>
      </c>
      <c r="E2101" s="4" t="n">
        <v>0</v>
      </c>
    </row>
    <row r="2102" customFormat="false" ht="15" hidden="false" customHeight="false" outlineLevel="0" collapsed="false">
      <c r="A2102" s="3" t="n">
        <v>2017</v>
      </c>
      <c r="B2102" s="3" t="n">
        <v>10</v>
      </c>
      <c r="C2102" s="3" t="n">
        <v>1</v>
      </c>
      <c r="D2102" s="3" t="s">
        <v>2106</v>
      </c>
      <c r="E2102" s="4" t="n">
        <v>32</v>
      </c>
    </row>
    <row r="2103" customFormat="false" ht="15" hidden="false" customHeight="false" outlineLevel="0" collapsed="false">
      <c r="A2103" s="3" t="n">
        <v>2017</v>
      </c>
      <c r="B2103" s="3" t="n">
        <v>10</v>
      </c>
      <c r="C2103" s="3" t="n">
        <v>2</v>
      </c>
      <c r="D2103" s="3" t="s">
        <v>2107</v>
      </c>
      <c r="E2103" s="4" t="n">
        <v>3</v>
      </c>
    </row>
    <row r="2104" customFormat="false" ht="15" hidden="false" customHeight="false" outlineLevel="0" collapsed="false">
      <c r="A2104" s="3" t="n">
        <v>2017</v>
      </c>
      <c r="B2104" s="3" t="n">
        <v>10</v>
      </c>
      <c r="C2104" s="3" t="n">
        <v>3</v>
      </c>
      <c r="D2104" s="3" t="s">
        <v>2108</v>
      </c>
      <c r="E2104" s="4" t="n">
        <v>5</v>
      </c>
    </row>
    <row r="2105" customFormat="false" ht="15" hidden="false" customHeight="false" outlineLevel="0" collapsed="false">
      <c r="A2105" s="3" t="n">
        <v>2017</v>
      </c>
      <c r="B2105" s="3" t="n">
        <v>10</v>
      </c>
      <c r="C2105" s="3" t="n">
        <v>4</v>
      </c>
      <c r="D2105" s="3" t="s">
        <v>2109</v>
      </c>
      <c r="E2105" s="4" t="n">
        <v>16</v>
      </c>
    </row>
    <row r="2106" customFormat="false" ht="15" hidden="false" customHeight="false" outlineLevel="0" collapsed="false">
      <c r="A2106" s="3" t="n">
        <v>2017</v>
      </c>
      <c r="B2106" s="3" t="n">
        <v>10</v>
      </c>
      <c r="C2106" s="3" t="n">
        <v>5</v>
      </c>
      <c r="D2106" s="3" t="s">
        <v>2110</v>
      </c>
      <c r="E2106" s="4" t="n">
        <v>3</v>
      </c>
    </row>
    <row r="2107" customFormat="false" ht="15" hidden="false" customHeight="false" outlineLevel="0" collapsed="false">
      <c r="A2107" s="3" t="n">
        <v>2017</v>
      </c>
      <c r="B2107" s="3" t="n">
        <v>10</v>
      </c>
      <c r="C2107" s="3" t="n">
        <v>6</v>
      </c>
      <c r="D2107" s="3" t="s">
        <v>2111</v>
      </c>
      <c r="E2107" s="4" t="n">
        <v>0</v>
      </c>
    </row>
    <row r="2108" customFormat="false" ht="15" hidden="false" customHeight="false" outlineLevel="0" collapsed="false">
      <c r="A2108" s="3" t="n">
        <v>2017</v>
      </c>
      <c r="B2108" s="3" t="n">
        <v>10</v>
      </c>
      <c r="C2108" s="3" t="n">
        <v>7</v>
      </c>
      <c r="D2108" s="3" t="s">
        <v>2112</v>
      </c>
      <c r="E2108" s="4" t="n">
        <v>0</v>
      </c>
    </row>
    <row r="2109" customFormat="false" ht="15" hidden="false" customHeight="false" outlineLevel="0" collapsed="false">
      <c r="A2109" s="3" t="n">
        <v>2017</v>
      </c>
      <c r="B2109" s="3" t="n">
        <v>10</v>
      </c>
      <c r="C2109" s="3" t="n">
        <v>8</v>
      </c>
      <c r="D2109" s="3" t="s">
        <v>2113</v>
      </c>
      <c r="E2109" s="4" t="n">
        <v>0</v>
      </c>
    </row>
    <row r="2110" customFormat="false" ht="15" hidden="false" customHeight="false" outlineLevel="0" collapsed="false">
      <c r="A2110" s="3" t="n">
        <v>2017</v>
      </c>
      <c r="B2110" s="3" t="n">
        <v>10</v>
      </c>
      <c r="C2110" s="3" t="n">
        <v>9</v>
      </c>
      <c r="D2110" s="3" t="s">
        <v>2114</v>
      </c>
      <c r="E2110" s="4" t="n">
        <v>15</v>
      </c>
    </row>
    <row r="2111" customFormat="false" ht="15" hidden="false" customHeight="false" outlineLevel="0" collapsed="false">
      <c r="A2111" s="3" t="n">
        <v>2017</v>
      </c>
      <c r="B2111" s="3" t="n">
        <v>10</v>
      </c>
      <c r="C2111" s="3" t="n">
        <v>10</v>
      </c>
      <c r="D2111" s="3" t="s">
        <v>2115</v>
      </c>
      <c r="E2111" s="4" t="n">
        <v>6</v>
      </c>
    </row>
    <row r="2112" customFormat="false" ht="15" hidden="false" customHeight="false" outlineLevel="0" collapsed="false">
      <c r="A2112" s="3" t="n">
        <v>2017</v>
      </c>
      <c r="B2112" s="3" t="n">
        <v>10</v>
      </c>
      <c r="C2112" s="3" t="n">
        <v>11</v>
      </c>
      <c r="D2112" s="3" t="s">
        <v>2116</v>
      </c>
      <c r="E2112" s="4" t="n">
        <v>0</v>
      </c>
    </row>
    <row r="2113" customFormat="false" ht="15" hidden="false" customHeight="false" outlineLevel="0" collapsed="false">
      <c r="A2113" s="3" t="n">
        <v>2017</v>
      </c>
      <c r="B2113" s="3" t="n">
        <v>10</v>
      </c>
      <c r="C2113" s="3" t="n">
        <v>12</v>
      </c>
      <c r="D2113" s="3" t="s">
        <v>2117</v>
      </c>
      <c r="E2113" s="4" t="n">
        <v>12</v>
      </c>
    </row>
    <row r="2114" customFormat="false" ht="15" hidden="false" customHeight="false" outlineLevel="0" collapsed="false">
      <c r="A2114" s="3" t="n">
        <v>2017</v>
      </c>
      <c r="B2114" s="3" t="n">
        <v>10</v>
      </c>
      <c r="C2114" s="3" t="n">
        <v>13</v>
      </c>
      <c r="D2114" s="3" t="s">
        <v>2118</v>
      </c>
      <c r="E2114" s="4" t="n">
        <v>0</v>
      </c>
    </row>
    <row r="2115" customFormat="false" ht="15" hidden="false" customHeight="false" outlineLevel="0" collapsed="false">
      <c r="A2115" s="3" t="n">
        <v>2017</v>
      </c>
      <c r="B2115" s="3" t="n">
        <v>10</v>
      </c>
      <c r="C2115" s="3" t="n">
        <v>14</v>
      </c>
      <c r="D2115" s="3" t="s">
        <v>2119</v>
      </c>
      <c r="E2115" s="4" t="n">
        <v>1</v>
      </c>
    </row>
    <row r="2116" customFormat="false" ht="15" hidden="false" customHeight="false" outlineLevel="0" collapsed="false">
      <c r="A2116" s="3" t="n">
        <v>2017</v>
      </c>
      <c r="B2116" s="3" t="n">
        <v>10</v>
      </c>
      <c r="C2116" s="3" t="n">
        <v>15</v>
      </c>
      <c r="D2116" s="3" t="s">
        <v>2120</v>
      </c>
      <c r="E2116" s="4" t="n">
        <v>0</v>
      </c>
    </row>
    <row r="2117" customFormat="false" ht="15" hidden="false" customHeight="false" outlineLevel="0" collapsed="false">
      <c r="A2117" s="3" t="n">
        <v>2017</v>
      </c>
      <c r="B2117" s="3" t="n">
        <v>10</v>
      </c>
      <c r="C2117" s="3" t="n">
        <v>16</v>
      </c>
      <c r="D2117" s="3" t="s">
        <v>2121</v>
      </c>
      <c r="E2117" s="4" t="n">
        <v>0</v>
      </c>
    </row>
    <row r="2118" customFormat="false" ht="15" hidden="false" customHeight="false" outlineLevel="0" collapsed="false">
      <c r="A2118" s="3" t="n">
        <v>2017</v>
      </c>
      <c r="B2118" s="3" t="n">
        <v>10</v>
      </c>
      <c r="C2118" s="3" t="n">
        <v>17</v>
      </c>
      <c r="D2118" s="3" t="s">
        <v>2122</v>
      </c>
      <c r="E2118" s="4" t="n">
        <v>7</v>
      </c>
    </row>
    <row r="2119" customFormat="false" ht="15" hidden="false" customHeight="false" outlineLevel="0" collapsed="false">
      <c r="A2119" s="3" t="n">
        <v>2017</v>
      </c>
      <c r="B2119" s="3" t="n">
        <v>10</v>
      </c>
      <c r="C2119" s="3" t="n">
        <v>18</v>
      </c>
      <c r="D2119" s="3" t="s">
        <v>2123</v>
      </c>
      <c r="E2119" s="4" t="n">
        <v>0</v>
      </c>
    </row>
    <row r="2120" customFormat="false" ht="15" hidden="false" customHeight="false" outlineLevel="0" collapsed="false">
      <c r="A2120" s="3" t="n">
        <v>2017</v>
      </c>
      <c r="B2120" s="3" t="n">
        <v>10</v>
      </c>
      <c r="C2120" s="3" t="n">
        <v>19</v>
      </c>
      <c r="D2120" s="3" t="s">
        <v>2124</v>
      </c>
      <c r="E2120" s="4" t="n">
        <v>0</v>
      </c>
    </row>
    <row r="2121" customFormat="false" ht="15" hidden="false" customHeight="false" outlineLevel="0" collapsed="false">
      <c r="A2121" s="3" t="n">
        <v>2017</v>
      </c>
      <c r="B2121" s="3" t="n">
        <v>10</v>
      </c>
      <c r="C2121" s="3" t="n">
        <v>20</v>
      </c>
      <c r="D2121" s="3" t="s">
        <v>2125</v>
      </c>
      <c r="E2121" s="4" t="n">
        <v>0</v>
      </c>
    </row>
    <row r="2122" customFormat="false" ht="15" hidden="false" customHeight="false" outlineLevel="0" collapsed="false">
      <c r="A2122" s="3" t="n">
        <v>2017</v>
      </c>
      <c r="B2122" s="3" t="n">
        <v>10</v>
      </c>
      <c r="C2122" s="3" t="n">
        <v>21</v>
      </c>
      <c r="D2122" s="3" t="s">
        <v>2126</v>
      </c>
      <c r="E2122" s="4" t="n">
        <v>0</v>
      </c>
    </row>
    <row r="2123" customFormat="false" ht="15" hidden="false" customHeight="false" outlineLevel="0" collapsed="false">
      <c r="A2123" s="3" t="n">
        <v>2017</v>
      </c>
      <c r="B2123" s="3" t="n">
        <v>10</v>
      </c>
      <c r="C2123" s="3" t="n">
        <v>22</v>
      </c>
      <c r="D2123" s="3" t="s">
        <v>2127</v>
      </c>
      <c r="E2123" s="4" t="n">
        <v>0</v>
      </c>
    </row>
    <row r="2124" customFormat="false" ht="15" hidden="false" customHeight="false" outlineLevel="0" collapsed="false">
      <c r="A2124" s="3" t="n">
        <v>2017</v>
      </c>
      <c r="B2124" s="3" t="n">
        <v>10</v>
      </c>
      <c r="C2124" s="3" t="n">
        <v>23</v>
      </c>
      <c r="D2124" s="3" t="s">
        <v>2128</v>
      </c>
      <c r="E2124" s="4" t="n">
        <v>0</v>
      </c>
    </row>
    <row r="2125" customFormat="false" ht="15" hidden="false" customHeight="false" outlineLevel="0" collapsed="false">
      <c r="A2125" s="3" t="n">
        <v>2017</v>
      </c>
      <c r="B2125" s="3" t="n">
        <v>10</v>
      </c>
      <c r="C2125" s="3" t="n">
        <v>24</v>
      </c>
      <c r="D2125" s="3" t="s">
        <v>2129</v>
      </c>
      <c r="E2125" s="4" t="n">
        <v>0</v>
      </c>
    </row>
    <row r="2126" customFormat="false" ht="15" hidden="false" customHeight="false" outlineLevel="0" collapsed="false">
      <c r="A2126" s="3" t="n">
        <v>2017</v>
      </c>
      <c r="B2126" s="3" t="n">
        <v>10</v>
      </c>
      <c r="C2126" s="3" t="n">
        <v>25</v>
      </c>
      <c r="D2126" s="3" t="s">
        <v>2130</v>
      </c>
      <c r="E2126" s="4" t="n">
        <v>0</v>
      </c>
    </row>
    <row r="2127" customFormat="false" ht="15" hidden="false" customHeight="false" outlineLevel="0" collapsed="false">
      <c r="A2127" s="3" t="n">
        <v>2017</v>
      </c>
      <c r="B2127" s="3" t="n">
        <v>10</v>
      </c>
      <c r="C2127" s="3" t="n">
        <v>26</v>
      </c>
      <c r="D2127" s="3" t="s">
        <v>2131</v>
      </c>
      <c r="E2127" s="4" t="n">
        <v>0</v>
      </c>
    </row>
    <row r="2128" customFormat="false" ht="15" hidden="false" customHeight="false" outlineLevel="0" collapsed="false">
      <c r="A2128" s="3" t="n">
        <v>2017</v>
      </c>
      <c r="B2128" s="3" t="n">
        <v>10</v>
      </c>
      <c r="C2128" s="3" t="n">
        <v>27</v>
      </c>
      <c r="D2128" s="3" t="s">
        <v>2132</v>
      </c>
      <c r="E2128" s="4" t="n">
        <v>0</v>
      </c>
    </row>
    <row r="2129" customFormat="false" ht="15" hidden="false" customHeight="false" outlineLevel="0" collapsed="false">
      <c r="A2129" s="3" t="n">
        <v>2017</v>
      </c>
      <c r="B2129" s="3" t="n">
        <v>10</v>
      </c>
      <c r="C2129" s="3" t="n">
        <v>28</v>
      </c>
      <c r="D2129" s="3" t="s">
        <v>2133</v>
      </c>
      <c r="E2129" s="4" t="n">
        <v>3</v>
      </c>
    </row>
    <row r="2130" customFormat="false" ht="15" hidden="false" customHeight="false" outlineLevel="0" collapsed="false">
      <c r="A2130" s="3" t="n">
        <v>2017</v>
      </c>
      <c r="B2130" s="3" t="n">
        <v>10</v>
      </c>
      <c r="C2130" s="3" t="n">
        <v>29</v>
      </c>
      <c r="D2130" s="3" t="s">
        <v>2134</v>
      </c>
      <c r="E2130" s="4" t="n">
        <v>0</v>
      </c>
    </row>
    <row r="2131" customFormat="false" ht="15" hidden="false" customHeight="false" outlineLevel="0" collapsed="false">
      <c r="A2131" s="3" t="n">
        <v>2017</v>
      </c>
      <c r="B2131" s="3" t="n">
        <v>10</v>
      </c>
      <c r="C2131" s="3" t="n">
        <v>30</v>
      </c>
      <c r="D2131" s="3" t="s">
        <v>2135</v>
      </c>
      <c r="E2131" s="4" t="n">
        <v>4</v>
      </c>
    </row>
    <row r="2132" customFormat="false" ht="15" hidden="false" customHeight="false" outlineLevel="0" collapsed="false">
      <c r="A2132" s="3" t="n">
        <v>2017</v>
      </c>
      <c r="B2132" s="3" t="n">
        <v>10</v>
      </c>
      <c r="C2132" s="3" t="n">
        <v>31</v>
      </c>
      <c r="D2132" s="3" t="s">
        <v>2136</v>
      </c>
      <c r="E2132" s="4" t="n">
        <v>0</v>
      </c>
    </row>
    <row r="2133" customFormat="false" ht="15" hidden="false" customHeight="false" outlineLevel="0" collapsed="false">
      <c r="A2133" s="3" t="n">
        <v>2017</v>
      </c>
      <c r="B2133" s="3" t="n">
        <v>11</v>
      </c>
      <c r="C2133" s="3" t="n">
        <v>1</v>
      </c>
      <c r="D2133" s="3" t="s">
        <v>2137</v>
      </c>
      <c r="E2133" s="4" t="n">
        <v>12</v>
      </c>
    </row>
    <row r="2134" customFormat="false" ht="15" hidden="false" customHeight="false" outlineLevel="0" collapsed="false">
      <c r="A2134" s="3" t="n">
        <v>2017</v>
      </c>
      <c r="B2134" s="3" t="n">
        <v>11</v>
      </c>
      <c r="C2134" s="3" t="n">
        <v>2</v>
      </c>
      <c r="D2134" s="3" t="s">
        <v>2138</v>
      </c>
      <c r="E2134" s="4" t="n">
        <v>9</v>
      </c>
    </row>
    <row r="2135" customFormat="false" ht="15" hidden="false" customHeight="false" outlineLevel="0" collapsed="false">
      <c r="A2135" s="3" t="n">
        <v>2017</v>
      </c>
      <c r="B2135" s="3" t="n">
        <v>11</v>
      </c>
      <c r="C2135" s="3" t="n">
        <v>3</v>
      </c>
      <c r="D2135" s="3" t="s">
        <v>2139</v>
      </c>
      <c r="E2135" s="4" t="n">
        <v>1</v>
      </c>
    </row>
    <row r="2136" customFormat="false" ht="15" hidden="false" customHeight="false" outlineLevel="0" collapsed="false">
      <c r="A2136" s="3" t="n">
        <v>2017</v>
      </c>
      <c r="B2136" s="3" t="n">
        <v>11</v>
      </c>
      <c r="C2136" s="3" t="n">
        <v>4</v>
      </c>
      <c r="D2136" s="3" t="s">
        <v>2140</v>
      </c>
      <c r="E2136" s="4" t="n">
        <v>4</v>
      </c>
    </row>
    <row r="2137" customFormat="false" ht="15" hidden="false" customHeight="false" outlineLevel="0" collapsed="false">
      <c r="A2137" s="3" t="n">
        <v>2017</v>
      </c>
      <c r="B2137" s="3" t="n">
        <v>11</v>
      </c>
      <c r="C2137" s="3" t="n">
        <v>5</v>
      </c>
      <c r="D2137" s="3" t="s">
        <v>2141</v>
      </c>
      <c r="E2137" s="4" t="n">
        <v>12</v>
      </c>
    </row>
    <row r="2138" customFormat="false" ht="15" hidden="false" customHeight="false" outlineLevel="0" collapsed="false">
      <c r="A2138" s="3" t="n">
        <v>2017</v>
      </c>
      <c r="B2138" s="3" t="n">
        <v>11</v>
      </c>
      <c r="C2138" s="3" t="n">
        <v>6</v>
      </c>
      <c r="D2138" s="3" t="s">
        <v>2142</v>
      </c>
      <c r="E2138" s="4" t="n">
        <v>1</v>
      </c>
    </row>
    <row r="2139" customFormat="false" ht="15" hidden="false" customHeight="false" outlineLevel="0" collapsed="false">
      <c r="A2139" s="3" t="n">
        <v>2017</v>
      </c>
      <c r="B2139" s="3" t="n">
        <v>11</v>
      </c>
      <c r="C2139" s="3" t="n">
        <v>7</v>
      </c>
      <c r="D2139" s="3" t="s">
        <v>2143</v>
      </c>
      <c r="E2139" s="4" t="n">
        <v>1</v>
      </c>
    </row>
    <row r="2140" customFormat="false" ht="15" hidden="false" customHeight="false" outlineLevel="0" collapsed="false">
      <c r="A2140" s="3" t="n">
        <v>2017</v>
      </c>
      <c r="B2140" s="3" t="n">
        <v>11</v>
      </c>
      <c r="C2140" s="3" t="n">
        <v>8</v>
      </c>
      <c r="D2140" s="3" t="s">
        <v>2144</v>
      </c>
      <c r="E2140" s="4" t="n">
        <v>7</v>
      </c>
    </row>
    <row r="2141" customFormat="false" ht="15" hidden="false" customHeight="false" outlineLevel="0" collapsed="false">
      <c r="A2141" s="3" t="n">
        <v>2017</v>
      </c>
      <c r="B2141" s="3" t="n">
        <v>11</v>
      </c>
      <c r="C2141" s="3" t="n">
        <v>9</v>
      </c>
      <c r="D2141" s="3" t="s">
        <v>2145</v>
      </c>
      <c r="E2141" s="4" t="n">
        <v>19</v>
      </c>
    </row>
    <row r="2142" customFormat="false" ht="15" hidden="false" customHeight="false" outlineLevel="0" collapsed="false">
      <c r="A2142" s="3" t="n">
        <v>2017</v>
      </c>
      <c r="B2142" s="3" t="n">
        <v>11</v>
      </c>
      <c r="C2142" s="3" t="n">
        <v>10</v>
      </c>
      <c r="D2142" s="3" t="s">
        <v>2146</v>
      </c>
      <c r="E2142" s="4" t="n">
        <v>0</v>
      </c>
    </row>
    <row r="2143" customFormat="false" ht="15" hidden="false" customHeight="false" outlineLevel="0" collapsed="false">
      <c r="A2143" s="3" t="n">
        <v>2017</v>
      </c>
      <c r="B2143" s="3" t="n">
        <v>11</v>
      </c>
      <c r="C2143" s="3" t="n">
        <v>11</v>
      </c>
      <c r="D2143" s="3" t="s">
        <v>2147</v>
      </c>
      <c r="E2143" s="4" t="n">
        <v>2</v>
      </c>
    </row>
    <row r="2144" customFormat="false" ht="15" hidden="false" customHeight="false" outlineLevel="0" collapsed="false">
      <c r="A2144" s="3" t="n">
        <v>2017</v>
      </c>
      <c r="B2144" s="3" t="n">
        <v>11</v>
      </c>
      <c r="C2144" s="3" t="n">
        <v>12</v>
      </c>
      <c r="D2144" s="3" t="s">
        <v>2148</v>
      </c>
      <c r="E2144" s="4" t="n">
        <v>14</v>
      </c>
    </row>
    <row r="2145" customFormat="false" ht="15" hidden="false" customHeight="false" outlineLevel="0" collapsed="false">
      <c r="A2145" s="3" t="n">
        <v>2017</v>
      </c>
      <c r="B2145" s="3" t="n">
        <v>11</v>
      </c>
      <c r="C2145" s="3" t="n">
        <v>13</v>
      </c>
      <c r="D2145" s="3" t="s">
        <v>2149</v>
      </c>
      <c r="E2145" s="4" t="n">
        <v>2</v>
      </c>
    </row>
    <row r="2146" customFormat="false" ht="15" hidden="false" customHeight="false" outlineLevel="0" collapsed="false">
      <c r="A2146" s="3" t="n">
        <v>2017</v>
      </c>
      <c r="B2146" s="3" t="n">
        <v>11</v>
      </c>
      <c r="C2146" s="3" t="n">
        <v>14</v>
      </c>
      <c r="D2146" s="3" t="s">
        <v>2150</v>
      </c>
      <c r="E2146" s="4" t="n">
        <v>0</v>
      </c>
    </row>
    <row r="2147" customFormat="false" ht="15" hidden="false" customHeight="false" outlineLevel="0" collapsed="false">
      <c r="A2147" s="3" t="n">
        <v>2017</v>
      </c>
      <c r="B2147" s="3" t="n">
        <v>11</v>
      </c>
      <c r="C2147" s="3" t="n">
        <v>15</v>
      </c>
      <c r="D2147" s="3" t="s">
        <v>2151</v>
      </c>
      <c r="E2147" s="4" t="n">
        <v>34</v>
      </c>
    </row>
    <row r="2148" customFormat="false" ht="15" hidden="false" customHeight="false" outlineLevel="0" collapsed="false">
      <c r="A2148" s="3" t="n">
        <v>2017</v>
      </c>
      <c r="B2148" s="3" t="n">
        <v>11</v>
      </c>
      <c r="C2148" s="3" t="n">
        <v>16</v>
      </c>
      <c r="D2148" s="3" t="s">
        <v>2152</v>
      </c>
      <c r="E2148" s="4" t="n">
        <v>10</v>
      </c>
    </row>
    <row r="2149" customFormat="false" ht="15" hidden="false" customHeight="false" outlineLevel="0" collapsed="false">
      <c r="A2149" s="3" t="n">
        <v>2017</v>
      </c>
      <c r="B2149" s="3" t="n">
        <v>11</v>
      </c>
      <c r="C2149" s="3" t="n">
        <v>17</v>
      </c>
      <c r="D2149" s="3" t="s">
        <v>2153</v>
      </c>
      <c r="E2149" s="4" t="n">
        <v>0</v>
      </c>
    </row>
    <row r="2150" customFormat="false" ht="15" hidden="false" customHeight="false" outlineLevel="0" collapsed="false">
      <c r="A2150" s="3" t="n">
        <v>2017</v>
      </c>
      <c r="B2150" s="3" t="n">
        <v>11</v>
      </c>
      <c r="C2150" s="3" t="n">
        <v>18</v>
      </c>
      <c r="D2150" s="3" t="s">
        <v>2154</v>
      </c>
      <c r="E2150" s="4" t="n">
        <v>0</v>
      </c>
    </row>
    <row r="2151" customFormat="false" ht="15" hidden="false" customHeight="false" outlineLevel="0" collapsed="false">
      <c r="A2151" s="3" t="n">
        <v>2017</v>
      </c>
      <c r="B2151" s="3" t="n">
        <v>11</v>
      </c>
      <c r="C2151" s="3" t="n">
        <v>19</v>
      </c>
      <c r="D2151" s="3" t="s">
        <v>2155</v>
      </c>
      <c r="E2151" s="4"/>
    </row>
    <row r="2152" customFormat="false" ht="15" hidden="false" customHeight="false" outlineLevel="0" collapsed="false">
      <c r="A2152" s="3" t="n">
        <v>2017</v>
      </c>
      <c r="B2152" s="3" t="n">
        <v>11</v>
      </c>
      <c r="C2152" s="3" t="n">
        <v>20</v>
      </c>
      <c r="D2152" s="3" t="s">
        <v>2156</v>
      </c>
      <c r="E2152" s="4" t="n">
        <v>0</v>
      </c>
    </row>
    <row r="2153" customFormat="false" ht="15" hidden="false" customHeight="false" outlineLevel="0" collapsed="false">
      <c r="A2153" s="3" t="n">
        <v>2017</v>
      </c>
      <c r="B2153" s="3" t="n">
        <v>11</v>
      </c>
      <c r="C2153" s="3" t="n">
        <v>21</v>
      </c>
      <c r="D2153" s="3" t="s">
        <v>2157</v>
      </c>
      <c r="E2153" s="4" t="n">
        <v>14</v>
      </c>
    </row>
    <row r="2154" customFormat="false" ht="15" hidden="false" customHeight="false" outlineLevel="0" collapsed="false">
      <c r="A2154" s="3" t="n">
        <v>2017</v>
      </c>
      <c r="B2154" s="3" t="n">
        <v>11</v>
      </c>
      <c r="C2154" s="3" t="n">
        <v>22</v>
      </c>
      <c r="D2154" s="3" t="s">
        <v>2158</v>
      </c>
      <c r="E2154" s="4" t="n">
        <v>0</v>
      </c>
    </row>
    <row r="2155" customFormat="false" ht="15" hidden="false" customHeight="false" outlineLevel="0" collapsed="false">
      <c r="A2155" s="3" t="n">
        <v>2017</v>
      </c>
      <c r="B2155" s="3" t="n">
        <v>11</v>
      </c>
      <c r="C2155" s="3" t="n">
        <v>23</v>
      </c>
      <c r="D2155" s="3" t="s">
        <v>2159</v>
      </c>
      <c r="E2155" s="4" t="n">
        <v>0</v>
      </c>
    </row>
    <row r="2156" customFormat="false" ht="15" hidden="false" customHeight="false" outlineLevel="0" collapsed="false">
      <c r="A2156" s="3" t="n">
        <v>2017</v>
      </c>
      <c r="B2156" s="3" t="n">
        <v>11</v>
      </c>
      <c r="C2156" s="3" t="n">
        <v>24</v>
      </c>
      <c r="D2156" s="3" t="s">
        <v>2160</v>
      </c>
      <c r="E2156" s="4" t="n">
        <v>8</v>
      </c>
    </row>
    <row r="2157" customFormat="false" ht="15" hidden="false" customHeight="false" outlineLevel="0" collapsed="false">
      <c r="A2157" s="3" t="n">
        <v>2017</v>
      </c>
      <c r="B2157" s="3" t="n">
        <v>11</v>
      </c>
      <c r="C2157" s="3" t="n">
        <v>25</v>
      </c>
      <c r="D2157" s="3" t="s">
        <v>2161</v>
      </c>
      <c r="E2157" s="4" t="n">
        <v>15</v>
      </c>
    </row>
    <row r="2158" customFormat="false" ht="15" hidden="false" customHeight="false" outlineLevel="0" collapsed="false">
      <c r="A2158" s="3" t="n">
        <v>2017</v>
      </c>
      <c r="B2158" s="3" t="n">
        <v>11</v>
      </c>
      <c r="C2158" s="3" t="n">
        <v>26</v>
      </c>
      <c r="D2158" s="3" t="s">
        <v>2162</v>
      </c>
      <c r="E2158" s="4" t="n">
        <v>0</v>
      </c>
    </row>
    <row r="2159" customFormat="false" ht="15" hidden="false" customHeight="false" outlineLevel="0" collapsed="false">
      <c r="A2159" s="3" t="n">
        <v>2017</v>
      </c>
      <c r="B2159" s="3" t="n">
        <v>11</v>
      </c>
      <c r="C2159" s="3" t="n">
        <v>27</v>
      </c>
      <c r="D2159" s="3" t="s">
        <v>2163</v>
      </c>
      <c r="E2159" s="4" t="n">
        <v>8</v>
      </c>
    </row>
    <row r="2160" customFormat="false" ht="15" hidden="false" customHeight="false" outlineLevel="0" collapsed="false">
      <c r="A2160" s="3" t="n">
        <v>2017</v>
      </c>
      <c r="B2160" s="3" t="n">
        <v>11</v>
      </c>
      <c r="C2160" s="3" t="n">
        <v>28</v>
      </c>
      <c r="D2160" s="3" t="s">
        <v>2164</v>
      </c>
      <c r="E2160" s="4" t="n">
        <v>0</v>
      </c>
    </row>
    <row r="2161" customFormat="false" ht="15" hidden="false" customHeight="false" outlineLevel="0" collapsed="false">
      <c r="A2161" s="3" t="n">
        <v>2017</v>
      </c>
      <c r="B2161" s="3" t="n">
        <v>11</v>
      </c>
      <c r="C2161" s="3" t="n">
        <v>29</v>
      </c>
      <c r="D2161" s="3" t="s">
        <v>2165</v>
      </c>
      <c r="E2161" s="4" t="n">
        <v>0</v>
      </c>
    </row>
    <row r="2162" customFormat="false" ht="15" hidden="false" customHeight="false" outlineLevel="0" collapsed="false">
      <c r="A2162" s="3" t="n">
        <v>2017</v>
      </c>
      <c r="B2162" s="3" t="n">
        <v>11</v>
      </c>
      <c r="C2162" s="3" t="n">
        <v>30</v>
      </c>
      <c r="D2162" s="3" t="s">
        <v>2166</v>
      </c>
      <c r="E2162" s="4" t="n">
        <v>11</v>
      </c>
    </row>
    <row r="2163" customFormat="false" ht="15" hidden="false" customHeight="false" outlineLevel="0" collapsed="false">
      <c r="A2163" s="3" t="n">
        <v>2017</v>
      </c>
      <c r="B2163" s="3" t="n">
        <v>12</v>
      </c>
      <c r="C2163" s="3" t="n">
        <v>1</v>
      </c>
      <c r="D2163" s="3" t="s">
        <v>2167</v>
      </c>
      <c r="E2163" s="4" t="n">
        <v>8</v>
      </c>
    </row>
    <row r="2164" customFormat="false" ht="15" hidden="false" customHeight="false" outlineLevel="0" collapsed="false">
      <c r="A2164" s="3" t="n">
        <v>2017</v>
      </c>
      <c r="B2164" s="3" t="n">
        <v>12</v>
      </c>
      <c r="C2164" s="3" t="n">
        <v>2</v>
      </c>
      <c r="D2164" s="3" t="s">
        <v>2168</v>
      </c>
      <c r="E2164" s="4" t="n">
        <v>0</v>
      </c>
    </row>
    <row r="2165" customFormat="false" ht="15" hidden="false" customHeight="false" outlineLevel="0" collapsed="false">
      <c r="A2165" s="3" t="n">
        <v>2017</v>
      </c>
      <c r="B2165" s="3" t="n">
        <v>12</v>
      </c>
      <c r="C2165" s="3" t="n">
        <v>3</v>
      </c>
      <c r="D2165" s="3" t="s">
        <v>2169</v>
      </c>
      <c r="E2165" s="4" t="n">
        <v>0</v>
      </c>
    </row>
    <row r="2166" customFormat="false" ht="15" hidden="false" customHeight="false" outlineLevel="0" collapsed="false">
      <c r="A2166" s="3" t="n">
        <v>2017</v>
      </c>
      <c r="B2166" s="3" t="n">
        <v>12</v>
      </c>
      <c r="C2166" s="3" t="n">
        <v>4</v>
      </c>
      <c r="D2166" s="3" t="s">
        <v>2170</v>
      </c>
      <c r="E2166" s="4" t="n">
        <v>0</v>
      </c>
    </row>
    <row r="2167" customFormat="false" ht="15" hidden="false" customHeight="false" outlineLevel="0" collapsed="false">
      <c r="A2167" s="3" t="n">
        <v>2017</v>
      </c>
      <c r="B2167" s="3" t="n">
        <v>12</v>
      </c>
      <c r="C2167" s="3" t="n">
        <v>5</v>
      </c>
      <c r="D2167" s="3" t="s">
        <v>2171</v>
      </c>
      <c r="E2167" s="4" t="n">
        <v>0</v>
      </c>
    </row>
    <row r="2168" customFormat="false" ht="15" hidden="false" customHeight="false" outlineLevel="0" collapsed="false">
      <c r="A2168" s="3" t="n">
        <v>2017</v>
      </c>
      <c r="B2168" s="3" t="n">
        <v>12</v>
      </c>
      <c r="C2168" s="3" t="n">
        <v>6</v>
      </c>
      <c r="D2168" s="3" t="s">
        <v>2172</v>
      </c>
      <c r="E2168" s="4" t="n">
        <v>5</v>
      </c>
    </row>
    <row r="2169" customFormat="false" ht="15" hidden="false" customHeight="false" outlineLevel="0" collapsed="false">
      <c r="A2169" s="3" t="n">
        <v>2017</v>
      </c>
      <c r="B2169" s="3" t="n">
        <v>12</v>
      </c>
      <c r="C2169" s="3" t="n">
        <v>7</v>
      </c>
      <c r="D2169" s="3" t="s">
        <v>2173</v>
      </c>
      <c r="E2169" s="4" t="n">
        <v>15</v>
      </c>
    </row>
    <row r="2170" customFormat="false" ht="15" hidden="false" customHeight="false" outlineLevel="0" collapsed="false">
      <c r="A2170" s="3" t="n">
        <v>2017</v>
      </c>
      <c r="B2170" s="3" t="n">
        <v>12</v>
      </c>
      <c r="C2170" s="3" t="n">
        <v>8</v>
      </c>
      <c r="D2170" s="3" t="s">
        <v>2174</v>
      </c>
      <c r="E2170" s="4" t="n">
        <v>1</v>
      </c>
    </row>
    <row r="2171" customFormat="false" ht="15" hidden="false" customHeight="false" outlineLevel="0" collapsed="false">
      <c r="A2171" s="3" t="n">
        <v>2017</v>
      </c>
      <c r="B2171" s="3" t="n">
        <v>12</v>
      </c>
      <c r="C2171" s="3" t="n">
        <v>9</v>
      </c>
      <c r="D2171" s="3" t="s">
        <v>2175</v>
      </c>
      <c r="E2171" s="4" t="n">
        <v>44</v>
      </c>
    </row>
    <row r="2172" customFormat="false" ht="15" hidden="false" customHeight="false" outlineLevel="0" collapsed="false">
      <c r="A2172" s="3" t="n">
        <v>2017</v>
      </c>
      <c r="B2172" s="3" t="n">
        <v>12</v>
      </c>
      <c r="C2172" s="3" t="n">
        <v>10</v>
      </c>
      <c r="D2172" s="3" t="s">
        <v>2176</v>
      </c>
      <c r="E2172" s="4" t="n">
        <v>0</v>
      </c>
    </row>
    <row r="2173" customFormat="false" ht="15" hidden="false" customHeight="false" outlineLevel="0" collapsed="false">
      <c r="A2173" s="3" t="n">
        <v>2017</v>
      </c>
      <c r="B2173" s="3" t="n">
        <v>12</v>
      </c>
      <c r="C2173" s="3" t="n">
        <v>11</v>
      </c>
      <c r="D2173" s="3" t="s">
        <v>2177</v>
      </c>
      <c r="E2173" s="4" t="n">
        <v>1</v>
      </c>
    </row>
    <row r="2174" customFormat="false" ht="15" hidden="false" customHeight="false" outlineLevel="0" collapsed="false">
      <c r="A2174" s="3" t="n">
        <v>2017</v>
      </c>
      <c r="B2174" s="3" t="n">
        <v>12</v>
      </c>
      <c r="C2174" s="3" t="n">
        <v>12</v>
      </c>
      <c r="D2174" s="3" t="s">
        <v>2178</v>
      </c>
      <c r="E2174" s="4" t="n">
        <v>5</v>
      </c>
    </row>
    <row r="2175" customFormat="false" ht="15" hidden="false" customHeight="false" outlineLevel="0" collapsed="false">
      <c r="A2175" s="3" t="n">
        <v>2017</v>
      </c>
      <c r="B2175" s="3" t="n">
        <v>12</v>
      </c>
      <c r="C2175" s="3" t="n">
        <v>13</v>
      </c>
      <c r="D2175" s="3" t="s">
        <v>2179</v>
      </c>
      <c r="E2175" s="4" t="n">
        <v>2</v>
      </c>
    </row>
    <row r="2176" customFormat="false" ht="15" hidden="false" customHeight="false" outlineLevel="0" collapsed="false">
      <c r="A2176" s="3" t="n">
        <v>2017</v>
      </c>
      <c r="B2176" s="3" t="n">
        <v>12</v>
      </c>
      <c r="C2176" s="3" t="n">
        <v>14</v>
      </c>
      <c r="D2176" s="3" t="s">
        <v>2180</v>
      </c>
      <c r="E2176" s="4" t="n">
        <v>7</v>
      </c>
    </row>
    <row r="2177" customFormat="false" ht="15" hidden="false" customHeight="false" outlineLevel="0" collapsed="false">
      <c r="A2177" s="3" t="n">
        <v>2017</v>
      </c>
      <c r="B2177" s="3" t="n">
        <v>12</v>
      </c>
      <c r="C2177" s="3" t="n">
        <v>15</v>
      </c>
      <c r="D2177" s="3" t="s">
        <v>2181</v>
      </c>
      <c r="E2177" s="4" t="n">
        <v>0</v>
      </c>
    </row>
    <row r="2178" customFormat="false" ht="15" hidden="false" customHeight="false" outlineLevel="0" collapsed="false">
      <c r="A2178" s="3" t="n">
        <v>2017</v>
      </c>
      <c r="B2178" s="3" t="n">
        <v>12</v>
      </c>
      <c r="C2178" s="3" t="n">
        <v>16</v>
      </c>
      <c r="D2178" s="3" t="s">
        <v>2182</v>
      </c>
      <c r="E2178" s="4" t="n">
        <v>0</v>
      </c>
    </row>
    <row r="2179" customFormat="false" ht="15" hidden="false" customHeight="false" outlineLevel="0" collapsed="false">
      <c r="A2179" s="3" t="n">
        <v>2017</v>
      </c>
      <c r="B2179" s="3" t="n">
        <v>12</v>
      </c>
      <c r="C2179" s="3" t="n">
        <v>17</v>
      </c>
      <c r="D2179" s="3" t="s">
        <v>2183</v>
      </c>
      <c r="E2179" s="4" t="n">
        <v>2</v>
      </c>
    </row>
    <row r="2180" customFormat="false" ht="15" hidden="false" customHeight="false" outlineLevel="0" collapsed="false">
      <c r="A2180" s="3" t="n">
        <v>2017</v>
      </c>
      <c r="B2180" s="3" t="n">
        <v>12</v>
      </c>
      <c r="C2180" s="3" t="n">
        <v>18</v>
      </c>
      <c r="D2180" s="3" t="s">
        <v>2184</v>
      </c>
      <c r="E2180" s="4" t="n">
        <v>1</v>
      </c>
    </row>
    <row r="2181" customFormat="false" ht="15" hidden="false" customHeight="false" outlineLevel="0" collapsed="false">
      <c r="A2181" s="3" t="n">
        <v>2017</v>
      </c>
      <c r="B2181" s="3" t="n">
        <v>12</v>
      </c>
      <c r="C2181" s="3" t="n">
        <v>19</v>
      </c>
      <c r="D2181" s="3" t="s">
        <v>2185</v>
      </c>
      <c r="E2181" s="4" t="n">
        <v>0</v>
      </c>
    </row>
    <row r="2182" customFormat="false" ht="15" hidden="false" customHeight="false" outlineLevel="0" collapsed="false">
      <c r="A2182" s="3" t="n">
        <v>2017</v>
      </c>
      <c r="B2182" s="3" t="n">
        <v>12</v>
      </c>
      <c r="C2182" s="3" t="n">
        <v>20</v>
      </c>
      <c r="D2182" s="3" t="s">
        <v>2186</v>
      </c>
      <c r="E2182" s="4" t="n">
        <v>5</v>
      </c>
    </row>
    <row r="2183" customFormat="false" ht="15" hidden="false" customHeight="false" outlineLevel="0" collapsed="false">
      <c r="A2183" s="3" t="n">
        <v>2017</v>
      </c>
      <c r="B2183" s="3" t="n">
        <v>12</v>
      </c>
      <c r="C2183" s="3" t="n">
        <v>21</v>
      </c>
      <c r="D2183" s="3" t="s">
        <v>2187</v>
      </c>
      <c r="E2183" s="4" t="n">
        <v>0</v>
      </c>
    </row>
    <row r="2184" customFormat="false" ht="15" hidden="false" customHeight="false" outlineLevel="0" collapsed="false">
      <c r="A2184" s="3" t="n">
        <v>2017</v>
      </c>
      <c r="B2184" s="3" t="n">
        <v>12</v>
      </c>
      <c r="C2184" s="3" t="n">
        <v>22</v>
      </c>
      <c r="D2184" s="3" t="s">
        <v>2188</v>
      </c>
      <c r="E2184" s="4" t="n">
        <v>0</v>
      </c>
    </row>
    <row r="2185" customFormat="false" ht="15" hidden="false" customHeight="false" outlineLevel="0" collapsed="false">
      <c r="A2185" s="3" t="n">
        <v>2017</v>
      </c>
      <c r="B2185" s="3" t="n">
        <v>12</v>
      </c>
      <c r="C2185" s="3" t="n">
        <v>23</v>
      </c>
      <c r="D2185" s="3" t="s">
        <v>2189</v>
      </c>
      <c r="E2185" s="4" t="n">
        <v>0</v>
      </c>
    </row>
    <row r="2186" customFormat="false" ht="15" hidden="false" customHeight="false" outlineLevel="0" collapsed="false">
      <c r="A2186" s="3" t="n">
        <v>2017</v>
      </c>
      <c r="B2186" s="3" t="n">
        <v>12</v>
      </c>
      <c r="C2186" s="3" t="n">
        <v>24</v>
      </c>
      <c r="D2186" s="3" t="s">
        <v>2190</v>
      </c>
      <c r="E2186" s="4" t="n">
        <v>0</v>
      </c>
    </row>
    <row r="2187" customFormat="false" ht="15" hidden="false" customHeight="false" outlineLevel="0" collapsed="false">
      <c r="A2187" s="3" t="n">
        <v>2017</v>
      </c>
      <c r="B2187" s="3" t="n">
        <v>12</v>
      </c>
      <c r="C2187" s="3" t="n">
        <v>25</v>
      </c>
      <c r="D2187" s="3" t="s">
        <v>2191</v>
      </c>
      <c r="E2187" s="4" t="n">
        <v>15</v>
      </c>
    </row>
    <row r="2188" customFormat="false" ht="15" hidden="false" customHeight="false" outlineLevel="0" collapsed="false">
      <c r="A2188" s="3" t="n">
        <v>2017</v>
      </c>
      <c r="B2188" s="3" t="n">
        <v>12</v>
      </c>
      <c r="C2188" s="3" t="n">
        <v>26</v>
      </c>
      <c r="D2188" s="3" t="s">
        <v>2192</v>
      </c>
      <c r="E2188" s="4" t="n">
        <v>4</v>
      </c>
    </row>
    <row r="2189" customFormat="false" ht="15" hidden="false" customHeight="false" outlineLevel="0" collapsed="false">
      <c r="A2189" s="3" t="n">
        <v>2017</v>
      </c>
      <c r="B2189" s="3" t="n">
        <v>12</v>
      </c>
      <c r="C2189" s="3" t="n">
        <v>27</v>
      </c>
      <c r="D2189" s="3" t="s">
        <v>2193</v>
      </c>
      <c r="E2189" s="4" t="n">
        <v>0</v>
      </c>
    </row>
    <row r="2190" customFormat="false" ht="15" hidden="false" customHeight="false" outlineLevel="0" collapsed="false">
      <c r="A2190" s="3" t="n">
        <v>2017</v>
      </c>
      <c r="B2190" s="3" t="n">
        <v>12</v>
      </c>
      <c r="C2190" s="3" t="n">
        <v>28</v>
      </c>
      <c r="D2190" s="3" t="s">
        <v>2194</v>
      </c>
      <c r="E2190" s="4" t="n">
        <v>0</v>
      </c>
    </row>
    <row r="2191" customFormat="false" ht="15" hidden="false" customHeight="false" outlineLevel="0" collapsed="false">
      <c r="A2191" s="3" t="n">
        <v>2017</v>
      </c>
      <c r="B2191" s="3" t="n">
        <v>12</v>
      </c>
      <c r="C2191" s="3" t="n">
        <v>29</v>
      </c>
      <c r="D2191" s="3" t="s">
        <v>2195</v>
      </c>
      <c r="E2191" s="4" t="n">
        <v>0</v>
      </c>
    </row>
    <row r="2192" customFormat="false" ht="15" hidden="false" customHeight="false" outlineLevel="0" collapsed="false">
      <c r="A2192" s="3" t="n">
        <v>2017</v>
      </c>
      <c r="B2192" s="3" t="n">
        <v>12</v>
      </c>
      <c r="C2192" s="3" t="n">
        <v>30</v>
      </c>
      <c r="D2192" s="3" t="s">
        <v>2196</v>
      </c>
      <c r="E2192" s="4" t="n">
        <v>2</v>
      </c>
    </row>
    <row r="2193" customFormat="false" ht="15" hidden="false" customHeight="false" outlineLevel="0" collapsed="false">
      <c r="A2193" s="3" t="n">
        <v>2017</v>
      </c>
      <c r="B2193" s="3" t="n">
        <v>12</v>
      </c>
      <c r="C2193" s="3" t="n">
        <v>31</v>
      </c>
      <c r="D2193" s="3" t="s">
        <v>2197</v>
      </c>
      <c r="E2193" s="4" t="n">
        <v>3</v>
      </c>
    </row>
    <row r="2194" customFormat="false" ht="15" hidden="false" customHeight="false" outlineLevel="0" collapsed="false">
      <c r="A2194" s="3" t="n">
        <v>2018</v>
      </c>
      <c r="B2194" s="3" t="n">
        <v>1</v>
      </c>
      <c r="C2194" s="3" t="n">
        <v>1</v>
      </c>
      <c r="D2194" s="3" t="s">
        <v>2198</v>
      </c>
      <c r="E2194" s="4" t="n">
        <v>3</v>
      </c>
    </row>
    <row r="2195" customFormat="false" ht="15" hidden="false" customHeight="false" outlineLevel="0" collapsed="false">
      <c r="A2195" s="3" t="n">
        <v>2018</v>
      </c>
      <c r="B2195" s="3" t="n">
        <v>1</v>
      </c>
      <c r="C2195" s="3" t="n">
        <v>2</v>
      </c>
      <c r="D2195" s="3" t="s">
        <v>2199</v>
      </c>
      <c r="E2195" s="4" t="n">
        <v>1</v>
      </c>
    </row>
    <row r="2196" customFormat="false" ht="15" hidden="false" customHeight="false" outlineLevel="0" collapsed="false">
      <c r="A2196" s="3" t="n">
        <v>2018</v>
      </c>
      <c r="B2196" s="3" t="n">
        <v>1</v>
      </c>
      <c r="C2196" s="3" t="n">
        <v>3</v>
      </c>
      <c r="D2196" s="3" t="s">
        <v>2200</v>
      </c>
      <c r="E2196" s="4" t="n">
        <v>8</v>
      </c>
    </row>
    <row r="2197" customFormat="false" ht="15" hidden="false" customHeight="false" outlineLevel="0" collapsed="false">
      <c r="A2197" s="3" t="n">
        <v>2018</v>
      </c>
      <c r="B2197" s="3" t="n">
        <v>1</v>
      </c>
      <c r="C2197" s="3" t="n">
        <v>4</v>
      </c>
      <c r="D2197" s="3" t="s">
        <v>2201</v>
      </c>
      <c r="E2197" s="4" t="n">
        <v>3</v>
      </c>
    </row>
    <row r="2198" customFormat="false" ht="15" hidden="false" customHeight="false" outlineLevel="0" collapsed="false">
      <c r="A2198" s="3" t="n">
        <v>2018</v>
      </c>
      <c r="B2198" s="3" t="n">
        <v>1</v>
      </c>
      <c r="C2198" s="3" t="n">
        <v>5</v>
      </c>
      <c r="D2198" s="3" t="s">
        <v>2202</v>
      </c>
      <c r="E2198" s="4" t="n">
        <v>11</v>
      </c>
    </row>
    <row r="2199" customFormat="false" ht="15" hidden="false" customHeight="false" outlineLevel="0" collapsed="false">
      <c r="A2199" s="3" t="n">
        <v>2018</v>
      </c>
      <c r="B2199" s="3" t="n">
        <v>1</v>
      </c>
      <c r="C2199" s="3" t="n">
        <v>6</v>
      </c>
      <c r="D2199" s="3" t="s">
        <v>2203</v>
      </c>
      <c r="E2199" s="4" t="n">
        <v>0</v>
      </c>
    </row>
    <row r="2200" customFormat="false" ht="15" hidden="false" customHeight="false" outlineLevel="0" collapsed="false">
      <c r="A2200" s="3" t="n">
        <v>2018</v>
      </c>
      <c r="B2200" s="3" t="n">
        <v>1</v>
      </c>
      <c r="C2200" s="3" t="n">
        <v>7</v>
      </c>
      <c r="D2200" s="3" t="s">
        <v>2204</v>
      </c>
      <c r="E2200" s="4" t="n">
        <v>8</v>
      </c>
    </row>
    <row r="2201" customFormat="false" ht="15" hidden="false" customHeight="false" outlineLevel="0" collapsed="false">
      <c r="A2201" s="3" t="n">
        <v>2018</v>
      </c>
      <c r="B2201" s="3" t="n">
        <v>1</v>
      </c>
      <c r="C2201" s="3" t="n">
        <v>8</v>
      </c>
      <c r="D2201" s="3" t="s">
        <v>2205</v>
      </c>
      <c r="E2201" s="4" t="n">
        <v>0</v>
      </c>
    </row>
    <row r="2202" customFormat="false" ht="15" hidden="false" customHeight="false" outlineLevel="0" collapsed="false">
      <c r="A2202" s="3" t="n">
        <v>2018</v>
      </c>
      <c r="B2202" s="3" t="n">
        <v>1</v>
      </c>
      <c r="C2202" s="3" t="n">
        <v>9</v>
      </c>
      <c r="D2202" s="3" t="s">
        <v>2206</v>
      </c>
      <c r="E2202" s="4" t="n">
        <v>0</v>
      </c>
    </row>
    <row r="2203" customFormat="false" ht="15" hidden="false" customHeight="false" outlineLevel="0" collapsed="false">
      <c r="A2203" s="3" t="n">
        <v>2018</v>
      </c>
      <c r="B2203" s="3" t="n">
        <v>1</v>
      </c>
      <c r="C2203" s="3" t="n">
        <v>10</v>
      </c>
      <c r="D2203" s="3" t="s">
        <v>2207</v>
      </c>
      <c r="E2203" s="4" t="n">
        <v>1</v>
      </c>
    </row>
    <row r="2204" customFormat="false" ht="15" hidden="false" customHeight="false" outlineLevel="0" collapsed="false">
      <c r="A2204" s="3" t="n">
        <v>2018</v>
      </c>
      <c r="B2204" s="3" t="n">
        <v>1</v>
      </c>
      <c r="C2204" s="3" t="n">
        <v>11</v>
      </c>
      <c r="D2204" s="3" t="s">
        <v>2208</v>
      </c>
      <c r="E2204" s="4" t="n">
        <v>8</v>
      </c>
    </row>
    <row r="2205" customFormat="false" ht="15" hidden="false" customHeight="false" outlineLevel="0" collapsed="false">
      <c r="A2205" s="3" t="n">
        <v>2018</v>
      </c>
      <c r="B2205" s="3" t="n">
        <v>1</v>
      </c>
      <c r="C2205" s="3" t="n">
        <v>12</v>
      </c>
      <c r="D2205" s="3" t="s">
        <v>2209</v>
      </c>
      <c r="E2205" s="4" t="n">
        <v>60</v>
      </c>
    </row>
    <row r="2206" customFormat="false" ht="15" hidden="false" customHeight="false" outlineLevel="0" collapsed="false">
      <c r="A2206" s="3" t="n">
        <v>2018</v>
      </c>
      <c r="B2206" s="3" t="n">
        <v>1</v>
      </c>
      <c r="C2206" s="3" t="n">
        <v>13</v>
      </c>
      <c r="D2206" s="3" t="s">
        <v>2210</v>
      </c>
      <c r="E2206" s="4" t="n">
        <v>62</v>
      </c>
    </row>
    <row r="2207" customFormat="false" ht="15" hidden="false" customHeight="false" outlineLevel="0" collapsed="false">
      <c r="A2207" s="3" t="n">
        <v>2018</v>
      </c>
      <c r="B2207" s="3" t="n">
        <v>1</v>
      </c>
      <c r="C2207" s="3" t="n">
        <v>14</v>
      </c>
      <c r="D2207" s="3" t="s">
        <v>2211</v>
      </c>
      <c r="E2207" s="4" t="n">
        <v>39</v>
      </c>
    </row>
    <row r="2208" customFormat="false" ht="15" hidden="false" customHeight="false" outlineLevel="0" collapsed="false">
      <c r="A2208" s="3" t="n">
        <v>2018</v>
      </c>
      <c r="B2208" s="3" t="n">
        <v>1</v>
      </c>
      <c r="C2208" s="3" t="n">
        <v>15</v>
      </c>
      <c r="D2208" s="3" t="s">
        <v>2212</v>
      </c>
      <c r="E2208" s="4" t="n">
        <v>2</v>
      </c>
    </row>
    <row r="2209" customFormat="false" ht="15" hidden="false" customHeight="false" outlineLevel="0" collapsed="false">
      <c r="A2209" s="3" t="n">
        <v>2018</v>
      </c>
      <c r="B2209" s="3" t="n">
        <v>1</v>
      </c>
      <c r="C2209" s="3" t="n">
        <v>16</v>
      </c>
      <c r="D2209" s="3" t="s">
        <v>2213</v>
      </c>
      <c r="E2209" s="4" t="n">
        <v>1</v>
      </c>
    </row>
    <row r="2210" customFormat="false" ht="15" hidden="false" customHeight="false" outlineLevel="0" collapsed="false">
      <c r="A2210" s="3" t="n">
        <v>2018</v>
      </c>
      <c r="B2210" s="3" t="n">
        <v>1</v>
      </c>
      <c r="C2210" s="3" t="n">
        <v>17</v>
      </c>
      <c r="D2210" s="3" t="s">
        <v>2214</v>
      </c>
      <c r="E2210" s="4" t="n">
        <v>0</v>
      </c>
    </row>
    <row r="2211" customFormat="false" ht="15" hidden="false" customHeight="false" outlineLevel="0" collapsed="false">
      <c r="A2211" s="3" t="n">
        <v>2018</v>
      </c>
      <c r="B2211" s="3" t="n">
        <v>1</v>
      </c>
      <c r="C2211" s="3" t="n">
        <v>18</v>
      </c>
      <c r="D2211" s="3" t="s">
        <v>2215</v>
      </c>
      <c r="E2211" s="4" t="n">
        <v>0</v>
      </c>
    </row>
    <row r="2212" customFormat="false" ht="15" hidden="false" customHeight="false" outlineLevel="0" collapsed="false">
      <c r="A2212" s="3" t="n">
        <v>2018</v>
      </c>
      <c r="B2212" s="3" t="n">
        <v>1</v>
      </c>
      <c r="C2212" s="3" t="n">
        <v>19</v>
      </c>
      <c r="D2212" s="3" t="s">
        <v>2216</v>
      </c>
      <c r="E2212" s="4" t="n">
        <v>0</v>
      </c>
    </row>
    <row r="2213" customFormat="false" ht="15" hidden="false" customHeight="false" outlineLevel="0" collapsed="false">
      <c r="A2213" s="3" t="n">
        <v>2018</v>
      </c>
      <c r="B2213" s="3" t="n">
        <v>1</v>
      </c>
      <c r="C2213" s="3" t="n">
        <v>20</v>
      </c>
      <c r="D2213" s="3" t="s">
        <v>2217</v>
      </c>
      <c r="E2213" s="4" t="n">
        <v>1</v>
      </c>
    </row>
    <row r="2214" customFormat="false" ht="15" hidden="false" customHeight="false" outlineLevel="0" collapsed="false">
      <c r="A2214" s="3" t="n">
        <v>2018</v>
      </c>
      <c r="B2214" s="3" t="n">
        <v>1</v>
      </c>
      <c r="C2214" s="3" t="n">
        <v>21</v>
      </c>
      <c r="D2214" s="3" t="s">
        <v>2218</v>
      </c>
      <c r="E2214" s="4" t="n">
        <v>0</v>
      </c>
    </row>
    <row r="2215" customFormat="false" ht="15" hidden="false" customHeight="false" outlineLevel="0" collapsed="false">
      <c r="A2215" s="3" t="n">
        <v>2018</v>
      </c>
      <c r="B2215" s="3" t="n">
        <v>1</v>
      </c>
      <c r="C2215" s="3" t="n">
        <v>22</v>
      </c>
      <c r="D2215" s="3" t="s">
        <v>2219</v>
      </c>
      <c r="E2215" s="4" t="n">
        <v>0</v>
      </c>
    </row>
    <row r="2216" customFormat="false" ht="15" hidden="false" customHeight="false" outlineLevel="0" collapsed="false">
      <c r="A2216" s="3" t="n">
        <v>2018</v>
      </c>
      <c r="B2216" s="3" t="n">
        <v>1</v>
      </c>
      <c r="C2216" s="3" t="n">
        <v>23</v>
      </c>
      <c r="D2216" s="3" t="s">
        <v>2220</v>
      </c>
      <c r="E2216" s="4" t="n">
        <v>0</v>
      </c>
    </row>
    <row r="2217" customFormat="false" ht="15" hidden="false" customHeight="false" outlineLevel="0" collapsed="false">
      <c r="A2217" s="3" t="n">
        <v>2018</v>
      </c>
      <c r="B2217" s="3" t="n">
        <v>1</v>
      </c>
      <c r="C2217" s="3" t="n">
        <v>24</v>
      </c>
      <c r="D2217" s="3" t="s">
        <v>2221</v>
      </c>
      <c r="E2217" s="4" t="n">
        <v>0</v>
      </c>
    </row>
    <row r="2218" customFormat="false" ht="15" hidden="false" customHeight="false" outlineLevel="0" collapsed="false">
      <c r="A2218" s="3" t="n">
        <v>2018</v>
      </c>
      <c r="B2218" s="3" t="n">
        <v>1</v>
      </c>
      <c r="C2218" s="3" t="n">
        <v>25</v>
      </c>
      <c r="D2218" s="3" t="s">
        <v>2222</v>
      </c>
      <c r="E2218" s="4" t="n">
        <v>3</v>
      </c>
    </row>
    <row r="2219" customFormat="false" ht="15" hidden="false" customHeight="false" outlineLevel="0" collapsed="false">
      <c r="A2219" s="3" t="n">
        <v>2018</v>
      </c>
      <c r="B2219" s="3" t="n">
        <v>1</v>
      </c>
      <c r="C2219" s="3" t="n">
        <v>26</v>
      </c>
      <c r="D2219" s="3" t="s">
        <v>2223</v>
      </c>
      <c r="E2219" s="4" t="n">
        <v>5</v>
      </c>
    </row>
    <row r="2220" customFormat="false" ht="15" hidden="false" customHeight="false" outlineLevel="0" collapsed="false">
      <c r="A2220" s="3" t="n">
        <v>2018</v>
      </c>
      <c r="B2220" s="3" t="n">
        <v>1</v>
      </c>
      <c r="C2220" s="3" t="n">
        <v>27</v>
      </c>
      <c r="D2220" s="3" t="s">
        <v>2224</v>
      </c>
      <c r="E2220" s="4" t="n">
        <v>0</v>
      </c>
    </row>
    <row r="2221" customFormat="false" ht="15" hidden="false" customHeight="false" outlineLevel="0" collapsed="false">
      <c r="A2221" s="3" t="n">
        <v>2018</v>
      </c>
      <c r="B2221" s="3" t="n">
        <v>1</v>
      </c>
      <c r="C2221" s="3" t="n">
        <v>28</v>
      </c>
      <c r="D2221" s="3" t="s">
        <v>2225</v>
      </c>
      <c r="E2221" s="4" t="n">
        <v>0</v>
      </c>
    </row>
    <row r="2222" customFormat="false" ht="15" hidden="false" customHeight="false" outlineLevel="0" collapsed="false">
      <c r="A2222" s="3" t="n">
        <v>2018</v>
      </c>
      <c r="B2222" s="3" t="n">
        <v>1</v>
      </c>
      <c r="C2222" s="3" t="n">
        <v>29</v>
      </c>
      <c r="D2222" s="3" t="s">
        <v>2226</v>
      </c>
      <c r="E2222" s="4" t="n">
        <v>0</v>
      </c>
    </row>
    <row r="2223" customFormat="false" ht="15" hidden="false" customHeight="false" outlineLevel="0" collapsed="false">
      <c r="A2223" s="3" t="n">
        <v>2018</v>
      </c>
      <c r="B2223" s="3" t="n">
        <v>1</v>
      </c>
      <c r="C2223" s="3" t="n">
        <v>30</v>
      </c>
      <c r="D2223" s="3" t="s">
        <v>2227</v>
      </c>
      <c r="E2223" s="4" t="n">
        <v>4</v>
      </c>
    </row>
    <row r="2224" customFormat="false" ht="15" hidden="false" customHeight="false" outlineLevel="0" collapsed="false">
      <c r="A2224" s="3" t="n">
        <v>2018</v>
      </c>
      <c r="B2224" s="3" t="n">
        <v>1</v>
      </c>
      <c r="C2224" s="3" t="n">
        <v>31</v>
      </c>
      <c r="D2224" s="3" t="s">
        <v>2228</v>
      </c>
      <c r="E2224" s="4" t="n">
        <v>0</v>
      </c>
    </row>
    <row r="2225" customFormat="false" ht="15" hidden="false" customHeight="false" outlineLevel="0" collapsed="false">
      <c r="A2225" s="3" t="n">
        <v>2018</v>
      </c>
      <c r="B2225" s="3" t="n">
        <v>2</v>
      </c>
      <c r="C2225" s="3" t="n">
        <v>1</v>
      </c>
      <c r="D2225" s="3" t="s">
        <v>2229</v>
      </c>
      <c r="E2225" s="4" t="n">
        <v>0</v>
      </c>
    </row>
    <row r="2226" customFormat="false" ht="15" hidden="false" customHeight="false" outlineLevel="0" collapsed="false">
      <c r="A2226" s="3" t="n">
        <v>2018</v>
      </c>
      <c r="B2226" s="3" t="n">
        <v>2</v>
      </c>
      <c r="C2226" s="3" t="n">
        <v>2</v>
      </c>
      <c r="D2226" s="3" t="s">
        <v>2230</v>
      </c>
      <c r="E2226" s="4" t="n">
        <v>0</v>
      </c>
    </row>
    <row r="2227" customFormat="false" ht="15" hidden="false" customHeight="false" outlineLevel="0" collapsed="false">
      <c r="A2227" s="3" t="n">
        <v>2018</v>
      </c>
      <c r="B2227" s="3" t="n">
        <v>2</v>
      </c>
      <c r="C2227" s="3" t="n">
        <v>3</v>
      </c>
      <c r="D2227" s="3" t="s">
        <v>2231</v>
      </c>
      <c r="E2227" s="4" t="n">
        <v>11</v>
      </c>
    </row>
    <row r="2228" customFormat="false" ht="15" hidden="false" customHeight="false" outlineLevel="0" collapsed="false">
      <c r="A2228" s="3" t="n">
        <v>2018</v>
      </c>
      <c r="B2228" s="3" t="n">
        <v>2</v>
      </c>
      <c r="C2228" s="3" t="n">
        <v>4</v>
      </c>
      <c r="D2228" s="3" t="s">
        <v>2232</v>
      </c>
      <c r="E2228" s="4" t="n">
        <v>8</v>
      </c>
    </row>
    <row r="2229" customFormat="false" ht="15" hidden="false" customHeight="false" outlineLevel="0" collapsed="false">
      <c r="A2229" s="3" t="n">
        <v>2018</v>
      </c>
      <c r="B2229" s="3" t="n">
        <v>2</v>
      </c>
      <c r="C2229" s="3" t="n">
        <v>5</v>
      </c>
      <c r="D2229" s="3" t="s">
        <v>2233</v>
      </c>
      <c r="E2229" s="4" t="n">
        <v>8</v>
      </c>
    </row>
    <row r="2230" customFormat="false" ht="15" hidden="false" customHeight="false" outlineLevel="0" collapsed="false">
      <c r="A2230" s="3" t="n">
        <v>2018</v>
      </c>
      <c r="B2230" s="3" t="n">
        <v>2</v>
      </c>
      <c r="C2230" s="3" t="n">
        <v>6</v>
      </c>
      <c r="D2230" s="3" t="s">
        <v>2234</v>
      </c>
      <c r="E2230" s="4" t="n">
        <v>8</v>
      </c>
    </row>
    <row r="2231" customFormat="false" ht="15" hidden="false" customHeight="false" outlineLevel="0" collapsed="false">
      <c r="A2231" s="3" t="n">
        <v>2018</v>
      </c>
      <c r="B2231" s="3" t="n">
        <v>2</v>
      </c>
      <c r="C2231" s="3" t="n">
        <v>7</v>
      </c>
      <c r="D2231" s="3" t="s">
        <v>2235</v>
      </c>
      <c r="E2231" s="4" t="n">
        <v>1</v>
      </c>
    </row>
    <row r="2232" customFormat="false" ht="15" hidden="false" customHeight="false" outlineLevel="0" collapsed="false">
      <c r="A2232" s="3" t="n">
        <v>2018</v>
      </c>
      <c r="B2232" s="3" t="n">
        <v>2</v>
      </c>
      <c r="C2232" s="3" t="n">
        <v>8</v>
      </c>
      <c r="D2232" s="3" t="s">
        <v>2236</v>
      </c>
      <c r="E2232" s="4" t="n">
        <v>0</v>
      </c>
    </row>
    <row r="2233" customFormat="false" ht="15" hidden="false" customHeight="false" outlineLevel="0" collapsed="false">
      <c r="A2233" s="3" t="n">
        <v>2018</v>
      </c>
      <c r="B2233" s="3" t="n">
        <v>2</v>
      </c>
      <c r="C2233" s="3" t="n">
        <v>9</v>
      </c>
      <c r="D2233" s="3" t="s">
        <v>2237</v>
      </c>
      <c r="E2233" s="4" t="n">
        <v>0</v>
      </c>
    </row>
    <row r="2234" customFormat="false" ht="15" hidden="false" customHeight="false" outlineLevel="0" collapsed="false">
      <c r="A2234" s="3" t="n">
        <v>2018</v>
      </c>
      <c r="B2234" s="3" t="n">
        <v>2</v>
      </c>
      <c r="C2234" s="3" t="n">
        <v>10</v>
      </c>
      <c r="D2234" s="3" t="s">
        <v>2238</v>
      </c>
      <c r="E2234" s="4" t="n">
        <v>0</v>
      </c>
    </row>
    <row r="2235" customFormat="false" ht="15" hidden="false" customHeight="false" outlineLevel="0" collapsed="false">
      <c r="A2235" s="3" t="n">
        <v>2018</v>
      </c>
      <c r="B2235" s="3" t="n">
        <v>2</v>
      </c>
      <c r="C2235" s="3" t="n">
        <v>11</v>
      </c>
      <c r="D2235" s="3" t="s">
        <v>2239</v>
      </c>
      <c r="E2235" s="4" t="n">
        <v>0</v>
      </c>
    </row>
    <row r="2236" customFormat="false" ht="15" hidden="false" customHeight="false" outlineLevel="0" collapsed="false">
      <c r="A2236" s="3" t="n">
        <v>2018</v>
      </c>
      <c r="B2236" s="3" t="n">
        <v>2</v>
      </c>
      <c r="C2236" s="3" t="n">
        <v>12</v>
      </c>
      <c r="D2236" s="3" t="s">
        <v>2240</v>
      </c>
      <c r="E2236" s="4" t="n">
        <v>0</v>
      </c>
    </row>
    <row r="2237" customFormat="false" ht="15" hidden="false" customHeight="false" outlineLevel="0" collapsed="false">
      <c r="A2237" s="3" t="n">
        <v>2018</v>
      </c>
      <c r="B2237" s="3" t="n">
        <v>2</v>
      </c>
      <c r="C2237" s="3" t="n">
        <v>13</v>
      </c>
      <c r="D2237" s="3" t="s">
        <v>2241</v>
      </c>
      <c r="E2237" s="4" t="n">
        <v>0</v>
      </c>
    </row>
    <row r="2238" customFormat="false" ht="15" hidden="false" customHeight="false" outlineLevel="0" collapsed="false">
      <c r="A2238" s="3" t="n">
        <v>2018</v>
      </c>
      <c r="B2238" s="3" t="n">
        <v>2</v>
      </c>
      <c r="C2238" s="3" t="n">
        <v>14</v>
      </c>
      <c r="D2238" s="3" t="s">
        <v>2242</v>
      </c>
      <c r="E2238" s="4" t="n">
        <v>0</v>
      </c>
    </row>
    <row r="2239" customFormat="false" ht="15" hidden="false" customHeight="false" outlineLevel="0" collapsed="false">
      <c r="A2239" s="3" t="n">
        <v>2018</v>
      </c>
      <c r="B2239" s="3" t="n">
        <v>2</v>
      </c>
      <c r="C2239" s="3" t="n">
        <v>15</v>
      </c>
      <c r="D2239" s="3" t="s">
        <v>2243</v>
      </c>
      <c r="E2239" s="4" t="n">
        <v>0</v>
      </c>
    </row>
    <row r="2240" customFormat="false" ht="15" hidden="false" customHeight="false" outlineLevel="0" collapsed="false">
      <c r="A2240" s="3" t="n">
        <v>2018</v>
      </c>
      <c r="B2240" s="3" t="n">
        <v>2</v>
      </c>
      <c r="C2240" s="3" t="n">
        <v>16</v>
      </c>
      <c r="D2240" s="3" t="s">
        <v>2244</v>
      </c>
      <c r="E2240" s="4" t="n">
        <v>0</v>
      </c>
    </row>
    <row r="2241" customFormat="false" ht="15" hidden="false" customHeight="false" outlineLevel="0" collapsed="false">
      <c r="A2241" s="3" t="n">
        <v>2018</v>
      </c>
      <c r="B2241" s="3" t="n">
        <v>2</v>
      </c>
      <c r="C2241" s="3" t="n">
        <v>17</v>
      </c>
      <c r="D2241" s="3" t="s">
        <v>2245</v>
      </c>
      <c r="E2241" s="4" t="n">
        <v>0</v>
      </c>
    </row>
    <row r="2242" customFormat="false" ht="15" hidden="false" customHeight="false" outlineLevel="0" collapsed="false">
      <c r="A2242" s="3" t="n">
        <v>2018</v>
      </c>
      <c r="B2242" s="3" t="n">
        <v>2</v>
      </c>
      <c r="C2242" s="3" t="n">
        <v>18</v>
      </c>
      <c r="D2242" s="3" t="s">
        <v>2246</v>
      </c>
      <c r="E2242" s="4" t="n">
        <v>0</v>
      </c>
    </row>
    <row r="2243" customFormat="false" ht="15" hidden="false" customHeight="false" outlineLevel="0" collapsed="false">
      <c r="A2243" s="3" t="n">
        <v>2018</v>
      </c>
      <c r="B2243" s="3" t="n">
        <v>2</v>
      </c>
      <c r="C2243" s="3" t="n">
        <v>19</v>
      </c>
      <c r="D2243" s="3" t="s">
        <v>2247</v>
      </c>
      <c r="E2243" s="4" t="n">
        <v>0</v>
      </c>
    </row>
    <row r="2244" customFormat="false" ht="15" hidden="false" customHeight="false" outlineLevel="0" collapsed="false">
      <c r="A2244" s="3" t="n">
        <v>2018</v>
      </c>
      <c r="B2244" s="3" t="n">
        <v>2</v>
      </c>
      <c r="C2244" s="3" t="n">
        <v>20</v>
      </c>
      <c r="D2244" s="3" t="s">
        <v>2248</v>
      </c>
      <c r="E2244" s="4" t="n">
        <v>0</v>
      </c>
    </row>
    <row r="2245" customFormat="false" ht="15" hidden="false" customHeight="false" outlineLevel="0" collapsed="false">
      <c r="A2245" s="3" t="n">
        <v>2018</v>
      </c>
      <c r="B2245" s="3" t="n">
        <v>2</v>
      </c>
      <c r="C2245" s="3" t="n">
        <v>21</v>
      </c>
      <c r="D2245" s="3" t="s">
        <v>2249</v>
      </c>
      <c r="E2245" s="4" t="n">
        <v>0</v>
      </c>
    </row>
    <row r="2246" customFormat="false" ht="15" hidden="false" customHeight="false" outlineLevel="0" collapsed="false">
      <c r="A2246" s="3" t="n">
        <v>2018</v>
      </c>
      <c r="B2246" s="3" t="n">
        <v>2</v>
      </c>
      <c r="C2246" s="3" t="n">
        <v>22</v>
      </c>
      <c r="D2246" s="3" t="s">
        <v>2250</v>
      </c>
      <c r="E2246" s="4" t="n">
        <v>0</v>
      </c>
    </row>
    <row r="2247" customFormat="false" ht="15" hidden="false" customHeight="false" outlineLevel="0" collapsed="false">
      <c r="A2247" s="3" t="n">
        <v>2018</v>
      </c>
      <c r="B2247" s="3" t="n">
        <v>2</v>
      </c>
      <c r="C2247" s="3" t="n">
        <v>23</v>
      </c>
      <c r="D2247" s="3" t="s">
        <v>2251</v>
      </c>
      <c r="E2247" s="4" t="n">
        <v>15</v>
      </c>
    </row>
    <row r="2248" customFormat="false" ht="15" hidden="false" customHeight="false" outlineLevel="0" collapsed="false">
      <c r="A2248" s="3" t="n">
        <v>2018</v>
      </c>
      <c r="B2248" s="3" t="n">
        <v>2</v>
      </c>
      <c r="C2248" s="3" t="n">
        <v>24</v>
      </c>
      <c r="D2248" s="3" t="s">
        <v>2252</v>
      </c>
      <c r="E2248" s="4" t="n">
        <v>16</v>
      </c>
    </row>
    <row r="2249" customFormat="false" ht="15" hidden="false" customHeight="false" outlineLevel="0" collapsed="false">
      <c r="A2249" s="3" t="n">
        <v>2018</v>
      </c>
      <c r="B2249" s="3" t="n">
        <v>2</v>
      </c>
      <c r="C2249" s="3" t="n">
        <v>25</v>
      </c>
      <c r="D2249" s="3" t="s">
        <v>2253</v>
      </c>
      <c r="E2249" s="4" t="n">
        <v>3</v>
      </c>
    </row>
    <row r="2250" customFormat="false" ht="15" hidden="false" customHeight="false" outlineLevel="0" collapsed="false">
      <c r="A2250" s="3" t="n">
        <v>2018</v>
      </c>
      <c r="B2250" s="3" t="n">
        <v>2</v>
      </c>
      <c r="C2250" s="3" t="n">
        <v>26</v>
      </c>
      <c r="D2250" s="3" t="s">
        <v>2254</v>
      </c>
      <c r="E2250" s="4" t="n">
        <v>7</v>
      </c>
    </row>
    <row r="2251" customFormat="false" ht="15" hidden="false" customHeight="false" outlineLevel="0" collapsed="false">
      <c r="A2251" s="3" t="n">
        <v>2018</v>
      </c>
      <c r="B2251" s="3" t="n">
        <v>2</v>
      </c>
      <c r="C2251" s="3" t="n">
        <v>27</v>
      </c>
      <c r="D2251" s="3" t="s">
        <v>2255</v>
      </c>
      <c r="E2251" s="4" t="n">
        <v>0</v>
      </c>
    </row>
    <row r="2252" customFormat="false" ht="15" hidden="false" customHeight="false" outlineLevel="0" collapsed="false">
      <c r="A2252" s="3" t="n">
        <v>2018</v>
      </c>
      <c r="B2252" s="3" t="n">
        <v>2</v>
      </c>
      <c r="C2252" s="3" t="n">
        <v>28</v>
      </c>
      <c r="D2252" s="3" t="s">
        <v>2256</v>
      </c>
      <c r="E2252" s="4" t="n">
        <v>16</v>
      </c>
    </row>
    <row r="2253" customFormat="false" ht="15" hidden="false" customHeight="false" outlineLevel="0" collapsed="false">
      <c r="A2253" s="3" t="n">
        <v>2018</v>
      </c>
      <c r="B2253" s="3" t="n">
        <v>3</v>
      </c>
      <c r="C2253" s="3" t="n">
        <v>1</v>
      </c>
      <c r="D2253" s="3" t="s">
        <v>2257</v>
      </c>
      <c r="E2253" s="4" t="n">
        <v>0</v>
      </c>
    </row>
    <row r="2254" customFormat="false" ht="15" hidden="false" customHeight="false" outlineLevel="0" collapsed="false">
      <c r="A2254" s="3" t="n">
        <v>2018</v>
      </c>
      <c r="B2254" s="3" t="n">
        <v>3</v>
      </c>
      <c r="C2254" s="3" t="n">
        <v>2</v>
      </c>
      <c r="D2254" s="3" t="s">
        <v>2258</v>
      </c>
      <c r="E2254" s="4" t="n">
        <v>7</v>
      </c>
    </row>
    <row r="2255" customFormat="false" ht="15" hidden="false" customHeight="false" outlineLevel="0" collapsed="false">
      <c r="A2255" s="3" t="n">
        <v>2018</v>
      </c>
      <c r="B2255" s="3" t="n">
        <v>3</v>
      </c>
      <c r="C2255" s="3" t="n">
        <v>3</v>
      </c>
      <c r="D2255" s="3" t="s">
        <v>2259</v>
      </c>
      <c r="E2255" s="4" t="n">
        <v>0</v>
      </c>
    </row>
    <row r="2256" customFormat="false" ht="15" hidden="false" customHeight="false" outlineLevel="0" collapsed="false">
      <c r="A2256" s="3" t="n">
        <v>2018</v>
      </c>
      <c r="B2256" s="3" t="n">
        <v>3</v>
      </c>
      <c r="C2256" s="3" t="n">
        <v>4</v>
      </c>
      <c r="D2256" s="3" t="s">
        <v>2260</v>
      </c>
      <c r="E2256" s="4" t="n">
        <v>0</v>
      </c>
    </row>
    <row r="2257" customFormat="false" ht="15" hidden="false" customHeight="false" outlineLevel="0" collapsed="false">
      <c r="A2257" s="3" t="n">
        <v>2018</v>
      </c>
      <c r="B2257" s="3" t="n">
        <v>3</v>
      </c>
      <c r="C2257" s="3" t="n">
        <v>5</v>
      </c>
      <c r="D2257" s="3" t="s">
        <v>2261</v>
      </c>
      <c r="E2257" s="4" t="n">
        <v>0</v>
      </c>
    </row>
    <row r="2258" customFormat="false" ht="15" hidden="false" customHeight="false" outlineLevel="0" collapsed="false">
      <c r="A2258" s="3" t="n">
        <v>2018</v>
      </c>
      <c r="B2258" s="3" t="n">
        <v>3</v>
      </c>
      <c r="C2258" s="3" t="n">
        <v>6</v>
      </c>
      <c r="D2258" s="3" t="s">
        <v>2262</v>
      </c>
      <c r="E2258" s="4" t="n">
        <v>0</v>
      </c>
    </row>
    <row r="2259" customFormat="false" ht="15" hidden="false" customHeight="false" outlineLevel="0" collapsed="false">
      <c r="A2259" s="3" t="n">
        <v>2018</v>
      </c>
      <c r="B2259" s="3" t="n">
        <v>3</v>
      </c>
      <c r="C2259" s="3" t="n">
        <v>7</v>
      </c>
      <c r="D2259" s="3" t="s">
        <v>2263</v>
      </c>
      <c r="E2259" s="4" t="n">
        <v>33</v>
      </c>
    </row>
    <row r="2260" customFormat="false" ht="15" hidden="false" customHeight="false" outlineLevel="0" collapsed="false">
      <c r="A2260" s="3" t="n">
        <v>2018</v>
      </c>
      <c r="B2260" s="3" t="n">
        <v>3</v>
      </c>
      <c r="C2260" s="3" t="n">
        <v>8</v>
      </c>
      <c r="D2260" s="3" t="s">
        <v>2264</v>
      </c>
      <c r="E2260" s="4" t="n">
        <v>14</v>
      </c>
    </row>
    <row r="2261" customFormat="false" ht="15" hidden="false" customHeight="false" outlineLevel="0" collapsed="false">
      <c r="A2261" s="3" t="n">
        <v>2018</v>
      </c>
      <c r="B2261" s="3" t="n">
        <v>3</v>
      </c>
      <c r="C2261" s="3" t="n">
        <v>9</v>
      </c>
      <c r="D2261" s="3" t="s">
        <v>2265</v>
      </c>
      <c r="E2261" s="4" t="n">
        <v>1</v>
      </c>
    </row>
    <row r="2262" customFormat="false" ht="15" hidden="false" customHeight="false" outlineLevel="0" collapsed="false">
      <c r="A2262" s="3" t="n">
        <v>2018</v>
      </c>
      <c r="B2262" s="3" t="n">
        <v>3</v>
      </c>
      <c r="C2262" s="3" t="n">
        <v>10</v>
      </c>
      <c r="D2262" s="3" t="s">
        <v>2266</v>
      </c>
      <c r="E2262" s="4" t="n">
        <v>5</v>
      </c>
    </row>
    <row r="2263" customFormat="false" ht="15" hidden="false" customHeight="false" outlineLevel="0" collapsed="false">
      <c r="A2263" s="3" t="n">
        <v>2018</v>
      </c>
      <c r="B2263" s="3" t="n">
        <v>3</v>
      </c>
      <c r="C2263" s="3" t="n">
        <v>11</v>
      </c>
      <c r="D2263" s="3" t="s">
        <v>2267</v>
      </c>
      <c r="E2263" s="4" t="n">
        <v>21</v>
      </c>
    </row>
    <row r="2264" customFormat="false" ht="15" hidden="false" customHeight="false" outlineLevel="0" collapsed="false">
      <c r="A2264" s="3" t="n">
        <v>2018</v>
      </c>
      <c r="B2264" s="3" t="n">
        <v>3</v>
      </c>
      <c r="C2264" s="3" t="n">
        <v>12</v>
      </c>
      <c r="D2264" s="3" t="s">
        <v>2268</v>
      </c>
      <c r="E2264" s="4" t="n">
        <v>28</v>
      </c>
    </row>
    <row r="2265" customFormat="false" ht="15" hidden="false" customHeight="false" outlineLevel="0" collapsed="false">
      <c r="A2265" s="3" t="n">
        <v>2018</v>
      </c>
      <c r="B2265" s="3" t="n">
        <v>3</v>
      </c>
      <c r="C2265" s="3" t="n">
        <v>13</v>
      </c>
      <c r="D2265" s="3" t="s">
        <v>2269</v>
      </c>
      <c r="E2265" s="4" t="n">
        <v>0</v>
      </c>
    </row>
    <row r="2266" customFormat="false" ht="15" hidden="false" customHeight="false" outlineLevel="0" collapsed="false">
      <c r="A2266" s="3" t="n">
        <v>2018</v>
      </c>
      <c r="B2266" s="3" t="n">
        <v>3</v>
      </c>
      <c r="C2266" s="3" t="n">
        <v>14</v>
      </c>
      <c r="D2266" s="3" t="s">
        <v>2270</v>
      </c>
      <c r="E2266" s="4" t="n">
        <v>0</v>
      </c>
    </row>
    <row r="2267" customFormat="false" ht="15" hidden="false" customHeight="false" outlineLevel="0" collapsed="false">
      <c r="A2267" s="3" t="n">
        <v>2018</v>
      </c>
      <c r="B2267" s="3" t="n">
        <v>3</v>
      </c>
      <c r="C2267" s="3" t="n">
        <v>15</v>
      </c>
      <c r="D2267" s="3" t="s">
        <v>2271</v>
      </c>
      <c r="E2267" s="4" t="n">
        <v>0</v>
      </c>
    </row>
    <row r="2268" customFormat="false" ht="15" hidden="false" customHeight="false" outlineLevel="0" collapsed="false">
      <c r="A2268" s="3" t="n">
        <v>2018</v>
      </c>
      <c r="B2268" s="3" t="n">
        <v>3</v>
      </c>
      <c r="C2268" s="3" t="n">
        <v>16</v>
      </c>
      <c r="D2268" s="3" t="s">
        <v>2272</v>
      </c>
      <c r="E2268" s="4" t="n">
        <v>0</v>
      </c>
    </row>
    <row r="2269" customFormat="false" ht="15" hidden="false" customHeight="false" outlineLevel="0" collapsed="false">
      <c r="A2269" s="3" t="n">
        <v>2018</v>
      </c>
      <c r="B2269" s="3" t="n">
        <v>3</v>
      </c>
      <c r="C2269" s="3" t="n">
        <v>17</v>
      </c>
      <c r="D2269" s="3" t="s">
        <v>2273</v>
      </c>
      <c r="E2269" s="4" t="n">
        <v>0</v>
      </c>
    </row>
    <row r="2270" customFormat="false" ht="15" hidden="false" customHeight="false" outlineLevel="0" collapsed="false">
      <c r="A2270" s="3" t="n">
        <v>2018</v>
      </c>
      <c r="B2270" s="3" t="n">
        <v>3</v>
      </c>
      <c r="C2270" s="3" t="n">
        <v>18</v>
      </c>
      <c r="D2270" s="3" t="s">
        <v>2274</v>
      </c>
      <c r="E2270" s="4" t="n">
        <v>0</v>
      </c>
    </row>
    <row r="2271" customFormat="false" ht="15" hidden="false" customHeight="false" outlineLevel="0" collapsed="false">
      <c r="A2271" s="3" t="n">
        <v>2018</v>
      </c>
      <c r="B2271" s="3" t="n">
        <v>3</v>
      </c>
      <c r="C2271" s="3" t="n">
        <v>19</v>
      </c>
      <c r="D2271" s="3" t="s">
        <v>2275</v>
      </c>
      <c r="E2271" s="4" t="n">
        <v>4</v>
      </c>
    </row>
    <row r="2272" customFormat="false" ht="15" hidden="false" customHeight="false" outlineLevel="0" collapsed="false">
      <c r="A2272" s="3" t="n">
        <v>2018</v>
      </c>
      <c r="B2272" s="3" t="n">
        <v>3</v>
      </c>
      <c r="C2272" s="3" t="n">
        <v>20</v>
      </c>
      <c r="D2272" s="3" t="s">
        <v>2276</v>
      </c>
      <c r="E2272" s="4" t="n">
        <v>4</v>
      </c>
    </row>
    <row r="2273" customFormat="false" ht="15" hidden="false" customHeight="false" outlineLevel="0" collapsed="false">
      <c r="A2273" s="3" t="n">
        <v>2018</v>
      </c>
      <c r="B2273" s="3" t="n">
        <v>3</v>
      </c>
      <c r="C2273" s="3" t="n">
        <v>21</v>
      </c>
      <c r="D2273" s="3" t="s">
        <v>2277</v>
      </c>
      <c r="E2273" s="4" t="n">
        <v>0</v>
      </c>
    </row>
    <row r="2274" customFormat="false" ht="15" hidden="false" customHeight="false" outlineLevel="0" collapsed="false">
      <c r="A2274" s="3" t="n">
        <v>2018</v>
      </c>
      <c r="B2274" s="3" t="n">
        <v>3</v>
      </c>
      <c r="C2274" s="3" t="n">
        <v>22</v>
      </c>
      <c r="D2274" s="3" t="s">
        <v>2278</v>
      </c>
      <c r="E2274" s="4" t="n">
        <v>0</v>
      </c>
    </row>
    <row r="2275" customFormat="false" ht="15" hidden="false" customHeight="false" outlineLevel="0" collapsed="false">
      <c r="A2275" s="3" t="n">
        <v>2018</v>
      </c>
      <c r="B2275" s="3" t="n">
        <v>3</v>
      </c>
      <c r="C2275" s="3" t="n">
        <v>23</v>
      </c>
      <c r="D2275" s="3" t="s">
        <v>2279</v>
      </c>
      <c r="E2275" s="4" t="n">
        <v>0</v>
      </c>
    </row>
    <row r="2276" customFormat="false" ht="15" hidden="false" customHeight="false" outlineLevel="0" collapsed="false">
      <c r="A2276" s="3" t="n">
        <v>2018</v>
      </c>
      <c r="B2276" s="3" t="n">
        <v>3</v>
      </c>
      <c r="C2276" s="3" t="n">
        <v>24</v>
      </c>
      <c r="D2276" s="3" t="s">
        <v>2280</v>
      </c>
      <c r="E2276" s="4" t="n">
        <v>11</v>
      </c>
    </row>
    <row r="2277" customFormat="false" ht="15" hidden="false" customHeight="false" outlineLevel="0" collapsed="false">
      <c r="A2277" s="3" t="n">
        <v>2018</v>
      </c>
      <c r="B2277" s="3" t="n">
        <v>3</v>
      </c>
      <c r="C2277" s="3" t="n">
        <v>25</v>
      </c>
      <c r="D2277" s="3" t="s">
        <v>2281</v>
      </c>
      <c r="E2277" s="4" t="n">
        <v>3</v>
      </c>
    </row>
    <row r="2278" customFormat="false" ht="15" hidden="false" customHeight="false" outlineLevel="0" collapsed="false">
      <c r="A2278" s="3" t="n">
        <v>2018</v>
      </c>
      <c r="B2278" s="3" t="n">
        <v>3</v>
      </c>
      <c r="C2278" s="3" t="n">
        <v>26</v>
      </c>
      <c r="D2278" s="3" t="s">
        <v>2282</v>
      </c>
      <c r="E2278" s="4" t="n">
        <v>0</v>
      </c>
    </row>
    <row r="2279" customFormat="false" ht="15" hidden="false" customHeight="false" outlineLevel="0" collapsed="false">
      <c r="A2279" s="3" t="n">
        <v>2018</v>
      </c>
      <c r="B2279" s="3" t="n">
        <v>3</v>
      </c>
      <c r="C2279" s="3" t="n">
        <v>27</v>
      </c>
      <c r="D2279" s="3" t="s">
        <v>2283</v>
      </c>
      <c r="E2279" s="4" t="n">
        <v>17</v>
      </c>
    </row>
    <row r="2280" customFormat="false" ht="15" hidden="false" customHeight="false" outlineLevel="0" collapsed="false">
      <c r="A2280" s="3" t="n">
        <v>2018</v>
      </c>
      <c r="B2280" s="3" t="n">
        <v>3</v>
      </c>
      <c r="C2280" s="3" t="n">
        <v>28</v>
      </c>
      <c r="D2280" s="3" t="s">
        <v>2284</v>
      </c>
      <c r="E2280" s="4" t="n">
        <v>14</v>
      </c>
    </row>
    <row r="2281" customFormat="false" ht="15" hidden="false" customHeight="false" outlineLevel="0" collapsed="false">
      <c r="A2281" s="3" t="n">
        <v>2018</v>
      </c>
      <c r="B2281" s="3" t="n">
        <v>3</v>
      </c>
      <c r="C2281" s="3" t="n">
        <v>29</v>
      </c>
      <c r="D2281" s="3" t="s">
        <v>2285</v>
      </c>
      <c r="E2281" s="4" t="n">
        <v>0</v>
      </c>
    </row>
    <row r="2282" customFormat="false" ht="15" hidden="false" customHeight="false" outlineLevel="0" collapsed="false">
      <c r="A2282" s="3" t="n">
        <v>2018</v>
      </c>
      <c r="B2282" s="3" t="n">
        <v>3</v>
      </c>
      <c r="C2282" s="3" t="n">
        <v>30</v>
      </c>
      <c r="D2282" s="3" t="s">
        <v>2286</v>
      </c>
      <c r="E2282" s="4" t="n">
        <v>0</v>
      </c>
    </row>
    <row r="2283" customFormat="false" ht="15" hidden="false" customHeight="false" outlineLevel="0" collapsed="false">
      <c r="A2283" s="3" t="n">
        <v>2018</v>
      </c>
      <c r="B2283" s="3" t="n">
        <v>3</v>
      </c>
      <c r="C2283" s="3" t="n">
        <v>31</v>
      </c>
      <c r="D2283" s="3" t="s">
        <v>2287</v>
      </c>
      <c r="E2283" s="4" t="n">
        <v>0</v>
      </c>
    </row>
    <row r="2284" customFormat="false" ht="15" hidden="false" customHeight="false" outlineLevel="0" collapsed="false">
      <c r="A2284" s="3" t="n">
        <v>2018</v>
      </c>
      <c r="B2284" s="3" t="n">
        <v>4</v>
      </c>
      <c r="C2284" s="3" t="n">
        <v>1</v>
      </c>
      <c r="D2284" s="3" t="s">
        <v>2288</v>
      </c>
      <c r="E2284" s="4" t="n">
        <v>0</v>
      </c>
    </row>
    <row r="2285" customFormat="false" ht="15" hidden="false" customHeight="false" outlineLevel="0" collapsed="false">
      <c r="A2285" s="3" t="n">
        <v>2018</v>
      </c>
      <c r="B2285" s="3" t="n">
        <v>4</v>
      </c>
      <c r="C2285" s="3" t="n">
        <v>2</v>
      </c>
      <c r="D2285" s="3" t="s">
        <v>2289</v>
      </c>
      <c r="E2285" s="4" t="n">
        <v>0</v>
      </c>
    </row>
    <row r="2286" customFormat="false" ht="15" hidden="false" customHeight="false" outlineLevel="0" collapsed="false">
      <c r="A2286" s="3" t="n">
        <v>2018</v>
      </c>
      <c r="B2286" s="3" t="n">
        <v>4</v>
      </c>
      <c r="C2286" s="3" t="n">
        <v>3</v>
      </c>
      <c r="D2286" s="3" t="s">
        <v>2290</v>
      </c>
      <c r="E2286" s="4" t="n">
        <v>0</v>
      </c>
    </row>
    <row r="2287" customFormat="false" ht="15" hidden="false" customHeight="false" outlineLevel="0" collapsed="false">
      <c r="A2287" s="3" t="n">
        <v>2018</v>
      </c>
      <c r="B2287" s="3" t="n">
        <v>4</v>
      </c>
      <c r="C2287" s="3" t="n">
        <v>4</v>
      </c>
      <c r="D2287" s="3" t="s">
        <v>2291</v>
      </c>
      <c r="E2287" s="4" t="n">
        <v>0</v>
      </c>
    </row>
    <row r="2288" customFormat="false" ht="15" hidden="false" customHeight="false" outlineLevel="0" collapsed="false">
      <c r="A2288" s="3" t="n">
        <v>2018</v>
      </c>
      <c r="B2288" s="3" t="n">
        <v>4</v>
      </c>
      <c r="C2288" s="3" t="n">
        <v>5</v>
      </c>
      <c r="D2288" s="3" t="s">
        <v>2292</v>
      </c>
      <c r="E2288" s="4" t="n">
        <v>2</v>
      </c>
    </row>
    <row r="2289" customFormat="false" ht="15" hidden="false" customHeight="false" outlineLevel="0" collapsed="false">
      <c r="A2289" s="3" t="n">
        <v>2018</v>
      </c>
      <c r="B2289" s="3" t="n">
        <v>4</v>
      </c>
      <c r="C2289" s="3" t="n">
        <v>6</v>
      </c>
      <c r="D2289" s="3" t="s">
        <v>2293</v>
      </c>
      <c r="E2289" s="4" t="n">
        <v>13</v>
      </c>
    </row>
    <row r="2290" customFormat="false" ht="15" hidden="false" customHeight="false" outlineLevel="0" collapsed="false">
      <c r="A2290" s="3" t="n">
        <v>2018</v>
      </c>
      <c r="B2290" s="3" t="n">
        <v>4</v>
      </c>
      <c r="C2290" s="3" t="n">
        <v>7</v>
      </c>
      <c r="D2290" s="3" t="s">
        <v>2294</v>
      </c>
      <c r="E2290" s="4" t="n">
        <v>0</v>
      </c>
    </row>
    <row r="2291" customFormat="false" ht="15" hidden="false" customHeight="false" outlineLevel="0" collapsed="false">
      <c r="A2291" s="3" t="n">
        <v>2018</v>
      </c>
      <c r="B2291" s="3" t="n">
        <v>4</v>
      </c>
      <c r="C2291" s="3" t="n">
        <v>8</v>
      </c>
      <c r="D2291" s="3" t="s">
        <v>2295</v>
      </c>
      <c r="E2291" s="4" t="n">
        <v>4</v>
      </c>
    </row>
    <row r="2292" customFormat="false" ht="15" hidden="false" customHeight="false" outlineLevel="0" collapsed="false">
      <c r="A2292" s="3" t="n">
        <v>2018</v>
      </c>
      <c r="B2292" s="3" t="n">
        <v>4</v>
      </c>
      <c r="C2292" s="3" t="n">
        <v>9</v>
      </c>
      <c r="D2292" s="3" t="s">
        <v>2296</v>
      </c>
      <c r="E2292" s="4" t="n">
        <v>9</v>
      </c>
    </row>
    <row r="2293" customFormat="false" ht="15" hidden="false" customHeight="false" outlineLevel="0" collapsed="false">
      <c r="A2293" s="3" t="n">
        <v>2018</v>
      </c>
      <c r="B2293" s="3" t="n">
        <v>4</v>
      </c>
      <c r="C2293" s="3" t="n">
        <v>10</v>
      </c>
      <c r="D2293" s="3" t="s">
        <v>2297</v>
      </c>
      <c r="E2293" s="4" t="n">
        <v>4</v>
      </c>
    </row>
    <row r="2294" customFormat="false" ht="15" hidden="false" customHeight="false" outlineLevel="0" collapsed="false">
      <c r="A2294" s="3" t="n">
        <v>2018</v>
      </c>
      <c r="B2294" s="3" t="n">
        <v>4</v>
      </c>
      <c r="C2294" s="3" t="n">
        <v>11</v>
      </c>
      <c r="D2294" s="3" t="s">
        <v>2298</v>
      </c>
      <c r="E2294" s="4" t="n">
        <v>2</v>
      </c>
    </row>
    <row r="2295" customFormat="false" ht="15" hidden="false" customHeight="false" outlineLevel="0" collapsed="false">
      <c r="A2295" s="3" t="n">
        <v>2018</v>
      </c>
      <c r="B2295" s="3" t="n">
        <v>4</v>
      </c>
      <c r="C2295" s="3" t="n">
        <v>12</v>
      </c>
      <c r="D2295" s="3" t="s">
        <v>2299</v>
      </c>
      <c r="E2295" s="4" t="n">
        <v>11</v>
      </c>
    </row>
    <row r="2296" customFormat="false" ht="15" hidden="false" customHeight="false" outlineLevel="0" collapsed="false">
      <c r="A2296" s="3" t="n">
        <v>2018</v>
      </c>
      <c r="B2296" s="3" t="n">
        <v>4</v>
      </c>
      <c r="C2296" s="3" t="n">
        <v>13</v>
      </c>
      <c r="D2296" s="3" t="s">
        <v>2300</v>
      </c>
      <c r="E2296" s="4" t="n">
        <v>0</v>
      </c>
    </row>
    <row r="2297" customFormat="false" ht="15" hidden="false" customHeight="false" outlineLevel="0" collapsed="false">
      <c r="A2297" s="3" t="n">
        <v>2018</v>
      </c>
      <c r="B2297" s="3" t="n">
        <v>4</v>
      </c>
      <c r="C2297" s="3" t="n">
        <v>14</v>
      </c>
      <c r="D2297" s="3" t="s">
        <v>2301</v>
      </c>
      <c r="E2297" s="4" t="n">
        <v>21</v>
      </c>
    </row>
    <row r="2298" customFormat="false" ht="15" hidden="false" customHeight="false" outlineLevel="0" collapsed="false">
      <c r="A2298" s="3" t="n">
        <v>2018</v>
      </c>
      <c r="B2298" s="3" t="n">
        <v>4</v>
      </c>
      <c r="C2298" s="3" t="n">
        <v>15</v>
      </c>
      <c r="D2298" s="3" t="s">
        <v>2302</v>
      </c>
      <c r="E2298" s="4" t="n">
        <v>9</v>
      </c>
    </row>
    <row r="2299" customFormat="false" ht="15" hidden="false" customHeight="false" outlineLevel="0" collapsed="false">
      <c r="A2299" s="3" t="n">
        <v>2018</v>
      </c>
      <c r="B2299" s="3" t="n">
        <v>4</v>
      </c>
      <c r="C2299" s="3" t="n">
        <v>16</v>
      </c>
      <c r="D2299" s="3" t="s">
        <v>2303</v>
      </c>
      <c r="E2299" s="4" t="n">
        <v>7</v>
      </c>
    </row>
    <row r="2300" customFormat="false" ht="15" hidden="false" customHeight="false" outlineLevel="0" collapsed="false">
      <c r="A2300" s="3" t="n">
        <v>2018</v>
      </c>
      <c r="B2300" s="3" t="n">
        <v>4</v>
      </c>
      <c r="C2300" s="3" t="n">
        <v>17</v>
      </c>
      <c r="D2300" s="3" t="s">
        <v>2304</v>
      </c>
      <c r="E2300" s="4" t="n">
        <v>5</v>
      </c>
    </row>
    <row r="2301" customFormat="false" ht="15" hidden="false" customHeight="false" outlineLevel="0" collapsed="false">
      <c r="A2301" s="3" t="n">
        <v>2018</v>
      </c>
      <c r="B2301" s="3" t="n">
        <v>4</v>
      </c>
      <c r="C2301" s="3" t="n">
        <v>18</v>
      </c>
      <c r="D2301" s="3" t="s">
        <v>2305</v>
      </c>
      <c r="E2301" s="4" t="n">
        <v>0</v>
      </c>
    </row>
    <row r="2302" customFormat="false" ht="15" hidden="false" customHeight="false" outlineLevel="0" collapsed="false">
      <c r="A2302" s="3" t="n">
        <v>2018</v>
      </c>
      <c r="B2302" s="3" t="n">
        <v>4</v>
      </c>
      <c r="C2302" s="3" t="n">
        <v>19</v>
      </c>
      <c r="D2302" s="3" t="s">
        <v>2306</v>
      </c>
      <c r="E2302" s="4" t="n">
        <v>0</v>
      </c>
    </row>
    <row r="2303" customFormat="false" ht="15" hidden="false" customHeight="false" outlineLevel="0" collapsed="false">
      <c r="A2303" s="3" t="n">
        <v>2018</v>
      </c>
      <c r="B2303" s="3" t="n">
        <v>4</v>
      </c>
      <c r="C2303" s="3" t="n">
        <v>20</v>
      </c>
      <c r="D2303" s="3" t="s">
        <v>2307</v>
      </c>
      <c r="E2303" s="4" t="n">
        <v>18</v>
      </c>
    </row>
    <row r="2304" customFormat="false" ht="15" hidden="false" customHeight="false" outlineLevel="0" collapsed="false">
      <c r="A2304" s="3" t="n">
        <v>2018</v>
      </c>
      <c r="B2304" s="3" t="n">
        <v>4</v>
      </c>
      <c r="C2304" s="3" t="n">
        <v>21</v>
      </c>
      <c r="D2304" s="3" t="s">
        <v>2308</v>
      </c>
      <c r="E2304" s="4" t="n">
        <v>1</v>
      </c>
    </row>
    <row r="2305" customFormat="false" ht="15" hidden="false" customHeight="false" outlineLevel="0" collapsed="false">
      <c r="A2305" s="3" t="n">
        <v>2018</v>
      </c>
      <c r="B2305" s="3" t="n">
        <v>4</v>
      </c>
      <c r="C2305" s="3" t="n">
        <v>22</v>
      </c>
      <c r="D2305" s="3" t="s">
        <v>2309</v>
      </c>
      <c r="E2305" s="4" t="n">
        <v>0</v>
      </c>
    </row>
    <row r="2306" customFormat="false" ht="15" hidden="false" customHeight="false" outlineLevel="0" collapsed="false">
      <c r="A2306" s="3" t="n">
        <v>2018</v>
      </c>
      <c r="B2306" s="3" t="n">
        <v>4</v>
      </c>
      <c r="C2306" s="3" t="n">
        <v>23</v>
      </c>
      <c r="D2306" s="3" t="s">
        <v>2310</v>
      </c>
      <c r="E2306" s="4" t="n">
        <v>1</v>
      </c>
    </row>
    <row r="2307" customFormat="false" ht="15" hidden="false" customHeight="false" outlineLevel="0" collapsed="false">
      <c r="A2307" s="3" t="n">
        <v>2018</v>
      </c>
      <c r="B2307" s="3" t="n">
        <v>4</v>
      </c>
      <c r="C2307" s="3" t="n">
        <v>24</v>
      </c>
      <c r="D2307" s="3" t="s">
        <v>2311</v>
      </c>
      <c r="E2307" s="4" t="n">
        <v>0</v>
      </c>
    </row>
    <row r="2308" customFormat="false" ht="15" hidden="false" customHeight="false" outlineLevel="0" collapsed="false">
      <c r="A2308" s="3" t="n">
        <v>2018</v>
      </c>
      <c r="B2308" s="3" t="n">
        <v>4</v>
      </c>
      <c r="C2308" s="3" t="n">
        <v>25</v>
      </c>
      <c r="D2308" s="3" t="s">
        <v>2312</v>
      </c>
      <c r="E2308" s="4" t="n">
        <v>0</v>
      </c>
    </row>
    <row r="2309" customFormat="false" ht="15" hidden="false" customHeight="false" outlineLevel="0" collapsed="false">
      <c r="A2309" s="3" t="n">
        <v>2018</v>
      </c>
      <c r="B2309" s="3" t="n">
        <v>4</v>
      </c>
      <c r="C2309" s="3" t="n">
        <v>26</v>
      </c>
      <c r="D2309" s="3" t="s">
        <v>2313</v>
      </c>
      <c r="E2309" s="4" t="n">
        <v>14</v>
      </c>
    </row>
    <row r="2310" customFormat="false" ht="15" hidden="false" customHeight="false" outlineLevel="0" collapsed="false">
      <c r="A2310" s="3" t="n">
        <v>2018</v>
      </c>
      <c r="B2310" s="3" t="n">
        <v>4</v>
      </c>
      <c r="C2310" s="3" t="n">
        <v>27</v>
      </c>
      <c r="D2310" s="3" t="s">
        <v>2314</v>
      </c>
      <c r="E2310" s="4" t="n">
        <v>0</v>
      </c>
    </row>
    <row r="2311" customFormat="false" ht="15" hidden="false" customHeight="false" outlineLevel="0" collapsed="false">
      <c r="A2311" s="3" t="n">
        <v>2018</v>
      </c>
      <c r="B2311" s="3" t="n">
        <v>4</v>
      </c>
      <c r="C2311" s="3" t="n">
        <v>28</v>
      </c>
      <c r="D2311" s="3" t="s">
        <v>2315</v>
      </c>
      <c r="E2311" s="4" t="n">
        <v>14</v>
      </c>
    </row>
    <row r="2312" customFormat="false" ht="15" hidden="false" customHeight="false" outlineLevel="0" collapsed="false">
      <c r="A2312" s="3" t="n">
        <v>2018</v>
      </c>
      <c r="B2312" s="3" t="n">
        <v>4</v>
      </c>
      <c r="C2312" s="3" t="n">
        <v>29</v>
      </c>
      <c r="D2312" s="3" t="s">
        <v>2316</v>
      </c>
      <c r="E2312" s="4" t="n">
        <v>0</v>
      </c>
    </row>
    <row r="2313" customFormat="false" ht="15" hidden="false" customHeight="false" outlineLevel="0" collapsed="false">
      <c r="A2313" s="3" t="n">
        <v>2018</v>
      </c>
      <c r="B2313" s="3" t="n">
        <v>4</v>
      </c>
      <c r="C2313" s="3" t="n">
        <v>30</v>
      </c>
      <c r="D2313" s="3" t="s">
        <v>2317</v>
      </c>
      <c r="E2313" s="4" t="n">
        <v>0</v>
      </c>
    </row>
    <row r="2314" customFormat="false" ht="15" hidden="false" customHeight="false" outlineLevel="0" collapsed="false">
      <c r="A2314" s="3" t="n">
        <v>2018</v>
      </c>
      <c r="B2314" s="3" t="n">
        <v>5</v>
      </c>
      <c r="C2314" s="3" t="n">
        <v>1</v>
      </c>
      <c r="D2314" s="3" t="s">
        <v>2318</v>
      </c>
      <c r="E2314" s="4" t="n">
        <v>3</v>
      </c>
    </row>
    <row r="2315" customFormat="false" ht="15" hidden="false" customHeight="false" outlineLevel="0" collapsed="false">
      <c r="A2315" s="3" t="n">
        <v>2018</v>
      </c>
      <c r="B2315" s="3" t="n">
        <v>5</v>
      </c>
      <c r="C2315" s="3" t="n">
        <v>2</v>
      </c>
      <c r="D2315" s="3" t="s">
        <v>2319</v>
      </c>
      <c r="E2315" s="4" t="n">
        <v>1</v>
      </c>
    </row>
    <row r="2316" customFormat="false" ht="15" hidden="false" customHeight="false" outlineLevel="0" collapsed="false">
      <c r="A2316" s="3" t="n">
        <v>2018</v>
      </c>
      <c r="B2316" s="3" t="n">
        <v>5</v>
      </c>
      <c r="C2316" s="3" t="n">
        <v>3</v>
      </c>
      <c r="D2316" s="3" t="s">
        <v>2320</v>
      </c>
      <c r="E2316" s="4" t="n">
        <v>1</v>
      </c>
    </row>
    <row r="2317" customFormat="false" ht="15" hidden="false" customHeight="false" outlineLevel="0" collapsed="false">
      <c r="A2317" s="3" t="n">
        <v>2018</v>
      </c>
      <c r="B2317" s="3" t="n">
        <v>5</v>
      </c>
      <c r="C2317" s="3" t="n">
        <v>4</v>
      </c>
      <c r="D2317" s="3" t="s">
        <v>2321</v>
      </c>
      <c r="E2317" s="4" t="n">
        <v>0</v>
      </c>
    </row>
    <row r="2318" customFormat="false" ht="15" hidden="false" customHeight="false" outlineLevel="0" collapsed="false">
      <c r="A2318" s="3" t="n">
        <v>2018</v>
      </c>
      <c r="B2318" s="3" t="n">
        <v>5</v>
      </c>
      <c r="C2318" s="3" t="n">
        <v>5</v>
      </c>
      <c r="D2318" s="3" t="s">
        <v>2322</v>
      </c>
      <c r="E2318" s="4" t="n">
        <v>0</v>
      </c>
    </row>
    <row r="2319" customFormat="false" ht="15" hidden="false" customHeight="false" outlineLevel="0" collapsed="false">
      <c r="A2319" s="3" t="n">
        <v>2018</v>
      </c>
      <c r="B2319" s="3" t="n">
        <v>5</v>
      </c>
      <c r="C2319" s="3" t="n">
        <v>6</v>
      </c>
      <c r="D2319" s="3" t="s">
        <v>2323</v>
      </c>
      <c r="E2319" s="4" t="n">
        <v>0</v>
      </c>
    </row>
    <row r="2320" customFormat="false" ht="15" hidden="false" customHeight="false" outlineLevel="0" collapsed="false">
      <c r="A2320" s="3" t="n">
        <v>2018</v>
      </c>
      <c r="B2320" s="3" t="n">
        <v>5</v>
      </c>
      <c r="C2320" s="3" t="n">
        <v>7</v>
      </c>
      <c r="D2320" s="3" t="s">
        <v>2324</v>
      </c>
      <c r="E2320" s="4" t="n">
        <v>1</v>
      </c>
    </row>
    <row r="2321" customFormat="false" ht="15" hidden="false" customHeight="false" outlineLevel="0" collapsed="false">
      <c r="A2321" s="3" t="n">
        <v>2018</v>
      </c>
      <c r="B2321" s="3" t="n">
        <v>5</v>
      </c>
      <c r="C2321" s="3" t="n">
        <v>8</v>
      </c>
      <c r="D2321" s="3" t="s">
        <v>2325</v>
      </c>
      <c r="E2321" s="4" t="n">
        <v>11</v>
      </c>
    </row>
    <row r="2322" customFormat="false" ht="15" hidden="false" customHeight="false" outlineLevel="0" collapsed="false">
      <c r="A2322" s="3" t="n">
        <v>2018</v>
      </c>
      <c r="B2322" s="3" t="n">
        <v>5</v>
      </c>
      <c r="C2322" s="3" t="n">
        <v>9</v>
      </c>
      <c r="D2322" s="3" t="s">
        <v>2326</v>
      </c>
      <c r="E2322" s="4" t="n">
        <v>0</v>
      </c>
    </row>
    <row r="2323" customFormat="false" ht="15" hidden="false" customHeight="false" outlineLevel="0" collapsed="false">
      <c r="A2323" s="3" t="n">
        <v>2018</v>
      </c>
      <c r="B2323" s="3" t="n">
        <v>5</v>
      </c>
      <c r="C2323" s="3" t="n">
        <v>10</v>
      </c>
      <c r="D2323" s="3" t="s">
        <v>2327</v>
      </c>
      <c r="E2323" s="4" t="n">
        <v>22</v>
      </c>
    </row>
    <row r="2324" customFormat="false" ht="15" hidden="false" customHeight="false" outlineLevel="0" collapsed="false">
      <c r="A2324" s="3" t="n">
        <v>2018</v>
      </c>
      <c r="B2324" s="3" t="n">
        <v>5</v>
      </c>
      <c r="C2324" s="3" t="n">
        <v>11</v>
      </c>
      <c r="D2324" s="3" t="s">
        <v>2328</v>
      </c>
      <c r="E2324" s="4" t="n">
        <v>0</v>
      </c>
    </row>
    <row r="2325" customFormat="false" ht="15" hidden="false" customHeight="false" outlineLevel="0" collapsed="false">
      <c r="A2325" s="3" t="n">
        <v>2018</v>
      </c>
      <c r="B2325" s="3" t="n">
        <v>5</v>
      </c>
      <c r="C2325" s="3" t="n">
        <v>12</v>
      </c>
      <c r="D2325" s="3" t="s">
        <v>2329</v>
      </c>
      <c r="E2325" s="4" t="n">
        <v>0</v>
      </c>
    </row>
    <row r="2326" customFormat="false" ht="15" hidden="false" customHeight="false" outlineLevel="0" collapsed="false">
      <c r="A2326" s="3" t="n">
        <v>2018</v>
      </c>
      <c r="B2326" s="3" t="n">
        <v>5</v>
      </c>
      <c r="C2326" s="3" t="n">
        <v>13</v>
      </c>
      <c r="D2326" s="3" t="s">
        <v>2330</v>
      </c>
      <c r="E2326" s="4" t="n">
        <v>22</v>
      </c>
    </row>
    <row r="2327" customFormat="false" ht="15" hidden="false" customHeight="false" outlineLevel="0" collapsed="false">
      <c r="A2327" s="3" t="n">
        <v>2018</v>
      </c>
      <c r="B2327" s="3" t="n">
        <v>5</v>
      </c>
      <c r="C2327" s="3" t="n">
        <v>14</v>
      </c>
      <c r="D2327" s="3" t="s">
        <v>2331</v>
      </c>
      <c r="E2327" s="4" t="n">
        <v>9</v>
      </c>
    </row>
    <row r="2328" customFormat="false" ht="15" hidden="false" customHeight="false" outlineLevel="0" collapsed="false">
      <c r="A2328" s="3" t="n">
        <v>2018</v>
      </c>
      <c r="B2328" s="3" t="n">
        <v>5</v>
      </c>
      <c r="C2328" s="3" t="n">
        <v>15</v>
      </c>
      <c r="D2328" s="3" t="s">
        <v>2332</v>
      </c>
      <c r="E2328" s="4" t="n">
        <v>25</v>
      </c>
    </row>
    <row r="2329" customFormat="false" ht="15" hidden="false" customHeight="false" outlineLevel="0" collapsed="false">
      <c r="A2329" s="3" t="n">
        <v>2018</v>
      </c>
      <c r="B2329" s="3" t="n">
        <v>5</v>
      </c>
      <c r="C2329" s="3" t="n">
        <v>16</v>
      </c>
      <c r="D2329" s="3" t="s">
        <v>2333</v>
      </c>
      <c r="E2329" s="4" t="n">
        <v>36</v>
      </c>
    </row>
    <row r="2330" customFormat="false" ht="15" hidden="false" customHeight="false" outlineLevel="0" collapsed="false">
      <c r="A2330" s="3" t="n">
        <v>2018</v>
      </c>
      <c r="B2330" s="3" t="n">
        <v>5</v>
      </c>
      <c r="C2330" s="3" t="n">
        <v>17</v>
      </c>
      <c r="D2330" s="3" t="s">
        <v>2334</v>
      </c>
      <c r="E2330" s="4" t="n">
        <v>1</v>
      </c>
    </row>
    <row r="2331" customFormat="false" ht="15" hidden="false" customHeight="false" outlineLevel="0" collapsed="false">
      <c r="A2331" s="3" t="n">
        <v>2018</v>
      </c>
      <c r="B2331" s="3" t="n">
        <v>5</v>
      </c>
      <c r="C2331" s="3" t="n">
        <v>18</v>
      </c>
      <c r="D2331" s="3" t="s">
        <v>2335</v>
      </c>
      <c r="E2331" s="4" t="n">
        <v>0</v>
      </c>
    </row>
    <row r="2332" customFormat="false" ht="15" hidden="false" customHeight="false" outlineLevel="0" collapsed="false">
      <c r="A2332" s="3" t="n">
        <v>2018</v>
      </c>
      <c r="B2332" s="3" t="n">
        <v>5</v>
      </c>
      <c r="C2332" s="3" t="n">
        <v>19</v>
      </c>
      <c r="D2332" s="3" t="s">
        <v>2336</v>
      </c>
      <c r="E2332" s="4" t="n">
        <v>33</v>
      </c>
    </row>
    <row r="2333" customFormat="false" ht="15" hidden="false" customHeight="false" outlineLevel="0" collapsed="false">
      <c r="A2333" s="3" t="n">
        <v>2018</v>
      </c>
      <c r="B2333" s="3" t="n">
        <v>5</v>
      </c>
      <c r="C2333" s="3" t="n">
        <v>20</v>
      </c>
      <c r="D2333" s="3" t="s">
        <v>2337</v>
      </c>
      <c r="E2333" s="4" t="n">
        <v>0</v>
      </c>
    </row>
    <row r="2334" customFormat="false" ht="15" hidden="false" customHeight="false" outlineLevel="0" collapsed="false">
      <c r="A2334" s="3" t="n">
        <v>2018</v>
      </c>
      <c r="B2334" s="3" t="n">
        <v>5</v>
      </c>
      <c r="C2334" s="3" t="n">
        <v>21</v>
      </c>
      <c r="D2334" s="3" t="s">
        <v>2338</v>
      </c>
      <c r="E2334" s="4" t="n">
        <v>4</v>
      </c>
    </row>
    <row r="2335" customFormat="false" ht="15" hidden="false" customHeight="false" outlineLevel="0" collapsed="false">
      <c r="A2335" s="3" t="n">
        <v>2018</v>
      </c>
      <c r="B2335" s="3" t="n">
        <v>5</v>
      </c>
      <c r="C2335" s="3" t="n">
        <v>22</v>
      </c>
      <c r="D2335" s="3" t="s">
        <v>2339</v>
      </c>
      <c r="E2335" s="4" t="n">
        <v>0</v>
      </c>
    </row>
    <row r="2336" customFormat="false" ht="15" hidden="false" customHeight="false" outlineLevel="0" collapsed="false">
      <c r="A2336" s="3" t="n">
        <v>2018</v>
      </c>
      <c r="B2336" s="3" t="n">
        <v>5</v>
      </c>
      <c r="C2336" s="3" t="n">
        <v>23</v>
      </c>
      <c r="D2336" s="3" t="s">
        <v>2340</v>
      </c>
      <c r="E2336" s="4" t="n">
        <v>1</v>
      </c>
    </row>
    <row r="2337" customFormat="false" ht="15" hidden="false" customHeight="false" outlineLevel="0" collapsed="false">
      <c r="A2337" s="3" t="n">
        <v>2018</v>
      </c>
      <c r="B2337" s="3" t="n">
        <v>5</v>
      </c>
      <c r="C2337" s="3" t="n">
        <v>24</v>
      </c>
      <c r="D2337" s="3" t="s">
        <v>2341</v>
      </c>
      <c r="E2337" s="4" t="n">
        <v>16</v>
      </c>
    </row>
    <row r="2338" customFormat="false" ht="15" hidden="false" customHeight="false" outlineLevel="0" collapsed="false">
      <c r="A2338" s="3" t="n">
        <v>2018</v>
      </c>
      <c r="B2338" s="3" t="n">
        <v>5</v>
      </c>
      <c r="C2338" s="3" t="n">
        <v>25</v>
      </c>
      <c r="D2338" s="3" t="s">
        <v>2342</v>
      </c>
      <c r="E2338" s="4" t="n">
        <v>1</v>
      </c>
    </row>
    <row r="2339" customFormat="false" ht="15" hidden="false" customHeight="false" outlineLevel="0" collapsed="false">
      <c r="A2339" s="3" t="n">
        <v>2018</v>
      </c>
      <c r="B2339" s="3" t="n">
        <v>5</v>
      </c>
      <c r="C2339" s="3" t="n">
        <v>26</v>
      </c>
      <c r="D2339" s="3" t="s">
        <v>2343</v>
      </c>
      <c r="E2339" s="4" t="n">
        <v>9</v>
      </c>
    </row>
    <row r="2340" customFormat="false" ht="15" hidden="false" customHeight="false" outlineLevel="0" collapsed="false">
      <c r="A2340" s="3" t="n">
        <v>2018</v>
      </c>
      <c r="B2340" s="3" t="n">
        <v>5</v>
      </c>
      <c r="C2340" s="3" t="n">
        <v>27</v>
      </c>
      <c r="D2340" s="3" t="s">
        <v>2344</v>
      </c>
      <c r="E2340" s="4" t="n">
        <v>2</v>
      </c>
    </row>
    <row r="2341" customFormat="false" ht="15" hidden="false" customHeight="false" outlineLevel="0" collapsed="false">
      <c r="A2341" s="3" t="n">
        <v>2018</v>
      </c>
      <c r="B2341" s="3" t="n">
        <v>5</v>
      </c>
      <c r="C2341" s="3" t="n">
        <v>28</v>
      </c>
      <c r="D2341" s="3" t="s">
        <v>2345</v>
      </c>
      <c r="E2341" s="4" t="n">
        <v>2</v>
      </c>
    </row>
    <row r="2342" customFormat="false" ht="15" hidden="false" customHeight="false" outlineLevel="0" collapsed="false">
      <c r="A2342" s="3" t="n">
        <v>2018</v>
      </c>
      <c r="B2342" s="3" t="n">
        <v>5</v>
      </c>
      <c r="C2342" s="3" t="n">
        <v>29</v>
      </c>
      <c r="D2342" s="3" t="s">
        <v>2346</v>
      </c>
      <c r="E2342" s="4" t="n">
        <v>0</v>
      </c>
    </row>
    <row r="2343" customFormat="false" ht="15" hidden="false" customHeight="false" outlineLevel="0" collapsed="false">
      <c r="A2343" s="3" t="n">
        <v>2018</v>
      </c>
      <c r="B2343" s="3" t="n">
        <v>5</v>
      </c>
      <c r="C2343" s="3" t="n">
        <v>30</v>
      </c>
      <c r="D2343" s="3" t="s">
        <v>2347</v>
      </c>
      <c r="E2343" s="4" t="n">
        <v>0</v>
      </c>
    </row>
    <row r="2344" customFormat="false" ht="15" hidden="false" customHeight="false" outlineLevel="0" collapsed="false">
      <c r="A2344" s="3" t="n">
        <v>2018</v>
      </c>
      <c r="B2344" s="3" t="n">
        <v>5</v>
      </c>
      <c r="C2344" s="3" t="n">
        <v>31</v>
      </c>
      <c r="D2344" s="3" t="s">
        <v>2348</v>
      </c>
      <c r="E2344" s="4" t="n">
        <v>14</v>
      </c>
    </row>
    <row r="2345" customFormat="false" ht="15" hidden="false" customHeight="false" outlineLevel="0" collapsed="false">
      <c r="A2345" s="3" t="n">
        <v>2018</v>
      </c>
      <c r="B2345" s="3" t="n">
        <v>6</v>
      </c>
      <c r="C2345" s="3" t="n">
        <v>1</v>
      </c>
      <c r="D2345" s="3" t="s">
        <v>2349</v>
      </c>
      <c r="E2345" s="4" t="n">
        <v>11</v>
      </c>
    </row>
    <row r="2346" customFormat="false" ht="15" hidden="false" customHeight="false" outlineLevel="0" collapsed="false">
      <c r="A2346" s="3" t="n">
        <v>2018</v>
      </c>
      <c r="B2346" s="3" t="n">
        <v>6</v>
      </c>
      <c r="C2346" s="3" t="n">
        <v>2</v>
      </c>
      <c r="D2346" s="3" t="s">
        <v>2350</v>
      </c>
      <c r="E2346" s="4" t="n">
        <v>0</v>
      </c>
    </row>
    <row r="2347" customFormat="false" ht="15" hidden="false" customHeight="false" outlineLevel="0" collapsed="false">
      <c r="A2347" s="3" t="n">
        <v>2018</v>
      </c>
      <c r="B2347" s="3" t="n">
        <v>6</v>
      </c>
      <c r="C2347" s="3" t="n">
        <v>3</v>
      </c>
      <c r="D2347" s="3" t="s">
        <v>2351</v>
      </c>
      <c r="E2347" s="4" t="n">
        <v>0</v>
      </c>
    </row>
    <row r="2348" customFormat="false" ht="15" hidden="false" customHeight="false" outlineLevel="0" collapsed="false">
      <c r="A2348" s="3" t="n">
        <v>2018</v>
      </c>
      <c r="B2348" s="3" t="n">
        <v>6</v>
      </c>
      <c r="C2348" s="3" t="n">
        <v>4</v>
      </c>
      <c r="D2348" s="3" t="s">
        <v>2352</v>
      </c>
      <c r="E2348" s="4" t="n">
        <v>2</v>
      </c>
    </row>
    <row r="2349" customFormat="false" ht="15" hidden="false" customHeight="false" outlineLevel="0" collapsed="false">
      <c r="A2349" s="3" t="n">
        <v>2018</v>
      </c>
      <c r="B2349" s="3" t="n">
        <v>6</v>
      </c>
      <c r="C2349" s="3" t="n">
        <v>5</v>
      </c>
      <c r="D2349" s="3" t="s">
        <v>2353</v>
      </c>
      <c r="E2349" s="4" t="n">
        <v>0</v>
      </c>
    </row>
    <row r="2350" customFormat="false" ht="15" hidden="false" customHeight="false" outlineLevel="0" collapsed="false">
      <c r="A2350" s="3" t="n">
        <v>2018</v>
      </c>
      <c r="B2350" s="3" t="n">
        <v>6</v>
      </c>
      <c r="C2350" s="3" t="n">
        <v>6</v>
      </c>
      <c r="D2350" s="3" t="s">
        <v>2354</v>
      </c>
      <c r="E2350" s="4" t="n">
        <v>0</v>
      </c>
    </row>
    <row r="2351" customFormat="false" ht="15" hidden="false" customHeight="false" outlineLevel="0" collapsed="false">
      <c r="A2351" s="3" t="n">
        <v>2018</v>
      </c>
      <c r="B2351" s="3" t="n">
        <v>6</v>
      </c>
      <c r="C2351" s="3" t="n">
        <v>7</v>
      </c>
      <c r="D2351" s="3" t="s">
        <v>2355</v>
      </c>
      <c r="E2351" s="4" t="n">
        <v>5</v>
      </c>
    </row>
    <row r="2352" customFormat="false" ht="15" hidden="false" customHeight="false" outlineLevel="0" collapsed="false">
      <c r="A2352" s="3" t="n">
        <v>2018</v>
      </c>
      <c r="B2352" s="3" t="n">
        <v>6</v>
      </c>
      <c r="C2352" s="3" t="n">
        <v>8</v>
      </c>
      <c r="D2352" s="3" t="s">
        <v>2356</v>
      </c>
      <c r="E2352" s="4" t="n">
        <v>0</v>
      </c>
    </row>
    <row r="2353" customFormat="false" ht="15" hidden="false" customHeight="false" outlineLevel="0" collapsed="false">
      <c r="A2353" s="3" t="n">
        <v>2018</v>
      </c>
      <c r="B2353" s="3" t="n">
        <v>6</v>
      </c>
      <c r="C2353" s="3" t="n">
        <v>9</v>
      </c>
      <c r="D2353" s="3" t="s">
        <v>2357</v>
      </c>
      <c r="E2353" s="4" t="n">
        <v>5</v>
      </c>
    </row>
    <row r="2354" customFormat="false" ht="15" hidden="false" customHeight="false" outlineLevel="0" collapsed="false">
      <c r="A2354" s="3" t="n">
        <v>2018</v>
      </c>
      <c r="B2354" s="3" t="n">
        <v>6</v>
      </c>
      <c r="C2354" s="3" t="n">
        <v>10</v>
      </c>
      <c r="D2354" s="3" t="s">
        <v>2358</v>
      </c>
      <c r="E2354" s="4" t="n">
        <v>4</v>
      </c>
    </row>
    <row r="2355" customFormat="false" ht="15" hidden="false" customHeight="false" outlineLevel="0" collapsed="false">
      <c r="A2355" s="3" t="n">
        <v>2018</v>
      </c>
      <c r="B2355" s="3" t="n">
        <v>6</v>
      </c>
      <c r="C2355" s="3" t="n">
        <v>11</v>
      </c>
      <c r="D2355" s="3" t="s">
        <v>2359</v>
      </c>
      <c r="E2355" s="4" t="n">
        <v>0</v>
      </c>
    </row>
    <row r="2356" customFormat="false" ht="15" hidden="false" customHeight="false" outlineLevel="0" collapsed="false">
      <c r="A2356" s="3" t="n">
        <v>2018</v>
      </c>
      <c r="B2356" s="3" t="n">
        <v>6</v>
      </c>
      <c r="C2356" s="3" t="n">
        <v>12</v>
      </c>
      <c r="D2356" s="3" t="s">
        <v>2360</v>
      </c>
      <c r="E2356" s="4" t="n">
        <v>0</v>
      </c>
    </row>
    <row r="2357" customFormat="false" ht="15" hidden="false" customHeight="false" outlineLevel="0" collapsed="false">
      <c r="A2357" s="3" t="n">
        <v>2018</v>
      </c>
      <c r="B2357" s="3" t="n">
        <v>6</v>
      </c>
      <c r="C2357" s="3" t="n">
        <v>13</v>
      </c>
      <c r="D2357" s="3" t="s">
        <v>2361</v>
      </c>
      <c r="E2357" s="4" t="n">
        <v>2</v>
      </c>
    </row>
    <row r="2358" customFormat="false" ht="15" hidden="false" customHeight="false" outlineLevel="0" collapsed="false">
      <c r="A2358" s="3" t="n">
        <v>2018</v>
      </c>
      <c r="B2358" s="3" t="n">
        <v>6</v>
      </c>
      <c r="C2358" s="3" t="n">
        <v>14</v>
      </c>
      <c r="D2358" s="3" t="s">
        <v>2362</v>
      </c>
      <c r="E2358" s="4" t="n">
        <v>0</v>
      </c>
    </row>
    <row r="2359" customFormat="false" ht="15" hidden="false" customHeight="false" outlineLevel="0" collapsed="false">
      <c r="A2359" s="3" t="n">
        <v>2018</v>
      </c>
      <c r="B2359" s="3" t="n">
        <v>6</v>
      </c>
      <c r="C2359" s="3" t="n">
        <v>15</v>
      </c>
      <c r="D2359" s="3" t="s">
        <v>2363</v>
      </c>
      <c r="E2359" s="4" t="n">
        <v>4</v>
      </c>
    </row>
    <row r="2360" customFormat="false" ht="15" hidden="false" customHeight="false" outlineLevel="0" collapsed="false">
      <c r="A2360" s="3" t="n">
        <v>2018</v>
      </c>
      <c r="B2360" s="3" t="n">
        <v>6</v>
      </c>
      <c r="C2360" s="3" t="n">
        <v>16</v>
      </c>
      <c r="D2360" s="3" t="s">
        <v>2364</v>
      </c>
      <c r="E2360" s="4" t="n">
        <v>8</v>
      </c>
    </row>
    <row r="2361" customFormat="false" ht="15" hidden="false" customHeight="false" outlineLevel="0" collapsed="false">
      <c r="A2361" s="3" t="n">
        <v>2018</v>
      </c>
      <c r="B2361" s="3" t="n">
        <v>6</v>
      </c>
      <c r="C2361" s="3" t="n">
        <v>17</v>
      </c>
      <c r="D2361" s="3" t="s">
        <v>2365</v>
      </c>
      <c r="E2361" s="4" t="n">
        <v>0</v>
      </c>
    </row>
    <row r="2362" customFormat="false" ht="15" hidden="false" customHeight="false" outlineLevel="0" collapsed="false">
      <c r="A2362" s="3" t="n">
        <v>2018</v>
      </c>
      <c r="B2362" s="3" t="n">
        <v>6</v>
      </c>
      <c r="C2362" s="3" t="n">
        <v>18</v>
      </c>
      <c r="D2362" s="3" t="s">
        <v>2366</v>
      </c>
      <c r="E2362" s="4" t="n">
        <v>0</v>
      </c>
    </row>
    <row r="2363" customFormat="false" ht="15" hidden="false" customHeight="false" outlineLevel="0" collapsed="false">
      <c r="A2363" s="3" t="n">
        <v>2018</v>
      </c>
      <c r="B2363" s="3" t="n">
        <v>6</v>
      </c>
      <c r="C2363" s="3" t="n">
        <v>19</v>
      </c>
      <c r="D2363" s="3" t="s">
        <v>2367</v>
      </c>
      <c r="E2363" s="4" t="n">
        <v>0</v>
      </c>
    </row>
    <row r="2364" customFormat="false" ht="15" hidden="false" customHeight="false" outlineLevel="0" collapsed="false">
      <c r="A2364" s="3" t="n">
        <v>2018</v>
      </c>
      <c r="B2364" s="3" t="n">
        <v>6</v>
      </c>
      <c r="C2364" s="3" t="n">
        <v>20</v>
      </c>
      <c r="D2364" s="3" t="s">
        <v>2368</v>
      </c>
      <c r="E2364" s="4" t="n">
        <v>19</v>
      </c>
    </row>
    <row r="2365" customFormat="false" ht="15" hidden="false" customHeight="false" outlineLevel="0" collapsed="false">
      <c r="A2365" s="3" t="n">
        <v>2018</v>
      </c>
      <c r="B2365" s="3" t="n">
        <v>6</v>
      </c>
      <c r="C2365" s="3" t="n">
        <v>21</v>
      </c>
      <c r="D2365" s="3" t="s">
        <v>2369</v>
      </c>
      <c r="E2365" s="4" t="n">
        <v>0</v>
      </c>
    </row>
    <row r="2366" customFormat="false" ht="15" hidden="false" customHeight="false" outlineLevel="0" collapsed="false">
      <c r="A2366" s="3" t="n">
        <v>2018</v>
      </c>
      <c r="B2366" s="3" t="n">
        <v>6</v>
      </c>
      <c r="C2366" s="3" t="n">
        <v>22</v>
      </c>
      <c r="D2366" s="3" t="s">
        <v>2370</v>
      </c>
      <c r="E2366" s="4" t="n">
        <v>0</v>
      </c>
    </row>
    <row r="2367" customFormat="false" ht="15" hidden="false" customHeight="false" outlineLevel="0" collapsed="false">
      <c r="A2367" s="3" t="n">
        <v>2018</v>
      </c>
      <c r="B2367" s="3" t="n">
        <v>6</v>
      </c>
      <c r="C2367" s="3" t="n">
        <v>23</v>
      </c>
      <c r="D2367" s="3" t="s">
        <v>2371</v>
      </c>
      <c r="E2367" s="4" t="n">
        <v>10</v>
      </c>
    </row>
    <row r="2368" customFormat="false" ht="15" hidden="false" customHeight="false" outlineLevel="0" collapsed="false">
      <c r="A2368" s="3" t="n">
        <v>2018</v>
      </c>
      <c r="B2368" s="3" t="n">
        <v>6</v>
      </c>
      <c r="C2368" s="3" t="n">
        <v>24</v>
      </c>
      <c r="D2368" s="3" t="s">
        <v>2372</v>
      </c>
      <c r="E2368" s="4" t="n">
        <v>0</v>
      </c>
    </row>
    <row r="2369" customFormat="false" ht="15" hidden="false" customHeight="false" outlineLevel="0" collapsed="false">
      <c r="A2369" s="3" t="n">
        <v>2018</v>
      </c>
      <c r="B2369" s="3" t="n">
        <v>6</v>
      </c>
      <c r="C2369" s="3" t="n">
        <v>25</v>
      </c>
      <c r="D2369" s="3" t="s">
        <v>2373</v>
      </c>
      <c r="E2369" s="4" t="n">
        <v>21</v>
      </c>
    </row>
    <row r="2370" customFormat="false" ht="15" hidden="false" customHeight="false" outlineLevel="0" collapsed="false">
      <c r="A2370" s="3" t="n">
        <v>2018</v>
      </c>
      <c r="B2370" s="3" t="n">
        <v>6</v>
      </c>
      <c r="C2370" s="3" t="n">
        <v>26</v>
      </c>
      <c r="D2370" s="3" t="s">
        <v>2374</v>
      </c>
      <c r="E2370" s="4" t="n">
        <v>24</v>
      </c>
    </row>
    <row r="2371" customFormat="false" ht="15" hidden="false" customHeight="false" outlineLevel="0" collapsed="false">
      <c r="A2371" s="3" t="n">
        <v>2018</v>
      </c>
      <c r="B2371" s="3" t="n">
        <v>6</v>
      </c>
      <c r="C2371" s="3" t="n">
        <v>27</v>
      </c>
      <c r="D2371" s="3" t="s">
        <v>2375</v>
      </c>
      <c r="E2371" s="4" t="n">
        <v>0</v>
      </c>
    </row>
    <row r="2372" customFormat="false" ht="15" hidden="false" customHeight="false" outlineLevel="0" collapsed="false">
      <c r="A2372" s="3" t="n">
        <v>2018</v>
      </c>
      <c r="B2372" s="3" t="n">
        <v>6</v>
      </c>
      <c r="C2372" s="3" t="n">
        <v>28</v>
      </c>
      <c r="D2372" s="3" t="s">
        <v>2376</v>
      </c>
      <c r="E2372" s="4" t="n">
        <v>0</v>
      </c>
    </row>
    <row r="2373" customFormat="false" ht="15" hidden="false" customHeight="false" outlineLevel="0" collapsed="false">
      <c r="A2373" s="3" t="n">
        <v>2018</v>
      </c>
      <c r="B2373" s="3" t="n">
        <v>6</v>
      </c>
      <c r="C2373" s="3" t="n">
        <v>29</v>
      </c>
      <c r="D2373" s="3" t="s">
        <v>2377</v>
      </c>
      <c r="E2373" s="4" t="n">
        <v>1</v>
      </c>
    </row>
    <row r="2374" customFormat="false" ht="15" hidden="false" customHeight="false" outlineLevel="0" collapsed="false">
      <c r="A2374" s="3" t="n">
        <v>2018</v>
      </c>
      <c r="B2374" s="3" t="n">
        <v>6</v>
      </c>
      <c r="C2374" s="3" t="n">
        <v>30</v>
      </c>
      <c r="D2374" s="3" t="s">
        <v>2378</v>
      </c>
      <c r="E2374" s="4" t="n">
        <v>9</v>
      </c>
    </row>
    <row r="2375" customFormat="false" ht="15" hidden="false" customHeight="false" outlineLevel="0" collapsed="false">
      <c r="A2375" s="3" t="n">
        <v>2018</v>
      </c>
      <c r="B2375" s="3" t="n">
        <v>7</v>
      </c>
      <c r="C2375" s="3" t="n">
        <v>1</v>
      </c>
      <c r="D2375" s="3" t="s">
        <v>2379</v>
      </c>
      <c r="E2375" s="4" t="n">
        <v>6</v>
      </c>
    </row>
    <row r="2376" customFormat="false" ht="15" hidden="false" customHeight="false" outlineLevel="0" collapsed="false">
      <c r="A2376" s="3" t="n">
        <v>2018</v>
      </c>
      <c r="B2376" s="3" t="n">
        <v>7</v>
      </c>
      <c r="C2376" s="3" t="n">
        <v>2</v>
      </c>
      <c r="D2376" s="3" t="s">
        <v>2380</v>
      </c>
      <c r="E2376" s="4" t="n">
        <v>0</v>
      </c>
    </row>
    <row r="2377" customFormat="false" ht="15" hidden="false" customHeight="false" outlineLevel="0" collapsed="false">
      <c r="A2377" s="3" t="n">
        <v>2018</v>
      </c>
      <c r="B2377" s="3" t="n">
        <v>7</v>
      </c>
      <c r="C2377" s="3" t="n">
        <v>3</v>
      </c>
      <c r="D2377" s="3" t="s">
        <v>2381</v>
      </c>
      <c r="E2377" s="4" t="n">
        <v>10</v>
      </c>
    </row>
    <row r="2378" customFormat="false" ht="15" hidden="false" customHeight="false" outlineLevel="0" collapsed="false">
      <c r="A2378" s="3" t="n">
        <v>2018</v>
      </c>
      <c r="B2378" s="3" t="n">
        <v>7</v>
      </c>
      <c r="C2378" s="3" t="n">
        <v>4</v>
      </c>
      <c r="D2378" s="3" t="s">
        <v>2382</v>
      </c>
      <c r="E2378" s="4" t="n">
        <v>2</v>
      </c>
    </row>
    <row r="2379" customFormat="false" ht="15" hidden="false" customHeight="false" outlineLevel="0" collapsed="false">
      <c r="A2379" s="3" t="n">
        <v>2018</v>
      </c>
      <c r="B2379" s="3" t="n">
        <v>7</v>
      </c>
      <c r="C2379" s="3" t="n">
        <v>5</v>
      </c>
      <c r="D2379" s="3" t="s">
        <v>2383</v>
      </c>
      <c r="E2379" s="4" t="n">
        <v>0</v>
      </c>
    </row>
    <row r="2380" customFormat="false" ht="15" hidden="false" customHeight="false" outlineLevel="0" collapsed="false">
      <c r="A2380" s="3" t="n">
        <v>2018</v>
      </c>
      <c r="B2380" s="3" t="n">
        <v>7</v>
      </c>
      <c r="C2380" s="3" t="n">
        <v>6</v>
      </c>
      <c r="D2380" s="3" t="s">
        <v>2384</v>
      </c>
      <c r="E2380" s="4" t="n">
        <v>0</v>
      </c>
    </row>
    <row r="2381" customFormat="false" ht="15" hidden="false" customHeight="false" outlineLevel="0" collapsed="false">
      <c r="A2381" s="3" t="n">
        <v>2018</v>
      </c>
      <c r="B2381" s="3" t="n">
        <v>7</v>
      </c>
      <c r="C2381" s="3" t="n">
        <v>7</v>
      </c>
      <c r="D2381" s="3" t="s">
        <v>2385</v>
      </c>
      <c r="E2381" s="4" t="n">
        <v>0</v>
      </c>
    </row>
    <row r="2382" customFormat="false" ht="15" hidden="false" customHeight="false" outlineLevel="0" collapsed="false">
      <c r="A2382" s="3" t="n">
        <v>2018</v>
      </c>
      <c r="B2382" s="3" t="n">
        <v>7</v>
      </c>
      <c r="C2382" s="3" t="n">
        <v>8</v>
      </c>
      <c r="D2382" s="3" t="s">
        <v>2386</v>
      </c>
      <c r="E2382" s="4" t="n">
        <v>0</v>
      </c>
    </row>
    <row r="2383" customFormat="false" ht="15" hidden="false" customHeight="false" outlineLevel="0" collapsed="false">
      <c r="A2383" s="3" t="n">
        <v>2018</v>
      </c>
      <c r="B2383" s="3" t="n">
        <v>7</v>
      </c>
      <c r="C2383" s="3" t="n">
        <v>9</v>
      </c>
      <c r="D2383" s="3" t="s">
        <v>2387</v>
      </c>
      <c r="E2383" s="4" t="n">
        <v>0</v>
      </c>
    </row>
    <row r="2384" customFormat="false" ht="15" hidden="false" customHeight="false" outlineLevel="0" collapsed="false">
      <c r="A2384" s="3" t="n">
        <v>2018</v>
      </c>
      <c r="B2384" s="3" t="n">
        <v>7</v>
      </c>
      <c r="C2384" s="3" t="n">
        <v>10</v>
      </c>
      <c r="D2384" s="3" t="s">
        <v>2388</v>
      </c>
      <c r="E2384" s="4" t="n">
        <v>0</v>
      </c>
    </row>
    <row r="2385" customFormat="false" ht="15" hidden="false" customHeight="false" outlineLevel="0" collapsed="false">
      <c r="A2385" s="3" t="n">
        <v>2018</v>
      </c>
      <c r="B2385" s="3" t="n">
        <v>7</v>
      </c>
      <c r="C2385" s="3" t="n">
        <v>11</v>
      </c>
      <c r="D2385" s="3" t="s">
        <v>2389</v>
      </c>
      <c r="E2385" s="4" t="n">
        <v>0</v>
      </c>
    </row>
    <row r="2386" customFormat="false" ht="15" hidden="false" customHeight="false" outlineLevel="0" collapsed="false">
      <c r="A2386" s="3" t="n">
        <v>2018</v>
      </c>
      <c r="B2386" s="3" t="n">
        <v>7</v>
      </c>
      <c r="C2386" s="3" t="n">
        <v>12</v>
      </c>
      <c r="D2386" s="3" t="s">
        <v>2390</v>
      </c>
      <c r="E2386" s="4" t="n">
        <v>0</v>
      </c>
    </row>
    <row r="2387" customFormat="false" ht="15" hidden="false" customHeight="false" outlineLevel="0" collapsed="false">
      <c r="A2387" s="3" t="n">
        <v>2018</v>
      </c>
      <c r="B2387" s="3" t="n">
        <v>7</v>
      </c>
      <c r="C2387" s="3" t="n">
        <v>13</v>
      </c>
      <c r="D2387" s="3" t="s">
        <v>2391</v>
      </c>
      <c r="E2387" s="4" t="n">
        <v>0</v>
      </c>
    </row>
    <row r="2388" customFormat="false" ht="15" hidden="false" customHeight="false" outlineLevel="0" collapsed="false">
      <c r="A2388" s="3" t="n">
        <v>2018</v>
      </c>
      <c r="B2388" s="3" t="n">
        <v>7</v>
      </c>
      <c r="C2388" s="3" t="n">
        <v>14</v>
      </c>
      <c r="D2388" s="3" t="s">
        <v>2392</v>
      </c>
      <c r="E2388" s="4" t="n">
        <v>0</v>
      </c>
    </row>
    <row r="2389" customFormat="false" ht="15" hidden="false" customHeight="false" outlineLevel="0" collapsed="false">
      <c r="A2389" s="3" t="n">
        <v>2018</v>
      </c>
      <c r="B2389" s="3" t="n">
        <v>7</v>
      </c>
      <c r="C2389" s="3" t="n">
        <v>15</v>
      </c>
      <c r="D2389" s="3" t="s">
        <v>2393</v>
      </c>
      <c r="E2389" s="4" t="n">
        <v>0</v>
      </c>
    </row>
    <row r="2390" customFormat="false" ht="15" hidden="false" customHeight="false" outlineLevel="0" collapsed="false">
      <c r="A2390" s="3" t="n">
        <v>2018</v>
      </c>
      <c r="B2390" s="3" t="n">
        <v>7</v>
      </c>
      <c r="C2390" s="3" t="n">
        <v>16</v>
      </c>
      <c r="D2390" s="3" t="s">
        <v>2394</v>
      </c>
      <c r="E2390" s="4" t="n">
        <v>0</v>
      </c>
    </row>
    <row r="2391" customFormat="false" ht="15" hidden="false" customHeight="false" outlineLevel="0" collapsed="false">
      <c r="A2391" s="3" t="n">
        <v>2018</v>
      </c>
      <c r="B2391" s="3" t="n">
        <v>7</v>
      </c>
      <c r="C2391" s="3" t="n">
        <v>17</v>
      </c>
      <c r="D2391" s="3" t="s">
        <v>2395</v>
      </c>
      <c r="E2391" s="4" t="n">
        <v>0</v>
      </c>
    </row>
    <row r="2392" customFormat="false" ht="15" hidden="false" customHeight="false" outlineLevel="0" collapsed="false">
      <c r="A2392" s="3" t="n">
        <v>2018</v>
      </c>
      <c r="B2392" s="3" t="n">
        <v>7</v>
      </c>
      <c r="C2392" s="3" t="n">
        <v>18</v>
      </c>
      <c r="D2392" s="3" t="s">
        <v>2396</v>
      </c>
      <c r="E2392" s="4" t="n">
        <v>0</v>
      </c>
    </row>
    <row r="2393" customFormat="false" ht="15" hidden="false" customHeight="false" outlineLevel="0" collapsed="false">
      <c r="A2393" s="3" t="n">
        <v>2018</v>
      </c>
      <c r="B2393" s="3" t="n">
        <v>7</v>
      </c>
      <c r="C2393" s="3" t="n">
        <v>19</v>
      </c>
      <c r="D2393" s="3" t="s">
        <v>2397</v>
      </c>
      <c r="E2393" s="4" t="n">
        <v>0</v>
      </c>
    </row>
    <row r="2394" customFormat="false" ht="15" hidden="false" customHeight="false" outlineLevel="0" collapsed="false">
      <c r="A2394" s="3" t="n">
        <v>2018</v>
      </c>
      <c r="B2394" s="3" t="n">
        <v>7</v>
      </c>
      <c r="C2394" s="3" t="n">
        <v>20</v>
      </c>
      <c r="D2394" s="3" t="s">
        <v>2398</v>
      </c>
      <c r="E2394" s="4" t="n">
        <v>0</v>
      </c>
    </row>
    <row r="2395" customFormat="false" ht="15" hidden="false" customHeight="false" outlineLevel="0" collapsed="false">
      <c r="A2395" s="3" t="n">
        <v>2018</v>
      </c>
      <c r="B2395" s="3" t="n">
        <v>7</v>
      </c>
      <c r="C2395" s="3" t="n">
        <v>21</v>
      </c>
      <c r="D2395" s="3" t="s">
        <v>2399</v>
      </c>
      <c r="E2395" s="4" t="n">
        <v>0</v>
      </c>
    </row>
    <row r="2396" customFormat="false" ht="15" hidden="false" customHeight="false" outlineLevel="0" collapsed="false">
      <c r="A2396" s="3" t="n">
        <v>2018</v>
      </c>
      <c r="B2396" s="3" t="n">
        <v>7</v>
      </c>
      <c r="C2396" s="3" t="n">
        <v>22</v>
      </c>
      <c r="D2396" s="3" t="s">
        <v>2400</v>
      </c>
      <c r="E2396" s="4" t="n">
        <v>0</v>
      </c>
    </row>
    <row r="2397" customFormat="false" ht="15" hidden="false" customHeight="false" outlineLevel="0" collapsed="false">
      <c r="A2397" s="3" t="n">
        <v>2018</v>
      </c>
      <c r="B2397" s="3" t="n">
        <v>7</v>
      </c>
      <c r="C2397" s="3" t="n">
        <v>23</v>
      </c>
      <c r="D2397" s="3" t="s">
        <v>2401</v>
      </c>
      <c r="E2397" s="4" t="n">
        <v>0</v>
      </c>
    </row>
    <row r="2398" customFormat="false" ht="15" hidden="false" customHeight="false" outlineLevel="0" collapsed="false">
      <c r="A2398" s="3" t="n">
        <v>2018</v>
      </c>
      <c r="B2398" s="3" t="n">
        <v>7</v>
      </c>
      <c r="C2398" s="3" t="n">
        <v>24</v>
      </c>
      <c r="D2398" s="3" t="s">
        <v>2402</v>
      </c>
      <c r="E2398" s="4" t="n">
        <v>0</v>
      </c>
    </row>
    <row r="2399" customFormat="false" ht="15" hidden="false" customHeight="false" outlineLevel="0" collapsed="false">
      <c r="A2399" s="3" t="n">
        <v>2018</v>
      </c>
      <c r="B2399" s="3" t="n">
        <v>7</v>
      </c>
      <c r="C2399" s="3" t="n">
        <v>25</v>
      </c>
      <c r="D2399" s="3" t="s">
        <v>2403</v>
      </c>
      <c r="E2399" s="4" t="n">
        <v>0</v>
      </c>
    </row>
    <row r="2400" customFormat="false" ht="15" hidden="false" customHeight="false" outlineLevel="0" collapsed="false">
      <c r="A2400" s="3" t="n">
        <v>2018</v>
      </c>
      <c r="B2400" s="3" t="n">
        <v>7</v>
      </c>
      <c r="C2400" s="3" t="n">
        <v>26</v>
      </c>
      <c r="D2400" s="3" t="s">
        <v>2404</v>
      </c>
      <c r="E2400" s="4" t="n">
        <v>5</v>
      </c>
    </row>
    <row r="2401" customFormat="false" ht="15" hidden="false" customHeight="false" outlineLevel="0" collapsed="false">
      <c r="A2401" s="3" t="n">
        <v>2018</v>
      </c>
      <c r="B2401" s="3" t="n">
        <v>7</v>
      </c>
      <c r="C2401" s="3" t="n">
        <v>27</v>
      </c>
      <c r="D2401" s="3" t="s">
        <v>2405</v>
      </c>
      <c r="E2401" s="4" t="n">
        <v>0</v>
      </c>
    </row>
    <row r="2402" customFormat="false" ht="15" hidden="false" customHeight="false" outlineLevel="0" collapsed="false">
      <c r="A2402" s="3" t="n">
        <v>2018</v>
      </c>
      <c r="B2402" s="3" t="n">
        <v>7</v>
      </c>
      <c r="C2402" s="3" t="n">
        <v>28</v>
      </c>
      <c r="D2402" s="3" t="s">
        <v>2406</v>
      </c>
      <c r="E2402" s="4" t="n">
        <v>0</v>
      </c>
    </row>
    <row r="2403" customFormat="false" ht="15" hidden="false" customHeight="false" outlineLevel="0" collapsed="false">
      <c r="A2403" s="3" t="n">
        <v>2018</v>
      </c>
      <c r="B2403" s="3" t="n">
        <v>7</v>
      </c>
      <c r="C2403" s="3" t="n">
        <v>29</v>
      </c>
      <c r="D2403" s="3" t="s">
        <v>2407</v>
      </c>
      <c r="E2403" s="4" t="n">
        <v>0</v>
      </c>
    </row>
    <row r="2404" customFormat="false" ht="15" hidden="false" customHeight="false" outlineLevel="0" collapsed="false">
      <c r="A2404" s="3" t="n">
        <v>2018</v>
      </c>
      <c r="B2404" s="3" t="n">
        <v>7</v>
      </c>
      <c r="C2404" s="3" t="n">
        <v>30</v>
      </c>
      <c r="D2404" s="3" t="s">
        <v>2408</v>
      </c>
      <c r="E2404" s="4" t="n">
        <v>1</v>
      </c>
    </row>
    <row r="2405" customFormat="false" ht="15" hidden="false" customHeight="false" outlineLevel="0" collapsed="false">
      <c r="A2405" s="3" t="n">
        <v>2018</v>
      </c>
      <c r="B2405" s="3" t="n">
        <v>7</v>
      </c>
      <c r="C2405" s="3" t="n">
        <v>31</v>
      </c>
      <c r="D2405" s="3" t="s">
        <v>2409</v>
      </c>
      <c r="E2405" s="4" t="n">
        <v>0</v>
      </c>
    </row>
    <row r="2406" customFormat="false" ht="15" hidden="false" customHeight="false" outlineLevel="0" collapsed="false">
      <c r="A2406" s="3" t="n">
        <v>2018</v>
      </c>
      <c r="B2406" s="3" t="n">
        <v>8</v>
      </c>
      <c r="C2406" s="3" t="n">
        <v>1</v>
      </c>
      <c r="D2406" s="3" t="s">
        <v>2410</v>
      </c>
      <c r="E2406" s="4" t="n">
        <v>15</v>
      </c>
    </row>
    <row r="2407" customFormat="false" ht="15" hidden="false" customHeight="false" outlineLevel="0" collapsed="false">
      <c r="A2407" s="3" t="n">
        <v>2018</v>
      </c>
      <c r="B2407" s="3" t="n">
        <v>8</v>
      </c>
      <c r="C2407" s="3" t="n">
        <v>2</v>
      </c>
      <c r="D2407" s="3" t="s">
        <v>2411</v>
      </c>
      <c r="E2407" s="4" t="n">
        <v>0</v>
      </c>
    </row>
    <row r="2408" customFormat="false" ht="15" hidden="false" customHeight="false" outlineLevel="0" collapsed="false">
      <c r="A2408" s="3" t="n">
        <v>2018</v>
      </c>
      <c r="B2408" s="3" t="n">
        <v>8</v>
      </c>
      <c r="C2408" s="3" t="n">
        <v>3</v>
      </c>
      <c r="D2408" s="3" t="s">
        <v>2412</v>
      </c>
      <c r="E2408" s="4" t="n">
        <v>0</v>
      </c>
    </row>
    <row r="2409" customFormat="false" ht="15" hidden="false" customHeight="false" outlineLevel="0" collapsed="false">
      <c r="A2409" s="3" t="n">
        <v>2018</v>
      </c>
      <c r="B2409" s="3" t="n">
        <v>8</v>
      </c>
      <c r="C2409" s="3" t="n">
        <v>4</v>
      </c>
      <c r="D2409" s="3" t="s">
        <v>2413</v>
      </c>
      <c r="E2409" s="4" t="n">
        <v>0</v>
      </c>
    </row>
    <row r="2410" customFormat="false" ht="15" hidden="false" customHeight="false" outlineLevel="0" collapsed="false">
      <c r="A2410" s="3" t="n">
        <v>2018</v>
      </c>
      <c r="B2410" s="3" t="n">
        <v>8</v>
      </c>
      <c r="C2410" s="3" t="n">
        <v>5</v>
      </c>
      <c r="D2410" s="3" t="s">
        <v>2414</v>
      </c>
      <c r="E2410" s="4" t="n">
        <v>0</v>
      </c>
    </row>
    <row r="2411" customFormat="false" ht="15" hidden="false" customHeight="false" outlineLevel="0" collapsed="false">
      <c r="A2411" s="3" t="n">
        <v>2018</v>
      </c>
      <c r="B2411" s="3" t="n">
        <v>8</v>
      </c>
      <c r="C2411" s="3" t="n">
        <v>6</v>
      </c>
      <c r="D2411" s="3" t="s">
        <v>2415</v>
      </c>
      <c r="E2411" s="4" t="n">
        <v>0</v>
      </c>
    </row>
    <row r="2412" customFormat="false" ht="15" hidden="false" customHeight="false" outlineLevel="0" collapsed="false">
      <c r="A2412" s="3" t="n">
        <v>2018</v>
      </c>
      <c r="B2412" s="3" t="n">
        <v>8</v>
      </c>
      <c r="C2412" s="3" t="n">
        <v>7</v>
      </c>
      <c r="D2412" s="3" t="s">
        <v>2416</v>
      </c>
      <c r="E2412" s="4" t="n">
        <v>0</v>
      </c>
    </row>
    <row r="2413" customFormat="false" ht="15" hidden="false" customHeight="false" outlineLevel="0" collapsed="false">
      <c r="A2413" s="3" t="n">
        <v>2018</v>
      </c>
      <c r="B2413" s="3" t="n">
        <v>8</v>
      </c>
      <c r="C2413" s="3" t="n">
        <v>8</v>
      </c>
      <c r="D2413" s="3" t="s">
        <v>2417</v>
      </c>
      <c r="E2413" s="4" t="n">
        <v>0</v>
      </c>
    </row>
    <row r="2414" customFormat="false" ht="15" hidden="false" customHeight="false" outlineLevel="0" collapsed="false">
      <c r="A2414" s="3" t="n">
        <v>2018</v>
      </c>
      <c r="B2414" s="3" t="n">
        <v>8</v>
      </c>
      <c r="C2414" s="3" t="n">
        <v>9</v>
      </c>
      <c r="D2414" s="3" t="s">
        <v>2418</v>
      </c>
      <c r="E2414" s="4" t="n">
        <v>2</v>
      </c>
    </row>
    <row r="2415" customFormat="false" ht="15" hidden="false" customHeight="false" outlineLevel="0" collapsed="false">
      <c r="A2415" s="3" t="n">
        <v>2018</v>
      </c>
      <c r="B2415" s="3" t="n">
        <v>8</v>
      </c>
      <c r="C2415" s="3" t="n">
        <v>10</v>
      </c>
      <c r="D2415" s="3" t="s">
        <v>2419</v>
      </c>
      <c r="E2415" s="4" t="n">
        <v>0</v>
      </c>
    </row>
    <row r="2416" customFormat="false" ht="15" hidden="false" customHeight="false" outlineLevel="0" collapsed="false">
      <c r="A2416" s="3" t="n">
        <v>2018</v>
      </c>
      <c r="B2416" s="3" t="n">
        <v>8</v>
      </c>
      <c r="C2416" s="3" t="n">
        <v>11</v>
      </c>
      <c r="D2416" s="3" t="s">
        <v>2420</v>
      </c>
      <c r="E2416" s="4" t="n">
        <v>0</v>
      </c>
    </row>
    <row r="2417" customFormat="false" ht="15" hidden="false" customHeight="false" outlineLevel="0" collapsed="false">
      <c r="A2417" s="3" t="n">
        <v>2018</v>
      </c>
      <c r="B2417" s="3" t="n">
        <v>8</v>
      </c>
      <c r="C2417" s="3" t="n">
        <v>12</v>
      </c>
      <c r="D2417" s="3" t="s">
        <v>2421</v>
      </c>
      <c r="E2417" s="4" t="n">
        <v>0</v>
      </c>
    </row>
    <row r="2418" customFormat="false" ht="15" hidden="false" customHeight="false" outlineLevel="0" collapsed="false">
      <c r="A2418" s="3" t="n">
        <v>2018</v>
      </c>
      <c r="B2418" s="3" t="n">
        <v>8</v>
      </c>
      <c r="C2418" s="3" t="n">
        <v>13</v>
      </c>
      <c r="D2418" s="3" t="s">
        <v>2422</v>
      </c>
      <c r="E2418" s="4" t="n">
        <v>0</v>
      </c>
    </row>
    <row r="2419" customFormat="false" ht="15" hidden="false" customHeight="false" outlineLevel="0" collapsed="false">
      <c r="A2419" s="3" t="n">
        <v>2018</v>
      </c>
      <c r="B2419" s="3" t="n">
        <v>8</v>
      </c>
      <c r="C2419" s="3" t="n">
        <v>14</v>
      </c>
      <c r="D2419" s="3" t="s">
        <v>2423</v>
      </c>
      <c r="E2419" s="4" t="n">
        <v>0</v>
      </c>
    </row>
    <row r="2420" customFormat="false" ht="15" hidden="false" customHeight="false" outlineLevel="0" collapsed="false">
      <c r="A2420" s="3" t="n">
        <v>2018</v>
      </c>
      <c r="B2420" s="3" t="n">
        <v>8</v>
      </c>
      <c r="C2420" s="3" t="n">
        <v>15</v>
      </c>
      <c r="D2420" s="3" t="s">
        <v>2424</v>
      </c>
      <c r="E2420" s="4" t="n">
        <v>0</v>
      </c>
    </row>
    <row r="2421" customFormat="false" ht="15" hidden="false" customHeight="false" outlineLevel="0" collapsed="false">
      <c r="A2421" s="3" t="n">
        <v>2018</v>
      </c>
      <c r="B2421" s="3" t="n">
        <v>8</v>
      </c>
      <c r="C2421" s="3" t="n">
        <v>16</v>
      </c>
      <c r="D2421" s="3" t="s">
        <v>2425</v>
      </c>
      <c r="E2421" s="4" t="n">
        <v>0</v>
      </c>
    </row>
    <row r="2422" customFormat="false" ht="15" hidden="false" customHeight="false" outlineLevel="0" collapsed="false">
      <c r="A2422" s="3" t="n">
        <v>2018</v>
      </c>
      <c r="B2422" s="3" t="n">
        <v>8</v>
      </c>
      <c r="C2422" s="3" t="n">
        <v>17</v>
      </c>
      <c r="D2422" s="3" t="s">
        <v>2426</v>
      </c>
      <c r="E2422" s="4" t="n">
        <v>0</v>
      </c>
    </row>
    <row r="2423" customFormat="false" ht="15" hidden="false" customHeight="false" outlineLevel="0" collapsed="false">
      <c r="A2423" s="3" t="n">
        <v>2018</v>
      </c>
      <c r="B2423" s="3" t="n">
        <v>8</v>
      </c>
      <c r="C2423" s="3" t="n">
        <v>18</v>
      </c>
      <c r="D2423" s="3" t="s">
        <v>2427</v>
      </c>
      <c r="E2423" s="4" t="n">
        <v>0</v>
      </c>
    </row>
    <row r="2424" customFormat="false" ht="15" hidden="false" customHeight="false" outlineLevel="0" collapsed="false">
      <c r="A2424" s="3" t="n">
        <v>2018</v>
      </c>
      <c r="B2424" s="3" t="n">
        <v>8</v>
      </c>
      <c r="C2424" s="3" t="n">
        <v>19</v>
      </c>
      <c r="D2424" s="3" t="s">
        <v>2428</v>
      </c>
      <c r="E2424" s="4" t="n">
        <v>0</v>
      </c>
    </row>
    <row r="2425" customFormat="false" ht="15" hidden="false" customHeight="false" outlineLevel="0" collapsed="false">
      <c r="A2425" s="3" t="n">
        <v>2018</v>
      </c>
      <c r="B2425" s="3" t="n">
        <v>8</v>
      </c>
      <c r="C2425" s="3" t="n">
        <v>20</v>
      </c>
      <c r="D2425" s="3" t="s">
        <v>2429</v>
      </c>
      <c r="E2425" s="4" t="n">
        <v>0</v>
      </c>
    </row>
    <row r="2426" customFormat="false" ht="15" hidden="false" customHeight="false" outlineLevel="0" collapsed="false">
      <c r="A2426" s="3" t="n">
        <v>2018</v>
      </c>
      <c r="B2426" s="3" t="n">
        <v>8</v>
      </c>
      <c r="C2426" s="3" t="n">
        <v>21</v>
      </c>
      <c r="D2426" s="3" t="s">
        <v>2430</v>
      </c>
      <c r="E2426" s="4" t="n">
        <v>0</v>
      </c>
    </row>
    <row r="2427" customFormat="false" ht="15" hidden="false" customHeight="false" outlineLevel="0" collapsed="false">
      <c r="A2427" s="3" t="n">
        <v>2018</v>
      </c>
      <c r="B2427" s="3" t="n">
        <v>8</v>
      </c>
      <c r="C2427" s="3" t="n">
        <v>22</v>
      </c>
      <c r="D2427" s="3" t="s">
        <v>2431</v>
      </c>
      <c r="E2427" s="4" t="n">
        <v>0</v>
      </c>
    </row>
    <row r="2428" customFormat="false" ht="15" hidden="false" customHeight="false" outlineLevel="0" collapsed="false">
      <c r="A2428" s="3" t="n">
        <v>2018</v>
      </c>
      <c r="B2428" s="3" t="n">
        <v>8</v>
      </c>
      <c r="C2428" s="3" t="n">
        <v>23</v>
      </c>
      <c r="D2428" s="3" t="s">
        <v>2432</v>
      </c>
      <c r="E2428" s="4" t="n">
        <v>0</v>
      </c>
    </row>
    <row r="2429" customFormat="false" ht="15" hidden="false" customHeight="false" outlineLevel="0" collapsed="false">
      <c r="A2429" s="3" t="n">
        <v>2018</v>
      </c>
      <c r="B2429" s="3" t="n">
        <v>8</v>
      </c>
      <c r="C2429" s="3" t="n">
        <v>24</v>
      </c>
      <c r="D2429" s="3" t="s">
        <v>2433</v>
      </c>
      <c r="E2429" s="4" t="n">
        <v>0</v>
      </c>
    </row>
    <row r="2430" customFormat="false" ht="15" hidden="false" customHeight="false" outlineLevel="0" collapsed="false">
      <c r="A2430" s="3" t="n">
        <v>2018</v>
      </c>
      <c r="B2430" s="3" t="n">
        <v>8</v>
      </c>
      <c r="C2430" s="3" t="n">
        <v>25</v>
      </c>
      <c r="D2430" s="3" t="s">
        <v>2434</v>
      </c>
      <c r="E2430" s="4" t="n">
        <v>1</v>
      </c>
    </row>
    <row r="2431" customFormat="false" ht="15" hidden="false" customHeight="false" outlineLevel="0" collapsed="false">
      <c r="A2431" s="3" t="n">
        <v>2018</v>
      </c>
      <c r="B2431" s="3" t="n">
        <v>8</v>
      </c>
      <c r="C2431" s="3" t="n">
        <v>26</v>
      </c>
      <c r="D2431" s="3" t="s">
        <v>2435</v>
      </c>
      <c r="E2431" s="4" t="n">
        <v>0</v>
      </c>
    </row>
    <row r="2432" customFormat="false" ht="15" hidden="false" customHeight="false" outlineLevel="0" collapsed="false">
      <c r="A2432" s="3" t="n">
        <v>2018</v>
      </c>
      <c r="B2432" s="3" t="n">
        <v>8</v>
      </c>
      <c r="C2432" s="3" t="n">
        <v>27</v>
      </c>
      <c r="D2432" s="3" t="s">
        <v>2436</v>
      </c>
      <c r="E2432" s="4" t="n">
        <v>0</v>
      </c>
    </row>
    <row r="2433" customFormat="false" ht="15" hidden="false" customHeight="false" outlineLevel="0" collapsed="false">
      <c r="A2433" s="3" t="n">
        <v>2018</v>
      </c>
      <c r="B2433" s="3" t="n">
        <v>8</v>
      </c>
      <c r="C2433" s="3" t="n">
        <v>28</v>
      </c>
      <c r="D2433" s="3" t="s">
        <v>2437</v>
      </c>
      <c r="E2433" s="4" t="n">
        <v>21</v>
      </c>
    </row>
    <row r="2434" customFormat="false" ht="15" hidden="false" customHeight="false" outlineLevel="0" collapsed="false">
      <c r="A2434" s="3" t="n">
        <v>2018</v>
      </c>
      <c r="B2434" s="3" t="n">
        <v>8</v>
      </c>
      <c r="C2434" s="3" t="n">
        <v>29</v>
      </c>
      <c r="D2434" s="3" t="s">
        <v>2438</v>
      </c>
      <c r="E2434" s="4" t="n">
        <v>6</v>
      </c>
    </row>
    <row r="2435" customFormat="false" ht="15" hidden="false" customHeight="false" outlineLevel="0" collapsed="false">
      <c r="A2435" s="3" t="n">
        <v>2018</v>
      </c>
      <c r="B2435" s="3" t="n">
        <v>8</v>
      </c>
      <c r="C2435" s="3" t="n">
        <v>30</v>
      </c>
      <c r="D2435" s="3" t="s">
        <v>2439</v>
      </c>
      <c r="E2435" s="4" t="n">
        <v>3</v>
      </c>
    </row>
    <row r="2436" customFormat="false" ht="15" hidden="false" customHeight="false" outlineLevel="0" collapsed="false">
      <c r="A2436" s="3" t="n">
        <v>2018</v>
      </c>
      <c r="B2436" s="3" t="n">
        <v>8</v>
      </c>
      <c r="C2436" s="3" t="n">
        <v>31</v>
      </c>
      <c r="D2436" s="3" t="s">
        <v>2440</v>
      </c>
      <c r="E2436" s="4" t="n">
        <v>0</v>
      </c>
    </row>
    <row r="2437" customFormat="false" ht="15" hidden="false" customHeight="false" outlineLevel="0" collapsed="false">
      <c r="A2437" s="3" t="n">
        <v>2018</v>
      </c>
      <c r="B2437" s="3" t="n">
        <v>9</v>
      </c>
      <c r="C2437" s="3" t="n">
        <v>1</v>
      </c>
      <c r="D2437" s="3" t="s">
        <v>2441</v>
      </c>
      <c r="E2437" s="4" t="n">
        <v>29</v>
      </c>
    </row>
    <row r="2438" customFormat="false" ht="15" hidden="false" customHeight="false" outlineLevel="0" collapsed="false">
      <c r="A2438" s="3" t="n">
        <v>2018</v>
      </c>
      <c r="B2438" s="3" t="n">
        <v>9</v>
      </c>
      <c r="C2438" s="3" t="n">
        <v>2</v>
      </c>
      <c r="D2438" s="3" t="s">
        <v>2442</v>
      </c>
      <c r="E2438" s="4" t="n">
        <v>0</v>
      </c>
    </row>
    <row r="2439" customFormat="false" ht="15" hidden="false" customHeight="false" outlineLevel="0" collapsed="false">
      <c r="A2439" s="3" t="n">
        <v>2018</v>
      </c>
      <c r="B2439" s="3" t="n">
        <v>9</v>
      </c>
      <c r="C2439" s="3" t="n">
        <v>3</v>
      </c>
      <c r="D2439" s="3" t="s">
        <v>2443</v>
      </c>
      <c r="E2439" s="4" t="n">
        <v>0</v>
      </c>
    </row>
    <row r="2440" customFormat="false" ht="15" hidden="false" customHeight="false" outlineLevel="0" collapsed="false">
      <c r="A2440" s="3" t="n">
        <v>2018</v>
      </c>
      <c r="B2440" s="3" t="n">
        <v>9</v>
      </c>
      <c r="C2440" s="3" t="n">
        <v>4</v>
      </c>
      <c r="D2440" s="3" t="s">
        <v>2444</v>
      </c>
      <c r="E2440" s="4" t="n">
        <v>0</v>
      </c>
    </row>
    <row r="2441" customFormat="false" ht="15" hidden="false" customHeight="false" outlineLevel="0" collapsed="false">
      <c r="A2441" s="3" t="n">
        <v>2018</v>
      </c>
      <c r="B2441" s="3" t="n">
        <v>9</v>
      </c>
      <c r="C2441" s="3" t="n">
        <v>5</v>
      </c>
      <c r="D2441" s="3" t="s">
        <v>2445</v>
      </c>
      <c r="E2441" s="4" t="n">
        <v>0</v>
      </c>
    </row>
    <row r="2442" customFormat="false" ht="15" hidden="false" customHeight="false" outlineLevel="0" collapsed="false">
      <c r="A2442" s="3" t="n">
        <v>2018</v>
      </c>
      <c r="B2442" s="3" t="n">
        <v>9</v>
      </c>
      <c r="C2442" s="3" t="n">
        <v>6</v>
      </c>
      <c r="D2442" s="3" t="s">
        <v>2446</v>
      </c>
      <c r="E2442" s="4" t="n">
        <v>2</v>
      </c>
    </row>
    <row r="2443" customFormat="false" ht="15" hidden="false" customHeight="false" outlineLevel="0" collapsed="false">
      <c r="A2443" s="3" t="n">
        <v>2018</v>
      </c>
      <c r="B2443" s="3" t="n">
        <v>9</v>
      </c>
      <c r="C2443" s="3" t="n">
        <v>7</v>
      </c>
      <c r="D2443" s="3" t="s">
        <v>2447</v>
      </c>
      <c r="E2443" s="4" t="n">
        <v>0</v>
      </c>
    </row>
    <row r="2444" customFormat="false" ht="15" hidden="false" customHeight="false" outlineLevel="0" collapsed="false">
      <c r="A2444" s="3" t="n">
        <v>2018</v>
      </c>
      <c r="B2444" s="3" t="n">
        <v>9</v>
      </c>
      <c r="C2444" s="3" t="n">
        <v>8</v>
      </c>
      <c r="D2444" s="3" t="s">
        <v>2448</v>
      </c>
      <c r="E2444" s="4" t="n">
        <v>0</v>
      </c>
    </row>
    <row r="2445" customFormat="false" ht="15" hidden="false" customHeight="false" outlineLevel="0" collapsed="false">
      <c r="A2445" s="3" t="n">
        <v>2018</v>
      </c>
      <c r="B2445" s="3" t="n">
        <v>9</v>
      </c>
      <c r="C2445" s="3" t="n">
        <v>9</v>
      </c>
      <c r="D2445" s="3" t="s">
        <v>2449</v>
      </c>
      <c r="E2445" s="4" t="n">
        <v>24</v>
      </c>
    </row>
    <row r="2446" customFormat="false" ht="15" hidden="false" customHeight="false" outlineLevel="0" collapsed="false">
      <c r="A2446" s="3" t="n">
        <v>2018</v>
      </c>
      <c r="B2446" s="3" t="n">
        <v>9</v>
      </c>
      <c r="C2446" s="3" t="n">
        <v>10</v>
      </c>
      <c r="D2446" s="3" t="s">
        <v>2450</v>
      </c>
      <c r="E2446" s="4" t="n">
        <v>0</v>
      </c>
    </row>
    <row r="2447" customFormat="false" ht="15" hidden="false" customHeight="false" outlineLevel="0" collapsed="false">
      <c r="A2447" s="3" t="n">
        <v>2018</v>
      </c>
      <c r="B2447" s="3" t="n">
        <v>9</v>
      </c>
      <c r="C2447" s="3" t="n">
        <v>11</v>
      </c>
      <c r="D2447" s="3" t="s">
        <v>2451</v>
      </c>
      <c r="E2447" s="4" t="n">
        <v>0</v>
      </c>
    </row>
    <row r="2448" customFormat="false" ht="15" hidden="false" customHeight="false" outlineLevel="0" collapsed="false">
      <c r="A2448" s="3" t="n">
        <v>2018</v>
      </c>
      <c r="B2448" s="3" t="n">
        <v>9</v>
      </c>
      <c r="C2448" s="3" t="n">
        <v>12</v>
      </c>
      <c r="D2448" s="3" t="s">
        <v>2452</v>
      </c>
      <c r="E2448" s="4" t="n">
        <v>0</v>
      </c>
    </row>
    <row r="2449" customFormat="false" ht="15" hidden="false" customHeight="false" outlineLevel="0" collapsed="false">
      <c r="A2449" s="3" t="n">
        <v>2018</v>
      </c>
      <c r="B2449" s="3" t="n">
        <v>9</v>
      </c>
      <c r="C2449" s="3" t="n">
        <v>13</v>
      </c>
      <c r="D2449" s="3" t="s">
        <v>2453</v>
      </c>
      <c r="E2449" s="4" t="n">
        <v>0</v>
      </c>
    </row>
    <row r="2450" customFormat="false" ht="15" hidden="false" customHeight="false" outlineLevel="0" collapsed="false">
      <c r="A2450" s="3" t="n">
        <v>2018</v>
      </c>
      <c r="B2450" s="3" t="n">
        <v>9</v>
      </c>
      <c r="C2450" s="3" t="n">
        <v>14</v>
      </c>
      <c r="D2450" s="3" t="s">
        <v>2454</v>
      </c>
      <c r="E2450" s="4" t="n">
        <v>0</v>
      </c>
    </row>
    <row r="2451" customFormat="false" ht="15" hidden="false" customHeight="false" outlineLevel="0" collapsed="false">
      <c r="A2451" s="3" t="n">
        <v>2018</v>
      </c>
      <c r="B2451" s="3" t="n">
        <v>9</v>
      </c>
      <c r="C2451" s="3" t="n">
        <v>15</v>
      </c>
      <c r="D2451" s="3" t="s">
        <v>2455</v>
      </c>
      <c r="E2451" s="4" t="n">
        <v>0</v>
      </c>
    </row>
    <row r="2452" customFormat="false" ht="15" hidden="false" customHeight="false" outlineLevel="0" collapsed="false">
      <c r="A2452" s="3" t="n">
        <v>2018</v>
      </c>
      <c r="B2452" s="3" t="n">
        <v>9</v>
      </c>
      <c r="C2452" s="3" t="n">
        <v>16</v>
      </c>
      <c r="D2452" s="3" t="s">
        <v>2456</v>
      </c>
      <c r="E2452" s="4" t="n">
        <v>0</v>
      </c>
    </row>
    <row r="2453" customFormat="false" ht="15" hidden="false" customHeight="false" outlineLevel="0" collapsed="false">
      <c r="A2453" s="3" t="n">
        <v>2018</v>
      </c>
      <c r="B2453" s="3" t="n">
        <v>9</v>
      </c>
      <c r="C2453" s="3" t="n">
        <v>17</v>
      </c>
      <c r="D2453" s="3" t="s">
        <v>2457</v>
      </c>
      <c r="E2453" s="4" t="n">
        <v>0</v>
      </c>
    </row>
    <row r="2454" customFormat="false" ht="15" hidden="false" customHeight="false" outlineLevel="0" collapsed="false">
      <c r="A2454" s="3" t="n">
        <v>2018</v>
      </c>
      <c r="B2454" s="3" t="n">
        <v>9</v>
      </c>
      <c r="C2454" s="3" t="n">
        <v>18</v>
      </c>
      <c r="D2454" s="3" t="s">
        <v>2458</v>
      </c>
      <c r="E2454" s="4" t="n">
        <v>1</v>
      </c>
    </row>
    <row r="2455" customFormat="false" ht="15" hidden="false" customHeight="false" outlineLevel="0" collapsed="false">
      <c r="A2455" s="3" t="n">
        <v>2018</v>
      </c>
      <c r="B2455" s="3" t="n">
        <v>9</v>
      </c>
      <c r="C2455" s="3" t="n">
        <v>19</v>
      </c>
      <c r="D2455" s="3" t="s">
        <v>2459</v>
      </c>
      <c r="E2455" s="4" t="n">
        <v>3</v>
      </c>
    </row>
    <row r="2456" customFormat="false" ht="15" hidden="false" customHeight="false" outlineLevel="0" collapsed="false">
      <c r="A2456" s="3" t="n">
        <v>2018</v>
      </c>
      <c r="B2456" s="3" t="n">
        <v>9</v>
      </c>
      <c r="C2456" s="3" t="n">
        <v>20</v>
      </c>
      <c r="D2456" s="3" t="s">
        <v>2460</v>
      </c>
      <c r="E2456" s="4" t="n">
        <v>11</v>
      </c>
    </row>
    <row r="2457" customFormat="false" ht="15" hidden="false" customHeight="false" outlineLevel="0" collapsed="false">
      <c r="A2457" s="3" t="n">
        <v>2018</v>
      </c>
      <c r="B2457" s="3" t="n">
        <v>9</v>
      </c>
      <c r="C2457" s="3" t="n">
        <v>21</v>
      </c>
      <c r="D2457" s="3" t="s">
        <v>2461</v>
      </c>
      <c r="E2457" s="4" t="n">
        <v>8</v>
      </c>
    </row>
    <row r="2458" customFormat="false" ht="15" hidden="false" customHeight="false" outlineLevel="0" collapsed="false">
      <c r="A2458" s="3" t="n">
        <v>2018</v>
      </c>
      <c r="B2458" s="3" t="n">
        <v>9</v>
      </c>
      <c r="C2458" s="3" t="n">
        <v>22</v>
      </c>
      <c r="D2458" s="3" t="s">
        <v>2462</v>
      </c>
      <c r="E2458" s="4" t="n">
        <v>0</v>
      </c>
    </row>
    <row r="2459" customFormat="false" ht="15" hidden="false" customHeight="false" outlineLevel="0" collapsed="false">
      <c r="A2459" s="3" t="n">
        <v>2018</v>
      </c>
      <c r="B2459" s="3" t="n">
        <v>9</v>
      </c>
      <c r="C2459" s="3" t="n">
        <v>23</v>
      </c>
      <c r="D2459" s="3" t="s">
        <v>2463</v>
      </c>
      <c r="E2459" s="4" t="n">
        <v>0</v>
      </c>
    </row>
    <row r="2460" customFormat="false" ht="15" hidden="false" customHeight="false" outlineLevel="0" collapsed="false">
      <c r="A2460" s="3" t="n">
        <v>2018</v>
      </c>
      <c r="B2460" s="3" t="n">
        <v>9</v>
      </c>
      <c r="C2460" s="3" t="n">
        <v>24</v>
      </c>
      <c r="D2460" s="3" t="s">
        <v>2464</v>
      </c>
      <c r="E2460" s="4" t="n">
        <v>0</v>
      </c>
    </row>
    <row r="2461" customFormat="false" ht="15" hidden="false" customHeight="false" outlineLevel="0" collapsed="false">
      <c r="A2461" s="3" t="n">
        <v>2018</v>
      </c>
      <c r="B2461" s="3" t="n">
        <v>9</v>
      </c>
      <c r="C2461" s="3" t="n">
        <v>25</v>
      </c>
      <c r="D2461" s="3" t="s">
        <v>2465</v>
      </c>
      <c r="E2461" s="4" t="n">
        <v>0</v>
      </c>
    </row>
    <row r="2462" customFormat="false" ht="15" hidden="false" customHeight="false" outlineLevel="0" collapsed="false">
      <c r="A2462" s="3" t="n">
        <v>2018</v>
      </c>
      <c r="B2462" s="3" t="n">
        <v>9</v>
      </c>
      <c r="C2462" s="3" t="n">
        <v>26</v>
      </c>
      <c r="D2462" s="3" t="s">
        <v>2466</v>
      </c>
      <c r="E2462" s="4" t="n">
        <v>23</v>
      </c>
    </row>
    <row r="2463" customFormat="false" ht="15" hidden="false" customHeight="false" outlineLevel="0" collapsed="false">
      <c r="A2463" s="3" t="n">
        <v>2018</v>
      </c>
      <c r="B2463" s="3" t="n">
        <v>9</v>
      </c>
      <c r="C2463" s="3" t="n">
        <v>27</v>
      </c>
      <c r="D2463" s="3" t="s">
        <v>2467</v>
      </c>
      <c r="E2463" s="4" t="n">
        <v>2</v>
      </c>
    </row>
    <row r="2464" customFormat="false" ht="15" hidden="false" customHeight="false" outlineLevel="0" collapsed="false">
      <c r="A2464" s="3" t="n">
        <v>2018</v>
      </c>
      <c r="B2464" s="3" t="n">
        <v>9</v>
      </c>
      <c r="C2464" s="3" t="n">
        <v>28</v>
      </c>
      <c r="D2464" s="3" t="s">
        <v>2468</v>
      </c>
      <c r="E2464" s="4" t="n">
        <v>0</v>
      </c>
    </row>
    <row r="2465" customFormat="false" ht="15" hidden="false" customHeight="false" outlineLevel="0" collapsed="false">
      <c r="A2465" s="3" t="n">
        <v>2018</v>
      </c>
      <c r="B2465" s="3" t="n">
        <v>9</v>
      </c>
      <c r="C2465" s="3" t="n">
        <v>29</v>
      </c>
      <c r="D2465" s="3" t="s">
        <v>2469</v>
      </c>
      <c r="E2465" s="4" t="n">
        <v>0</v>
      </c>
    </row>
    <row r="2466" customFormat="false" ht="15" hidden="false" customHeight="false" outlineLevel="0" collapsed="false">
      <c r="A2466" s="3" t="n">
        <v>2018</v>
      </c>
      <c r="B2466" s="3" t="n">
        <v>9</v>
      </c>
      <c r="C2466" s="3" t="n">
        <v>30</v>
      </c>
      <c r="D2466" s="3" t="s">
        <v>2470</v>
      </c>
      <c r="E2466" s="4" t="n">
        <v>0</v>
      </c>
    </row>
    <row r="2467" customFormat="false" ht="15" hidden="false" customHeight="false" outlineLevel="0" collapsed="false">
      <c r="A2467" s="3" t="n">
        <v>2018</v>
      </c>
      <c r="B2467" s="3" t="n">
        <v>10</v>
      </c>
      <c r="C2467" s="3" t="n">
        <v>1</v>
      </c>
      <c r="D2467" s="3" t="s">
        <v>2471</v>
      </c>
      <c r="E2467" s="4" t="n">
        <v>0</v>
      </c>
    </row>
    <row r="2468" customFormat="false" ht="15" hidden="false" customHeight="false" outlineLevel="0" collapsed="false">
      <c r="A2468" s="3" t="n">
        <v>2018</v>
      </c>
      <c r="B2468" s="3" t="n">
        <v>10</v>
      </c>
      <c r="C2468" s="3" t="n">
        <v>2</v>
      </c>
      <c r="D2468" s="3" t="s">
        <v>2472</v>
      </c>
      <c r="E2468" s="4" t="n">
        <v>0</v>
      </c>
    </row>
    <row r="2469" customFormat="false" ht="15" hidden="false" customHeight="false" outlineLevel="0" collapsed="false">
      <c r="A2469" s="3" t="n">
        <v>2018</v>
      </c>
      <c r="B2469" s="3" t="n">
        <v>10</v>
      </c>
      <c r="C2469" s="3" t="n">
        <v>3</v>
      </c>
      <c r="D2469" s="3" t="s">
        <v>2473</v>
      </c>
      <c r="E2469" s="4" t="n">
        <v>8</v>
      </c>
    </row>
    <row r="2470" customFormat="false" ht="15" hidden="false" customHeight="false" outlineLevel="0" collapsed="false">
      <c r="A2470" s="3" t="n">
        <v>2018</v>
      </c>
      <c r="B2470" s="3" t="n">
        <v>10</v>
      </c>
      <c r="C2470" s="3" t="n">
        <v>4</v>
      </c>
      <c r="D2470" s="3" t="s">
        <v>2474</v>
      </c>
      <c r="E2470" s="4" t="n">
        <v>0</v>
      </c>
    </row>
    <row r="2471" customFormat="false" ht="15" hidden="false" customHeight="false" outlineLevel="0" collapsed="false">
      <c r="A2471" s="3" t="n">
        <v>2018</v>
      </c>
      <c r="B2471" s="3" t="n">
        <v>10</v>
      </c>
      <c r="C2471" s="3" t="n">
        <v>5</v>
      </c>
      <c r="D2471" s="3" t="s">
        <v>2475</v>
      </c>
      <c r="E2471" s="4" t="n">
        <v>0</v>
      </c>
    </row>
    <row r="2472" customFormat="false" ht="15" hidden="false" customHeight="false" outlineLevel="0" collapsed="false">
      <c r="A2472" s="3" t="n">
        <v>2018</v>
      </c>
      <c r="B2472" s="3" t="n">
        <v>10</v>
      </c>
      <c r="C2472" s="3" t="n">
        <v>6</v>
      </c>
      <c r="D2472" s="3" t="s">
        <v>2476</v>
      </c>
      <c r="E2472" s="4" t="n">
        <v>0</v>
      </c>
    </row>
    <row r="2473" customFormat="false" ht="15" hidden="false" customHeight="false" outlineLevel="0" collapsed="false">
      <c r="A2473" s="3" t="n">
        <v>2018</v>
      </c>
      <c r="B2473" s="3" t="n">
        <v>10</v>
      </c>
      <c r="C2473" s="3" t="n">
        <v>7</v>
      </c>
      <c r="D2473" s="3" t="s">
        <v>2477</v>
      </c>
      <c r="E2473" s="4" t="n">
        <v>6</v>
      </c>
    </row>
    <row r="2474" customFormat="false" ht="15" hidden="false" customHeight="false" outlineLevel="0" collapsed="false">
      <c r="A2474" s="3" t="n">
        <v>2018</v>
      </c>
      <c r="B2474" s="3" t="n">
        <v>10</v>
      </c>
      <c r="C2474" s="3" t="n">
        <v>8</v>
      </c>
      <c r="D2474" s="3" t="s">
        <v>2478</v>
      </c>
      <c r="E2474" s="4" t="n">
        <v>0</v>
      </c>
    </row>
    <row r="2475" customFormat="false" ht="15" hidden="false" customHeight="false" outlineLevel="0" collapsed="false">
      <c r="A2475" s="3" t="n">
        <v>2018</v>
      </c>
      <c r="B2475" s="3" t="n">
        <v>10</v>
      </c>
      <c r="C2475" s="3" t="n">
        <v>9</v>
      </c>
      <c r="D2475" s="3" t="s">
        <v>2479</v>
      </c>
      <c r="E2475" s="4" t="n">
        <v>1</v>
      </c>
    </row>
    <row r="2476" customFormat="false" ht="15" hidden="false" customHeight="false" outlineLevel="0" collapsed="false">
      <c r="A2476" s="3" t="n">
        <v>2018</v>
      </c>
      <c r="B2476" s="3" t="n">
        <v>10</v>
      </c>
      <c r="C2476" s="3" t="n">
        <v>10</v>
      </c>
      <c r="D2476" s="3" t="s">
        <v>2480</v>
      </c>
      <c r="E2476" s="4" t="n">
        <v>4</v>
      </c>
    </row>
    <row r="2477" customFormat="false" ht="15" hidden="false" customHeight="false" outlineLevel="0" collapsed="false">
      <c r="A2477" s="3" t="n">
        <v>2018</v>
      </c>
      <c r="B2477" s="3" t="n">
        <v>10</v>
      </c>
      <c r="C2477" s="3" t="n">
        <v>11</v>
      </c>
      <c r="D2477" s="3" t="s">
        <v>2481</v>
      </c>
      <c r="E2477" s="4" t="n">
        <v>3</v>
      </c>
    </row>
    <row r="2478" customFormat="false" ht="15" hidden="false" customHeight="false" outlineLevel="0" collapsed="false">
      <c r="A2478" s="3" t="n">
        <v>2018</v>
      </c>
      <c r="B2478" s="3" t="n">
        <v>10</v>
      </c>
      <c r="C2478" s="3" t="n">
        <v>12</v>
      </c>
      <c r="D2478" s="3" t="s">
        <v>2482</v>
      </c>
      <c r="E2478" s="4" t="n">
        <v>17</v>
      </c>
    </row>
    <row r="2479" customFormat="false" ht="15" hidden="false" customHeight="false" outlineLevel="0" collapsed="false">
      <c r="A2479" s="3" t="n">
        <v>2018</v>
      </c>
      <c r="B2479" s="3" t="n">
        <v>10</v>
      </c>
      <c r="C2479" s="3" t="n">
        <v>13</v>
      </c>
      <c r="D2479" s="3" t="s">
        <v>2483</v>
      </c>
      <c r="E2479" s="4" t="n">
        <v>4</v>
      </c>
    </row>
    <row r="2480" customFormat="false" ht="15" hidden="false" customHeight="false" outlineLevel="0" collapsed="false">
      <c r="A2480" s="3" t="n">
        <v>2018</v>
      </c>
      <c r="B2480" s="3" t="n">
        <v>10</v>
      </c>
      <c r="C2480" s="3" t="n">
        <v>14</v>
      </c>
      <c r="D2480" s="3" t="s">
        <v>2484</v>
      </c>
      <c r="E2480" s="4" t="n">
        <v>54</v>
      </c>
    </row>
    <row r="2481" customFormat="false" ht="15" hidden="false" customHeight="false" outlineLevel="0" collapsed="false">
      <c r="A2481" s="3" t="n">
        <v>2018</v>
      </c>
      <c r="B2481" s="3" t="n">
        <v>10</v>
      </c>
      <c r="C2481" s="3" t="n">
        <v>15</v>
      </c>
      <c r="D2481" s="3" t="s">
        <v>2485</v>
      </c>
      <c r="E2481" s="4" t="n">
        <v>0</v>
      </c>
    </row>
    <row r="2482" customFormat="false" ht="15" hidden="false" customHeight="false" outlineLevel="0" collapsed="false">
      <c r="A2482" s="3" t="n">
        <v>2018</v>
      </c>
      <c r="B2482" s="3" t="n">
        <v>10</v>
      </c>
      <c r="C2482" s="3" t="n">
        <v>16</v>
      </c>
      <c r="D2482" s="3" t="s">
        <v>2486</v>
      </c>
      <c r="E2482" s="4" t="n">
        <v>0</v>
      </c>
    </row>
    <row r="2483" customFormat="false" ht="15" hidden="false" customHeight="false" outlineLevel="0" collapsed="false">
      <c r="A2483" s="3" t="n">
        <v>2018</v>
      </c>
      <c r="B2483" s="3" t="n">
        <v>10</v>
      </c>
      <c r="C2483" s="3" t="n">
        <v>17</v>
      </c>
      <c r="D2483" s="3" t="s">
        <v>2487</v>
      </c>
      <c r="E2483" s="4" t="n">
        <v>8</v>
      </c>
    </row>
    <row r="2484" customFormat="false" ht="15" hidden="false" customHeight="false" outlineLevel="0" collapsed="false">
      <c r="A2484" s="3" t="n">
        <v>2018</v>
      </c>
      <c r="B2484" s="3" t="n">
        <v>10</v>
      </c>
      <c r="C2484" s="3" t="n">
        <v>18</v>
      </c>
      <c r="D2484" s="3" t="s">
        <v>2488</v>
      </c>
      <c r="E2484" s="4" t="n">
        <v>10</v>
      </c>
    </row>
    <row r="2485" customFormat="false" ht="15" hidden="false" customHeight="false" outlineLevel="0" collapsed="false">
      <c r="A2485" s="3" t="n">
        <v>2018</v>
      </c>
      <c r="B2485" s="3" t="n">
        <v>10</v>
      </c>
      <c r="C2485" s="3" t="n">
        <v>19</v>
      </c>
      <c r="D2485" s="3" t="s">
        <v>2489</v>
      </c>
      <c r="E2485" s="4" t="n">
        <v>1</v>
      </c>
    </row>
    <row r="2486" customFormat="false" ht="15" hidden="false" customHeight="false" outlineLevel="0" collapsed="false">
      <c r="A2486" s="3" t="n">
        <v>2018</v>
      </c>
      <c r="B2486" s="3" t="n">
        <v>10</v>
      </c>
      <c r="C2486" s="3" t="n">
        <v>20</v>
      </c>
      <c r="D2486" s="3" t="s">
        <v>2490</v>
      </c>
      <c r="E2486" s="4" t="n">
        <v>0</v>
      </c>
    </row>
    <row r="2487" customFormat="false" ht="15" hidden="false" customHeight="false" outlineLevel="0" collapsed="false">
      <c r="A2487" s="3" t="n">
        <v>2018</v>
      </c>
      <c r="B2487" s="3" t="n">
        <v>10</v>
      </c>
      <c r="C2487" s="3" t="n">
        <v>21</v>
      </c>
      <c r="D2487" s="3" t="s">
        <v>2491</v>
      </c>
      <c r="E2487" s="4" t="n">
        <v>25</v>
      </c>
    </row>
    <row r="2488" customFormat="false" ht="15" hidden="false" customHeight="false" outlineLevel="0" collapsed="false">
      <c r="A2488" s="3" t="n">
        <v>2018</v>
      </c>
      <c r="B2488" s="3" t="n">
        <v>10</v>
      </c>
      <c r="C2488" s="3" t="n">
        <v>22</v>
      </c>
      <c r="D2488" s="3" t="s">
        <v>2492</v>
      </c>
      <c r="E2488" s="4" t="n">
        <v>0</v>
      </c>
    </row>
    <row r="2489" customFormat="false" ht="15" hidden="false" customHeight="false" outlineLevel="0" collapsed="false">
      <c r="A2489" s="3" t="n">
        <v>2018</v>
      </c>
      <c r="B2489" s="3" t="n">
        <v>10</v>
      </c>
      <c r="C2489" s="3" t="n">
        <v>23</v>
      </c>
      <c r="D2489" s="3" t="s">
        <v>2493</v>
      </c>
      <c r="E2489" s="4" t="n">
        <v>7</v>
      </c>
    </row>
    <row r="2490" customFormat="false" ht="15" hidden="false" customHeight="false" outlineLevel="0" collapsed="false">
      <c r="A2490" s="3" t="n">
        <v>2018</v>
      </c>
      <c r="B2490" s="3" t="n">
        <v>10</v>
      </c>
      <c r="C2490" s="3" t="n">
        <v>24</v>
      </c>
      <c r="D2490" s="3" t="s">
        <v>2494</v>
      </c>
      <c r="E2490" s="4" t="n">
        <v>0</v>
      </c>
    </row>
    <row r="2491" customFormat="false" ht="15" hidden="false" customHeight="false" outlineLevel="0" collapsed="false">
      <c r="A2491" s="3" t="n">
        <v>2018</v>
      </c>
      <c r="B2491" s="3" t="n">
        <v>10</v>
      </c>
      <c r="C2491" s="3" t="n">
        <v>25</v>
      </c>
      <c r="D2491" s="3" t="s">
        <v>2495</v>
      </c>
      <c r="E2491" s="4" t="n">
        <v>0</v>
      </c>
    </row>
    <row r="2492" customFormat="false" ht="15" hidden="false" customHeight="false" outlineLevel="0" collapsed="false">
      <c r="A2492" s="3" t="n">
        <v>2018</v>
      </c>
      <c r="B2492" s="3" t="n">
        <v>10</v>
      </c>
      <c r="C2492" s="3" t="n">
        <v>26</v>
      </c>
      <c r="D2492" s="3" t="s">
        <v>2496</v>
      </c>
      <c r="E2492" s="4" t="n">
        <v>0</v>
      </c>
    </row>
    <row r="2493" customFormat="false" ht="15" hidden="false" customHeight="false" outlineLevel="0" collapsed="false">
      <c r="A2493" s="3" t="n">
        <v>2018</v>
      </c>
      <c r="B2493" s="3" t="n">
        <v>10</v>
      </c>
      <c r="C2493" s="3" t="n">
        <v>27</v>
      </c>
      <c r="D2493" s="3" t="s">
        <v>2497</v>
      </c>
      <c r="E2493" s="4" t="n">
        <v>21</v>
      </c>
    </row>
    <row r="2494" customFormat="false" ht="15" hidden="false" customHeight="false" outlineLevel="0" collapsed="false">
      <c r="A2494" s="3" t="n">
        <v>2018</v>
      </c>
      <c r="B2494" s="3" t="n">
        <v>10</v>
      </c>
      <c r="C2494" s="3" t="n">
        <v>28</v>
      </c>
      <c r="D2494" s="3" t="s">
        <v>2498</v>
      </c>
      <c r="E2494" s="4" t="n">
        <v>0</v>
      </c>
    </row>
    <row r="2495" customFormat="false" ht="15" hidden="false" customHeight="false" outlineLevel="0" collapsed="false">
      <c r="A2495" s="3" t="n">
        <v>2018</v>
      </c>
      <c r="B2495" s="3" t="n">
        <v>10</v>
      </c>
      <c r="C2495" s="3" t="n">
        <v>29</v>
      </c>
      <c r="D2495" s="3" t="s">
        <v>2499</v>
      </c>
      <c r="E2495" s="4" t="n">
        <v>0</v>
      </c>
    </row>
    <row r="2496" customFormat="false" ht="15" hidden="false" customHeight="false" outlineLevel="0" collapsed="false">
      <c r="A2496" s="3" t="n">
        <v>2018</v>
      </c>
      <c r="B2496" s="3" t="n">
        <v>10</v>
      </c>
      <c r="C2496" s="3" t="n">
        <v>30</v>
      </c>
      <c r="D2496" s="3" t="s">
        <v>2500</v>
      </c>
      <c r="E2496" s="4" t="n">
        <v>0</v>
      </c>
    </row>
    <row r="2497" customFormat="false" ht="15" hidden="false" customHeight="false" outlineLevel="0" collapsed="false">
      <c r="A2497" s="3" t="n">
        <v>2018</v>
      </c>
      <c r="B2497" s="3" t="n">
        <v>10</v>
      </c>
      <c r="C2497" s="3" t="n">
        <v>31</v>
      </c>
      <c r="D2497" s="3" t="s">
        <v>2501</v>
      </c>
      <c r="E2497" s="4" t="n">
        <v>7</v>
      </c>
    </row>
    <row r="2498" customFormat="false" ht="15" hidden="false" customHeight="false" outlineLevel="0" collapsed="false">
      <c r="A2498" s="3" t="n">
        <v>2018</v>
      </c>
      <c r="B2498" s="3" t="n">
        <v>11</v>
      </c>
      <c r="C2498" s="3" t="n">
        <v>1</v>
      </c>
      <c r="D2498" s="3" t="s">
        <v>2502</v>
      </c>
      <c r="E2498" s="4" t="n">
        <v>14</v>
      </c>
    </row>
    <row r="2499" customFormat="false" ht="15" hidden="false" customHeight="false" outlineLevel="0" collapsed="false">
      <c r="A2499" s="3" t="n">
        <v>2018</v>
      </c>
      <c r="B2499" s="3" t="n">
        <v>11</v>
      </c>
      <c r="C2499" s="3" t="n">
        <v>2</v>
      </c>
      <c r="D2499" s="3" t="s">
        <v>2503</v>
      </c>
      <c r="E2499" s="4" t="n">
        <v>0</v>
      </c>
    </row>
    <row r="2500" customFormat="false" ht="15" hidden="false" customHeight="false" outlineLevel="0" collapsed="false">
      <c r="A2500" s="3" t="n">
        <v>2018</v>
      </c>
      <c r="B2500" s="3" t="n">
        <v>11</v>
      </c>
      <c r="C2500" s="3" t="n">
        <v>3</v>
      </c>
      <c r="D2500" s="3" t="s">
        <v>2504</v>
      </c>
      <c r="E2500" s="4" t="n">
        <v>6</v>
      </c>
    </row>
    <row r="2501" customFormat="false" ht="15" hidden="false" customHeight="false" outlineLevel="0" collapsed="false">
      <c r="A2501" s="3" t="n">
        <v>2018</v>
      </c>
      <c r="B2501" s="3" t="n">
        <v>11</v>
      </c>
      <c r="C2501" s="3" t="n">
        <v>4</v>
      </c>
      <c r="D2501" s="3" t="s">
        <v>2505</v>
      </c>
      <c r="E2501" s="4" t="n">
        <v>2</v>
      </c>
    </row>
    <row r="2502" customFormat="false" ht="15" hidden="false" customHeight="false" outlineLevel="0" collapsed="false">
      <c r="A2502" s="3" t="n">
        <v>2018</v>
      </c>
      <c r="B2502" s="3" t="n">
        <v>11</v>
      </c>
      <c r="C2502" s="3" t="n">
        <v>5</v>
      </c>
      <c r="D2502" s="3" t="s">
        <v>2506</v>
      </c>
      <c r="E2502" s="4" t="n">
        <v>0</v>
      </c>
    </row>
    <row r="2503" customFormat="false" ht="15" hidden="false" customHeight="false" outlineLevel="0" collapsed="false">
      <c r="A2503" s="3" t="n">
        <v>2018</v>
      </c>
      <c r="B2503" s="3" t="n">
        <v>11</v>
      </c>
      <c r="C2503" s="3" t="n">
        <v>6</v>
      </c>
      <c r="D2503" s="3" t="s">
        <v>2507</v>
      </c>
      <c r="E2503" s="4" t="n">
        <v>6</v>
      </c>
    </row>
    <row r="2504" customFormat="false" ht="15" hidden="false" customHeight="false" outlineLevel="0" collapsed="false">
      <c r="A2504" s="3" t="n">
        <v>2018</v>
      </c>
      <c r="B2504" s="3" t="n">
        <v>11</v>
      </c>
      <c r="C2504" s="3" t="n">
        <v>7</v>
      </c>
      <c r="D2504" s="3" t="s">
        <v>2508</v>
      </c>
      <c r="E2504" s="4" t="n">
        <v>0</v>
      </c>
    </row>
    <row r="2505" customFormat="false" ht="15" hidden="false" customHeight="false" outlineLevel="0" collapsed="false">
      <c r="A2505" s="3" t="n">
        <v>2018</v>
      </c>
      <c r="B2505" s="3" t="n">
        <v>11</v>
      </c>
      <c r="C2505" s="3" t="n">
        <v>8</v>
      </c>
      <c r="D2505" s="3" t="s">
        <v>2509</v>
      </c>
      <c r="E2505" s="4" t="n">
        <v>6</v>
      </c>
    </row>
    <row r="2506" customFormat="false" ht="15" hidden="false" customHeight="false" outlineLevel="0" collapsed="false">
      <c r="A2506" s="3" t="n">
        <v>2018</v>
      </c>
      <c r="B2506" s="3" t="n">
        <v>11</v>
      </c>
      <c r="C2506" s="3" t="n">
        <v>9</v>
      </c>
      <c r="D2506" s="3" t="s">
        <v>2510</v>
      </c>
      <c r="E2506" s="4" t="n">
        <v>0</v>
      </c>
    </row>
    <row r="2507" customFormat="false" ht="15" hidden="false" customHeight="false" outlineLevel="0" collapsed="false">
      <c r="A2507" s="3" t="n">
        <v>2018</v>
      </c>
      <c r="B2507" s="3" t="n">
        <v>11</v>
      </c>
      <c r="C2507" s="3" t="n">
        <v>10</v>
      </c>
      <c r="D2507" s="3" t="s">
        <v>2511</v>
      </c>
      <c r="E2507" s="4" t="n">
        <v>6</v>
      </c>
    </row>
    <row r="2508" customFormat="false" ht="15" hidden="false" customHeight="false" outlineLevel="0" collapsed="false">
      <c r="A2508" s="3" t="n">
        <v>2018</v>
      </c>
      <c r="B2508" s="3" t="n">
        <v>11</v>
      </c>
      <c r="C2508" s="3" t="n">
        <v>11</v>
      </c>
      <c r="D2508" s="3" t="s">
        <v>2512</v>
      </c>
      <c r="E2508" s="4" t="n">
        <v>5</v>
      </c>
    </row>
    <row r="2509" customFormat="false" ht="15" hidden="false" customHeight="false" outlineLevel="0" collapsed="false">
      <c r="A2509" s="3" t="n">
        <v>2018</v>
      </c>
      <c r="B2509" s="3" t="n">
        <v>11</v>
      </c>
      <c r="C2509" s="3" t="n">
        <v>12</v>
      </c>
      <c r="D2509" s="3" t="s">
        <v>2513</v>
      </c>
      <c r="E2509" s="4" t="n">
        <v>0</v>
      </c>
    </row>
    <row r="2510" customFormat="false" ht="15" hidden="false" customHeight="false" outlineLevel="0" collapsed="false">
      <c r="A2510" s="3" t="n">
        <v>2018</v>
      </c>
      <c r="B2510" s="3" t="n">
        <v>11</v>
      </c>
      <c r="C2510" s="3" t="n">
        <v>13</v>
      </c>
      <c r="D2510" s="3" t="s">
        <v>2514</v>
      </c>
      <c r="E2510" s="4" t="n">
        <v>0</v>
      </c>
    </row>
    <row r="2511" customFormat="false" ht="15" hidden="false" customHeight="false" outlineLevel="0" collapsed="false">
      <c r="A2511" s="3" t="n">
        <v>2018</v>
      </c>
      <c r="B2511" s="3" t="n">
        <v>11</v>
      </c>
      <c r="C2511" s="3" t="n">
        <v>14</v>
      </c>
      <c r="D2511" s="3" t="s">
        <v>2515</v>
      </c>
      <c r="E2511" s="4" t="n">
        <v>4</v>
      </c>
    </row>
    <row r="2512" customFormat="false" ht="15" hidden="false" customHeight="false" outlineLevel="0" collapsed="false">
      <c r="A2512" s="3" t="n">
        <v>2018</v>
      </c>
      <c r="B2512" s="3" t="n">
        <v>11</v>
      </c>
      <c r="C2512" s="3" t="n">
        <v>15</v>
      </c>
      <c r="D2512" s="3" t="s">
        <v>2516</v>
      </c>
      <c r="E2512" s="4" t="n">
        <v>5</v>
      </c>
    </row>
    <row r="2513" customFormat="false" ht="15" hidden="false" customHeight="false" outlineLevel="0" collapsed="false">
      <c r="A2513" s="3" t="n">
        <v>2018</v>
      </c>
      <c r="B2513" s="3" t="n">
        <v>11</v>
      </c>
      <c r="C2513" s="3" t="n">
        <v>16</v>
      </c>
      <c r="D2513" s="3" t="s">
        <v>2517</v>
      </c>
      <c r="E2513" s="4" t="n">
        <v>0</v>
      </c>
    </row>
    <row r="2514" customFormat="false" ht="15" hidden="false" customHeight="false" outlineLevel="0" collapsed="false">
      <c r="A2514" s="3" t="n">
        <v>2018</v>
      </c>
      <c r="B2514" s="3" t="n">
        <v>11</v>
      </c>
      <c r="C2514" s="3" t="n">
        <v>17</v>
      </c>
      <c r="D2514" s="3" t="s">
        <v>2518</v>
      </c>
      <c r="E2514" s="4" t="n">
        <v>0</v>
      </c>
    </row>
    <row r="2515" customFormat="false" ht="15" hidden="false" customHeight="false" outlineLevel="0" collapsed="false">
      <c r="A2515" s="3" t="n">
        <v>2018</v>
      </c>
      <c r="B2515" s="3" t="n">
        <v>11</v>
      </c>
      <c r="C2515" s="3" t="n">
        <v>18</v>
      </c>
      <c r="D2515" s="3" t="s">
        <v>2519</v>
      </c>
      <c r="E2515" s="4" t="n">
        <v>0</v>
      </c>
    </row>
    <row r="2516" customFormat="false" ht="15" hidden="false" customHeight="false" outlineLevel="0" collapsed="false">
      <c r="A2516" s="3" t="n">
        <v>2018</v>
      </c>
      <c r="B2516" s="3" t="n">
        <v>11</v>
      </c>
      <c r="C2516" s="3" t="n">
        <v>19</v>
      </c>
      <c r="D2516" s="3" t="s">
        <v>2520</v>
      </c>
      <c r="E2516" s="4" t="n">
        <v>35</v>
      </c>
    </row>
    <row r="2517" customFormat="false" ht="15" hidden="false" customHeight="false" outlineLevel="0" collapsed="false">
      <c r="A2517" s="3" t="n">
        <v>2018</v>
      </c>
      <c r="B2517" s="3" t="n">
        <v>11</v>
      </c>
      <c r="C2517" s="3" t="n">
        <v>20</v>
      </c>
      <c r="D2517" s="3" t="s">
        <v>2521</v>
      </c>
      <c r="E2517" s="4" t="n">
        <v>41</v>
      </c>
    </row>
    <row r="2518" customFormat="false" ht="15" hidden="false" customHeight="false" outlineLevel="0" collapsed="false">
      <c r="A2518" s="3" t="n">
        <v>2018</v>
      </c>
      <c r="B2518" s="3" t="n">
        <v>11</v>
      </c>
      <c r="C2518" s="3" t="n">
        <v>21</v>
      </c>
      <c r="D2518" s="3" t="s">
        <v>2522</v>
      </c>
      <c r="E2518" s="4" t="n">
        <v>0</v>
      </c>
    </row>
    <row r="2519" customFormat="false" ht="15" hidden="false" customHeight="false" outlineLevel="0" collapsed="false">
      <c r="A2519" s="3" t="n">
        <v>2018</v>
      </c>
      <c r="B2519" s="3" t="n">
        <v>11</v>
      </c>
      <c r="C2519" s="3" t="n">
        <v>22</v>
      </c>
      <c r="D2519" s="3" t="s">
        <v>2523</v>
      </c>
      <c r="E2519" s="4" t="n">
        <v>1</v>
      </c>
    </row>
    <row r="2520" customFormat="false" ht="15" hidden="false" customHeight="false" outlineLevel="0" collapsed="false">
      <c r="A2520" s="3" t="n">
        <v>2018</v>
      </c>
      <c r="B2520" s="3" t="n">
        <v>11</v>
      </c>
      <c r="C2520" s="3" t="n">
        <v>23</v>
      </c>
      <c r="D2520" s="3" t="s">
        <v>2524</v>
      </c>
      <c r="E2520" s="4" t="n">
        <v>0</v>
      </c>
    </row>
    <row r="2521" customFormat="false" ht="15" hidden="false" customHeight="false" outlineLevel="0" collapsed="false">
      <c r="A2521" s="3" t="n">
        <v>2018</v>
      </c>
      <c r="B2521" s="3" t="n">
        <v>11</v>
      </c>
      <c r="C2521" s="3" t="n">
        <v>24</v>
      </c>
      <c r="D2521" s="3" t="s">
        <v>2525</v>
      </c>
      <c r="E2521" s="4" t="n">
        <v>0</v>
      </c>
    </row>
    <row r="2522" customFormat="false" ht="15" hidden="false" customHeight="false" outlineLevel="0" collapsed="false">
      <c r="A2522" s="3" t="n">
        <v>2018</v>
      </c>
      <c r="B2522" s="3" t="n">
        <v>11</v>
      </c>
      <c r="C2522" s="3" t="n">
        <v>25</v>
      </c>
      <c r="D2522" s="3" t="s">
        <v>2526</v>
      </c>
      <c r="E2522" s="4" t="n">
        <v>22</v>
      </c>
    </row>
    <row r="2523" customFormat="false" ht="15" hidden="false" customHeight="false" outlineLevel="0" collapsed="false">
      <c r="A2523" s="3" t="n">
        <v>2018</v>
      </c>
      <c r="B2523" s="3" t="n">
        <v>11</v>
      </c>
      <c r="C2523" s="3" t="n">
        <v>26</v>
      </c>
      <c r="D2523" s="3" t="s">
        <v>2527</v>
      </c>
      <c r="E2523" s="4" t="n">
        <v>0</v>
      </c>
    </row>
    <row r="2524" customFormat="false" ht="15" hidden="false" customHeight="false" outlineLevel="0" collapsed="false">
      <c r="A2524" s="3" t="n">
        <v>2018</v>
      </c>
      <c r="B2524" s="3" t="n">
        <v>11</v>
      </c>
      <c r="C2524" s="3" t="n">
        <v>27</v>
      </c>
      <c r="D2524" s="3" t="s">
        <v>2528</v>
      </c>
      <c r="E2524" s="4" t="n">
        <v>0</v>
      </c>
    </row>
    <row r="2525" customFormat="false" ht="15" hidden="false" customHeight="false" outlineLevel="0" collapsed="false">
      <c r="A2525" s="3" t="n">
        <v>2018</v>
      </c>
      <c r="B2525" s="3" t="n">
        <v>11</v>
      </c>
      <c r="C2525" s="3" t="n">
        <v>28</v>
      </c>
      <c r="D2525" s="3" t="s">
        <v>2529</v>
      </c>
      <c r="E2525" s="4" t="n">
        <v>0</v>
      </c>
    </row>
    <row r="2526" customFormat="false" ht="15" hidden="false" customHeight="false" outlineLevel="0" collapsed="false">
      <c r="A2526" s="3" t="n">
        <v>2018</v>
      </c>
      <c r="B2526" s="3" t="n">
        <v>11</v>
      </c>
      <c r="C2526" s="3" t="n">
        <v>29</v>
      </c>
      <c r="D2526" s="3" t="s">
        <v>2530</v>
      </c>
      <c r="E2526" s="4" t="n">
        <v>4</v>
      </c>
    </row>
    <row r="2527" customFormat="false" ht="15" hidden="false" customHeight="false" outlineLevel="0" collapsed="false">
      <c r="A2527" s="3" t="n">
        <v>2018</v>
      </c>
      <c r="B2527" s="3" t="n">
        <v>11</v>
      </c>
      <c r="C2527" s="3" t="n">
        <v>30</v>
      </c>
      <c r="D2527" s="3" t="s">
        <v>2531</v>
      </c>
      <c r="E2527" s="4" t="n">
        <v>15</v>
      </c>
    </row>
    <row r="2528" customFormat="false" ht="15" hidden="false" customHeight="false" outlineLevel="0" collapsed="false">
      <c r="A2528" s="3" t="n">
        <v>2018</v>
      </c>
      <c r="B2528" s="3" t="n">
        <v>12</v>
      </c>
      <c r="C2528" s="3" t="n">
        <v>1</v>
      </c>
      <c r="D2528" s="3" t="s">
        <v>2532</v>
      </c>
      <c r="E2528" s="4" t="n">
        <v>0</v>
      </c>
    </row>
    <row r="2529" customFormat="false" ht="15" hidden="false" customHeight="false" outlineLevel="0" collapsed="false">
      <c r="A2529" s="3" t="n">
        <v>2018</v>
      </c>
      <c r="B2529" s="3" t="n">
        <v>12</v>
      </c>
      <c r="C2529" s="3" t="n">
        <v>2</v>
      </c>
      <c r="D2529" s="3" t="s">
        <v>2533</v>
      </c>
      <c r="E2529" s="4" t="n">
        <v>0</v>
      </c>
    </row>
    <row r="2530" customFormat="false" ht="15" hidden="false" customHeight="false" outlineLevel="0" collapsed="false">
      <c r="A2530" s="3" t="n">
        <v>2018</v>
      </c>
      <c r="B2530" s="3" t="n">
        <v>12</v>
      </c>
      <c r="C2530" s="3" t="n">
        <v>3</v>
      </c>
      <c r="D2530" s="3" t="s">
        <v>2534</v>
      </c>
      <c r="E2530" s="4" t="n">
        <v>37</v>
      </c>
    </row>
    <row r="2531" customFormat="false" ht="15" hidden="false" customHeight="false" outlineLevel="0" collapsed="false">
      <c r="A2531" s="3" t="n">
        <v>2018</v>
      </c>
      <c r="B2531" s="3" t="n">
        <v>12</v>
      </c>
      <c r="C2531" s="3" t="n">
        <v>4</v>
      </c>
      <c r="D2531" s="3" t="s">
        <v>2535</v>
      </c>
      <c r="E2531" s="4" t="n">
        <v>4</v>
      </c>
    </row>
    <row r="2532" customFormat="false" ht="15" hidden="false" customHeight="false" outlineLevel="0" collapsed="false">
      <c r="A2532" s="3" t="n">
        <v>2018</v>
      </c>
      <c r="B2532" s="3" t="n">
        <v>12</v>
      </c>
      <c r="C2532" s="3" t="n">
        <v>5</v>
      </c>
      <c r="D2532" s="3" t="s">
        <v>2536</v>
      </c>
      <c r="E2532" s="4" t="n">
        <v>9</v>
      </c>
    </row>
    <row r="2533" customFormat="false" ht="15" hidden="false" customHeight="false" outlineLevel="0" collapsed="false">
      <c r="A2533" s="3" t="n">
        <v>2018</v>
      </c>
      <c r="B2533" s="3" t="n">
        <v>12</v>
      </c>
      <c r="C2533" s="3" t="n">
        <v>6</v>
      </c>
      <c r="D2533" s="3" t="s">
        <v>2537</v>
      </c>
      <c r="E2533" s="4" t="n">
        <v>0</v>
      </c>
    </row>
    <row r="2534" customFormat="false" ht="15" hidden="false" customHeight="false" outlineLevel="0" collapsed="false">
      <c r="A2534" s="3" t="n">
        <v>2018</v>
      </c>
      <c r="B2534" s="3" t="n">
        <v>12</v>
      </c>
      <c r="C2534" s="3" t="n">
        <v>7</v>
      </c>
      <c r="D2534" s="3" t="s">
        <v>2538</v>
      </c>
      <c r="E2534" s="4" t="n">
        <v>16</v>
      </c>
    </row>
    <row r="2535" customFormat="false" ht="15" hidden="false" customHeight="false" outlineLevel="0" collapsed="false">
      <c r="A2535" s="3" t="n">
        <v>2018</v>
      </c>
      <c r="B2535" s="3" t="n">
        <v>12</v>
      </c>
      <c r="C2535" s="3" t="n">
        <v>8</v>
      </c>
      <c r="D2535" s="3" t="s">
        <v>2539</v>
      </c>
      <c r="E2535" s="4" t="n">
        <v>0</v>
      </c>
    </row>
    <row r="2536" customFormat="false" ht="15" hidden="false" customHeight="false" outlineLevel="0" collapsed="false">
      <c r="A2536" s="3" t="n">
        <v>2018</v>
      </c>
      <c r="B2536" s="3" t="n">
        <v>12</v>
      </c>
      <c r="C2536" s="3" t="n">
        <v>9</v>
      </c>
      <c r="D2536" s="3" t="s">
        <v>2540</v>
      </c>
      <c r="E2536" s="4" t="n">
        <v>37</v>
      </c>
    </row>
    <row r="2537" customFormat="false" ht="15" hidden="false" customHeight="false" outlineLevel="0" collapsed="false">
      <c r="A2537" s="3" t="n">
        <v>2018</v>
      </c>
      <c r="B2537" s="3" t="n">
        <v>12</v>
      </c>
      <c r="C2537" s="3" t="n">
        <v>10</v>
      </c>
      <c r="D2537" s="3" t="s">
        <v>2541</v>
      </c>
      <c r="E2537" s="4" t="n">
        <v>4</v>
      </c>
    </row>
    <row r="2538" customFormat="false" ht="15" hidden="false" customHeight="false" outlineLevel="0" collapsed="false">
      <c r="A2538" s="3" t="n">
        <v>2018</v>
      </c>
      <c r="B2538" s="3" t="n">
        <v>12</v>
      </c>
      <c r="C2538" s="3" t="n">
        <v>11</v>
      </c>
      <c r="D2538" s="3" t="s">
        <v>2542</v>
      </c>
      <c r="E2538" s="4" t="n">
        <v>0</v>
      </c>
    </row>
    <row r="2539" customFormat="false" ht="15" hidden="false" customHeight="false" outlineLevel="0" collapsed="false">
      <c r="A2539" s="3" t="n">
        <v>2018</v>
      </c>
      <c r="B2539" s="3" t="n">
        <v>12</v>
      </c>
      <c r="C2539" s="3" t="n">
        <v>12</v>
      </c>
      <c r="D2539" s="3" t="s">
        <v>2543</v>
      </c>
      <c r="E2539" s="4" t="n">
        <v>3</v>
      </c>
    </row>
    <row r="2540" customFormat="false" ht="15" hidden="false" customHeight="false" outlineLevel="0" collapsed="false">
      <c r="A2540" s="3" t="n">
        <v>2018</v>
      </c>
      <c r="B2540" s="3" t="n">
        <v>12</v>
      </c>
      <c r="C2540" s="3" t="n">
        <v>13</v>
      </c>
      <c r="D2540" s="3" t="s">
        <v>2544</v>
      </c>
      <c r="E2540" s="4" t="n">
        <v>0</v>
      </c>
    </row>
    <row r="2541" customFormat="false" ht="15" hidden="false" customHeight="false" outlineLevel="0" collapsed="false">
      <c r="A2541" s="3" t="n">
        <v>2018</v>
      </c>
      <c r="B2541" s="3" t="n">
        <v>12</v>
      </c>
      <c r="C2541" s="3" t="n">
        <v>14</v>
      </c>
      <c r="D2541" s="3" t="s">
        <v>2545</v>
      </c>
      <c r="E2541" s="4" t="n">
        <v>0</v>
      </c>
    </row>
    <row r="2542" customFormat="false" ht="15" hidden="false" customHeight="false" outlineLevel="0" collapsed="false">
      <c r="A2542" s="3" t="n">
        <v>2018</v>
      </c>
      <c r="B2542" s="3" t="n">
        <v>12</v>
      </c>
      <c r="C2542" s="3" t="n">
        <v>15</v>
      </c>
      <c r="D2542" s="3" t="s">
        <v>2546</v>
      </c>
      <c r="E2542" s="4" t="n">
        <v>0</v>
      </c>
    </row>
    <row r="2543" customFormat="false" ht="15" hidden="false" customHeight="false" outlineLevel="0" collapsed="false">
      <c r="A2543" s="3" t="n">
        <v>2018</v>
      </c>
      <c r="B2543" s="3" t="n">
        <v>12</v>
      </c>
      <c r="C2543" s="3" t="n">
        <v>16</v>
      </c>
      <c r="D2543" s="3" t="s">
        <v>2547</v>
      </c>
      <c r="E2543" s="4" t="n">
        <v>22</v>
      </c>
    </row>
    <row r="2544" customFormat="false" ht="15" hidden="false" customHeight="false" outlineLevel="0" collapsed="false">
      <c r="A2544" s="3" t="n">
        <v>2018</v>
      </c>
      <c r="B2544" s="3" t="n">
        <v>12</v>
      </c>
      <c r="C2544" s="3" t="n">
        <v>17</v>
      </c>
      <c r="D2544" s="3" t="s">
        <v>2548</v>
      </c>
      <c r="E2544" s="4" t="n">
        <v>2</v>
      </c>
    </row>
    <row r="2545" customFormat="false" ht="15" hidden="false" customHeight="false" outlineLevel="0" collapsed="false">
      <c r="A2545" s="3" t="n">
        <v>2018</v>
      </c>
      <c r="B2545" s="3" t="n">
        <v>12</v>
      </c>
      <c r="C2545" s="3" t="n">
        <v>18</v>
      </c>
      <c r="D2545" s="3" t="s">
        <v>2549</v>
      </c>
      <c r="E2545" s="4" t="n">
        <v>0</v>
      </c>
    </row>
    <row r="2546" customFormat="false" ht="15" hidden="false" customHeight="false" outlineLevel="0" collapsed="false">
      <c r="A2546" s="3" t="n">
        <v>2018</v>
      </c>
      <c r="B2546" s="3" t="n">
        <v>12</v>
      </c>
      <c r="C2546" s="3" t="n">
        <v>19</v>
      </c>
      <c r="D2546" s="3" t="s">
        <v>2550</v>
      </c>
      <c r="E2546" s="4" t="n">
        <v>16</v>
      </c>
    </row>
    <row r="2547" customFormat="false" ht="15" hidden="false" customHeight="false" outlineLevel="0" collapsed="false">
      <c r="A2547" s="3" t="n">
        <v>2018</v>
      </c>
      <c r="B2547" s="3" t="n">
        <v>12</v>
      </c>
      <c r="C2547" s="3" t="n">
        <v>20</v>
      </c>
      <c r="D2547" s="3" t="s">
        <v>2551</v>
      </c>
      <c r="E2547" s="4" t="n">
        <v>0</v>
      </c>
    </row>
    <row r="2548" customFormat="false" ht="15" hidden="false" customHeight="false" outlineLevel="0" collapsed="false">
      <c r="A2548" s="3" t="n">
        <v>2018</v>
      </c>
      <c r="B2548" s="3" t="n">
        <v>12</v>
      </c>
      <c r="C2548" s="3" t="n">
        <v>21</v>
      </c>
      <c r="D2548" s="3" t="s">
        <v>2552</v>
      </c>
      <c r="E2548" s="4" t="n">
        <v>2</v>
      </c>
    </row>
    <row r="2549" customFormat="false" ht="15" hidden="false" customHeight="false" outlineLevel="0" collapsed="false">
      <c r="A2549" s="3" t="n">
        <v>2018</v>
      </c>
      <c r="B2549" s="3" t="n">
        <v>12</v>
      </c>
      <c r="C2549" s="3" t="n">
        <v>22</v>
      </c>
      <c r="D2549" s="3" t="s">
        <v>2553</v>
      </c>
      <c r="E2549" s="4" t="n">
        <v>0</v>
      </c>
    </row>
    <row r="2550" customFormat="false" ht="15" hidden="false" customHeight="false" outlineLevel="0" collapsed="false">
      <c r="A2550" s="3" t="n">
        <v>2018</v>
      </c>
      <c r="B2550" s="3" t="n">
        <v>12</v>
      </c>
      <c r="C2550" s="3" t="n">
        <v>23</v>
      </c>
      <c r="D2550" s="3" t="s">
        <v>2554</v>
      </c>
      <c r="E2550" s="4" t="n">
        <v>0</v>
      </c>
    </row>
    <row r="2551" customFormat="false" ht="15" hidden="false" customHeight="false" outlineLevel="0" collapsed="false">
      <c r="A2551" s="3" t="n">
        <v>2018</v>
      </c>
      <c r="B2551" s="3" t="n">
        <v>12</v>
      </c>
      <c r="C2551" s="3" t="n">
        <v>24</v>
      </c>
      <c r="D2551" s="3" t="s">
        <v>2555</v>
      </c>
      <c r="E2551" s="4" t="n">
        <v>0</v>
      </c>
    </row>
    <row r="2552" customFormat="false" ht="15" hidden="false" customHeight="false" outlineLevel="0" collapsed="false">
      <c r="A2552" s="3" t="n">
        <v>2018</v>
      </c>
      <c r="B2552" s="3" t="n">
        <v>12</v>
      </c>
      <c r="C2552" s="3" t="n">
        <v>25</v>
      </c>
      <c r="D2552" s="3" t="s">
        <v>2556</v>
      </c>
      <c r="E2552" s="4" t="n">
        <v>0</v>
      </c>
    </row>
    <row r="2553" customFormat="false" ht="15" hidden="false" customHeight="false" outlineLevel="0" collapsed="false">
      <c r="A2553" s="3" t="n">
        <v>2018</v>
      </c>
      <c r="B2553" s="3" t="n">
        <v>12</v>
      </c>
      <c r="C2553" s="3" t="n">
        <v>26</v>
      </c>
      <c r="D2553" s="3" t="s">
        <v>2557</v>
      </c>
      <c r="E2553" s="4" t="n">
        <v>0</v>
      </c>
    </row>
    <row r="2554" customFormat="false" ht="15" hidden="false" customHeight="false" outlineLevel="0" collapsed="false">
      <c r="A2554" s="3" t="n">
        <v>2018</v>
      </c>
      <c r="B2554" s="3" t="n">
        <v>12</v>
      </c>
      <c r="C2554" s="3" t="n">
        <v>27</v>
      </c>
      <c r="D2554" s="3" t="s">
        <v>2558</v>
      </c>
      <c r="E2554" s="4" t="n">
        <v>4</v>
      </c>
    </row>
    <row r="2555" customFormat="false" ht="15" hidden="false" customHeight="false" outlineLevel="0" collapsed="false">
      <c r="A2555" s="3" t="n">
        <v>2018</v>
      </c>
      <c r="B2555" s="3" t="n">
        <v>12</v>
      </c>
      <c r="C2555" s="3" t="n">
        <v>28</v>
      </c>
      <c r="D2555" s="3" t="s">
        <v>2559</v>
      </c>
      <c r="E2555" s="4" t="n">
        <v>4</v>
      </c>
    </row>
    <row r="2556" customFormat="false" ht="15" hidden="false" customHeight="false" outlineLevel="0" collapsed="false">
      <c r="A2556" s="3" t="n">
        <v>2018</v>
      </c>
      <c r="B2556" s="3" t="n">
        <v>12</v>
      </c>
      <c r="C2556" s="3" t="n">
        <v>29</v>
      </c>
      <c r="D2556" s="3" t="s">
        <v>2560</v>
      </c>
      <c r="E2556" s="4" t="n">
        <v>6</v>
      </c>
    </row>
    <row r="2557" customFormat="false" ht="15" hidden="false" customHeight="false" outlineLevel="0" collapsed="false">
      <c r="A2557" s="3" t="n">
        <v>2018</v>
      </c>
      <c r="B2557" s="3" t="n">
        <v>12</v>
      </c>
      <c r="C2557" s="3" t="n">
        <v>30</v>
      </c>
      <c r="D2557" s="3" t="s">
        <v>2561</v>
      </c>
      <c r="E2557" s="4" t="n">
        <v>16</v>
      </c>
    </row>
    <row r="2558" customFormat="false" ht="15" hidden="false" customHeight="false" outlineLevel="0" collapsed="false">
      <c r="A2558" s="3" t="n">
        <v>2018</v>
      </c>
      <c r="B2558" s="3" t="n">
        <v>12</v>
      </c>
      <c r="C2558" s="3" t="n">
        <v>31</v>
      </c>
      <c r="D2558" s="3" t="s">
        <v>2562</v>
      </c>
      <c r="E2558" s="4" t="n">
        <v>0</v>
      </c>
    </row>
    <row r="2559" customFormat="false" ht="15" hidden="false" customHeight="false" outlineLevel="0" collapsed="false">
      <c r="A2559" s="3" t="n">
        <v>2019</v>
      </c>
      <c r="B2559" s="3" t="n">
        <v>1</v>
      </c>
      <c r="C2559" s="3" t="n">
        <v>1</v>
      </c>
      <c r="D2559" s="3" t="s">
        <v>2563</v>
      </c>
      <c r="E2559" s="4" t="n">
        <v>0</v>
      </c>
    </row>
    <row r="2560" customFormat="false" ht="15" hidden="false" customHeight="false" outlineLevel="0" collapsed="false">
      <c r="A2560" s="3" t="n">
        <v>2019</v>
      </c>
      <c r="B2560" s="3" t="n">
        <v>1</v>
      </c>
      <c r="C2560" s="3" t="n">
        <v>2</v>
      </c>
      <c r="D2560" s="3" t="s">
        <v>2564</v>
      </c>
      <c r="E2560" s="4" t="n">
        <v>4</v>
      </c>
    </row>
    <row r="2561" customFormat="false" ht="15" hidden="false" customHeight="false" outlineLevel="0" collapsed="false">
      <c r="A2561" s="3" t="n">
        <v>2019</v>
      </c>
      <c r="B2561" s="3" t="n">
        <v>1</v>
      </c>
      <c r="C2561" s="3" t="n">
        <v>3</v>
      </c>
      <c r="D2561" s="3" t="s">
        <v>2565</v>
      </c>
      <c r="E2561" s="4" t="n">
        <v>7</v>
      </c>
    </row>
    <row r="2562" customFormat="false" ht="15" hidden="false" customHeight="false" outlineLevel="0" collapsed="false">
      <c r="A2562" s="3" t="n">
        <v>2019</v>
      </c>
      <c r="B2562" s="3" t="n">
        <v>1</v>
      </c>
      <c r="C2562" s="3" t="n">
        <v>4</v>
      </c>
      <c r="D2562" s="3" t="s">
        <v>2566</v>
      </c>
      <c r="E2562" s="4" t="n">
        <v>0</v>
      </c>
    </row>
    <row r="2563" customFormat="false" ht="15" hidden="false" customHeight="false" outlineLevel="0" collapsed="false">
      <c r="A2563" s="3" t="n">
        <v>2019</v>
      </c>
      <c r="B2563" s="3" t="n">
        <v>1</v>
      </c>
      <c r="C2563" s="3" t="n">
        <v>5</v>
      </c>
      <c r="D2563" s="3" t="s">
        <v>2567</v>
      </c>
      <c r="E2563" s="4" t="n">
        <v>0</v>
      </c>
    </row>
    <row r="2564" customFormat="false" ht="15" hidden="false" customHeight="false" outlineLevel="0" collapsed="false">
      <c r="A2564" s="3" t="n">
        <v>2019</v>
      </c>
      <c r="B2564" s="3" t="n">
        <v>1</v>
      </c>
      <c r="C2564" s="3" t="n">
        <v>6</v>
      </c>
      <c r="D2564" s="3" t="s">
        <v>2568</v>
      </c>
      <c r="E2564" s="4" t="n">
        <v>2</v>
      </c>
    </row>
    <row r="2565" customFormat="false" ht="15" hidden="false" customHeight="false" outlineLevel="0" collapsed="false">
      <c r="A2565" s="3" t="n">
        <v>2019</v>
      </c>
      <c r="B2565" s="3" t="n">
        <v>1</v>
      </c>
      <c r="C2565" s="3" t="n">
        <v>7</v>
      </c>
      <c r="D2565" s="3" t="s">
        <v>2569</v>
      </c>
      <c r="E2565" s="4" t="n">
        <v>1</v>
      </c>
    </row>
    <row r="2566" customFormat="false" ht="15" hidden="false" customHeight="false" outlineLevel="0" collapsed="false">
      <c r="A2566" s="3" t="n">
        <v>2019</v>
      </c>
      <c r="B2566" s="3" t="n">
        <v>1</v>
      </c>
      <c r="C2566" s="3" t="n">
        <v>8</v>
      </c>
      <c r="D2566" s="3" t="s">
        <v>2570</v>
      </c>
      <c r="E2566" s="4" t="n">
        <v>10</v>
      </c>
    </row>
    <row r="2567" customFormat="false" ht="15" hidden="false" customHeight="false" outlineLevel="0" collapsed="false">
      <c r="A2567" s="3" t="n">
        <v>2019</v>
      </c>
      <c r="B2567" s="3" t="n">
        <v>1</v>
      </c>
      <c r="C2567" s="3" t="n">
        <v>9</v>
      </c>
      <c r="D2567" s="3" t="s">
        <v>2571</v>
      </c>
      <c r="E2567" s="4" t="n">
        <v>15</v>
      </c>
    </row>
    <row r="2568" customFormat="false" ht="15" hidden="false" customHeight="false" outlineLevel="0" collapsed="false">
      <c r="A2568" s="3" t="n">
        <v>2019</v>
      </c>
      <c r="B2568" s="3" t="n">
        <v>1</v>
      </c>
      <c r="C2568" s="3" t="n">
        <v>10</v>
      </c>
      <c r="D2568" s="3" t="s">
        <v>2572</v>
      </c>
      <c r="E2568" s="4" t="n">
        <v>1</v>
      </c>
    </row>
    <row r="2569" customFormat="false" ht="15" hidden="false" customHeight="false" outlineLevel="0" collapsed="false">
      <c r="A2569" s="3" t="n">
        <v>2019</v>
      </c>
      <c r="B2569" s="3" t="n">
        <v>1</v>
      </c>
      <c r="C2569" s="3" t="n">
        <v>11</v>
      </c>
      <c r="D2569" s="3" t="s">
        <v>2573</v>
      </c>
      <c r="E2569" s="4" t="n">
        <v>1</v>
      </c>
    </row>
    <row r="2570" customFormat="false" ht="15" hidden="false" customHeight="false" outlineLevel="0" collapsed="false">
      <c r="A2570" s="3" t="n">
        <v>2019</v>
      </c>
      <c r="B2570" s="3" t="n">
        <v>1</v>
      </c>
      <c r="C2570" s="3" t="n">
        <v>12</v>
      </c>
      <c r="D2570" s="3" t="s">
        <v>2574</v>
      </c>
      <c r="E2570" s="4" t="n">
        <v>21</v>
      </c>
    </row>
    <row r="2571" customFormat="false" ht="15" hidden="false" customHeight="false" outlineLevel="0" collapsed="false">
      <c r="A2571" s="3" t="n">
        <v>2019</v>
      </c>
      <c r="B2571" s="3" t="n">
        <v>1</v>
      </c>
      <c r="C2571" s="3" t="n">
        <v>13</v>
      </c>
      <c r="D2571" s="3" t="s">
        <v>2575</v>
      </c>
      <c r="E2571" s="4" t="n">
        <v>0</v>
      </c>
    </row>
    <row r="2572" customFormat="false" ht="15" hidden="false" customHeight="false" outlineLevel="0" collapsed="false">
      <c r="A2572" s="3" t="n">
        <v>2019</v>
      </c>
      <c r="B2572" s="3" t="n">
        <v>1</v>
      </c>
      <c r="C2572" s="3" t="n">
        <v>14</v>
      </c>
      <c r="D2572" s="3" t="s">
        <v>2576</v>
      </c>
      <c r="E2572" s="4" t="n">
        <v>5</v>
      </c>
    </row>
    <row r="2573" customFormat="false" ht="15" hidden="false" customHeight="false" outlineLevel="0" collapsed="false">
      <c r="A2573" s="3" t="n">
        <v>2019</v>
      </c>
      <c r="B2573" s="3" t="n">
        <v>1</v>
      </c>
      <c r="C2573" s="3" t="n">
        <v>15</v>
      </c>
      <c r="D2573" s="3" t="s">
        <v>2577</v>
      </c>
      <c r="E2573" s="4" t="n">
        <v>3</v>
      </c>
    </row>
    <row r="2574" customFormat="false" ht="15" hidden="false" customHeight="false" outlineLevel="0" collapsed="false">
      <c r="A2574" s="3" t="n">
        <v>2019</v>
      </c>
      <c r="B2574" s="3" t="n">
        <v>1</v>
      </c>
      <c r="C2574" s="3" t="n">
        <v>16</v>
      </c>
      <c r="D2574" s="3" t="s">
        <v>2578</v>
      </c>
      <c r="E2574" s="4" t="n">
        <v>0</v>
      </c>
    </row>
    <row r="2575" customFormat="false" ht="15" hidden="false" customHeight="false" outlineLevel="0" collapsed="false">
      <c r="A2575" s="3" t="n">
        <v>2019</v>
      </c>
      <c r="B2575" s="3" t="n">
        <v>1</v>
      </c>
      <c r="C2575" s="3" t="n">
        <v>17</v>
      </c>
      <c r="D2575" s="3" t="s">
        <v>2579</v>
      </c>
      <c r="E2575" s="4" t="n">
        <v>1</v>
      </c>
    </row>
    <row r="2576" customFormat="false" ht="15" hidden="false" customHeight="false" outlineLevel="0" collapsed="false">
      <c r="A2576" s="3" t="n">
        <v>2019</v>
      </c>
      <c r="B2576" s="3" t="n">
        <v>1</v>
      </c>
      <c r="C2576" s="3" t="n">
        <v>18</v>
      </c>
      <c r="D2576" s="3" t="s">
        <v>2580</v>
      </c>
      <c r="E2576" s="4" t="n">
        <v>0</v>
      </c>
    </row>
    <row r="2577" customFormat="false" ht="15" hidden="false" customHeight="false" outlineLevel="0" collapsed="false">
      <c r="A2577" s="3" t="n">
        <v>2019</v>
      </c>
      <c r="B2577" s="3" t="n">
        <v>1</v>
      </c>
      <c r="C2577" s="3" t="n">
        <v>19</v>
      </c>
      <c r="D2577" s="3" t="s">
        <v>2581</v>
      </c>
      <c r="E2577" s="4" t="n">
        <v>7</v>
      </c>
    </row>
    <row r="2578" customFormat="false" ht="15" hidden="false" customHeight="false" outlineLevel="0" collapsed="false">
      <c r="A2578" s="3" t="n">
        <v>2019</v>
      </c>
      <c r="B2578" s="3" t="n">
        <v>1</v>
      </c>
      <c r="C2578" s="3" t="n">
        <v>20</v>
      </c>
      <c r="D2578" s="3" t="s">
        <v>2582</v>
      </c>
      <c r="E2578" s="4" t="n">
        <v>0</v>
      </c>
    </row>
    <row r="2579" customFormat="false" ht="15" hidden="false" customHeight="false" outlineLevel="0" collapsed="false">
      <c r="A2579" s="3" t="n">
        <v>2019</v>
      </c>
      <c r="B2579" s="3" t="n">
        <v>1</v>
      </c>
      <c r="C2579" s="3" t="n">
        <v>21</v>
      </c>
      <c r="D2579" s="3" t="s">
        <v>2583</v>
      </c>
      <c r="E2579" s="4" t="n">
        <v>11</v>
      </c>
    </row>
    <row r="2580" customFormat="false" ht="15" hidden="false" customHeight="false" outlineLevel="0" collapsed="false">
      <c r="A2580" s="3" t="n">
        <v>2019</v>
      </c>
      <c r="B2580" s="3" t="n">
        <v>1</v>
      </c>
      <c r="C2580" s="3" t="n">
        <v>22</v>
      </c>
      <c r="D2580" s="3" t="s">
        <v>2584</v>
      </c>
      <c r="E2580" s="4" t="n">
        <v>0</v>
      </c>
    </row>
    <row r="2581" customFormat="false" ht="15" hidden="false" customHeight="false" outlineLevel="0" collapsed="false">
      <c r="A2581" s="3" t="n">
        <v>2019</v>
      </c>
      <c r="B2581" s="3" t="n">
        <v>1</v>
      </c>
      <c r="C2581" s="3" t="n">
        <v>23</v>
      </c>
      <c r="D2581" s="3" t="s">
        <v>2585</v>
      </c>
      <c r="E2581" s="4" t="n">
        <v>1</v>
      </c>
    </row>
    <row r="2582" customFormat="false" ht="15" hidden="false" customHeight="false" outlineLevel="0" collapsed="false">
      <c r="A2582" s="3" t="n">
        <v>2019</v>
      </c>
      <c r="B2582" s="3" t="n">
        <v>1</v>
      </c>
      <c r="C2582" s="3" t="n">
        <v>24</v>
      </c>
      <c r="D2582" s="3" t="s">
        <v>2586</v>
      </c>
      <c r="E2582" s="4" t="n">
        <v>0</v>
      </c>
    </row>
    <row r="2583" customFormat="false" ht="15" hidden="false" customHeight="false" outlineLevel="0" collapsed="false">
      <c r="A2583" s="3" t="n">
        <v>2019</v>
      </c>
      <c r="B2583" s="3" t="n">
        <v>1</v>
      </c>
      <c r="C2583" s="3" t="n">
        <v>25</v>
      </c>
      <c r="D2583" s="3" t="s">
        <v>2587</v>
      </c>
      <c r="E2583" s="4" t="n">
        <v>0</v>
      </c>
    </row>
    <row r="2584" customFormat="false" ht="15" hidden="false" customHeight="false" outlineLevel="0" collapsed="false">
      <c r="A2584" s="3" t="n">
        <v>2019</v>
      </c>
      <c r="B2584" s="3" t="n">
        <v>1</v>
      </c>
      <c r="C2584" s="3" t="n">
        <v>26</v>
      </c>
      <c r="D2584" s="3" t="s">
        <v>2588</v>
      </c>
      <c r="E2584" s="4" t="n">
        <v>0</v>
      </c>
    </row>
    <row r="2585" customFormat="false" ht="15" hidden="false" customHeight="false" outlineLevel="0" collapsed="false">
      <c r="A2585" s="3" t="n">
        <v>2019</v>
      </c>
      <c r="B2585" s="3" t="n">
        <v>1</v>
      </c>
      <c r="C2585" s="3" t="n">
        <v>27</v>
      </c>
      <c r="D2585" s="3" t="s">
        <v>2589</v>
      </c>
      <c r="E2585" s="4" t="n">
        <v>0</v>
      </c>
    </row>
    <row r="2586" customFormat="false" ht="15" hidden="false" customHeight="false" outlineLevel="0" collapsed="false">
      <c r="A2586" s="3" t="n">
        <v>2019</v>
      </c>
      <c r="B2586" s="3" t="n">
        <v>1</v>
      </c>
      <c r="C2586" s="3" t="n">
        <v>28</v>
      </c>
      <c r="D2586" s="3" t="s">
        <v>2590</v>
      </c>
      <c r="E2586" s="4" t="n">
        <v>0</v>
      </c>
    </row>
    <row r="2587" customFormat="false" ht="15" hidden="false" customHeight="false" outlineLevel="0" collapsed="false">
      <c r="A2587" s="3" t="n">
        <v>2019</v>
      </c>
      <c r="B2587" s="3" t="n">
        <v>1</v>
      </c>
      <c r="C2587" s="3" t="n">
        <v>29</v>
      </c>
      <c r="D2587" s="3" t="s">
        <v>2591</v>
      </c>
      <c r="E2587" s="4" t="n">
        <v>0</v>
      </c>
    </row>
    <row r="2588" customFormat="false" ht="15" hidden="false" customHeight="false" outlineLevel="0" collapsed="false">
      <c r="A2588" s="3" t="n">
        <v>2019</v>
      </c>
      <c r="B2588" s="3" t="n">
        <v>1</v>
      </c>
      <c r="C2588" s="3" t="n">
        <v>30</v>
      </c>
      <c r="D2588" s="3" t="s">
        <v>2592</v>
      </c>
      <c r="E2588" s="4" t="n">
        <v>1</v>
      </c>
    </row>
    <row r="2589" customFormat="false" ht="15" hidden="false" customHeight="false" outlineLevel="0" collapsed="false">
      <c r="A2589" s="3" t="n">
        <v>2019</v>
      </c>
      <c r="B2589" s="3" t="n">
        <v>1</v>
      </c>
      <c r="C2589" s="3" t="n">
        <v>31</v>
      </c>
      <c r="D2589" s="3" t="s">
        <v>2593</v>
      </c>
      <c r="E2589" s="4" t="n">
        <v>33</v>
      </c>
    </row>
    <row r="2590" customFormat="false" ht="15" hidden="false" customHeight="false" outlineLevel="0" collapsed="false">
      <c r="A2590" s="3" t="n">
        <v>2019</v>
      </c>
      <c r="B2590" s="3" t="n">
        <v>2</v>
      </c>
      <c r="C2590" s="3" t="n">
        <v>1</v>
      </c>
      <c r="D2590" s="3" t="s">
        <v>2594</v>
      </c>
      <c r="E2590" s="4" t="n">
        <v>12</v>
      </c>
    </row>
    <row r="2591" customFormat="false" ht="15" hidden="false" customHeight="false" outlineLevel="0" collapsed="false">
      <c r="A2591" s="3" t="n">
        <v>2019</v>
      </c>
      <c r="B2591" s="3" t="n">
        <v>2</v>
      </c>
      <c r="C2591" s="3" t="n">
        <v>2</v>
      </c>
      <c r="D2591" s="3" t="s">
        <v>2595</v>
      </c>
      <c r="E2591" s="4" t="n">
        <v>0</v>
      </c>
    </row>
    <row r="2592" customFormat="false" ht="15" hidden="false" customHeight="false" outlineLevel="0" collapsed="false">
      <c r="A2592" s="3" t="n">
        <v>2019</v>
      </c>
      <c r="B2592" s="3" t="n">
        <v>2</v>
      </c>
      <c r="C2592" s="3" t="n">
        <v>3</v>
      </c>
      <c r="D2592" s="3" t="s">
        <v>2596</v>
      </c>
      <c r="E2592" s="4" t="n">
        <v>21</v>
      </c>
    </row>
    <row r="2593" customFormat="false" ht="15" hidden="false" customHeight="false" outlineLevel="0" collapsed="false">
      <c r="A2593" s="3" t="n">
        <v>2019</v>
      </c>
      <c r="B2593" s="3" t="n">
        <v>2</v>
      </c>
      <c r="C2593" s="3" t="n">
        <v>4</v>
      </c>
      <c r="D2593" s="3" t="s">
        <v>2597</v>
      </c>
      <c r="E2593" s="4" t="n">
        <v>0</v>
      </c>
    </row>
    <row r="2594" customFormat="false" ht="15" hidden="false" customHeight="false" outlineLevel="0" collapsed="false">
      <c r="A2594" s="3" t="n">
        <v>2019</v>
      </c>
      <c r="B2594" s="3" t="n">
        <v>2</v>
      </c>
      <c r="C2594" s="3" t="n">
        <v>5</v>
      </c>
      <c r="D2594" s="3" t="s">
        <v>2598</v>
      </c>
      <c r="E2594" s="4" t="n">
        <v>14</v>
      </c>
    </row>
    <row r="2595" customFormat="false" ht="15" hidden="false" customHeight="false" outlineLevel="0" collapsed="false">
      <c r="A2595" s="3" t="n">
        <v>2019</v>
      </c>
      <c r="B2595" s="3" t="n">
        <v>2</v>
      </c>
      <c r="C2595" s="3" t="n">
        <v>6</v>
      </c>
      <c r="D2595" s="3" t="s">
        <v>2599</v>
      </c>
      <c r="E2595" s="4" t="n">
        <v>0</v>
      </c>
    </row>
    <row r="2596" customFormat="false" ht="15" hidden="false" customHeight="false" outlineLevel="0" collapsed="false">
      <c r="A2596" s="3" t="n">
        <v>2019</v>
      </c>
      <c r="B2596" s="3" t="n">
        <v>2</v>
      </c>
      <c r="C2596" s="3" t="n">
        <v>7</v>
      </c>
      <c r="D2596" s="3" t="s">
        <v>2600</v>
      </c>
      <c r="E2596" s="4" t="n">
        <v>2</v>
      </c>
    </row>
    <row r="2597" customFormat="false" ht="15" hidden="false" customHeight="false" outlineLevel="0" collapsed="false">
      <c r="A2597" s="3" t="n">
        <v>2019</v>
      </c>
      <c r="B2597" s="3" t="n">
        <v>2</v>
      </c>
      <c r="C2597" s="3" t="n">
        <v>8</v>
      </c>
      <c r="D2597" s="3" t="s">
        <v>2601</v>
      </c>
      <c r="E2597" s="4" t="n">
        <v>9</v>
      </c>
    </row>
    <row r="2598" customFormat="false" ht="15" hidden="false" customHeight="false" outlineLevel="0" collapsed="false">
      <c r="A2598" s="3" t="n">
        <v>2019</v>
      </c>
      <c r="B2598" s="3" t="n">
        <v>2</v>
      </c>
      <c r="C2598" s="3" t="n">
        <v>9</v>
      </c>
      <c r="D2598" s="3" t="s">
        <v>2602</v>
      </c>
      <c r="E2598" s="4" t="n">
        <v>0</v>
      </c>
    </row>
    <row r="2599" customFormat="false" ht="15" hidden="false" customHeight="false" outlineLevel="0" collapsed="false">
      <c r="A2599" s="3" t="n">
        <v>2019</v>
      </c>
      <c r="B2599" s="3" t="n">
        <v>2</v>
      </c>
      <c r="C2599" s="3" t="n">
        <v>10</v>
      </c>
      <c r="D2599" s="3" t="s">
        <v>2603</v>
      </c>
      <c r="E2599" s="4" t="n">
        <v>0</v>
      </c>
    </row>
    <row r="2600" customFormat="false" ht="15" hidden="false" customHeight="false" outlineLevel="0" collapsed="false">
      <c r="A2600" s="3" t="n">
        <v>2019</v>
      </c>
      <c r="B2600" s="3" t="n">
        <v>2</v>
      </c>
      <c r="C2600" s="3" t="n">
        <v>11</v>
      </c>
      <c r="D2600" s="3" t="s">
        <v>2604</v>
      </c>
      <c r="E2600" s="4" t="n">
        <v>23</v>
      </c>
    </row>
    <row r="2601" customFormat="false" ht="15" hidden="false" customHeight="false" outlineLevel="0" collapsed="false">
      <c r="A2601" s="3" t="n">
        <v>2019</v>
      </c>
      <c r="B2601" s="3" t="n">
        <v>2</v>
      </c>
      <c r="C2601" s="3" t="n">
        <v>12</v>
      </c>
      <c r="D2601" s="3" t="s">
        <v>2605</v>
      </c>
      <c r="E2601" s="4" t="n">
        <v>0</v>
      </c>
    </row>
    <row r="2602" customFormat="false" ht="15" hidden="false" customHeight="false" outlineLevel="0" collapsed="false">
      <c r="A2602" s="3" t="n">
        <v>2019</v>
      </c>
      <c r="B2602" s="3" t="n">
        <v>2</v>
      </c>
      <c r="C2602" s="3" t="n">
        <v>13</v>
      </c>
      <c r="D2602" s="3" t="s">
        <v>2606</v>
      </c>
      <c r="E2602" s="4" t="n">
        <v>1</v>
      </c>
    </row>
    <row r="2603" customFormat="false" ht="15" hidden="false" customHeight="false" outlineLevel="0" collapsed="false">
      <c r="A2603" s="3" t="n">
        <v>2019</v>
      </c>
      <c r="B2603" s="3" t="n">
        <v>2</v>
      </c>
      <c r="C2603" s="3" t="n">
        <v>14</v>
      </c>
      <c r="D2603" s="3" t="s">
        <v>2607</v>
      </c>
      <c r="E2603" s="4" t="n">
        <v>13</v>
      </c>
    </row>
    <row r="2604" customFormat="false" ht="15" hidden="false" customHeight="false" outlineLevel="0" collapsed="false">
      <c r="A2604" s="3" t="n">
        <v>2019</v>
      </c>
      <c r="B2604" s="3" t="n">
        <v>2</v>
      </c>
      <c r="C2604" s="3" t="n">
        <v>15</v>
      </c>
      <c r="D2604" s="3" t="s">
        <v>2608</v>
      </c>
      <c r="E2604" s="4" t="n">
        <v>15</v>
      </c>
    </row>
    <row r="2605" customFormat="false" ht="15" hidden="false" customHeight="false" outlineLevel="0" collapsed="false">
      <c r="A2605" s="3" t="n">
        <v>2019</v>
      </c>
      <c r="B2605" s="3" t="n">
        <v>2</v>
      </c>
      <c r="C2605" s="3" t="n">
        <v>16</v>
      </c>
      <c r="D2605" s="3" t="s">
        <v>2609</v>
      </c>
      <c r="E2605" s="4" t="n">
        <v>2</v>
      </c>
    </row>
    <row r="2606" customFormat="false" ht="15" hidden="false" customHeight="false" outlineLevel="0" collapsed="false">
      <c r="A2606" s="3" t="n">
        <v>2019</v>
      </c>
      <c r="B2606" s="3" t="n">
        <v>2</v>
      </c>
      <c r="C2606" s="3" t="n">
        <v>17</v>
      </c>
      <c r="D2606" s="3" t="s">
        <v>2610</v>
      </c>
      <c r="E2606" s="4" t="n">
        <v>19</v>
      </c>
    </row>
    <row r="2607" customFormat="false" ht="15" hidden="false" customHeight="false" outlineLevel="0" collapsed="false">
      <c r="A2607" s="3" t="n">
        <v>2019</v>
      </c>
      <c r="B2607" s="3" t="n">
        <v>2</v>
      </c>
      <c r="C2607" s="3" t="n">
        <v>18</v>
      </c>
      <c r="D2607" s="3" t="s">
        <v>2611</v>
      </c>
      <c r="E2607" s="4" t="n">
        <v>22</v>
      </c>
    </row>
    <row r="2608" customFormat="false" ht="15" hidden="false" customHeight="false" outlineLevel="0" collapsed="false">
      <c r="A2608" s="3" t="n">
        <v>2019</v>
      </c>
      <c r="B2608" s="3" t="n">
        <v>2</v>
      </c>
      <c r="C2608" s="3" t="n">
        <v>19</v>
      </c>
      <c r="D2608" s="3" t="s">
        <v>2612</v>
      </c>
      <c r="E2608" s="4" t="n">
        <v>1</v>
      </c>
    </row>
    <row r="2609" customFormat="false" ht="15" hidden="false" customHeight="false" outlineLevel="0" collapsed="false">
      <c r="A2609" s="3" t="n">
        <v>2019</v>
      </c>
      <c r="B2609" s="3" t="n">
        <v>2</v>
      </c>
      <c r="C2609" s="3" t="n">
        <v>20</v>
      </c>
      <c r="D2609" s="3" t="s">
        <v>2613</v>
      </c>
      <c r="E2609" s="4" t="n">
        <v>0</v>
      </c>
    </row>
    <row r="2610" customFormat="false" ht="15" hidden="false" customHeight="false" outlineLevel="0" collapsed="false">
      <c r="A2610" s="3" t="n">
        <v>2019</v>
      </c>
      <c r="B2610" s="3" t="n">
        <v>2</v>
      </c>
      <c r="C2610" s="3" t="n">
        <v>21</v>
      </c>
      <c r="D2610" s="3" t="s">
        <v>2614</v>
      </c>
      <c r="E2610" s="4" t="n">
        <v>18</v>
      </c>
    </row>
    <row r="2611" customFormat="false" ht="15" hidden="false" customHeight="false" outlineLevel="0" collapsed="false">
      <c r="A2611" s="3" t="n">
        <v>2019</v>
      </c>
      <c r="B2611" s="3" t="n">
        <v>2</v>
      </c>
      <c r="C2611" s="3" t="n">
        <v>22</v>
      </c>
      <c r="D2611" s="3" t="s">
        <v>2615</v>
      </c>
      <c r="E2611" s="4" t="n">
        <v>15</v>
      </c>
    </row>
    <row r="2612" customFormat="false" ht="15" hidden="false" customHeight="false" outlineLevel="0" collapsed="false">
      <c r="A2612" s="3" t="n">
        <v>2019</v>
      </c>
      <c r="B2612" s="3" t="n">
        <v>2</v>
      </c>
      <c r="C2612" s="3" t="n">
        <v>23</v>
      </c>
      <c r="D2612" s="3" t="s">
        <v>2616</v>
      </c>
      <c r="E2612" s="4" t="n">
        <v>0</v>
      </c>
    </row>
    <row r="2613" customFormat="false" ht="15" hidden="false" customHeight="false" outlineLevel="0" collapsed="false">
      <c r="A2613" s="3" t="n">
        <v>2019</v>
      </c>
      <c r="B2613" s="3" t="n">
        <v>2</v>
      </c>
      <c r="C2613" s="3" t="n">
        <v>24</v>
      </c>
      <c r="D2613" s="3" t="s">
        <v>2617</v>
      </c>
      <c r="E2613" s="4" t="n">
        <v>3</v>
      </c>
    </row>
    <row r="2614" customFormat="false" ht="15" hidden="false" customHeight="false" outlineLevel="0" collapsed="false">
      <c r="A2614" s="3" t="n">
        <v>2019</v>
      </c>
      <c r="B2614" s="3" t="n">
        <v>2</v>
      </c>
      <c r="C2614" s="3" t="n">
        <v>25</v>
      </c>
      <c r="D2614" s="3" t="s">
        <v>2618</v>
      </c>
      <c r="E2614" s="4" t="n">
        <v>3</v>
      </c>
    </row>
    <row r="2615" customFormat="false" ht="15" hidden="false" customHeight="false" outlineLevel="0" collapsed="false">
      <c r="A2615" s="3" t="n">
        <v>2019</v>
      </c>
      <c r="B2615" s="3" t="n">
        <v>2</v>
      </c>
      <c r="C2615" s="3" t="n">
        <v>26</v>
      </c>
      <c r="D2615" s="3" t="s">
        <v>2619</v>
      </c>
      <c r="E2615" s="4" t="n">
        <v>14</v>
      </c>
    </row>
    <row r="2616" customFormat="false" ht="15" hidden="false" customHeight="false" outlineLevel="0" collapsed="false">
      <c r="A2616" s="3" t="n">
        <v>2019</v>
      </c>
      <c r="B2616" s="3" t="n">
        <v>2</v>
      </c>
      <c r="C2616" s="3" t="n">
        <v>27</v>
      </c>
      <c r="D2616" s="3" t="s">
        <v>2620</v>
      </c>
      <c r="E2616" s="4" t="n">
        <v>0</v>
      </c>
    </row>
    <row r="2617" customFormat="false" ht="15" hidden="false" customHeight="false" outlineLevel="0" collapsed="false">
      <c r="A2617" s="3" t="n">
        <v>2019</v>
      </c>
      <c r="B2617" s="3" t="n">
        <v>2</v>
      </c>
      <c r="C2617" s="3" t="n">
        <v>28</v>
      </c>
      <c r="D2617" s="3" t="s">
        <v>2621</v>
      </c>
      <c r="E2617" s="4" t="n">
        <v>0</v>
      </c>
    </row>
    <row r="2618" customFormat="false" ht="15" hidden="false" customHeight="false" outlineLevel="0" collapsed="false">
      <c r="A2618" s="3" t="n">
        <v>2019</v>
      </c>
      <c r="B2618" s="3" t="n">
        <v>3</v>
      </c>
      <c r="C2618" s="3" t="n">
        <v>1</v>
      </c>
      <c r="D2618" s="3" t="s">
        <v>2622</v>
      </c>
      <c r="E2618" s="4" t="n">
        <v>24</v>
      </c>
    </row>
    <row r="2619" customFormat="false" ht="15" hidden="false" customHeight="false" outlineLevel="0" collapsed="false">
      <c r="A2619" s="3" t="n">
        <v>2019</v>
      </c>
      <c r="B2619" s="3" t="n">
        <v>3</v>
      </c>
      <c r="C2619" s="3" t="n">
        <v>2</v>
      </c>
      <c r="D2619" s="3" t="s">
        <v>2623</v>
      </c>
      <c r="E2619" s="4" t="n">
        <v>6</v>
      </c>
    </row>
    <row r="2620" customFormat="false" ht="15" hidden="false" customHeight="false" outlineLevel="0" collapsed="false">
      <c r="A2620" s="3" t="n">
        <v>2019</v>
      </c>
      <c r="B2620" s="3" t="n">
        <v>3</v>
      </c>
      <c r="C2620" s="3" t="n">
        <v>3</v>
      </c>
      <c r="D2620" s="3" t="s">
        <v>2624</v>
      </c>
      <c r="E2620" s="4" t="n">
        <v>0</v>
      </c>
    </row>
    <row r="2621" customFormat="false" ht="15" hidden="false" customHeight="false" outlineLevel="0" collapsed="false">
      <c r="A2621" s="3" t="n">
        <v>2019</v>
      </c>
      <c r="B2621" s="3" t="n">
        <v>3</v>
      </c>
      <c r="C2621" s="3" t="n">
        <v>4</v>
      </c>
      <c r="D2621" s="3" t="s">
        <v>2625</v>
      </c>
      <c r="E2621" s="4" t="n">
        <v>0</v>
      </c>
    </row>
    <row r="2622" customFormat="false" ht="15" hidden="false" customHeight="false" outlineLevel="0" collapsed="false">
      <c r="A2622" s="3" t="n">
        <v>2019</v>
      </c>
      <c r="B2622" s="3" t="n">
        <v>3</v>
      </c>
      <c r="C2622" s="3" t="n">
        <v>5</v>
      </c>
      <c r="D2622" s="3" t="s">
        <v>2626</v>
      </c>
      <c r="E2622" s="4" t="n">
        <v>0</v>
      </c>
    </row>
    <row r="2623" customFormat="false" ht="15" hidden="false" customHeight="false" outlineLevel="0" collapsed="false">
      <c r="A2623" s="3" t="n">
        <v>2019</v>
      </c>
      <c r="B2623" s="3" t="n">
        <v>3</v>
      </c>
      <c r="C2623" s="3" t="n">
        <v>6</v>
      </c>
      <c r="D2623" s="3" t="s">
        <v>2627</v>
      </c>
      <c r="E2623" s="4" t="n">
        <v>0</v>
      </c>
    </row>
    <row r="2624" customFormat="false" ht="15" hidden="false" customHeight="false" outlineLevel="0" collapsed="false">
      <c r="A2624" s="3" t="n">
        <v>2019</v>
      </c>
      <c r="B2624" s="3" t="n">
        <v>3</v>
      </c>
      <c r="C2624" s="3" t="n">
        <v>7</v>
      </c>
      <c r="D2624" s="3" t="s">
        <v>2628</v>
      </c>
      <c r="E2624" s="4" t="n">
        <v>0</v>
      </c>
    </row>
    <row r="2625" customFormat="false" ht="15" hidden="false" customHeight="false" outlineLevel="0" collapsed="false">
      <c r="A2625" s="3" t="n">
        <v>2019</v>
      </c>
      <c r="B2625" s="3" t="n">
        <v>3</v>
      </c>
      <c r="C2625" s="3" t="n">
        <v>8</v>
      </c>
      <c r="D2625" s="3" t="s">
        <v>2629</v>
      </c>
      <c r="E2625" s="4" t="n">
        <v>0</v>
      </c>
    </row>
    <row r="2626" customFormat="false" ht="15" hidden="false" customHeight="false" outlineLevel="0" collapsed="false">
      <c r="A2626" s="3" t="n">
        <v>2019</v>
      </c>
      <c r="B2626" s="3" t="n">
        <v>3</v>
      </c>
      <c r="C2626" s="3" t="n">
        <v>9</v>
      </c>
      <c r="D2626" s="3" t="s">
        <v>2630</v>
      </c>
      <c r="E2626" s="4" t="n">
        <v>2</v>
      </c>
    </row>
    <row r="2627" customFormat="false" ht="15" hidden="false" customHeight="false" outlineLevel="0" collapsed="false">
      <c r="A2627" s="3" t="n">
        <v>2019</v>
      </c>
      <c r="B2627" s="3" t="n">
        <v>3</v>
      </c>
      <c r="C2627" s="3" t="n">
        <v>10</v>
      </c>
      <c r="D2627" s="3" t="s">
        <v>2631</v>
      </c>
      <c r="E2627" s="4" t="n">
        <v>0</v>
      </c>
    </row>
    <row r="2628" customFormat="false" ht="15" hidden="false" customHeight="false" outlineLevel="0" collapsed="false">
      <c r="A2628" s="3" t="n">
        <v>2019</v>
      </c>
      <c r="B2628" s="3" t="n">
        <v>3</v>
      </c>
      <c r="C2628" s="3" t="n">
        <v>11</v>
      </c>
      <c r="D2628" s="3" t="s">
        <v>2632</v>
      </c>
      <c r="E2628" s="4" t="n">
        <v>1</v>
      </c>
    </row>
    <row r="2629" customFormat="false" ht="15" hidden="false" customHeight="false" outlineLevel="0" collapsed="false">
      <c r="A2629" s="3" t="n">
        <v>2019</v>
      </c>
      <c r="B2629" s="3" t="n">
        <v>3</v>
      </c>
      <c r="C2629" s="3" t="n">
        <v>12</v>
      </c>
      <c r="D2629" s="3" t="s">
        <v>2633</v>
      </c>
      <c r="E2629" s="4" t="n">
        <v>0</v>
      </c>
    </row>
    <row r="2630" customFormat="false" ht="15" hidden="false" customHeight="false" outlineLevel="0" collapsed="false">
      <c r="A2630" s="3" t="n">
        <v>2019</v>
      </c>
      <c r="B2630" s="3" t="n">
        <v>3</v>
      </c>
      <c r="C2630" s="3" t="n">
        <v>13</v>
      </c>
      <c r="D2630" s="3" t="s">
        <v>2634</v>
      </c>
      <c r="E2630" s="4" t="n">
        <v>0</v>
      </c>
    </row>
    <row r="2631" customFormat="false" ht="15" hidden="false" customHeight="false" outlineLevel="0" collapsed="false">
      <c r="A2631" s="3" t="n">
        <v>2019</v>
      </c>
      <c r="B2631" s="3" t="n">
        <v>3</v>
      </c>
      <c r="C2631" s="3" t="n">
        <v>14</v>
      </c>
      <c r="D2631" s="3" t="s">
        <v>2635</v>
      </c>
      <c r="E2631" s="4" t="n">
        <v>0</v>
      </c>
    </row>
    <row r="2632" customFormat="false" ht="15" hidden="false" customHeight="false" outlineLevel="0" collapsed="false">
      <c r="A2632" s="3" t="n">
        <v>2019</v>
      </c>
      <c r="B2632" s="3" t="n">
        <v>3</v>
      </c>
      <c r="C2632" s="3" t="n">
        <v>15</v>
      </c>
      <c r="D2632" s="3" t="s">
        <v>2636</v>
      </c>
      <c r="E2632" s="4" t="n">
        <v>0</v>
      </c>
    </row>
    <row r="2633" customFormat="false" ht="15" hidden="false" customHeight="false" outlineLevel="0" collapsed="false">
      <c r="A2633" s="3" t="n">
        <v>2019</v>
      </c>
      <c r="B2633" s="3" t="n">
        <v>3</v>
      </c>
      <c r="C2633" s="3" t="n">
        <v>16</v>
      </c>
      <c r="D2633" s="3" t="s">
        <v>2637</v>
      </c>
      <c r="E2633" s="4" t="n">
        <v>7</v>
      </c>
    </row>
    <row r="2634" customFormat="false" ht="15" hidden="false" customHeight="false" outlineLevel="0" collapsed="false">
      <c r="A2634" s="3" t="n">
        <v>2019</v>
      </c>
      <c r="B2634" s="3" t="n">
        <v>3</v>
      </c>
      <c r="C2634" s="3" t="n">
        <v>17</v>
      </c>
      <c r="D2634" s="3" t="s">
        <v>2638</v>
      </c>
      <c r="E2634" s="4" t="n">
        <v>0</v>
      </c>
    </row>
    <row r="2635" customFormat="false" ht="15" hidden="false" customHeight="false" outlineLevel="0" collapsed="false">
      <c r="A2635" s="3" t="n">
        <v>2019</v>
      </c>
      <c r="B2635" s="3" t="n">
        <v>3</v>
      </c>
      <c r="C2635" s="3" t="n">
        <v>18</v>
      </c>
      <c r="D2635" s="3" t="s">
        <v>2639</v>
      </c>
      <c r="E2635" s="4" t="n">
        <v>0</v>
      </c>
    </row>
    <row r="2636" customFormat="false" ht="15" hidden="false" customHeight="false" outlineLevel="0" collapsed="false">
      <c r="A2636" s="3" t="n">
        <v>2019</v>
      </c>
      <c r="B2636" s="3" t="n">
        <v>3</v>
      </c>
      <c r="C2636" s="3" t="n">
        <v>19</v>
      </c>
      <c r="D2636" s="3" t="s">
        <v>2640</v>
      </c>
      <c r="E2636" s="4" t="n">
        <v>0</v>
      </c>
    </row>
    <row r="2637" customFormat="false" ht="15" hidden="false" customHeight="false" outlineLevel="0" collapsed="false">
      <c r="A2637" s="3" t="n">
        <v>2019</v>
      </c>
      <c r="B2637" s="3" t="n">
        <v>3</v>
      </c>
      <c r="C2637" s="3" t="n">
        <v>20</v>
      </c>
      <c r="D2637" s="3" t="s">
        <v>2641</v>
      </c>
      <c r="E2637" s="4" t="n">
        <v>0</v>
      </c>
    </row>
    <row r="2638" customFormat="false" ht="15" hidden="false" customHeight="false" outlineLevel="0" collapsed="false">
      <c r="A2638" s="3" t="n">
        <v>2019</v>
      </c>
      <c r="B2638" s="3" t="n">
        <v>3</v>
      </c>
      <c r="C2638" s="3" t="n">
        <v>21</v>
      </c>
      <c r="D2638" s="3" t="s">
        <v>2642</v>
      </c>
      <c r="E2638" s="4" t="n">
        <v>0</v>
      </c>
    </row>
    <row r="2639" customFormat="false" ht="15" hidden="false" customHeight="false" outlineLevel="0" collapsed="false">
      <c r="A2639" s="3" t="n">
        <v>2019</v>
      </c>
      <c r="B2639" s="3" t="n">
        <v>3</v>
      </c>
      <c r="C2639" s="3" t="n">
        <v>22</v>
      </c>
      <c r="D2639" s="3" t="s">
        <v>2643</v>
      </c>
      <c r="E2639" s="4" t="n">
        <v>0</v>
      </c>
    </row>
    <row r="2640" customFormat="false" ht="15" hidden="false" customHeight="false" outlineLevel="0" collapsed="false">
      <c r="A2640" s="3" t="n">
        <v>2019</v>
      </c>
      <c r="B2640" s="3" t="n">
        <v>3</v>
      </c>
      <c r="C2640" s="3" t="n">
        <v>23</v>
      </c>
      <c r="D2640" s="3" t="s">
        <v>2644</v>
      </c>
      <c r="E2640" s="4" t="n">
        <v>0</v>
      </c>
    </row>
    <row r="2641" customFormat="false" ht="15" hidden="false" customHeight="false" outlineLevel="0" collapsed="false">
      <c r="A2641" s="3" t="n">
        <v>2019</v>
      </c>
      <c r="B2641" s="3" t="n">
        <v>3</v>
      </c>
      <c r="C2641" s="3" t="n">
        <v>24</v>
      </c>
      <c r="D2641" s="3" t="s">
        <v>2645</v>
      </c>
      <c r="E2641" s="4" t="n">
        <v>0</v>
      </c>
    </row>
    <row r="2642" customFormat="false" ht="15" hidden="false" customHeight="false" outlineLevel="0" collapsed="false">
      <c r="A2642" s="3" t="n">
        <v>2019</v>
      </c>
      <c r="B2642" s="3" t="n">
        <v>3</v>
      </c>
      <c r="C2642" s="3" t="n">
        <v>25</v>
      </c>
      <c r="D2642" s="3" t="s">
        <v>2646</v>
      </c>
      <c r="E2642" s="4" t="n">
        <v>0</v>
      </c>
    </row>
    <row r="2643" customFormat="false" ht="15" hidden="false" customHeight="false" outlineLevel="0" collapsed="false">
      <c r="A2643" s="3" t="n">
        <v>2019</v>
      </c>
      <c r="B2643" s="3" t="n">
        <v>3</v>
      </c>
      <c r="C2643" s="3" t="n">
        <v>26</v>
      </c>
      <c r="D2643" s="3" t="s">
        <v>2647</v>
      </c>
      <c r="E2643" s="4" t="n">
        <v>0</v>
      </c>
    </row>
    <row r="2644" customFormat="false" ht="15" hidden="false" customHeight="false" outlineLevel="0" collapsed="false">
      <c r="A2644" s="3" t="n">
        <v>2019</v>
      </c>
      <c r="B2644" s="3" t="n">
        <v>3</v>
      </c>
      <c r="C2644" s="3" t="n">
        <v>27</v>
      </c>
      <c r="D2644" s="3" t="s">
        <v>2648</v>
      </c>
      <c r="E2644" s="4" t="n">
        <v>0</v>
      </c>
    </row>
    <row r="2645" customFormat="false" ht="15" hidden="false" customHeight="false" outlineLevel="0" collapsed="false">
      <c r="A2645" s="3" t="n">
        <v>2019</v>
      </c>
      <c r="B2645" s="3" t="n">
        <v>3</v>
      </c>
      <c r="C2645" s="3" t="n">
        <v>28</v>
      </c>
      <c r="D2645" s="3" t="s">
        <v>2649</v>
      </c>
      <c r="E2645" s="4" t="n">
        <v>0</v>
      </c>
    </row>
    <row r="2646" customFormat="false" ht="15" hidden="false" customHeight="false" outlineLevel="0" collapsed="false">
      <c r="A2646" s="3" t="n">
        <v>2019</v>
      </c>
      <c r="B2646" s="3" t="n">
        <v>3</v>
      </c>
      <c r="C2646" s="3" t="n">
        <v>29</v>
      </c>
      <c r="D2646" s="3" t="s">
        <v>2650</v>
      </c>
      <c r="E2646" s="4" t="n">
        <v>4</v>
      </c>
    </row>
    <row r="2647" customFormat="false" ht="15" hidden="false" customHeight="false" outlineLevel="0" collapsed="false">
      <c r="A2647" s="3" t="n">
        <v>2019</v>
      </c>
      <c r="B2647" s="3" t="n">
        <v>3</v>
      </c>
      <c r="C2647" s="3" t="n">
        <v>30</v>
      </c>
      <c r="D2647" s="3" t="s">
        <v>2651</v>
      </c>
      <c r="E2647" s="4" t="n">
        <v>0</v>
      </c>
    </row>
    <row r="2648" customFormat="false" ht="15" hidden="false" customHeight="false" outlineLevel="0" collapsed="false">
      <c r="A2648" s="3" t="n">
        <v>2019</v>
      </c>
      <c r="B2648" s="3" t="n">
        <v>3</v>
      </c>
      <c r="C2648" s="3" t="n">
        <v>31</v>
      </c>
      <c r="D2648" s="3" t="s">
        <v>2652</v>
      </c>
      <c r="E2648" s="4" t="n">
        <v>0</v>
      </c>
    </row>
    <row r="2649" customFormat="false" ht="15" hidden="false" customHeight="false" outlineLevel="0" collapsed="false">
      <c r="A2649" s="3" t="n">
        <v>2019</v>
      </c>
      <c r="B2649" s="3" t="n">
        <v>4</v>
      </c>
      <c r="C2649" s="3" t="n">
        <v>1</v>
      </c>
      <c r="D2649" s="3" t="s">
        <v>2653</v>
      </c>
      <c r="E2649" s="4" t="n">
        <v>0</v>
      </c>
    </row>
    <row r="2650" customFormat="false" ht="15" hidden="false" customHeight="false" outlineLevel="0" collapsed="false">
      <c r="A2650" s="3" t="n">
        <v>2019</v>
      </c>
      <c r="B2650" s="3" t="n">
        <v>4</v>
      </c>
      <c r="C2650" s="3" t="n">
        <v>2</v>
      </c>
      <c r="D2650" s="3" t="s">
        <v>2654</v>
      </c>
      <c r="E2650" s="4" t="n">
        <v>1</v>
      </c>
    </row>
    <row r="2651" customFormat="false" ht="15" hidden="false" customHeight="false" outlineLevel="0" collapsed="false">
      <c r="A2651" s="3" t="n">
        <v>2019</v>
      </c>
      <c r="B2651" s="3" t="n">
        <v>4</v>
      </c>
      <c r="C2651" s="3" t="n">
        <v>3</v>
      </c>
      <c r="D2651" s="3" t="s">
        <v>2655</v>
      </c>
      <c r="E2651" s="4" t="n">
        <v>5</v>
      </c>
    </row>
    <row r="2652" customFormat="false" ht="15" hidden="false" customHeight="false" outlineLevel="0" collapsed="false">
      <c r="A2652" s="3" t="n">
        <v>2019</v>
      </c>
      <c r="B2652" s="3" t="n">
        <v>4</v>
      </c>
      <c r="C2652" s="3" t="n">
        <v>4</v>
      </c>
      <c r="D2652" s="3" t="s">
        <v>2656</v>
      </c>
      <c r="E2652" s="4" t="n">
        <v>0</v>
      </c>
    </row>
    <row r="2653" customFormat="false" ht="15" hidden="false" customHeight="false" outlineLevel="0" collapsed="false">
      <c r="A2653" s="3" t="n">
        <v>2019</v>
      </c>
      <c r="B2653" s="3" t="n">
        <v>4</v>
      </c>
      <c r="C2653" s="3" t="n">
        <v>5</v>
      </c>
      <c r="D2653" s="3" t="s">
        <v>2657</v>
      </c>
      <c r="E2653" s="4" t="n">
        <v>0</v>
      </c>
    </row>
    <row r="2654" customFormat="false" ht="15" hidden="false" customHeight="false" outlineLevel="0" collapsed="false">
      <c r="A2654" s="3" t="n">
        <v>2019</v>
      </c>
      <c r="B2654" s="3" t="n">
        <v>4</v>
      </c>
      <c r="C2654" s="3" t="n">
        <v>6</v>
      </c>
      <c r="D2654" s="3" t="s">
        <v>2658</v>
      </c>
      <c r="E2654" s="4" t="n">
        <v>0</v>
      </c>
    </row>
    <row r="2655" customFormat="false" ht="15" hidden="false" customHeight="false" outlineLevel="0" collapsed="false">
      <c r="A2655" s="3" t="n">
        <v>2019</v>
      </c>
      <c r="B2655" s="3" t="n">
        <v>4</v>
      </c>
      <c r="C2655" s="3" t="n">
        <v>7</v>
      </c>
      <c r="D2655" s="3" t="s">
        <v>2659</v>
      </c>
      <c r="E2655" s="4" t="n">
        <v>0</v>
      </c>
    </row>
    <row r="2656" customFormat="false" ht="15" hidden="false" customHeight="false" outlineLevel="0" collapsed="false">
      <c r="A2656" s="3" t="n">
        <v>2019</v>
      </c>
      <c r="B2656" s="3" t="n">
        <v>4</v>
      </c>
      <c r="C2656" s="3" t="n">
        <v>8</v>
      </c>
      <c r="D2656" s="3" t="s">
        <v>2660</v>
      </c>
      <c r="E2656" s="4" t="n">
        <v>0</v>
      </c>
    </row>
    <row r="2657" customFormat="false" ht="15" hidden="false" customHeight="false" outlineLevel="0" collapsed="false">
      <c r="A2657" s="3" t="n">
        <v>2019</v>
      </c>
      <c r="B2657" s="3" t="n">
        <v>4</v>
      </c>
      <c r="C2657" s="3" t="n">
        <v>9</v>
      </c>
      <c r="D2657" s="3" t="s">
        <v>2661</v>
      </c>
      <c r="E2657" s="4" t="n">
        <v>0</v>
      </c>
    </row>
    <row r="2658" customFormat="false" ht="15" hidden="false" customHeight="false" outlineLevel="0" collapsed="false">
      <c r="A2658" s="3" t="n">
        <v>2019</v>
      </c>
      <c r="B2658" s="3" t="n">
        <v>4</v>
      </c>
      <c r="C2658" s="3" t="n">
        <v>10</v>
      </c>
      <c r="D2658" s="3" t="s">
        <v>2662</v>
      </c>
      <c r="E2658" s="4" t="n">
        <v>5</v>
      </c>
    </row>
    <row r="2659" customFormat="false" ht="15" hidden="false" customHeight="false" outlineLevel="0" collapsed="false">
      <c r="A2659" s="3" t="n">
        <v>2019</v>
      </c>
      <c r="B2659" s="3" t="n">
        <v>4</v>
      </c>
      <c r="C2659" s="3" t="n">
        <v>11</v>
      </c>
      <c r="D2659" s="3" t="s">
        <v>2663</v>
      </c>
      <c r="E2659" s="4" t="n">
        <v>1</v>
      </c>
    </row>
    <row r="2660" customFormat="false" ht="15" hidden="false" customHeight="false" outlineLevel="0" collapsed="false">
      <c r="A2660" s="3" t="n">
        <v>2019</v>
      </c>
      <c r="B2660" s="3" t="n">
        <v>4</v>
      </c>
      <c r="C2660" s="3" t="n">
        <v>12</v>
      </c>
      <c r="D2660" s="3" t="s">
        <v>2664</v>
      </c>
      <c r="E2660" s="4" t="n">
        <v>0</v>
      </c>
    </row>
    <row r="2661" customFormat="false" ht="15" hidden="false" customHeight="false" outlineLevel="0" collapsed="false">
      <c r="A2661" s="3" t="n">
        <v>2019</v>
      </c>
      <c r="B2661" s="3" t="n">
        <v>4</v>
      </c>
      <c r="C2661" s="3" t="n">
        <v>13</v>
      </c>
      <c r="D2661" s="3" t="s">
        <v>2665</v>
      </c>
      <c r="E2661" s="4" t="n">
        <v>0</v>
      </c>
    </row>
    <row r="2662" customFormat="false" ht="15" hidden="false" customHeight="false" outlineLevel="0" collapsed="false">
      <c r="A2662" s="3" t="n">
        <v>2019</v>
      </c>
      <c r="B2662" s="3" t="n">
        <v>4</v>
      </c>
      <c r="C2662" s="3" t="n">
        <v>14</v>
      </c>
      <c r="D2662" s="3" t="s">
        <v>2666</v>
      </c>
      <c r="E2662" s="4" t="n">
        <v>0</v>
      </c>
    </row>
    <row r="2663" customFormat="false" ht="15" hidden="false" customHeight="false" outlineLevel="0" collapsed="false">
      <c r="A2663" s="3" t="n">
        <v>2019</v>
      </c>
      <c r="B2663" s="3" t="n">
        <v>4</v>
      </c>
      <c r="C2663" s="3" t="n">
        <v>15</v>
      </c>
      <c r="D2663" s="3" t="s">
        <v>2667</v>
      </c>
      <c r="E2663" s="4" t="n">
        <v>6</v>
      </c>
    </row>
    <row r="2664" customFormat="false" ht="15" hidden="false" customHeight="false" outlineLevel="0" collapsed="false">
      <c r="A2664" s="3" t="n">
        <v>2019</v>
      </c>
      <c r="B2664" s="3" t="n">
        <v>4</v>
      </c>
      <c r="C2664" s="3" t="n">
        <v>16</v>
      </c>
      <c r="D2664" s="3" t="s">
        <v>2668</v>
      </c>
      <c r="E2664" s="4" t="n">
        <v>14</v>
      </c>
    </row>
    <row r="2665" customFormat="false" ht="15" hidden="false" customHeight="false" outlineLevel="0" collapsed="false">
      <c r="A2665" s="3" t="n">
        <v>2019</v>
      </c>
      <c r="B2665" s="3" t="n">
        <v>4</v>
      </c>
      <c r="C2665" s="3" t="n">
        <v>17</v>
      </c>
      <c r="D2665" s="3" t="s">
        <v>2669</v>
      </c>
      <c r="E2665" s="4" t="n">
        <v>15</v>
      </c>
    </row>
    <row r="2666" customFormat="false" ht="15" hidden="false" customHeight="false" outlineLevel="0" collapsed="false">
      <c r="A2666" s="3" t="n">
        <v>2019</v>
      </c>
      <c r="B2666" s="3" t="n">
        <v>4</v>
      </c>
      <c r="C2666" s="3" t="n">
        <v>18</v>
      </c>
      <c r="D2666" s="3" t="s">
        <v>2670</v>
      </c>
      <c r="E2666" s="4" t="n">
        <v>1</v>
      </c>
    </row>
    <row r="2667" customFormat="false" ht="15" hidden="false" customHeight="false" outlineLevel="0" collapsed="false">
      <c r="A2667" s="3" t="n">
        <v>2019</v>
      </c>
      <c r="B2667" s="3" t="n">
        <v>4</v>
      </c>
      <c r="C2667" s="3" t="n">
        <v>19</v>
      </c>
      <c r="D2667" s="3" t="s">
        <v>2671</v>
      </c>
      <c r="E2667" s="4" t="n">
        <v>0</v>
      </c>
    </row>
    <row r="2668" customFormat="false" ht="15" hidden="false" customHeight="false" outlineLevel="0" collapsed="false">
      <c r="A2668" s="3" t="n">
        <v>2019</v>
      </c>
      <c r="B2668" s="3" t="n">
        <v>4</v>
      </c>
      <c r="C2668" s="3" t="n">
        <v>20</v>
      </c>
      <c r="D2668" s="3" t="s">
        <v>2672</v>
      </c>
      <c r="E2668" s="4" t="n">
        <v>0</v>
      </c>
    </row>
    <row r="2669" customFormat="false" ht="15" hidden="false" customHeight="false" outlineLevel="0" collapsed="false">
      <c r="A2669" s="3" t="n">
        <v>2019</v>
      </c>
      <c r="B2669" s="3" t="n">
        <v>4</v>
      </c>
      <c r="C2669" s="3" t="n">
        <v>21</v>
      </c>
      <c r="D2669" s="3" t="s">
        <v>2673</v>
      </c>
      <c r="E2669" s="4" t="n">
        <v>3</v>
      </c>
    </row>
    <row r="2670" customFormat="false" ht="15" hidden="false" customHeight="false" outlineLevel="0" collapsed="false">
      <c r="A2670" s="3" t="n">
        <v>2019</v>
      </c>
      <c r="B2670" s="3" t="n">
        <v>4</v>
      </c>
      <c r="C2670" s="3" t="n">
        <v>22</v>
      </c>
      <c r="D2670" s="3" t="s">
        <v>2674</v>
      </c>
      <c r="E2670" s="4" t="n">
        <v>0</v>
      </c>
    </row>
    <row r="2671" customFormat="false" ht="15" hidden="false" customHeight="false" outlineLevel="0" collapsed="false">
      <c r="A2671" s="3" t="n">
        <v>2019</v>
      </c>
      <c r="B2671" s="3" t="n">
        <v>4</v>
      </c>
      <c r="C2671" s="3" t="n">
        <v>23</v>
      </c>
      <c r="D2671" s="3" t="s">
        <v>2675</v>
      </c>
      <c r="E2671" s="4" t="n">
        <v>0</v>
      </c>
    </row>
    <row r="2672" customFormat="false" ht="15" hidden="false" customHeight="false" outlineLevel="0" collapsed="false">
      <c r="A2672" s="3" t="n">
        <v>2019</v>
      </c>
      <c r="B2672" s="3" t="n">
        <v>4</v>
      </c>
      <c r="C2672" s="3" t="n">
        <v>24</v>
      </c>
      <c r="D2672" s="3" t="s">
        <v>2676</v>
      </c>
      <c r="E2672" s="4" t="n">
        <v>26</v>
      </c>
    </row>
    <row r="2673" customFormat="false" ht="15" hidden="false" customHeight="false" outlineLevel="0" collapsed="false">
      <c r="A2673" s="3" t="n">
        <v>2019</v>
      </c>
      <c r="B2673" s="3" t="n">
        <v>4</v>
      </c>
      <c r="C2673" s="3" t="n">
        <v>25</v>
      </c>
      <c r="D2673" s="3" t="s">
        <v>2677</v>
      </c>
      <c r="E2673" s="4" t="n">
        <v>29</v>
      </c>
    </row>
    <row r="2674" customFormat="false" ht="15" hidden="false" customHeight="false" outlineLevel="0" collapsed="false">
      <c r="A2674" s="3" t="n">
        <v>2019</v>
      </c>
      <c r="B2674" s="3" t="n">
        <v>4</v>
      </c>
      <c r="C2674" s="3" t="n">
        <v>26</v>
      </c>
      <c r="D2674" s="3" t="s">
        <v>2678</v>
      </c>
      <c r="E2674" s="4" t="n">
        <v>0</v>
      </c>
    </row>
    <row r="2675" customFormat="false" ht="15" hidden="false" customHeight="false" outlineLevel="0" collapsed="false">
      <c r="A2675" s="3" t="n">
        <v>2019</v>
      </c>
      <c r="B2675" s="3" t="n">
        <v>4</v>
      </c>
      <c r="C2675" s="3" t="n">
        <v>27</v>
      </c>
      <c r="D2675" s="3" t="s">
        <v>2679</v>
      </c>
      <c r="E2675" s="4" t="n">
        <v>32</v>
      </c>
    </row>
    <row r="2676" customFormat="false" ht="15" hidden="false" customHeight="false" outlineLevel="0" collapsed="false">
      <c r="A2676" s="3" t="n">
        <v>2019</v>
      </c>
      <c r="B2676" s="3" t="n">
        <v>4</v>
      </c>
      <c r="C2676" s="3" t="n">
        <v>28</v>
      </c>
      <c r="D2676" s="3" t="s">
        <v>2680</v>
      </c>
      <c r="E2676" s="4" t="n">
        <v>13</v>
      </c>
    </row>
    <row r="2677" customFormat="false" ht="15" hidden="false" customHeight="false" outlineLevel="0" collapsed="false">
      <c r="A2677" s="3" t="n">
        <v>2019</v>
      </c>
      <c r="B2677" s="3" t="n">
        <v>4</v>
      </c>
      <c r="C2677" s="3" t="n">
        <v>29</v>
      </c>
      <c r="D2677" s="3" t="s">
        <v>2681</v>
      </c>
      <c r="E2677" s="4" t="n">
        <v>0</v>
      </c>
    </row>
    <row r="2678" customFormat="false" ht="15" hidden="false" customHeight="false" outlineLevel="0" collapsed="false">
      <c r="A2678" s="3" t="n">
        <v>2019</v>
      </c>
      <c r="B2678" s="3" t="n">
        <v>4</v>
      </c>
      <c r="C2678" s="3" t="n">
        <v>30</v>
      </c>
      <c r="D2678" s="3" t="s">
        <v>2682</v>
      </c>
      <c r="E2678" s="4"/>
    </row>
    <row r="2679" customFormat="false" ht="15" hidden="false" customHeight="false" outlineLevel="0" collapsed="false">
      <c r="A2679" s="3" t="n">
        <v>2019</v>
      </c>
      <c r="B2679" s="3" t="n">
        <v>5</v>
      </c>
      <c r="C2679" s="3" t="n">
        <v>1</v>
      </c>
      <c r="D2679" s="3" t="s">
        <v>2683</v>
      </c>
      <c r="E2679" s="4" t="n">
        <v>0</v>
      </c>
    </row>
    <row r="2680" customFormat="false" ht="15" hidden="false" customHeight="false" outlineLevel="0" collapsed="false">
      <c r="A2680" s="3" t="n">
        <v>2019</v>
      </c>
      <c r="B2680" s="3" t="n">
        <v>5</v>
      </c>
      <c r="C2680" s="3" t="n">
        <v>2</v>
      </c>
      <c r="D2680" s="3" t="s">
        <v>2684</v>
      </c>
      <c r="E2680" s="4" t="n">
        <v>0</v>
      </c>
    </row>
    <row r="2681" customFormat="false" ht="15" hidden="false" customHeight="false" outlineLevel="0" collapsed="false">
      <c r="A2681" s="3" t="n">
        <v>2019</v>
      </c>
      <c r="B2681" s="3" t="n">
        <v>5</v>
      </c>
      <c r="C2681" s="3" t="n">
        <v>3</v>
      </c>
      <c r="D2681" s="3" t="s">
        <v>2685</v>
      </c>
      <c r="E2681" s="4" t="n">
        <v>0</v>
      </c>
    </row>
    <row r="2682" customFormat="false" ht="15" hidden="false" customHeight="false" outlineLevel="0" collapsed="false">
      <c r="A2682" s="3" t="n">
        <v>2019</v>
      </c>
      <c r="B2682" s="3" t="n">
        <v>5</v>
      </c>
      <c r="C2682" s="3" t="n">
        <v>4</v>
      </c>
      <c r="D2682" s="3" t="s">
        <v>2686</v>
      </c>
      <c r="E2682" s="4" t="n">
        <v>0</v>
      </c>
    </row>
    <row r="2683" customFormat="false" ht="15" hidden="false" customHeight="false" outlineLevel="0" collapsed="false">
      <c r="A2683" s="3" t="n">
        <v>2019</v>
      </c>
      <c r="B2683" s="3" t="n">
        <v>5</v>
      </c>
      <c r="C2683" s="3" t="n">
        <v>5</v>
      </c>
      <c r="D2683" s="3" t="s">
        <v>2687</v>
      </c>
      <c r="E2683" s="4" t="n">
        <v>4</v>
      </c>
    </row>
    <row r="2684" customFormat="false" ht="15" hidden="false" customHeight="false" outlineLevel="0" collapsed="false">
      <c r="A2684" s="3" t="n">
        <v>2019</v>
      </c>
      <c r="B2684" s="3" t="n">
        <v>5</v>
      </c>
      <c r="C2684" s="3" t="n">
        <v>6</v>
      </c>
      <c r="D2684" s="3" t="s">
        <v>2688</v>
      </c>
      <c r="E2684" s="4" t="n">
        <v>0</v>
      </c>
    </row>
    <row r="2685" customFormat="false" ht="15" hidden="false" customHeight="false" outlineLevel="0" collapsed="false">
      <c r="A2685" s="3" t="n">
        <v>2019</v>
      </c>
      <c r="B2685" s="3" t="n">
        <v>5</v>
      </c>
      <c r="C2685" s="3" t="n">
        <v>7</v>
      </c>
      <c r="D2685" s="3" t="s">
        <v>2689</v>
      </c>
      <c r="E2685" s="4" t="n">
        <v>1</v>
      </c>
    </row>
    <row r="2686" customFormat="false" ht="15" hidden="false" customHeight="false" outlineLevel="0" collapsed="false">
      <c r="A2686" s="3" t="n">
        <v>2019</v>
      </c>
      <c r="B2686" s="3" t="n">
        <v>5</v>
      </c>
      <c r="C2686" s="3" t="n">
        <v>8</v>
      </c>
      <c r="D2686" s="3" t="s">
        <v>2690</v>
      </c>
      <c r="E2686" s="4" t="n">
        <v>0</v>
      </c>
    </row>
    <row r="2687" customFormat="false" ht="15" hidden="false" customHeight="false" outlineLevel="0" collapsed="false">
      <c r="A2687" s="3" t="n">
        <v>2019</v>
      </c>
      <c r="B2687" s="3" t="n">
        <v>5</v>
      </c>
      <c r="C2687" s="3" t="n">
        <v>9</v>
      </c>
      <c r="D2687" s="3" t="s">
        <v>2691</v>
      </c>
      <c r="E2687" s="4" t="n">
        <v>5</v>
      </c>
    </row>
    <row r="2688" customFormat="false" ht="15" hidden="false" customHeight="false" outlineLevel="0" collapsed="false">
      <c r="A2688" s="3" t="n">
        <v>2019</v>
      </c>
      <c r="B2688" s="3" t="n">
        <v>5</v>
      </c>
      <c r="C2688" s="3" t="n">
        <v>10</v>
      </c>
      <c r="D2688" s="3" t="s">
        <v>2692</v>
      </c>
      <c r="E2688" s="4" t="n">
        <v>3</v>
      </c>
    </row>
    <row r="2689" customFormat="false" ht="15" hidden="false" customHeight="false" outlineLevel="0" collapsed="false">
      <c r="A2689" s="3" t="n">
        <v>2019</v>
      </c>
      <c r="B2689" s="3" t="n">
        <v>5</v>
      </c>
      <c r="C2689" s="3" t="n">
        <v>11</v>
      </c>
      <c r="D2689" s="3" t="s">
        <v>2693</v>
      </c>
      <c r="E2689" s="4" t="n">
        <v>0</v>
      </c>
    </row>
    <row r="2690" customFormat="false" ht="15" hidden="false" customHeight="false" outlineLevel="0" collapsed="false">
      <c r="A2690" s="3" t="n">
        <v>2019</v>
      </c>
      <c r="B2690" s="3" t="n">
        <v>5</v>
      </c>
      <c r="C2690" s="3" t="n">
        <v>12</v>
      </c>
      <c r="D2690" s="3" t="s">
        <v>2694</v>
      </c>
      <c r="E2690" s="4" t="n">
        <v>10</v>
      </c>
    </row>
    <row r="2691" customFormat="false" ht="15" hidden="false" customHeight="false" outlineLevel="0" collapsed="false">
      <c r="A2691" s="3" t="n">
        <v>2019</v>
      </c>
      <c r="B2691" s="3" t="n">
        <v>5</v>
      </c>
      <c r="C2691" s="3" t="n">
        <v>13</v>
      </c>
      <c r="D2691" s="3" t="s">
        <v>2695</v>
      </c>
      <c r="E2691" s="4" t="n">
        <v>0</v>
      </c>
    </row>
    <row r="2692" customFormat="false" ht="15" hidden="false" customHeight="false" outlineLevel="0" collapsed="false">
      <c r="A2692" s="3" t="n">
        <v>2019</v>
      </c>
      <c r="B2692" s="3" t="n">
        <v>5</v>
      </c>
      <c r="C2692" s="3" t="n">
        <v>14</v>
      </c>
      <c r="D2692" s="3" t="s">
        <v>2696</v>
      </c>
      <c r="E2692" s="4" t="n">
        <v>22</v>
      </c>
    </row>
    <row r="2693" customFormat="false" ht="15" hidden="false" customHeight="false" outlineLevel="0" collapsed="false">
      <c r="A2693" s="3" t="n">
        <v>2019</v>
      </c>
      <c r="B2693" s="3" t="n">
        <v>5</v>
      </c>
      <c r="C2693" s="3" t="n">
        <v>15</v>
      </c>
      <c r="D2693" s="3" t="s">
        <v>2697</v>
      </c>
      <c r="E2693" s="4" t="n">
        <v>0</v>
      </c>
    </row>
    <row r="2694" customFormat="false" ht="15" hidden="false" customHeight="false" outlineLevel="0" collapsed="false">
      <c r="A2694" s="3" t="n">
        <v>2019</v>
      </c>
      <c r="B2694" s="3" t="n">
        <v>5</v>
      </c>
      <c r="C2694" s="3" t="n">
        <v>16</v>
      </c>
      <c r="D2694" s="3" t="s">
        <v>2698</v>
      </c>
      <c r="E2694" s="4" t="n">
        <v>22</v>
      </c>
    </row>
    <row r="2695" customFormat="false" ht="15" hidden="false" customHeight="false" outlineLevel="0" collapsed="false">
      <c r="A2695" s="3" t="n">
        <v>2019</v>
      </c>
      <c r="B2695" s="3" t="n">
        <v>5</v>
      </c>
      <c r="C2695" s="3" t="n">
        <v>17</v>
      </c>
      <c r="D2695" s="3" t="s">
        <v>2699</v>
      </c>
      <c r="E2695" s="4" t="n">
        <v>21</v>
      </c>
    </row>
    <row r="2696" customFormat="false" ht="15" hidden="false" customHeight="false" outlineLevel="0" collapsed="false">
      <c r="A2696" s="3" t="n">
        <v>2019</v>
      </c>
      <c r="B2696" s="3" t="n">
        <v>5</v>
      </c>
      <c r="C2696" s="3" t="n">
        <v>18</v>
      </c>
      <c r="D2696" s="3" t="s">
        <v>2700</v>
      </c>
      <c r="E2696" s="4" t="n">
        <v>2</v>
      </c>
    </row>
    <row r="2697" customFormat="false" ht="15" hidden="false" customHeight="false" outlineLevel="0" collapsed="false">
      <c r="A2697" s="3" t="n">
        <v>2019</v>
      </c>
      <c r="B2697" s="3" t="n">
        <v>5</v>
      </c>
      <c r="C2697" s="3" t="n">
        <v>19</v>
      </c>
      <c r="D2697" s="3" t="s">
        <v>2701</v>
      </c>
      <c r="E2697" s="4" t="n">
        <v>1</v>
      </c>
    </row>
    <row r="2698" customFormat="false" ht="15" hidden="false" customHeight="false" outlineLevel="0" collapsed="false">
      <c r="A2698" s="3" t="n">
        <v>2019</v>
      </c>
      <c r="B2698" s="3" t="n">
        <v>5</v>
      </c>
      <c r="C2698" s="3" t="n">
        <v>20</v>
      </c>
      <c r="D2698" s="3" t="s">
        <v>2702</v>
      </c>
      <c r="E2698" s="4" t="n">
        <v>4</v>
      </c>
    </row>
    <row r="2699" customFormat="false" ht="15" hidden="false" customHeight="false" outlineLevel="0" collapsed="false">
      <c r="A2699" s="3" t="n">
        <v>2019</v>
      </c>
      <c r="B2699" s="3" t="n">
        <v>5</v>
      </c>
      <c r="C2699" s="3" t="n">
        <v>21</v>
      </c>
      <c r="D2699" s="3" t="s">
        <v>2703</v>
      </c>
      <c r="E2699" s="4" t="n">
        <v>3</v>
      </c>
    </row>
    <row r="2700" customFormat="false" ht="15" hidden="false" customHeight="false" outlineLevel="0" collapsed="false">
      <c r="A2700" s="3" t="n">
        <v>2019</v>
      </c>
      <c r="B2700" s="3" t="n">
        <v>5</v>
      </c>
      <c r="C2700" s="3" t="n">
        <v>22</v>
      </c>
      <c r="D2700" s="3" t="s">
        <v>2704</v>
      </c>
      <c r="E2700" s="4" t="n">
        <v>6</v>
      </c>
    </row>
    <row r="2701" customFormat="false" ht="15" hidden="false" customHeight="false" outlineLevel="0" collapsed="false">
      <c r="A2701" s="3" t="n">
        <v>2019</v>
      </c>
      <c r="B2701" s="3" t="n">
        <v>5</v>
      </c>
      <c r="C2701" s="3" t="n">
        <v>23</v>
      </c>
      <c r="D2701" s="3" t="s">
        <v>2705</v>
      </c>
      <c r="E2701" s="4" t="n">
        <v>0</v>
      </c>
    </row>
    <row r="2702" customFormat="false" ht="15" hidden="false" customHeight="false" outlineLevel="0" collapsed="false">
      <c r="A2702" s="3" t="n">
        <v>2019</v>
      </c>
      <c r="B2702" s="3" t="n">
        <v>5</v>
      </c>
      <c r="C2702" s="3" t="n">
        <v>24</v>
      </c>
      <c r="D2702" s="3" t="s">
        <v>2706</v>
      </c>
      <c r="E2702" s="4" t="n">
        <v>0</v>
      </c>
    </row>
    <row r="2703" customFormat="false" ht="15" hidden="false" customHeight="false" outlineLevel="0" collapsed="false">
      <c r="A2703" s="3" t="n">
        <v>2019</v>
      </c>
      <c r="B2703" s="3" t="n">
        <v>5</v>
      </c>
      <c r="C2703" s="3" t="n">
        <v>25</v>
      </c>
      <c r="D2703" s="3" t="s">
        <v>2707</v>
      </c>
      <c r="E2703" s="4" t="n">
        <v>0</v>
      </c>
    </row>
    <row r="2704" customFormat="false" ht="15" hidden="false" customHeight="false" outlineLevel="0" collapsed="false">
      <c r="A2704" s="3" t="n">
        <v>2019</v>
      </c>
      <c r="B2704" s="3" t="n">
        <v>5</v>
      </c>
      <c r="C2704" s="3" t="n">
        <v>26</v>
      </c>
      <c r="D2704" s="3" t="s">
        <v>2708</v>
      </c>
      <c r="E2704" s="4" t="n">
        <v>0</v>
      </c>
    </row>
    <row r="2705" customFormat="false" ht="15" hidden="false" customHeight="false" outlineLevel="0" collapsed="false">
      <c r="A2705" s="3" t="n">
        <v>2019</v>
      </c>
      <c r="B2705" s="3" t="n">
        <v>5</v>
      </c>
      <c r="C2705" s="3" t="n">
        <v>27</v>
      </c>
      <c r="D2705" s="3" t="s">
        <v>2709</v>
      </c>
      <c r="E2705" s="4" t="n">
        <v>1</v>
      </c>
    </row>
    <row r="2706" customFormat="false" ht="15" hidden="false" customHeight="false" outlineLevel="0" collapsed="false">
      <c r="A2706" s="3" t="n">
        <v>2019</v>
      </c>
      <c r="B2706" s="3" t="n">
        <v>5</v>
      </c>
      <c r="C2706" s="3" t="n">
        <v>28</v>
      </c>
      <c r="D2706" s="3" t="s">
        <v>2710</v>
      </c>
      <c r="E2706" s="4" t="n">
        <v>12</v>
      </c>
    </row>
    <row r="2707" customFormat="false" ht="15" hidden="false" customHeight="false" outlineLevel="0" collapsed="false">
      <c r="A2707" s="3" t="n">
        <v>2019</v>
      </c>
      <c r="B2707" s="3" t="n">
        <v>5</v>
      </c>
      <c r="C2707" s="3" t="n">
        <v>29</v>
      </c>
      <c r="D2707" s="3" t="s">
        <v>2711</v>
      </c>
      <c r="E2707" s="4" t="n">
        <v>1</v>
      </c>
    </row>
    <row r="2708" customFormat="false" ht="15" hidden="false" customHeight="false" outlineLevel="0" collapsed="false">
      <c r="A2708" s="3" t="n">
        <v>2019</v>
      </c>
      <c r="B2708" s="3" t="n">
        <v>5</v>
      </c>
      <c r="C2708" s="3" t="n">
        <v>30</v>
      </c>
      <c r="D2708" s="3" t="s">
        <v>2712</v>
      </c>
      <c r="E2708" s="4" t="n">
        <v>0</v>
      </c>
    </row>
    <row r="2709" customFormat="false" ht="15" hidden="false" customHeight="false" outlineLevel="0" collapsed="false">
      <c r="A2709" s="3" t="n">
        <v>2019</v>
      </c>
      <c r="B2709" s="3" t="n">
        <v>5</v>
      </c>
      <c r="C2709" s="3" t="n">
        <v>31</v>
      </c>
      <c r="D2709" s="3" t="s">
        <v>2713</v>
      </c>
      <c r="E2709" s="4" t="n">
        <v>0</v>
      </c>
    </row>
    <row r="2710" customFormat="false" ht="15" hidden="false" customHeight="false" outlineLevel="0" collapsed="false">
      <c r="A2710" s="3" t="n">
        <v>2019</v>
      </c>
      <c r="B2710" s="3" t="n">
        <v>6</v>
      </c>
      <c r="C2710" s="3" t="n">
        <v>1</v>
      </c>
      <c r="D2710" s="3" t="s">
        <v>2714</v>
      </c>
      <c r="E2710" s="4" t="n">
        <v>3</v>
      </c>
    </row>
    <row r="2711" customFormat="false" ht="15" hidden="false" customHeight="false" outlineLevel="0" collapsed="false">
      <c r="A2711" s="3" t="n">
        <v>2019</v>
      </c>
      <c r="B2711" s="3" t="n">
        <v>6</v>
      </c>
      <c r="C2711" s="3" t="n">
        <v>2</v>
      </c>
      <c r="D2711" s="3" t="s">
        <v>2715</v>
      </c>
      <c r="E2711" s="4" t="n">
        <v>16</v>
      </c>
    </row>
    <row r="2712" customFormat="false" ht="15" hidden="false" customHeight="false" outlineLevel="0" collapsed="false">
      <c r="A2712" s="3" t="n">
        <v>2019</v>
      </c>
      <c r="B2712" s="3" t="n">
        <v>6</v>
      </c>
      <c r="C2712" s="3" t="n">
        <v>3</v>
      </c>
      <c r="D2712" s="3" t="s">
        <v>2716</v>
      </c>
      <c r="E2712" s="4" t="n">
        <v>15</v>
      </c>
    </row>
    <row r="2713" customFormat="false" ht="15" hidden="false" customHeight="false" outlineLevel="0" collapsed="false">
      <c r="A2713" s="3" t="n">
        <v>2019</v>
      </c>
      <c r="B2713" s="3" t="n">
        <v>6</v>
      </c>
      <c r="C2713" s="3" t="n">
        <v>4</v>
      </c>
      <c r="D2713" s="3" t="s">
        <v>2717</v>
      </c>
      <c r="E2713" s="4" t="n">
        <v>0</v>
      </c>
    </row>
    <row r="2714" customFormat="false" ht="15" hidden="false" customHeight="false" outlineLevel="0" collapsed="false">
      <c r="A2714" s="3" t="n">
        <v>2019</v>
      </c>
      <c r="B2714" s="3" t="n">
        <v>6</v>
      </c>
      <c r="C2714" s="3" t="n">
        <v>5</v>
      </c>
      <c r="D2714" s="3" t="s">
        <v>2718</v>
      </c>
      <c r="E2714" s="4" t="n">
        <v>0</v>
      </c>
    </row>
    <row r="2715" customFormat="false" ht="15" hidden="false" customHeight="false" outlineLevel="0" collapsed="false">
      <c r="A2715" s="3" t="n">
        <v>2019</v>
      </c>
      <c r="B2715" s="3" t="n">
        <v>6</v>
      </c>
      <c r="C2715" s="3" t="n">
        <v>6</v>
      </c>
      <c r="D2715" s="3" t="s">
        <v>2719</v>
      </c>
      <c r="E2715" s="4" t="n">
        <v>0</v>
      </c>
    </row>
    <row r="2716" customFormat="false" ht="15" hidden="false" customHeight="false" outlineLevel="0" collapsed="false">
      <c r="A2716" s="3" t="n">
        <v>2019</v>
      </c>
      <c r="B2716" s="3" t="n">
        <v>6</v>
      </c>
      <c r="C2716" s="3" t="n">
        <v>7</v>
      </c>
      <c r="D2716" s="3" t="s">
        <v>2720</v>
      </c>
      <c r="E2716" s="4" t="n">
        <v>8</v>
      </c>
    </row>
    <row r="2717" customFormat="false" ht="15" hidden="false" customHeight="false" outlineLevel="0" collapsed="false">
      <c r="A2717" s="3" t="n">
        <v>2019</v>
      </c>
      <c r="B2717" s="3" t="n">
        <v>6</v>
      </c>
      <c r="C2717" s="3" t="n">
        <v>8</v>
      </c>
      <c r="D2717" s="3" t="s">
        <v>2721</v>
      </c>
      <c r="E2717" s="4" t="n">
        <v>18</v>
      </c>
    </row>
    <row r="2718" customFormat="false" ht="15" hidden="false" customHeight="false" outlineLevel="0" collapsed="false">
      <c r="A2718" s="3" t="n">
        <v>2019</v>
      </c>
      <c r="B2718" s="3" t="n">
        <v>6</v>
      </c>
      <c r="C2718" s="3" t="n">
        <v>9</v>
      </c>
      <c r="D2718" s="3" t="s">
        <v>2722</v>
      </c>
      <c r="E2718" s="4" t="n">
        <v>0</v>
      </c>
    </row>
    <row r="2719" customFormat="false" ht="15" hidden="false" customHeight="false" outlineLevel="0" collapsed="false">
      <c r="A2719" s="3" t="n">
        <v>2019</v>
      </c>
      <c r="B2719" s="3" t="n">
        <v>6</v>
      </c>
      <c r="C2719" s="3" t="n">
        <v>10</v>
      </c>
      <c r="D2719" s="3" t="s">
        <v>2723</v>
      </c>
      <c r="E2719" s="4" t="n">
        <v>0</v>
      </c>
    </row>
    <row r="2720" customFormat="false" ht="15" hidden="false" customHeight="false" outlineLevel="0" collapsed="false">
      <c r="A2720" s="3" t="n">
        <v>2019</v>
      </c>
      <c r="B2720" s="3" t="n">
        <v>6</v>
      </c>
      <c r="C2720" s="3" t="n">
        <v>11</v>
      </c>
      <c r="D2720" s="3" t="s">
        <v>2724</v>
      </c>
      <c r="E2720" s="4" t="n">
        <v>9</v>
      </c>
    </row>
    <row r="2721" customFormat="false" ht="15" hidden="false" customHeight="false" outlineLevel="0" collapsed="false">
      <c r="A2721" s="3" t="n">
        <v>2019</v>
      </c>
      <c r="B2721" s="3" t="n">
        <v>6</v>
      </c>
      <c r="C2721" s="3" t="n">
        <v>12</v>
      </c>
      <c r="D2721" s="3" t="s">
        <v>2725</v>
      </c>
      <c r="E2721" s="4" t="n">
        <v>0</v>
      </c>
    </row>
    <row r="2722" customFormat="false" ht="15" hidden="false" customHeight="false" outlineLevel="0" collapsed="false">
      <c r="A2722" s="3" t="n">
        <v>2019</v>
      </c>
      <c r="B2722" s="3" t="n">
        <v>6</v>
      </c>
      <c r="C2722" s="3" t="n">
        <v>13</v>
      </c>
      <c r="D2722" s="3" t="s">
        <v>2726</v>
      </c>
      <c r="E2722" s="4" t="n">
        <v>2</v>
      </c>
    </row>
    <row r="2723" customFormat="false" ht="15" hidden="false" customHeight="false" outlineLevel="0" collapsed="false">
      <c r="A2723" s="3" t="n">
        <v>2019</v>
      </c>
      <c r="B2723" s="3" t="n">
        <v>6</v>
      </c>
      <c r="C2723" s="3" t="n">
        <v>14</v>
      </c>
      <c r="D2723" s="3" t="s">
        <v>2727</v>
      </c>
      <c r="E2723" s="4" t="n">
        <v>17</v>
      </c>
    </row>
    <row r="2724" customFormat="false" ht="15" hidden="false" customHeight="false" outlineLevel="0" collapsed="false">
      <c r="A2724" s="3" t="n">
        <v>2019</v>
      </c>
      <c r="B2724" s="3" t="n">
        <v>6</v>
      </c>
      <c r="C2724" s="3" t="n">
        <v>15</v>
      </c>
      <c r="D2724" s="3" t="s">
        <v>2728</v>
      </c>
      <c r="E2724" s="4" t="n">
        <v>13</v>
      </c>
    </row>
    <row r="2725" customFormat="false" ht="15" hidden="false" customHeight="false" outlineLevel="0" collapsed="false">
      <c r="A2725" s="3" t="n">
        <v>2019</v>
      </c>
      <c r="B2725" s="3" t="n">
        <v>6</v>
      </c>
      <c r="C2725" s="3" t="n">
        <v>16</v>
      </c>
      <c r="D2725" s="3" t="s">
        <v>2729</v>
      </c>
      <c r="E2725" s="4" t="n">
        <v>0</v>
      </c>
    </row>
    <row r="2726" customFormat="false" ht="15" hidden="false" customHeight="false" outlineLevel="0" collapsed="false">
      <c r="A2726" s="3" t="n">
        <v>2019</v>
      </c>
      <c r="B2726" s="3" t="n">
        <v>6</v>
      </c>
      <c r="C2726" s="3" t="n">
        <v>17</v>
      </c>
      <c r="D2726" s="3" t="s">
        <v>2730</v>
      </c>
      <c r="E2726" s="4" t="n">
        <v>0</v>
      </c>
    </row>
    <row r="2727" customFormat="false" ht="15" hidden="false" customHeight="false" outlineLevel="0" collapsed="false">
      <c r="A2727" s="3" t="n">
        <v>2019</v>
      </c>
      <c r="B2727" s="3" t="n">
        <v>6</v>
      </c>
      <c r="C2727" s="3" t="n">
        <v>18</v>
      </c>
      <c r="D2727" s="3" t="s">
        <v>2731</v>
      </c>
      <c r="E2727" s="4" t="n">
        <v>19</v>
      </c>
    </row>
    <row r="2728" customFormat="false" ht="15" hidden="false" customHeight="false" outlineLevel="0" collapsed="false">
      <c r="A2728" s="3" t="n">
        <v>2019</v>
      </c>
      <c r="B2728" s="3" t="n">
        <v>6</v>
      </c>
      <c r="C2728" s="3" t="n">
        <v>19</v>
      </c>
      <c r="D2728" s="3" t="s">
        <v>2732</v>
      </c>
      <c r="E2728" s="4" t="n">
        <v>5</v>
      </c>
    </row>
    <row r="2729" customFormat="false" ht="15" hidden="false" customHeight="false" outlineLevel="0" collapsed="false">
      <c r="A2729" s="3" t="n">
        <v>2019</v>
      </c>
      <c r="B2729" s="3" t="n">
        <v>6</v>
      </c>
      <c r="C2729" s="3" t="n">
        <v>20</v>
      </c>
      <c r="D2729" s="3" t="s">
        <v>2733</v>
      </c>
      <c r="E2729" s="4" t="n">
        <v>0</v>
      </c>
    </row>
    <row r="2730" customFormat="false" ht="15" hidden="false" customHeight="false" outlineLevel="0" collapsed="false">
      <c r="A2730" s="3" t="n">
        <v>2019</v>
      </c>
      <c r="B2730" s="3" t="n">
        <v>6</v>
      </c>
      <c r="C2730" s="3" t="n">
        <v>21</v>
      </c>
      <c r="D2730" s="3" t="s">
        <v>2734</v>
      </c>
      <c r="E2730" s="4" t="n">
        <v>0</v>
      </c>
    </row>
    <row r="2731" customFormat="false" ht="15" hidden="false" customHeight="false" outlineLevel="0" collapsed="false">
      <c r="A2731" s="3" t="n">
        <v>2019</v>
      </c>
      <c r="B2731" s="3" t="n">
        <v>6</v>
      </c>
      <c r="C2731" s="3" t="n">
        <v>22</v>
      </c>
      <c r="D2731" s="3" t="s">
        <v>2735</v>
      </c>
      <c r="E2731" s="4" t="n">
        <v>0</v>
      </c>
    </row>
    <row r="2732" customFormat="false" ht="15" hidden="false" customHeight="false" outlineLevel="0" collapsed="false">
      <c r="A2732" s="3" t="n">
        <v>2019</v>
      </c>
      <c r="B2732" s="3" t="n">
        <v>6</v>
      </c>
      <c r="C2732" s="3" t="n">
        <v>23</v>
      </c>
      <c r="D2732" s="3" t="s">
        <v>2736</v>
      </c>
      <c r="E2732" s="4" t="n">
        <v>0</v>
      </c>
    </row>
    <row r="2733" customFormat="false" ht="15" hidden="false" customHeight="false" outlineLevel="0" collapsed="false">
      <c r="A2733" s="3" t="n">
        <v>2019</v>
      </c>
      <c r="B2733" s="3" t="n">
        <v>6</v>
      </c>
      <c r="C2733" s="3" t="n">
        <v>24</v>
      </c>
      <c r="D2733" s="3" t="s">
        <v>2737</v>
      </c>
      <c r="E2733" s="4" t="n">
        <v>0</v>
      </c>
    </row>
    <row r="2734" customFormat="false" ht="15" hidden="false" customHeight="false" outlineLevel="0" collapsed="false">
      <c r="A2734" s="3" t="n">
        <v>2019</v>
      </c>
      <c r="B2734" s="3" t="n">
        <v>6</v>
      </c>
      <c r="C2734" s="3" t="n">
        <v>25</v>
      </c>
      <c r="D2734" s="3" t="s">
        <v>2738</v>
      </c>
      <c r="E2734" s="4" t="n">
        <v>0</v>
      </c>
    </row>
    <row r="2735" customFormat="false" ht="15" hidden="false" customHeight="false" outlineLevel="0" collapsed="false">
      <c r="A2735" s="3" t="n">
        <v>2019</v>
      </c>
      <c r="B2735" s="3" t="n">
        <v>6</v>
      </c>
      <c r="C2735" s="3" t="n">
        <v>26</v>
      </c>
      <c r="D2735" s="3" t="s">
        <v>2739</v>
      </c>
      <c r="E2735" s="4" t="n">
        <v>0</v>
      </c>
    </row>
    <row r="2736" customFormat="false" ht="15" hidden="false" customHeight="false" outlineLevel="0" collapsed="false">
      <c r="A2736" s="3" t="n">
        <v>2019</v>
      </c>
      <c r="B2736" s="3" t="n">
        <v>6</v>
      </c>
      <c r="C2736" s="3" t="n">
        <v>27</v>
      </c>
      <c r="D2736" s="3" t="s">
        <v>2740</v>
      </c>
      <c r="E2736" s="4" t="n">
        <v>0</v>
      </c>
    </row>
    <row r="2737" customFormat="false" ht="15" hidden="false" customHeight="false" outlineLevel="0" collapsed="false">
      <c r="A2737" s="3" t="n">
        <v>2019</v>
      </c>
      <c r="B2737" s="3" t="n">
        <v>6</v>
      </c>
      <c r="C2737" s="3" t="n">
        <v>28</v>
      </c>
      <c r="D2737" s="3" t="s">
        <v>2741</v>
      </c>
      <c r="E2737" s="4" t="n">
        <v>0</v>
      </c>
    </row>
    <row r="2738" customFormat="false" ht="15" hidden="false" customHeight="false" outlineLevel="0" collapsed="false">
      <c r="A2738" s="3" t="n">
        <v>2019</v>
      </c>
      <c r="B2738" s="3" t="n">
        <v>6</v>
      </c>
      <c r="C2738" s="3" t="n">
        <v>29</v>
      </c>
      <c r="D2738" s="3" t="s">
        <v>2742</v>
      </c>
      <c r="E2738" s="4" t="n">
        <v>0</v>
      </c>
    </row>
    <row r="2739" customFormat="false" ht="15" hidden="false" customHeight="false" outlineLevel="0" collapsed="false">
      <c r="A2739" s="3" t="n">
        <v>2019</v>
      </c>
      <c r="B2739" s="3" t="n">
        <v>6</v>
      </c>
      <c r="C2739" s="3" t="n">
        <v>30</v>
      </c>
      <c r="D2739" s="3" t="s">
        <v>2743</v>
      </c>
      <c r="E2739" s="4"/>
    </row>
    <row r="2740" customFormat="false" ht="15" hidden="false" customHeight="false" outlineLevel="0" collapsed="false">
      <c r="A2740" s="3" t="n">
        <v>2019</v>
      </c>
      <c r="B2740" s="3" t="n">
        <v>7</v>
      </c>
      <c r="C2740" s="3" t="n">
        <v>1</v>
      </c>
      <c r="D2740" s="3" t="s">
        <v>2744</v>
      </c>
      <c r="E2740" s="4" t="n">
        <v>0</v>
      </c>
    </row>
    <row r="2741" customFormat="false" ht="15" hidden="false" customHeight="false" outlineLevel="0" collapsed="false">
      <c r="A2741" s="3" t="n">
        <v>2019</v>
      </c>
      <c r="B2741" s="3" t="n">
        <v>7</v>
      </c>
      <c r="C2741" s="3" t="n">
        <v>2</v>
      </c>
      <c r="D2741" s="3" t="s">
        <v>2745</v>
      </c>
      <c r="E2741" s="4" t="n">
        <v>0</v>
      </c>
    </row>
    <row r="2742" customFormat="false" ht="15" hidden="false" customHeight="false" outlineLevel="0" collapsed="false">
      <c r="A2742" s="3" t="n">
        <v>2019</v>
      </c>
      <c r="B2742" s="3" t="n">
        <v>7</v>
      </c>
      <c r="C2742" s="3" t="n">
        <v>3</v>
      </c>
      <c r="D2742" s="3" t="s">
        <v>2746</v>
      </c>
      <c r="E2742" s="4" t="n">
        <v>0</v>
      </c>
    </row>
    <row r="2743" customFormat="false" ht="15" hidden="false" customHeight="false" outlineLevel="0" collapsed="false">
      <c r="A2743" s="3" t="n">
        <v>2019</v>
      </c>
      <c r="B2743" s="3" t="n">
        <v>7</v>
      </c>
      <c r="C2743" s="3" t="n">
        <v>4</v>
      </c>
      <c r="D2743" s="3" t="s">
        <v>2747</v>
      </c>
      <c r="E2743" s="4" t="n">
        <v>1</v>
      </c>
    </row>
    <row r="2744" customFormat="false" ht="15" hidden="false" customHeight="false" outlineLevel="0" collapsed="false">
      <c r="A2744" s="3" t="n">
        <v>2019</v>
      </c>
      <c r="B2744" s="3" t="n">
        <v>7</v>
      </c>
      <c r="C2744" s="3" t="n">
        <v>5</v>
      </c>
      <c r="D2744" s="3" t="s">
        <v>2748</v>
      </c>
      <c r="E2744" s="4" t="n">
        <v>0</v>
      </c>
    </row>
    <row r="2745" customFormat="false" ht="15" hidden="false" customHeight="false" outlineLevel="0" collapsed="false">
      <c r="A2745" s="3" t="n">
        <v>2019</v>
      </c>
      <c r="B2745" s="3" t="n">
        <v>7</v>
      </c>
      <c r="C2745" s="3" t="n">
        <v>6</v>
      </c>
      <c r="D2745" s="3" t="s">
        <v>2749</v>
      </c>
      <c r="E2745" s="4" t="n">
        <v>0</v>
      </c>
    </row>
    <row r="2746" customFormat="false" ht="15" hidden="false" customHeight="false" outlineLevel="0" collapsed="false">
      <c r="A2746" s="3" t="n">
        <v>2019</v>
      </c>
      <c r="B2746" s="3" t="n">
        <v>7</v>
      </c>
      <c r="C2746" s="3" t="n">
        <v>7</v>
      </c>
      <c r="D2746" s="3" t="s">
        <v>2750</v>
      </c>
      <c r="E2746" s="4" t="n">
        <v>8</v>
      </c>
    </row>
    <row r="2747" customFormat="false" ht="15" hidden="false" customHeight="false" outlineLevel="0" collapsed="false">
      <c r="A2747" s="3" t="n">
        <v>2019</v>
      </c>
      <c r="B2747" s="3" t="n">
        <v>7</v>
      </c>
      <c r="C2747" s="3" t="n">
        <v>8</v>
      </c>
      <c r="D2747" s="3" t="s">
        <v>2751</v>
      </c>
      <c r="E2747" s="4" t="n">
        <v>6</v>
      </c>
    </row>
    <row r="2748" customFormat="false" ht="15" hidden="false" customHeight="false" outlineLevel="0" collapsed="false">
      <c r="A2748" s="3" t="n">
        <v>2019</v>
      </c>
      <c r="B2748" s="3" t="n">
        <v>7</v>
      </c>
      <c r="C2748" s="3" t="n">
        <v>9</v>
      </c>
      <c r="D2748" s="3" t="s">
        <v>2752</v>
      </c>
      <c r="E2748" s="4" t="n">
        <v>0</v>
      </c>
    </row>
    <row r="2749" customFormat="false" ht="15" hidden="false" customHeight="false" outlineLevel="0" collapsed="false">
      <c r="A2749" s="3" t="n">
        <v>2019</v>
      </c>
      <c r="B2749" s="3" t="n">
        <v>7</v>
      </c>
      <c r="C2749" s="3" t="n">
        <v>10</v>
      </c>
      <c r="D2749" s="3" t="s">
        <v>2753</v>
      </c>
      <c r="E2749" s="4" t="n">
        <v>0</v>
      </c>
    </row>
    <row r="2750" customFormat="false" ht="15" hidden="false" customHeight="false" outlineLevel="0" collapsed="false">
      <c r="A2750" s="3" t="n">
        <v>2019</v>
      </c>
      <c r="B2750" s="3" t="n">
        <v>7</v>
      </c>
      <c r="C2750" s="3" t="n">
        <v>11</v>
      </c>
      <c r="D2750" s="3" t="s">
        <v>2754</v>
      </c>
      <c r="E2750" s="4" t="n">
        <v>0</v>
      </c>
    </row>
    <row r="2751" customFormat="false" ht="15" hidden="false" customHeight="false" outlineLevel="0" collapsed="false">
      <c r="A2751" s="3" t="n">
        <v>2019</v>
      </c>
      <c r="B2751" s="3" t="n">
        <v>7</v>
      </c>
      <c r="C2751" s="3" t="n">
        <v>12</v>
      </c>
      <c r="D2751" s="3" t="s">
        <v>2755</v>
      </c>
      <c r="E2751" s="4" t="n">
        <v>23</v>
      </c>
    </row>
    <row r="2752" customFormat="false" ht="15" hidden="false" customHeight="false" outlineLevel="0" collapsed="false">
      <c r="A2752" s="3" t="n">
        <v>2019</v>
      </c>
      <c r="B2752" s="3" t="n">
        <v>7</v>
      </c>
      <c r="C2752" s="3" t="n">
        <v>13</v>
      </c>
      <c r="D2752" s="3" t="s">
        <v>2756</v>
      </c>
      <c r="E2752" s="4" t="n">
        <v>0</v>
      </c>
    </row>
    <row r="2753" customFormat="false" ht="15" hidden="false" customHeight="false" outlineLevel="0" collapsed="false">
      <c r="A2753" s="3" t="n">
        <v>2019</v>
      </c>
      <c r="B2753" s="3" t="n">
        <v>7</v>
      </c>
      <c r="C2753" s="3" t="n">
        <v>14</v>
      </c>
      <c r="D2753" s="3" t="s">
        <v>2757</v>
      </c>
      <c r="E2753" s="4" t="n">
        <v>0</v>
      </c>
    </row>
    <row r="2754" customFormat="false" ht="15" hidden="false" customHeight="false" outlineLevel="0" collapsed="false">
      <c r="A2754" s="3" t="n">
        <v>2019</v>
      </c>
      <c r="B2754" s="3" t="n">
        <v>7</v>
      </c>
      <c r="C2754" s="3" t="n">
        <v>15</v>
      </c>
      <c r="D2754" s="3" t="s">
        <v>2758</v>
      </c>
      <c r="E2754" s="4" t="n">
        <v>0</v>
      </c>
    </row>
    <row r="2755" customFormat="false" ht="15" hidden="false" customHeight="false" outlineLevel="0" collapsed="false">
      <c r="A2755" s="3" t="n">
        <v>2019</v>
      </c>
      <c r="B2755" s="3" t="n">
        <v>7</v>
      </c>
      <c r="C2755" s="3" t="n">
        <v>16</v>
      </c>
      <c r="D2755" s="3" t="s">
        <v>2759</v>
      </c>
      <c r="E2755" s="4" t="n">
        <v>0</v>
      </c>
    </row>
    <row r="2756" customFormat="false" ht="15" hidden="false" customHeight="false" outlineLevel="0" collapsed="false">
      <c r="A2756" s="3" t="n">
        <v>2019</v>
      </c>
      <c r="B2756" s="3" t="n">
        <v>7</v>
      </c>
      <c r="C2756" s="3" t="n">
        <v>17</v>
      </c>
      <c r="D2756" s="3" t="s">
        <v>2760</v>
      </c>
      <c r="E2756" s="4" t="n">
        <v>0</v>
      </c>
    </row>
    <row r="2757" customFormat="false" ht="15" hidden="false" customHeight="false" outlineLevel="0" collapsed="false">
      <c r="A2757" s="3" t="n">
        <v>2019</v>
      </c>
      <c r="B2757" s="3" t="n">
        <v>7</v>
      </c>
      <c r="C2757" s="3" t="n">
        <v>18</v>
      </c>
      <c r="D2757" s="3" t="s">
        <v>2761</v>
      </c>
      <c r="E2757" s="4" t="n">
        <v>0</v>
      </c>
    </row>
    <row r="2758" customFormat="false" ht="15" hidden="false" customHeight="false" outlineLevel="0" collapsed="false">
      <c r="A2758" s="3" t="n">
        <v>2019</v>
      </c>
      <c r="B2758" s="3" t="n">
        <v>7</v>
      </c>
      <c r="C2758" s="3" t="n">
        <v>19</v>
      </c>
      <c r="D2758" s="3" t="s">
        <v>2762</v>
      </c>
      <c r="E2758" s="4" t="n">
        <v>0</v>
      </c>
    </row>
    <row r="2759" customFormat="false" ht="15" hidden="false" customHeight="false" outlineLevel="0" collapsed="false">
      <c r="A2759" s="3" t="n">
        <v>2019</v>
      </c>
      <c r="B2759" s="3" t="n">
        <v>7</v>
      </c>
      <c r="C2759" s="3" t="n">
        <v>20</v>
      </c>
      <c r="D2759" s="3" t="s">
        <v>2763</v>
      </c>
      <c r="E2759" s="4" t="n">
        <v>0</v>
      </c>
    </row>
    <row r="2760" customFormat="false" ht="15" hidden="false" customHeight="false" outlineLevel="0" collapsed="false">
      <c r="A2760" s="3" t="n">
        <v>2019</v>
      </c>
      <c r="B2760" s="3" t="n">
        <v>7</v>
      </c>
      <c r="C2760" s="3" t="n">
        <v>21</v>
      </c>
      <c r="D2760" s="3" t="s">
        <v>2764</v>
      </c>
      <c r="E2760" s="4" t="n">
        <v>2</v>
      </c>
    </row>
    <row r="2761" customFormat="false" ht="15" hidden="false" customHeight="false" outlineLevel="0" collapsed="false">
      <c r="A2761" s="3" t="n">
        <v>2019</v>
      </c>
      <c r="B2761" s="3" t="n">
        <v>7</v>
      </c>
      <c r="C2761" s="3" t="n">
        <v>22</v>
      </c>
      <c r="D2761" s="3" t="s">
        <v>2765</v>
      </c>
      <c r="E2761" s="4" t="n">
        <v>1</v>
      </c>
    </row>
    <row r="2762" customFormat="false" ht="15" hidden="false" customHeight="false" outlineLevel="0" collapsed="false">
      <c r="A2762" s="3" t="n">
        <v>2019</v>
      </c>
      <c r="B2762" s="3" t="n">
        <v>7</v>
      </c>
      <c r="C2762" s="3" t="n">
        <v>23</v>
      </c>
      <c r="D2762" s="3" t="s">
        <v>2766</v>
      </c>
      <c r="E2762" s="4" t="n">
        <v>5</v>
      </c>
    </row>
    <row r="2763" customFormat="false" ht="15" hidden="false" customHeight="false" outlineLevel="0" collapsed="false">
      <c r="A2763" s="3" t="n">
        <v>2019</v>
      </c>
      <c r="B2763" s="3" t="n">
        <v>7</v>
      </c>
      <c r="C2763" s="3" t="n">
        <v>24</v>
      </c>
      <c r="D2763" s="3" t="s">
        <v>2767</v>
      </c>
      <c r="E2763" s="4" t="n">
        <v>0</v>
      </c>
    </row>
    <row r="2764" customFormat="false" ht="15" hidden="false" customHeight="false" outlineLevel="0" collapsed="false">
      <c r="A2764" s="3" t="n">
        <v>2019</v>
      </c>
      <c r="B2764" s="3" t="n">
        <v>7</v>
      </c>
      <c r="C2764" s="3" t="n">
        <v>25</v>
      </c>
      <c r="D2764" s="3" t="s">
        <v>2768</v>
      </c>
      <c r="E2764" s="4" t="n">
        <v>0</v>
      </c>
    </row>
    <row r="2765" customFormat="false" ht="15" hidden="false" customHeight="false" outlineLevel="0" collapsed="false">
      <c r="A2765" s="3" t="n">
        <v>2019</v>
      </c>
      <c r="B2765" s="3" t="n">
        <v>7</v>
      </c>
      <c r="C2765" s="3" t="n">
        <v>26</v>
      </c>
      <c r="D2765" s="3" t="s">
        <v>2769</v>
      </c>
      <c r="E2765" s="4" t="n">
        <v>7</v>
      </c>
    </row>
    <row r="2766" customFormat="false" ht="15" hidden="false" customHeight="false" outlineLevel="0" collapsed="false">
      <c r="A2766" s="3" t="n">
        <v>2019</v>
      </c>
      <c r="B2766" s="3" t="n">
        <v>7</v>
      </c>
      <c r="C2766" s="3" t="n">
        <v>27</v>
      </c>
      <c r="D2766" s="3" t="s">
        <v>2770</v>
      </c>
      <c r="E2766" s="4" t="n">
        <v>0</v>
      </c>
    </row>
    <row r="2767" customFormat="false" ht="15" hidden="false" customHeight="false" outlineLevel="0" collapsed="false">
      <c r="A2767" s="3" t="n">
        <v>2019</v>
      </c>
      <c r="B2767" s="3" t="n">
        <v>7</v>
      </c>
      <c r="C2767" s="3" t="n">
        <v>28</v>
      </c>
      <c r="D2767" s="3" t="s">
        <v>2771</v>
      </c>
      <c r="E2767" s="4" t="n">
        <v>0</v>
      </c>
    </row>
    <row r="2768" customFormat="false" ht="15" hidden="false" customHeight="false" outlineLevel="0" collapsed="false">
      <c r="A2768" s="3" t="n">
        <v>2019</v>
      </c>
      <c r="B2768" s="3" t="n">
        <v>7</v>
      </c>
      <c r="C2768" s="3" t="n">
        <v>29</v>
      </c>
      <c r="D2768" s="3" t="s">
        <v>2772</v>
      </c>
      <c r="E2768" s="4" t="n">
        <v>0</v>
      </c>
    </row>
    <row r="2769" customFormat="false" ht="15" hidden="false" customHeight="false" outlineLevel="0" collapsed="false">
      <c r="A2769" s="3" t="n">
        <v>2019</v>
      </c>
      <c r="B2769" s="3" t="n">
        <v>7</v>
      </c>
      <c r="C2769" s="3" t="n">
        <v>30</v>
      </c>
      <c r="D2769" s="3" t="s">
        <v>2773</v>
      </c>
      <c r="E2769" s="4" t="n">
        <v>0</v>
      </c>
    </row>
    <row r="2770" customFormat="false" ht="15" hidden="false" customHeight="false" outlineLevel="0" collapsed="false">
      <c r="A2770" s="3" t="n">
        <v>2019</v>
      </c>
      <c r="B2770" s="3" t="n">
        <v>7</v>
      </c>
      <c r="C2770" s="3" t="n">
        <v>31</v>
      </c>
      <c r="D2770" s="3" t="s">
        <v>2774</v>
      </c>
      <c r="E2770" s="4" t="n">
        <v>0</v>
      </c>
    </row>
    <row r="2771" customFormat="false" ht="15" hidden="false" customHeight="false" outlineLevel="0" collapsed="false">
      <c r="A2771" s="3" t="n">
        <v>2019</v>
      </c>
      <c r="B2771" s="3" t="n">
        <v>8</v>
      </c>
      <c r="C2771" s="3" t="n">
        <v>1</v>
      </c>
      <c r="D2771" s="3" t="s">
        <v>2775</v>
      </c>
      <c r="E2771" s="4" t="n">
        <v>0</v>
      </c>
    </row>
    <row r="2772" customFormat="false" ht="15" hidden="false" customHeight="false" outlineLevel="0" collapsed="false">
      <c r="A2772" s="3" t="n">
        <v>2019</v>
      </c>
      <c r="B2772" s="3" t="n">
        <v>8</v>
      </c>
      <c r="C2772" s="3" t="n">
        <v>2</v>
      </c>
      <c r="D2772" s="3" t="s">
        <v>2776</v>
      </c>
      <c r="E2772" s="4" t="n">
        <v>0</v>
      </c>
    </row>
    <row r="2773" customFormat="false" ht="15" hidden="false" customHeight="false" outlineLevel="0" collapsed="false">
      <c r="A2773" s="3" t="n">
        <v>2019</v>
      </c>
      <c r="B2773" s="3" t="n">
        <v>8</v>
      </c>
      <c r="C2773" s="3" t="n">
        <v>3</v>
      </c>
      <c r="D2773" s="3" t="s">
        <v>2777</v>
      </c>
      <c r="E2773" s="4" t="n">
        <v>0</v>
      </c>
    </row>
    <row r="2774" customFormat="false" ht="15" hidden="false" customHeight="false" outlineLevel="0" collapsed="false">
      <c r="A2774" s="3" t="n">
        <v>2019</v>
      </c>
      <c r="B2774" s="3" t="n">
        <v>8</v>
      </c>
      <c r="C2774" s="3" t="n">
        <v>4</v>
      </c>
      <c r="D2774" s="3" t="s">
        <v>2778</v>
      </c>
      <c r="E2774" s="4" t="n">
        <v>0</v>
      </c>
    </row>
    <row r="2775" customFormat="false" ht="15" hidden="false" customHeight="false" outlineLevel="0" collapsed="false">
      <c r="A2775" s="3" t="n">
        <v>2019</v>
      </c>
      <c r="B2775" s="3" t="n">
        <v>8</v>
      </c>
      <c r="C2775" s="3" t="n">
        <v>5</v>
      </c>
      <c r="D2775" s="3" t="s">
        <v>2779</v>
      </c>
      <c r="E2775" s="4" t="n">
        <v>0</v>
      </c>
    </row>
    <row r="2776" customFormat="false" ht="15" hidden="false" customHeight="false" outlineLevel="0" collapsed="false">
      <c r="A2776" s="3" t="n">
        <v>2019</v>
      </c>
      <c r="B2776" s="3" t="n">
        <v>8</v>
      </c>
      <c r="C2776" s="3" t="n">
        <v>6</v>
      </c>
      <c r="D2776" s="3" t="s">
        <v>2780</v>
      </c>
      <c r="E2776" s="4" t="n">
        <v>0</v>
      </c>
    </row>
    <row r="2777" customFormat="false" ht="15" hidden="false" customHeight="false" outlineLevel="0" collapsed="false">
      <c r="A2777" s="3" t="n">
        <v>2019</v>
      </c>
      <c r="B2777" s="3" t="n">
        <v>8</v>
      </c>
      <c r="C2777" s="3" t="n">
        <v>7</v>
      </c>
      <c r="D2777" s="3" t="s">
        <v>2781</v>
      </c>
      <c r="E2777" s="4" t="n">
        <v>0</v>
      </c>
    </row>
    <row r="2778" customFormat="false" ht="15" hidden="false" customHeight="false" outlineLevel="0" collapsed="false">
      <c r="A2778" s="3" t="n">
        <v>2019</v>
      </c>
      <c r="B2778" s="3" t="n">
        <v>8</v>
      </c>
      <c r="C2778" s="3" t="n">
        <v>8</v>
      </c>
      <c r="D2778" s="3" t="s">
        <v>2782</v>
      </c>
      <c r="E2778" s="4" t="n">
        <v>0</v>
      </c>
    </row>
    <row r="2779" customFormat="false" ht="15" hidden="false" customHeight="false" outlineLevel="0" collapsed="false">
      <c r="A2779" s="3" t="n">
        <v>2019</v>
      </c>
      <c r="B2779" s="3" t="n">
        <v>8</v>
      </c>
      <c r="C2779" s="3" t="n">
        <v>9</v>
      </c>
      <c r="D2779" s="3" t="s">
        <v>2783</v>
      </c>
      <c r="E2779" s="4" t="n">
        <v>0</v>
      </c>
    </row>
    <row r="2780" customFormat="false" ht="15" hidden="false" customHeight="false" outlineLevel="0" collapsed="false">
      <c r="A2780" s="3" t="n">
        <v>2019</v>
      </c>
      <c r="B2780" s="3" t="n">
        <v>8</v>
      </c>
      <c r="C2780" s="3" t="n">
        <v>10</v>
      </c>
      <c r="D2780" s="3" t="s">
        <v>2784</v>
      </c>
      <c r="E2780" s="4" t="n">
        <v>0</v>
      </c>
    </row>
    <row r="2781" customFormat="false" ht="15" hidden="false" customHeight="false" outlineLevel="0" collapsed="false">
      <c r="A2781" s="3" t="n">
        <v>2019</v>
      </c>
      <c r="B2781" s="3" t="n">
        <v>8</v>
      </c>
      <c r="C2781" s="3" t="n">
        <v>11</v>
      </c>
      <c r="D2781" s="3" t="s">
        <v>2785</v>
      </c>
      <c r="E2781" s="4" t="n">
        <v>0</v>
      </c>
    </row>
    <row r="2782" customFormat="false" ht="15" hidden="false" customHeight="false" outlineLevel="0" collapsed="false">
      <c r="A2782" s="3" t="n">
        <v>2019</v>
      </c>
      <c r="B2782" s="3" t="n">
        <v>8</v>
      </c>
      <c r="C2782" s="3" t="n">
        <v>12</v>
      </c>
      <c r="D2782" s="3" t="s">
        <v>2786</v>
      </c>
      <c r="E2782" s="4" t="n">
        <v>0</v>
      </c>
    </row>
    <row r="2783" customFormat="false" ht="15" hidden="false" customHeight="false" outlineLevel="0" collapsed="false">
      <c r="A2783" s="3" t="n">
        <v>2019</v>
      </c>
      <c r="B2783" s="3" t="n">
        <v>8</v>
      </c>
      <c r="C2783" s="3" t="n">
        <v>13</v>
      </c>
      <c r="D2783" s="3" t="s">
        <v>2787</v>
      </c>
      <c r="E2783" s="4" t="n">
        <v>28</v>
      </c>
    </row>
    <row r="2784" customFormat="false" ht="15" hidden="false" customHeight="false" outlineLevel="0" collapsed="false">
      <c r="A2784" s="3" t="n">
        <v>2019</v>
      </c>
      <c r="B2784" s="3" t="n">
        <v>8</v>
      </c>
      <c r="C2784" s="3" t="n">
        <v>14</v>
      </c>
      <c r="D2784" s="3" t="s">
        <v>2788</v>
      </c>
      <c r="E2784" s="4" t="n">
        <v>0</v>
      </c>
    </row>
    <row r="2785" customFormat="false" ht="15" hidden="false" customHeight="false" outlineLevel="0" collapsed="false">
      <c r="A2785" s="3" t="n">
        <v>2019</v>
      </c>
      <c r="B2785" s="3" t="n">
        <v>8</v>
      </c>
      <c r="C2785" s="3" t="n">
        <v>15</v>
      </c>
      <c r="D2785" s="3" t="s">
        <v>2789</v>
      </c>
      <c r="E2785" s="4" t="n">
        <v>0</v>
      </c>
    </row>
    <row r="2786" customFormat="false" ht="15" hidden="false" customHeight="false" outlineLevel="0" collapsed="false">
      <c r="A2786" s="3" t="n">
        <v>2019</v>
      </c>
      <c r="B2786" s="3" t="n">
        <v>8</v>
      </c>
      <c r="C2786" s="3" t="n">
        <v>16</v>
      </c>
      <c r="D2786" s="3" t="s">
        <v>2790</v>
      </c>
      <c r="E2786" s="4" t="n">
        <v>0</v>
      </c>
    </row>
    <row r="2787" customFormat="false" ht="15" hidden="false" customHeight="false" outlineLevel="0" collapsed="false">
      <c r="A2787" s="3" t="n">
        <v>2019</v>
      </c>
      <c r="B2787" s="3" t="n">
        <v>8</v>
      </c>
      <c r="C2787" s="3" t="n">
        <v>17</v>
      </c>
      <c r="D2787" s="3" t="s">
        <v>2791</v>
      </c>
      <c r="E2787" s="4" t="n">
        <v>0</v>
      </c>
    </row>
    <row r="2788" customFormat="false" ht="15" hidden="false" customHeight="false" outlineLevel="0" collapsed="false">
      <c r="A2788" s="3" t="n">
        <v>2019</v>
      </c>
      <c r="B2788" s="3" t="n">
        <v>8</v>
      </c>
      <c r="C2788" s="3" t="n">
        <v>18</v>
      </c>
      <c r="D2788" s="3" t="s">
        <v>2792</v>
      </c>
      <c r="E2788" s="4" t="n">
        <v>0</v>
      </c>
    </row>
    <row r="2789" customFormat="false" ht="15" hidden="false" customHeight="false" outlineLevel="0" collapsed="false">
      <c r="A2789" s="3" t="n">
        <v>2019</v>
      </c>
      <c r="B2789" s="3" t="n">
        <v>8</v>
      </c>
      <c r="C2789" s="3" t="n">
        <v>19</v>
      </c>
      <c r="D2789" s="3" t="s">
        <v>2793</v>
      </c>
      <c r="E2789" s="4" t="n">
        <v>0</v>
      </c>
    </row>
    <row r="2790" customFormat="false" ht="15" hidden="false" customHeight="false" outlineLevel="0" collapsed="false">
      <c r="A2790" s="3" t="n">
        <v>2019</v>
      </c>
      <c r="B2790" s="3" t="n">
        <v>8</v>
      </c>
      <c r="C2790" s="3" t="n">
        <v>20</v>
      </c>
      <c r="D2790" s="3" t="s">
        <v>2794</v>
      </c>
      <c r="E2790" s="4" t="n">
        <v>11</v>
      </c>
    </row>
    <row r="2791" customFormat="false" ht="15" hidden="false" customHeight="false" outlineLevel="0" collapsed="false">
      <c r="A2791" s="3" t="n">
        <v>2019</v>
      </c>
      <c r="B2791" s="3" t="n">
        <v>8</v>
      </c>
      <c r="C2791" s="3" t="n">
        <v>21</v>
      </c>
      <c r="D2791" s="3" t="s">
        <v>2795</v>
      </c>
      <c r="E2791" s="4" t="n">
        <v>0</v>
      </c>
    </row>
    <row r="2792" customFormat="false" ht="15" hidden="false" customHeight="false" outlineLevel="0" collapsed="false">
      <c r="A2792" s="3" t="n">
        <v>2019</v>
      </c>
      <c r="B2792" s="3" t="n">
        <v>8</v>
      </c>
      <c r="C2792" s="3" t="n">
        <v>22</v>
      </c>
      <c r="D2792" s="3" t="s">
        <v>2796</v>
      </c>
      <c r="E2792" s="4" t="n">
        <v>0</v>
      </c>
    </row>
    <row r="2793" customFormat="false" ht="15" hidden="false" customHeight="false" outlineLevel="0" collapsed="false">
      <c r="A2793" s="3" t="n">
        <v>2019</v>
      </c>
      <c r="B2793" s="3" t="n">
        <v>8</v>
      </c>
      <c r="C2793" s="3" t="n">
        <v>23</v>
      </c>
      <c r="D2793" s="3" t="s">
        <v>2797</v>
      </c>
      <c r="E2793" s="4" t="n">
        <v>0</v>
      </c>
    </row>
    <row r="2794" customFormat="false" ht="15" hidden="false" customHeight="false" outlineLevel="0" collapsed="false">
      <c r="A2794" s="3" t="n">
        <v>2019</v>
      </c>
      <c r="B2794" s="3" t="n">
        <v>8</v>
      </c>
      <c r="C2794" s="3" t="n">
        <v>24</v>
      </c>
      <c r="D2794" s="3" t="s">
        <v>2798</v>
      </c>
      <c r="E2794" s="4" t="n">
        <v>0</v>
      </c>
    </row>
    <row r="2795" customFormat="false" ht="15" hidden="false" customHeight="false" outlineLevel="0" collapsed="false">
      <c r="A2795" s="3" t="n">
        <v>2019</v>
      </c>
      <c r="B2795" s="3" t="n">
        <v>8</v>
      </c>
      <c r="C2795" s="3" t="n">
        <v>25</v>
      </c>
      <c r="D2795" s="3" t="s">
        <v>2799</v>
      </c>
      <c r="E2795" s="4" t="n">
        <v>6</v>
      </c>
    </row>
    <row r="2796" customFormat="false" ht="15" hidden="false" customHeight="false" outlineLevel="0" collapsed="false">
      <c r="A2796" s="3" t="n">
        <v>2019</v>
      </c>
      <c r="B2796" s="3" t="n">
        <v>8</v>
      </c>
      <c r="C2796" s="3" t="n">
        <v>26</v>
      </c>
      <c r="D2796" s="3" t="s">
        <v>2800</v>
      </c>
      <c r="E2796" s="4" t="n">
        <v>0</v>
      </c>
    </row>
    <row r="2797" customFormat="false" ht="15" hidden="false" customHeight="false" outlineLevel="0" collapsed="false">
      <c r="A2797" s="3" t="n">
        <v>2019</v>
      </c>
      <c r="B2797" s="3" t="n">
        <v>8</v>
      </c>
      <c r="C2797" s="3" t="n">
        <v>27</v>
      </c>
      <c r="D2797" s="3" t="s">
        <v>2801</v>
      </c>
      <c r="E2797" s="4" t="n">
        <v>4</v>
      </c>
    </row>
    <row r="2798" customFormat="false" ht="15" hidden="false" customHeight="false" outlineLevel="0" collapsed="false">
      <c r="A2798" s="3" t="n">
        <v>2019</v>
      </c>
      <c r="B2798" s="3" t="n">
        <v>8</v>
      </c>
      <c r="C2798" s="3" t="n">
        <v>28</v>
      </c>
      <c r="D2798" s="3" t="s">
        <v>2802</v>
      </c>
      <c r="E2798" s="4" t="n">
        <v>0</v>
      </c>
    </row>
    <row r="2799" customFormat="false" ht="15" hidden="false" customHeight="false" outlineLevel="0" collapsed="false">
      <c r="A2799" s="3" t="n">
        <v>2019</v>
      </c>
      <c r="B2799" s="3" t="n">
        <v>8</v>
      </c>
      <c r="C2799" s="3" t="n">
        <v>29</v>
      </c>
      <c r="D2799" s="3" t="s">
        <v>2803</v>
      </c>
      <c r="E2799" s="4" t="n">
        <v>27</v>
      </c>
    </row>
    <row r="2800" customFormat="false" ht="15" hidden="false" customHeight="false" outlineLevel="0" collapsed="false">
      <c r="A2800" s="3" t="n">
        <v>2019</v>
      </c>
      <c r="B2800" s="3" t="n">
        <v>8</v>
      </c>
      <c r="C2800" s="3" t="n">
        <v>30</v>
      </c>
      <c r="D2800" s="3" t="s">
        <v>2804</v>
      </c>
      <c r="E2800" s="4" t="n">
        <v>0</v>
      </c>
    </row>
    <row r="2801" customFormat="false" ht="15" hidden="false" customHeight="false" outlineLevel="0" collapsed="false">
      <c r="A2801" s="3" t="n">
        <v>2019</v>
      </c>
      <c r="B2801" s="3" t="n">
        <v>8</v>
      </c>
      <c r="C2801" s="3" t="n">
        <v>31</v>
      </c>
      <c r="D2801" s="3" t="s">
        <v>2805</v>
      </c>
      <c r="E2801" s="4" t="n">
        <v>0</v>
      </c>
    </row>
    <row r="2802" customFormat="false" ht="15" hidden="false" customHeight="false" outlineLevel="0" collapsed="false">
      <c r="A2802" s="3" t="n">
        <v>2019</v>
      </c>
      <c r="B2802" s="3" t="n">
        <v>9</v>
      </c>
      <c r="C2802" s="3" t="n">
        <v>1</v>
      </c>
      <c r="D2802" s="3" t="s">
        <v>2806</v>
      </c>
      <c r="E2802" s="4" t="n">
        <v>5</v>
      </c>
    </row>
    <row r="2803" customFormat="false" ht="15" hidden="false" customHeight="false" outlineLevel="0" collapsed="false">
      <c r="A2803" s="3" t="n">
        <v>2019</v>
      </c>
      <c r="B2803" s="3" t="n">
        <v>9</v>
      </c>
      <c r="C2803" s="3" t="n">
        <v>2</v>
      </c>
      <c r="D2803" s="3" t="s">
        <v>2807</v>
      </c>
      <c r="E2803" s="4" t="n">
        <v>0</v>
      </c>
    </row>
    <row r="2804" customFormat="false" ht="15" hidden="false" customHeight="false" outlineLevel="0" collapsed="false">
      <c r="A2804" s="3" t="n">
        <v>2019</v>
      </c>
      <c r="B2804" s="3" t="n">
        <v>9</v>
      </c>
      <c r="C2804" s="3" t="n">
        <v>3</v>
      </c>
      <c r="D2804" s="3" t="s">
        <v>2808</v>
      </c>
      <c r="E2804" s="4" t="n">
        <v>0</v>
      </c>
    </row>
    <row r="2805" customFormat="false" ht="15" hidden="false" customHeight="false" outlineLevel="0" collapsed="false">
      <c r="A2805" s="3" t="n">
        <v>2019</v>
      </c>
      <c r="B2805" s="3" t="n">
        <v>9</v>
      </c>
      <c r="C2805" s="3" t="n">
        <v>4</v>
      </c>
      <c r="D2805" s="3" t="s">
        <v>2809</v>
      </c>
      <c r="E2805" s="4" t="n">
        <v>0</v>
      </c>
    </row>
    <row r="2806" customFormat="false" ht="15" hidden="false" customHeight="false" outlineLevel="0" collapsed="false">
      <c r="A2806" s="3" t="n">
        <v>2019</v>
      </c>
      <c r="B2806" s="3" t="n">
        <v>9</v>
      </c>
      <c r="C2806" s="3" t="n">
        <v>5</v>
      </c>
      <c r="D2806" s="3" t="s">
        <v>2810</v>
      </c>
      <c r="E2806" s="4" t="n">
        <v>0</v>
      </c>
    </row>
    <row r="2807" customFormat="false" ht="15" hidden="false" customHeight="false" outlineLevel="0" collapsed="false">
      <c r="A2807" s="3" t="n">
        <v>2019</v>
      </c>
      <c r="B2807" s="3" t="n">
        <v>9</v>
      </c>
      <c r="C2807" s="3" t="n">
        <v>6</v>
      </c>
      <c r="D2807" s="3" t="s">
        <v>2811</v>
      </c>
      <c r="E2807" s="4" t="n">
        <v>0</v>
      </c>
    </row>
    <row r="2808" customFormat="false" ht="15" hidden="false" customHeight="false" outlineLevel="0" collapsed="false">
      <c r="A2808" s="3" t="n">
        <v>2019</v>
      </c>
      <c r="B2808" s="3" t="n">
        <v>9</v>
      </c>
      <c r="C2808" s="3" t="n">
        <v>7</v>
      </c>
      <c r="D2808" s="3" t="s">
        <v>2812</v>
      </c>
      <c r="E2808" s="4" t="n">
        <v>0</v>
      </c>
    </row>
    <row r="2809" customFormat="false" ht="15" hidden="false" customHeight="false" outlineLevel="0" collapsed="false">
      <c r="A2809" s="3" t="n">
        <v>2019</v>
      </c>
      <c r="B2809" s="3" t="n">
        <v>9</v>
      </c>
      <c r="C2809" s="3" t="n">
        <v>8</v>
      </c>
      <c r="D2809" s="3" t="s">
        <v>2813</v>
      </c>
      <c r="E2809" s="4" t="n">
        <v>0</v>
      </c>
    </row>
    <row r="2810" customFormat="false" ht="15" hidden="false" customHeight="false" outlineLevel="0" collapsed="false">
      <c r="A2810" s="3" t="n">
        <v>2019</v>
      </c>
      <c r="B2810" s="3" t="n">
        <v>9</v>
      </c>
      <c r="C2810" s="3" t="n">
        <v>9</v>
      </c>
      <c r="D2810" s="3" t="s">
        <v>2814</v>
      </c>
      <c r="E2810" s="4" t="n">
        <v>0</v>
      </c>
    </row>
    <row r="2811" customFormat="false" ht="15" hidden="false" customHeight="false" outlineLevel="0" collapsed="false">
      <c r="A2811" s="3" t="n">
        <v>2019</v>
      </c>
      <c r="B2811" s="3" t="n">
        <v>9</v>
      </c>
      <c r="C2811" s="3" t="n">
        <v>10</v>
      </c>
      <c r="D2811" s="3" t="s">
        <v>2815</v>
      </c>
      <c r="E2811" s="4" t="n">
        <v>0</v>
      </c>
    </row>
    <row r="2812" customFormat="false" ht="15" hidden="false" customHeight="false" outlineLevel="0" collapsed="false">
      <c r="A2812" s="3" t="n">
        <v>2019</v>
      </c>
      <c r="B2812" s="3" t="n">
        <v>9</v>
      </c>
      <c r="C2812" s="3" t="n">
        <v>11</v>
      </c>
      <c r="D2812" s="3" t="s">
        <v>2816</v>
      </c>
      <c r="E2812" s="4" t="n">
        <v>0</v>
      </c>
    </row>
    <row r="2813" customFormat="false" ht="15" hidden="false" customHeight="false" outlineLevel="0" collapsed="false">
      <c r="A2813" s="3" t="n">
        <v>2019</v>
      </c>
      <c r="B2813" s="3" t="n">
        <v>9</v>
      </c>
      <c r="C2813" s="3" t="n">
        <v>12</v>
      </c>
      <c r="D2813" s="3" t="s">
        <v>2817</v>
      </c>
      <c r="E2813" s="4" t="n">
        <v>24</v>
      </c>
    </row>
    <row r="2814" customFormat="false" ht="15" hidden="false" customHeight="false" outlineLevel="0" collapsed="false">
      <c r="A2814" s="3" t="n">
        <v>2019</v>
      </c>
      <c r="B2814" s="3" t="n">
        <v>9</v>
      </c>
      <c r="C2814" s="3" t="n">
        <v>13</v>
      </c>
      <c r="D2814" s="3" t="s">
        <v>2818</v>
      </c>
      <c r="E2814" s="4" t="n">
        <v>0</v>
      </c>
    </row>
    <row r="2815" customFormat="false" ht="15" hidden="false" customHeight="false" outlineLevel="0" collapsed="false">
      <c r="A2815" s="3" t="n">
        <v>2019</v>
      </c>
      <c r="B2815" s="3" t="n">
        <v>9</v>
      </c>
      <c r="C2815" s="3" t="n">
        <v>14</v>
      </c>
      <c r="D2815" s="3" t="s">
        <v>2819</v>
      </c>
      <c r="E2815" s="4" t="n">
        <v>0</v>
      </c>
    </row>
    <row r="2816" customFormat="false" ht="15" hidden="false" customHeight="false" outlineLevel="0" collapsed="false">
      <c r="A2816" s="3" t="n">
        <v>2019</v>
      </c>
      <c r="B2816" s="3" t="n">
        <v>9</v>
      </c>
      <c r="C2816" s="3" t="n">
        <v>15</v>
      </c>
      <c r="D2816" s="3" t="s">
        <v>2820</v>
      </c>
      <c r="E2816" s="4" t="n">
        <v>0</v>
      </c>
    </row>
    <row r="2817" customFormat="false" ht="15" hidden="false" customHeight="false" outlineLevel="0" collapsed="false">
      <c r="A2817" s="3" t="n">
        <v>2019</v>
      </c>
      <c r="B2817" s="3" t="n">
        <v>9</v>
      </c>
      <c r="C2817" s="3" t="n">
        <v>16</v>
      </c>
      <c r="D2817" s="3" t="s">
        <v>2821</v>
      </c>
      <c r="E2817" s="4" t="n">
        <v>0</v>
      </c>
    </row>
    <row r="2818" customFormat="false" ht="15" hidden="false" customHeight="false" outlineLevel="0" collapsed="false">
      <c r="A2818" s="3" t="n">
        <v>2019</v>
      </c>
      <c r="B2818" s="3" t="n">
        <v>9</v>
      </c>
      <c r="C2818" s="3" t="n">
        <v>17</v>
      </c>
      <c r="D2818" s="3" t="s">
        <v>2822</v>
      </c>
      <c r="E2818" s="4" t="n">
        <v>0</v>
      </c>
    </row>
    <row r="2819" customFormat="false" ht="15" hidden="false" customHeight="false" outlineLevel="0" collapsed="false">
      <c r="A2819" s="3" t="n">
        <v>2019</v>
      </c>
      <c r="B2819" s="3" t="n">
        <v>9</v>
      </c>
      <c r="C2819" s="3" t="n">
        <v>18</v>
      </c>
      <c r="D2819" s="3" t="s">
        <v>2823</v>
      </c>
      <c r="E2819" s="4" t="n">
        <v>0</v>
      </c>
    </row>
    <row r="2820" customFormat="false" ht="15" hidden="false" customHeight="false" outlineLevel="0" collapsed="false">
      <c r="A2820" s="3" t="n">
        <v>2019</v>
      </c>
      <c r="B2820" s="3" t="n">
        <v>9</v>
      </c>
      <c r="C2820" s="3" t="n">
        <v>19</v>
      </c>
      <c r="D2820" s="3" t="s">
        <v>2824</v>
      </c>
      <c r="E2820" s="4" t="n">
        <v>0</v>
      </c>
    </row>
    <row r="2821" customFormat="false" ht="15" hidden="false" customHeight="false" outlineLevel="0" collapsed="false">
      <c r="A2821" s="3" t="n">
        <v>2019</v>
      </c>
      <c r="B2821" s="3" t="n">
        <v>9</v>
      </c>
      <c r="C2821" s="3" t="n">
        <v>20</v>
      </c>
      <c r="D2821" s="3" t="s">
        <v>2825</v>
      </c>
      <c r="E2821" s="4" t="n">
        <v>0</v>
      </c>
    </row>
    <row r="2822" customFormat="false" ht="15" hidden="false" customHeight="false" outlineLevel="0" collapsed="false">
      <c r="A2822" s="3" t="n">
        <v>2019</v>
      </c>
      <c r="B2822" s="3" t="n">
        <v>9</v>
      </c>
      <c r="C2822" s="3" t="n">
        <v>21</v>
      </c>
      <c r="D2822" s="3" t="s">
        <v>2826</v>
      </c>
      <c r="E2822" s="4" t="n">
        <v>0</v>
      </c>
    </row>
    <row r="2823" customFormat="false" ht="15" hidden="false" customHeight="false" outlineLevel="0" collapsed="false">
      <c r="A2823" s="3" t="n">
        <v>2019</v>
      </c>
      <c r="B2823" s="3" t="n">
        <v>9</v>
      </c>
      <c r="C2823" s="3" t="n">
        <v>22</v>
      </c>
      <c r="D2823" s="3" t="s">
        <v>2827</v>
      </c>
      <c r="E2823" s="4" t="n">
        <v>0</v>
      </c>
    </row>
    <row r="2824" customFormat="false" ht="15" hidden="false" customHeight="false" outlineLevel="0" collapsed="false">
      <c r="A2824" s="3" t="n">
        <v>2019</v>
      </c>
      <c r="B2824" s="3" t="n">
        <v>9</v>
      </c>
      <c r="C2824" s="3" t="n">
        <v>23</v>
      </c>
      <c r="D2824" s="3" t="s">
        <v>2828</v>
      </c>
      <c r="E2824" s="4" t="n">
        <v>1</v>
      </c>
    </row>
    <row r="2825" customFormat="false" ht="15" hidden="false" customHeight="false" outlineLevel="0" collapsed="false">
      <c r="A2825" s="3" t="n">
        <v>2019</v>
      </c>
      <c r="B2825" s="3" t="n">
        <v>9</v>
      </c>
      <c r="C2825" s="3" t="n">
        <v>24</v>
      </c>
      <c r="D2825" s="3" t="s">
        <v>2829</v>
      </c>
      <c r="E2825" s="4" t="n">
        <v>3</v>
      </c>
    </row>
    <row r="2826" customFormat="false" ht="15" hidden="false" customHeight="false" outlineLevel="0" collapsed="false">
      <c r="A2826" s="3" t="n">
        <v>2019</v>
      </c>
      <c r="B2826" s="3" t="n">
        <v>9</v>
      </c>
      <c r="C2826" s="3" t="n">
        <v>25</v>
      </c>
      <c r="D2826" s="3" t="s">
        <v>2830</v>
      </c>
      <c r="E2826" s="4" t="n">
        <v>0</v>
      </c>
    </row>
    <row r="2827" customFormat="false" ht="15" hidden="false" customHeight="false" outlineLevel="0" collapsed="false">
      <c r="A2827" s="3" t="n">
        <v>2019</v>
      </c>
      <c r="B2827" s="3" t="n">
        <v>9</v>
      </c>
      <c r="C2827" s="3" t="n">
        <v>26</v>
      </c>
      <c r="D2827" s="3" t="s">
        <v>2831</v>
      </c>
      <c r="E2827" s="4" t="n">
        <v>7</v>
      </c>
    </row>
    <row r="2828" customFormat="false" ht="15" hidden="false" customHeight="false" outlineLevel="0" collapsed="false">
      <c r="A2828" s="3" t="n">
        <v>2019</v>
      </c>
      <c r="B2828" s="3" t="n">
        <v>9</v>
      </c>
      <c r="C2828" s="3" t="n">
        <v>27</v>
      </c>
      <c r="D2828" s="3" t="s">
        <v>2832</v>
      </c>
      <c r="E2828" s="4" t="n">
        <v>0</v>
      </c>
    </row>
    <row r="2829" customFormat="false" ht="15" hidden="false" customHeight="false" outlineLevel="0" collapsed="false">
      <c r="A2829" s="3" t="n">
        <v>2019</v>
      </c>
      <c r="B2829" s="3" t="n">
        <v>9</v>
      </c>
      <c r="C2829" s="3" t="n">
        <v>28</v>
      </c>
      <c r="D2829" s="3" t="s">
        <v>2833</v>
      </c>
      <c r="E2829" s="4" t="n">
        <v>0</v>
      </c>
    </row>
    <row r="2830" customFormat="false" ht="15" hidden="false" customHeight="false" outlineLevel="0" collapsed="false">
      <c r="A2830" s="3" t="n">
        <v>2019</v>
      </c>
      <c r="B2830" s="3" t="n">
        <v>9</v>
      </c>
      <c r="C2830" s="3" t="n">
        <v>29</v>
      </c>
      <c r="D2830" s="3" t="s">
        <v>2834</v>
      </c>
      <c r="E2830" s="4" t="n">
        <v>0</v>
      </c>
    </row>
    <row r="2831" customFormat="false" ht="15" hidden="false" customHeight="false" outlineLevel="0" collapsed="false">
      <c r="A2831" s="3" t="n">
        <v>2019</v>
      </c>
      <c r="B2831" s="3" t="n">
        <v>9</v>
      </c>
      <c r="C2831" s="3" t="n">
        <v>30</v>
      </c>
      <c r="D2831" s="3" t="s">
        <v>2835</v>
      </c>
      <c r="E2831" s="4" t="n">
        <v>1</v>
      </c>
    </row>
    <row r="2832" customFormat="false" ht="15" hidden="false" customHeight="false" outlineLevel="0" collapsed="false">
      <c r="A2832" s="3" t="n">
        <v>2019</v>
      </c>
      <c r="B2832" s="3" t="n">
        <v>10</v>
      </c>
      <c r="C2832" s="3" t="n">
        <v>1</v>
      </c>
      <c r="D2832" s="3" t="s">
        <v>2836</v>
      </c>
      <c r="E2832" s="4" t="n">
        <v>40</v>
      </c>
    </row>
    <row r="2833" customFormat="false" ht="15" hidden="false" customHeight="false" outlineLevel="0" collapsed="false">
      <c r="A2833" s="3" t="n">
        <v>2019</v>
      </c>
      <c r="B2833" s="3" t="n">
        <v>10</v>
      </c>
      <c r="C2833" s="3" t="n">
        <v>2</v>
      </c>
      <c r="D2833" s="3" t="s">
        <v>2837</v>
      </c>
      <c r="E2833" s="4" t="n">
        <v>35</v>
      </c>
    </row>
    <row r="2834" customFormat="false" ht="15" hidden="false" customHeight="false" outlineLevel="0" collapsed="false">
      <c r="A2834" s="3" t="n">
        <v>2019</v>
      </c>
      <c r="B2834" s="3" t="n">
        <v>10</v>
      </c>
      <c r="C2834" s="3" t="n">
        <v>3</v>
      </c>
      <c r="D2834" s="3" t="s">
        <v>2838</v>
      </c>
      <c r="E2834" s="4" t="n">
        <v>44</v>
      </c>
    </row>
    <row r="2835" customFormat="false" ht="15" hidden="false" customHeight="false" outlineLevel="0" collapsed="false">
      <c r="A2835" s="3" t="n">
        <v>2019</v>
      </c>
      <c r="B2835" s="3" t="n">
        <v>10</v>
      </c>
      <c r="C2835" s="3" t="n">
        <v>4</v>
      </c>
      <c r="D2835" s="3" t="s">
        <v>2839</v>
      </c>
      <c r="E2835" s="4" t="n">
        <v>0</v>
      </c>
    </row>
    <row r="2836" customFormat="false" ht="15" hidden="false" customHeight="false" outlineLevel="0" collapsed="false">
      <c r="A2836" s="3" t="n">
        <v>2019</v>
      </c>
      <c r="B2836" s="3" t="n">
        <v>10</v>
      </c>
      <c r="C2836" s="3" t="n">
        <v>5</v>
      </c>
      <c r="D2836" s="3" t="s">
        <v>2840</v>
      </c>
      <c r="E2836" s="4" t="n">
        <v>2</v>
      </c>
    </row>
    <row r="2837" customFormat="false" ht="15" hidden="false" customHeight="false" outlineLevel="0" collapsed="false">
      <c r="A2837" s="3" t="n">
        <v>2019</v>
      </c>
      <c r="B2837" s="3" t="n">
        <v>10</v>
      </c>
      <c r="C2837" s="3" t="n">
        <v>6</v>
      </c>
      <c r="D2837" s="3" t="s">
        <v>2841</v>
      </c>
      <c r="E2837" s="4" t="n">
        <v>68</v>
      </c>
    </row>
    <row r="2838" customFormat="false" ht="15" hidden="false" customHeight="false" outlineLevel="0" collapsed="false">
      <c r="A2838" s="3" t="n">
        <v>2019</v>
      </c>
      <c r="B2838" s="3" t="n">
        <v>10</v>
      </c>
      <c r="C2838" s="3" t="n">
        <v>7</v>
      </c>
      <c r="D2838" s="3" t="s">
        <v>2842</v>
      </c>
      <c r="E2838" s="4" t="n">
        <v>8</v>
      </c>
    </row>
    <row r="2839" customFormat="false" ht="15" hidden="false" customHeight="false" outlineLevel="0" collapsed="false">
      <c r="A2839" s="3" t="n">
        <v>2019</v>
      </c>
      <c r="B2839" s="3" t="n">
        <v>10</v>
      </c>
      <c r="C2839" s="3" t="n">
        <v>8</v>
      </c>
      <c r="D2839" s="3" t="s">
        <v>2843</v>
      </c>
      <c r="E2839" s="4" t="n">
        <v>7</v>
      </c>
    </row>
    <row r="2840" customFormat="false" ht="15" hidden="false" customHeight="false" outlineLevel="0" collapsed="false">
      <c r="A2840" s="3" t="n">
        <v>2019</v>
      </c>
      <c r="B2840" s="3" t="n">
        <v>10</v>
      </c>
      <c r="C2840" s="3" t="n">
        <v>9</v>
      </c>
      <c r="D2840" s="3" t="s">
        <v>2844</v>
      </c>
      <c r="E2840" s="4" t="n">
        <v>0</v>
      </c>
    </row>
    <row r="2841" customFormat="false" ht="15" hidden="false" customHeight="false" outlineLevel="0" collapsed="false">
      <c r="A2841" s="3" t="n">
        <v>2019</v>
      </c>
      <c r="B2841" s="3" t="n">
        <v>10</v>
      </c>
      <c r="C2841" s="3" t="n">
        <v>10</v>
      </c>
      <c r="D2841" s="3" t="s">
        <v>2845</v>
      </c>
      <c r="E2841" s="4" t="n">
        <v>8</v>
      </c>
    </row>
    <row r="2842" customFormat="false" ht="15" hidden="false" customHeight="false" outlineLevel="0" collapsed="false">
      <c r="A2842" s="3" t="n">
        <v>2019</v>
      </c>
      <c r="B2842" s="3" t="n">
        <v>10</v>
      </c>
      <c r="C2842" s="3" t="n">
        <v>11</v>
      </c>
      <c r="D2842" s="3" t="s">
        <v>2846</v>
      </c>
      <c r="E2842" s="4" t="n">
        <v>0</v>
      </c>
    </row>
    <row r="2843" customFormat="false" ht="15" hidden="false" customHeight="false" outlineLevel="0" collapsed="false">
      <c r="A2843" s="3" t="n">
        <v>2019</v>
      </c>
      <c r="B2843" s="3" t="n">
        <v>10</v>
      </c>
      <c r="C2843" s="3" t="n">
        <v>12</v>
      </c>
      <c r="D2843" s="3" t="s">
        <v>2847</v>
      </c>
      <c r="E2843" s="4" t="n">
        <v>1</v>
      </c>
    </row>
    <row r="2844" customFormat="false" ht="15" hidden="false" customHeight="false" outlineLevel="0" collapsed="false">
      <c r="A2844" s="3" t="n">
        <v>2019</v>
      </c>
      <c r="B2844" s="3" t="n">
        <v>10</v>
      </c>
      <c r="C2844" s="3" t="n">
        <v>13</v>
      </c>
      <c r="D2844" s="3" t="s">
        <v>2848</v>
      </c>
      <c r="E2844" s="4" t="n">
        <v>47</v>
      </c>
    </row>
    <row r="2845" customFormat="false" ht="15" hidden="false" customHeight="false" outlineLevel="0" collapsed="false">
      <c r="A2845" s="3" t="n">
        <v>2019</v>
      </c>
      <c r="B2845" s="3" t="n">
        <v>10</v>
      </c>
      <c r="C2845" s="3" t="n">
        <v>14</v>
      </c>
      <c r="D2845" s="3" t="s">
        <v>2849</v>
      </c>
      <c r="E2845" s="4" t="n">
        <v>35</v>
      </c>
    </row>
    <row r="2846" customFormat="false" ht="15" hidden="false" customHeight="false" outlineLevel="0" collapsed="false">
      <c r="A2846" s="3" t="n">
        <v>2019</v>
      </c>
      <c r="B2846" s="3" t="n">
        <v>10</v>
      </c>
      <c r="C2846" s="3" t="n">
        <v>15</v>
      </c>
      <c r="D2846" s="3" t="s">
        <v>2850</v>
      </c>
      <c r="E2846" s="4" t="n">
        <v>3</v>
      </c>
    </row>
    <row r="2847" customFormat="false" ht="15" hidden="false" customHeight="false" outlineLevel="0" collapsed="false">
      <c r="A2847" s="3" t="n">
        <v>2019</v>
      </c>
      <c r="B2847" s="3" t="n">
        <v>10</v>
      </c>
      <c r="C2847" s="3" t="n">
        <v>16</v>
      </c>
      <c r="D2847" s="3" t="s">
        <v>2851</v>
      </c>
      <c r="E2847" s="4" t="n">
        <v>27</v>
      </c>
    </row>
    <row r="2848" customFormat="false" ht="15" hidden="false" customHeight="false" outlineLevel="0" collapsed="false">
      <c r="A2848" s="3" t="n">
        <v>2019</v>
      </c>
      <c r="B2848" s="3" t="n">
        <v>10</v>
      </c>
      <c r="C2848" s="3" t="n">
        <v>17</v>
      </c>
      <c r="D2848" s="3" t="s">
        <v>2852</v>
      </c>
      <c r="E2848" s="4" t="n">
        <v>1</v>
      </c>
    </row>
    <row r="2849" customFormat="false" ht="15" hidden="false" customHeight="false" outlineLevel="0" collapsed="false">
      <c r="A2849" s="3" t="n">
        <v>2019</v>
      </c>
      <c r="B2849" s="3" t="n">
        <v>10</v>
      </c>
      <c r="C2849" s="3" t="n">
        <v>18</v>
      </c>
      <c r="D2849" s="3" t="s">
        <v>2853</v>
      </c>
      <c r="E2849" s="4" t="n">
        <v>63</v>
      </c>
    </row>
    <row r="2850" customFormat="false" ht="15" hidden="false" customHeight="false" outlineLevel="0" collapsed="false">
      <c r="A2850" s="3" t="n">
        <v>2019</v>
      </c>
      <c r="B2850" s="3" t="n">
        <v>10</v>
      </c>
      <c r="C2850" s="3" t="n">
        <v>19</v>
      </c>
      <c r="D2850" s="3" t="s">
        <v>2854</v>
      </c>
      <c r="E2850" s="4" t="n">
        <v>9</v>
      </c>
    </row>
    <row r="2851" customFormat="false" ht="15" hidden="false" customHeight="false" outlineLevel="0" collapsed="false">
      <c r="A2851" s="3" t="n">
        <v>2019</v>
      </c>
      <c r="B2851" s="3" t="n">
        <v>10</v>
      </c>
      <c r="C2851" s="3" t="n">
        <v>20</v>
      </c>
      <c r="D2851" s="3" t="s">
        <v>2855</v>
      </c>
      <c r="E2851" s="4" t="n">
        <v>8</v>
      </c>
    </row>
    <row r="2852" customFormat="false" ht="15" hidden="false" customHeight="false" outlineLevel="0" collapsed="false">
      <c r="A2852" s="3" t="n">
        <v>2019</v>
      </c>
      <c r="B2852" s="3" t="n">
        <v>10</v>
      </c>
      <c r="C2852" s="3" t="n">
        <v>21</v>
      </c>
      <c r="D2852" s="3" t="s">
        <v>2856</v>
      </c>
      <c r="E2852" s="4" t="n">
        <v>8</v>
      </c>
    </row>
    <row r="2853" customFormat="false" ht="15" hidden="false" customHeight="false" outlineLevel="0" collapsed="false">
      <c r="A2853" s="3" t="n">
        <v>2019</v>
      </c>
      <c r="B2853" s="3" t="n">
        <v>10</v>
      </c>
      <c r="C2853" s="3" t="n">
        <v>22</v>
      </c>
      <c r="D2853" s="3" t="s">
        <v>2857</v>
      </c>
      <c r="E2853" s="4" t="n">
        <v>0</v>
      </c>
    </row>
    <row r="2854" customFormat="false" ht="15" hidden="false" customHeight="false" outlineLevel="0" collapsed="false">
      <c r="A2854" s="3" t="n">
        <v>2019</v>
      </c>
      <c r="B2854" s="3" t="n">
        <v>10</v>
      </c>
      <c r="C2854" s="3" t="n">
        <v>23</v>
      </c>
      <c r="D2854" s="3" t="s">
        <v>2858</v>
      </c>
      <c r="E2854" s="4" t="n">
        <v>18</v>
      </c>
    </row>
    <row r="2855" customFormat="false" ht="15" hidden="false" customHeight="false" outlineLevel="0" collapsed="false">
      <c r="A2855" s="3" t="n">
        <v>2019</v>
      </c>
      <c r="B2855" s="3" t="n">
        <v>10</v>
      </c>
      <c r="C2855" s="3" t="n">
        <v>24</v>
      </c>
      <c r="D2855" s="3" t="s">
        <v>2859</v>
      </c>
      <c r="E2855" s="4" t="n">
        <v>13</v>
      </c>
    </row>
    <row r="2856" customFormat="false" ht="15" hidden="false" customHeight="false" outlineLevel="0" collapsed="false">
      <c r="A2856" s="3" t="n">
        <v>2019</v>
      </c>
      <c r="B2856" s="3" t="n">
        <v>10</v>
      </c>
      <c r="C2856" s="3" t="n">
        <v>25</v>
      </c>
      <c r="D2856" s="3" t="s">
        <v>2860</v>
      </c>
      <c r="E2856" s="4" t="n">
        <v>22</v>
      </c>
    </row>
    <row r="2857" customFormat="false" ht="15" hidden="false" customHeight="false" outlineLevel="0" collapsed="false">
      <c r="A2857" s="3" t="n">
        <v>2019</v>
      </c>
      <c r="B2857" s="3" t="n">
        <v>10</v>
      </c>
      <c r="C2857" s="3" t="n">
        <v>26</v>
      </c>
      <c r="D2857" s="3" t="s">
        <v>2861</v>
      </c>
      <c r="E2857" s="4" t="n">
        <v>25</v>
      </c>
    </row>
    <row r="2858" customFormat="false" ht="15" hidden="false" customHeight="false" outlineLevel="0" collapsed="false">
      <c r="A2858" s="3" t="n">
        <v>2019</v>
      </c>
      <c r="B2858" s="3" t="n">
        <v>10</v>
      </c>
      <c r="C2858" s="3" t="n">
        <v>27</v>
      </c>
      <c r="D2858" s="3" t="s">
        <v>2862</v>
      </c>
      <c r="E2858" s="4" t="n">
        <v>0</v>
      </c>
    </row>
    <row r="2859" customFormat="false" ht="15" hidden="false" customHeight="false" outlineLevel="0" collapsed="false">
      <c r="A2859" s="3" t="n">
        <v>2019</v>
      </c>
      <c r="B2859" s="3" t="n">
        <v>10</v>
      </c>
      <c r="C2859" s="3" t="n">
        <v>28</v>
      </c>
      <c r="D2859" s="3" t="s">
        <v>2863</v>
      </c>
      <c r="E2859" s="4" t="n">
        <v>2</v>
      </c>
    </row>
    <row r="2860" customFormat="false" ht="15" hidden="false" customHeight="false" outlineLevel="0" collapsed="false">
      <c r="A2860" s="3" t="n">
        <v>2019</v>
      </c>
      <c r="B2860" s="3" t="n">
        <v>10</v>
      </c>
      <c r="C2860" s="3" t="n">
        <v>29</v>
      </c>
      <c r="D2860" s="3" t="s">
        <v>2864</v>
      </c>
      <c r="E2860" s="4" t="n">
        <v>0</v>
      </c>
    </row>
    <row r="2861" customFormat="false" ht="15" hidden="false" customHeight="false" outlineLevel="0" collapsed="false">
      <c r="A2861" s="3" t="n">
        <v>2019</v>
      </c>
      <c r="B2861" s="3" t="n">
        <v>10</v>
      </c>
      <c r="C2861" s="3" t="n">
        <v>30</v>
      </c>
      <c r="D2861" s="3" t="s">
        <v>2865</v>
      </c>
      <c r="E2861" s="4" t="n">
        <v>52</v>
      </c>
    </row>
    <row r="2862" customFormat="false" ht="15" hidden="false" customHeight="false" outlineLevel="0" collapsed="false">
      <c r="A2862" s="3" t="n">
        <v>2019</v>
      </c>
      <c r="B2862" s="3" t="n">
        <v>10</v>
      </c>
      <c r="C2862" s="3" t="n">
        <v>31</v>
      </c>
      <c r="D2862" s="3" t="s">
        <v>2866</v>
      </c>
      <c r="E2862" s="4" t="n">
        <v>2</v>
      </c>
    </row>
    <row r="2863" customFormat="false" ht="15" hidden="false" customHeight="false" outlineLevel="0" collapsed="false">
      <c r="A2863" s="3" t="n">
        <v>2019</v>
      </c>
      <c r="B2863" s="3" t="n">
        <v>11</v>
      </c>
      <c r="C2863" s="3" t="n">
        <v>1</v>
      </c>
      <c r="D2863" s="3" t="s">
        <v>2867</v>
      </c>
      <c r="E2863" s="4" t="n">
        <v>0</v>
      </c>
    </row>
    <row r="2864" customFormat="false" ht="15" hidden="false" customHeight="false" outlineLevel="0" collapsed="false">
      <c r="A2864" s="3" t="n">
        <v>2019</v>
      </c>
      <c r="B2864" s="3" t="n">
        <v>11</v>
      </c>
      <c r="C2864" s="3" t="n">
        <v>2</v>
      </c>
      <c r="D2864" s="3" t="s">
        <v>2868</v>
      </c>
      <c r="E2864" s="4" t="n">
        <v>12</v>
      </c>
    </row>
    <row r="2865" customFormat="false" ht="15" hidden="false" customHeight="false" outlineLevel="0" collapsed="false">
      <c r="A2865" s="3" t="n">
        <v>2019</v>
      </c>
      <c r="B2865" s="3" t="n">
        <v>11</v>
      </c>
      <c r="C2865" s="3" t="n">
        <v>3</v>
      </c>
      <c r="D2865" s="3" t="s">
        <v>2869</v>
      </c>
      <c r="E2865" s="4" t="n">
        <v>0</v>
      </c>
    </row>
    <row r="2866" customFormat="false" ht="15" hidden="false" customHeight="false" outlineLevel="0" collapsed="false">
      <c r="A2866" s="3" t="n">
        <v>2019</v>
      </c>
      <c r="B2866" s="3" t="n">
        <v>11</v>
      </c>
      <c r="C2866" s="3" t="n">
        <v>4</v>
      </c>
      <c r="D2866" s="3" t="s">
        <v>2870</v>
      </c>
      <c r="E2866" s="4" t="n">
        <v>8</v>
      </c>
    </row>
    <row r="2867" customFormat="false" ht="15" hidden="false" customHeight="false" outlineLevel="0" collapsed="false">
      <c r="A2867" s="3" t="n">
        <v>2019</v>
      </c>
      <c r="B2867" s="3" t="n">
        <v>11</v>
      </c>
      <c r="C2867" s="3" t="n">
        <v>5</v>
      </c>
      <c r="D2867" s="3" t="s">
        <v>2871</v>
      </c>
      <c r="E2867" s="4" t="n">
        <v>30</v>
      </c>
    </row>
    <row r="2868" customFormat="false" ht="15" hidden="false" customHeight="false" outlineLevel="0" collapsed="false">
      <c r="A2868" s="3" t="n">
        <v>2019</v>
      </c>
      <c r="B2868" s="3" t="n">
        <v>11</v>
      </c>
      <c r="C2868" s="3" t="n">
        <v>6</v>
      </c>
      <c r="D2868" s="3" t="s">
        <v>2872</v>
      </c>
      <c r="E2868" s="4" t="n">
        <v>11</v>
      </c>
    </row>
    <row r="2869" customFormat="false" ht="15" hidden="false" customHeight="false" outlineLevel="0" collapsed="false">
      <c r="A2869" s="3" t="n">
        <v>2019</v>
      </c>
      <c r="B2869" s="3" t="n">
        <v>11</v>
      </c>
      <c r="C2869" s="3" t="n">
        <v>7</v>
      </c>
      <c r="D2869" s="3" t="s">
        <v>2873</v>
      </c>
      <c r="E2869" s="4" t="n">
        <v>0</v>
      </c>
    </row>
    <row r="2870" customFormat="false" ht="15" hidden="false" customHeight="false" outlineLevel="0" collapsed="false">
      <c r="A2870" s="3" t="n">
        <v>2019</v>
      </c>
      <c r="B2870" s="3" t="n">
        <v>11</v>
      </c>
      <c r="C2870" s="3" t="n">
        <v>8</v>
      </c>
      <c r="D2870" s="3" t="s">
        <v>2874</v>
      </c>
      <c r="E2870" s="4" t="n">
        <v>0</v>
      </c>
    </row>
    <row r="2871" customFormat="false" ht="15" hidden="false" customHeight="false" outlineLevel="0" collapsed="false">
      <c r="A2871" s="3" t="n">
        <v>2019</v>
      </c>
      <c r="B2871" s="3" t="n">
        <v>11</v>
      </c>
      <c r="C2871" s="3" t="n">
        <v>9</v>
      </c>
      <c r="D2871" s="3" t="s">
        <v>2875</v>
      </c>
      <c r="E2871" s="4" t="n">
        <v>16</v>
      </c>
    </row>
    <row r="2872" customFormat="false" ht="15" hidden="false" customHeight="false" outlineLevel="0" collapsed="false">
      <c r="A2872" s="3" t="n">
        <v>2019</v>
      </c>
      <c r="B2872" s="3" t="n">
        <v>11</v>
      </c>
      <c r="C2872" s="3" t="n">
        <v>10</v>
      </c>
      <c r="D2872" s="3" t="s">
        <v>2876</v>
      </c>
      <c r="E2872" s="4" t="n">
        <v>0</v>
      </c>
    </row>
    <row r="2873" customFormat="false" ht="15" hidden="false" customHeight="false" outlineLevel="0" collapsed="false">
      <c r="A2873" s="3" t="n">
        <v>2019</v>
      </c>
      <c r="B2873" s="3" t="n">
        <v>11</v>
      </c>
      <c r="C2873" s="3" t="n">
        <v>11</v>
      </c>
      <c r="D2873" s="3" t="s">
        <v>2877</v>
      </c>
      <c r="E2873" s="4" t="n">
        <v>0</v>
      </c>
    </row>
    <row r="2874" customFormat="false" ht="15" hidden="false" customHeight="false" outlineLevel="0" collapsed="false">
      <c r="A2874" s="3" t="n">
        <v>2019</v>
      </c>
      <c r="B2874" s="3" t="n">
        <v>11</v>
      </c>
      <c r="C2874" s="3" t="n">
        <v>12</v>
      </c>
      <c r="D2874" s="3" t="s">
        <v>2878</v>
      </c>
      <c r="E2874" s="4" t="n">
        <v>0</v>
      </c>
    </row>
    <row r="2875" customFormat="false" ht="15" hidden="false" customHeight="false" outlineLevel="0" collapsed="false">
      <c r="A2875" s="3" t="n">
        <v>2019</v>
      </c>
      <c r="B2875" s="3" t="n">
        <v>11</v>
      </c>
      <c r="C2875" s="3" t="n">
        <v>13</v>
      </c>
      <c r="D2875" s="3" t="s">
        <v>2879</v>
      </c>
      <c r="E2875" s="4" t="n">
        <v>18</v>
      </c>
    </row>
    <row r="2876" customFormat="false" ht="15" hidden="false" customHeight="false" outlineLevel="0" collapsed="false">
      <c r="A2876" s="3" t="n">
        <v>2019</v>
      </c>
      <c r="B2876" s="3" t="n">
        <v>11</v>
      </c>
      <c r="C2876" s="3" t="n">
        <v>14</v>
      </c>
      <c r="D2876" s="3" t="s">
        <v>2880</v>
      </c>
      <c r="E2876" s="4" t="n">
        <v>88</v>
      </c>
    </row>
    <row r="2877" customFormat="false" ht="15" hidden="false" customHeight="false" outlineLevel="0" collapsed="false">
      <c r="A2877" s="3" t="n">
        <v>2019</v>
      </c>
      <c r="B2877" s="3" t="n">
        <v>11</v>
      </c>
      <c r="C2877" s="3" t="n">
        <v>15</v>
      </c>
      <c r="D2877" s="3" t="s">
        <v>2881</v>
      </c>
      <c r="E2877" s="4" t="n">
        <v>11</v>
      </c>
    </row>
    <row r="2878" customFormat="false" ht="15" hidden="false" customHeight="false" outlineLevel="0" collapsed="false">
      <c r="A2878" s="3" t="n">
        <v>2019</v>
      </c>
      <c r="B2878" s="3" t="n">
        <v>11</v>
      </c>
      <c r="C2878" s="3" t="n">
        <v>16</v>
      </c>
      <c r="D2878" s="3" t="s">
        <v>2882</v>
      </c>
      <c r="E2878" s="4" t="n">
        <v>24</v>
      </c>
    </row>
    <row r="2879" customFormat="false" ht="15" hidden="false" customHeight="false" outlineLevel="0" collapsed="false">
      <c r="A2879" s="3" t="n">
        <v>2019</v>
      </c>
      <c r="B2879" s="3" t="n">
        <v>11</v>
      </c>
      <c r="C2879" s="3" t="n">
        <v>17</v>
      </c>
      <c r="D2879" s="3" t="s">
        <v>2883</v>
      </c>
      <c r="E2879" s="4" t="n">
        <v>0</v>
      </c>
    </row>
    <row r="2880" customFormat="false" ht="15" hidden="false" customHeight="false" outlineLevel="0" collapsed="false">
      <c r="A2880" s="3" t="n">
        <v>2019</v>
      </c>
      <c r="B2880" s="3" t="n">
        <v>11</v>
      </c>
      <c r="C2880" s="3" t="n">
        <v>18</v>
      </c>
      <c r="D2880" s="3" t="s">
        <v>2884</v>
      </c>
      <c r="E2880" s="4" t="n">
        <v>12</v>
      </c>
    </row>
    <row r="2881" customFormat="false" ht="15" hidden="false" customHeight="false" outlineLevel="0" collapsed="false">
      <c r="A2881" s="3" t="n">
        <v>2019</v>
      </c>
      <c r="B2881" s="3" t="n">
        <v>11</v>
      </c>
      <c r="C2881" s="3" t="n">
        <v>19</v>
      </c>
      <c r="D2881" s="3" t="s">
        <v>2885</v>
      </c>
      <c r="E2881" s="4" t="n">
        <v>36</v>
      </c>
    </row>
    <row r="2882" customFormat="false" ht="15" hidden="false" customHeight="false" outlineLevel="0" collapsed="false">
      <c r="A2882" s="3" t="n">
        <v>2019</v>
      </c>
      <c r="B2882" s="3" t="n">
        <v>11</v>
      </c>
      <c r="C2882" s="3" t="n">
        <v>20</v>
      </c>
      <c r="D2882" s="3" t="s">
        <v>2886</v>
      </c>
      <c r="E2882" s="4" t="n">
        <v>14</v>
      </c>
    </row>
    <row r="2883" customFormat="false" ht="15" hidden="false" customHeight="false" outlineLevel="0" collapsed="false">
      <c r="A2883" s="3" t="n">
        <v>2019</v>
      </c>
      <c r="B2883" s="3" t="n">
        <v>11</v>
      </c>
      <c r="C2883" s="3" t="n">
        <v>21</v>
      </c>
      <c r="D2883" s="3" t="s">
        <v>2887</v>
      </c>
      <c r="E2883" s="4" t="n">
        <v>19</v>
      </c>
    </row>
    <row r="2884" customFormat="false" ht="15" hidden="false" customHeight="false" outlineLevel="0" collapsed="false">
      <c r="A2884" s="3" t="n">
        <v>2019</v>
      </c>
      <c r="B2884" s="3" t="n">
        <v>11</v>
      </c>
      <c r="C2884" s="3" t="n">
        <v>22</v>
      </c>
      <c r="D2884" s="3" t="s">
        <v>2888</v>
      </c>
      <c r="E2884" s="4" t="n">
        <v>74</v>
      </c>
    </row>
    <row r="2885" customFormat="false" ht="15" hidden="false" customHeight="false" outlineLevel="0" collapsed="false">
      <c r="A2885" s="3" t="n">
        <v>2019</v>
      </c>
      <c r="B2885" s="3" t="n">
        <v>11</v>
      </c>
      <c r="C2885" s="3" t="n">
        <v>23</v>
      </c>
      <c r="D2885" s="3" t="s">
        <v>2889</v>
      </c>
      <c r="E2885" s="4" t="n">
        <v>0</v>
      </c>
    </row>
    <row r="2886" customFormat="false" ht="15" hidden="false" customHeight="false" outlineLevel="0" collapsed="false">
      <c r="A2886" s="3" t="n">
        <v>2019</v>
      </c>
      <c r="B2886" s="3" t="n">
        <v>11</v>
      </c>
      <c r="C2886" s="3" t="n">
        <v>24</v>
      </c>
      <c r="D2886" s="3" t="s">
        <v>2890</v>
      </c>
      <c r="E2886" s="4" t="n">
        <v>59</v>
      </c>
    </row>
    <row r="2887" customFormat="false" ht="15" hidden="false" customHeight="false" outlineLevel="0" collapsed="false">
      <c r="A2887" s="3" t="n">
        <v>2019</v>
      </c>
      <c r="B2887" s="3" t="n">
        <v>11</v>
      </c>
      <c r="C2887" s="3" t="n">
        <v>25</v>
      </c>
      <c r="D2887" s="3" t="s">
        <v>2891</v>
      </c>
      <c r="E2887" s="4" t="n">
        <v>4</v>
      </c>
    </row>
    <row r="2888" customFormat="false" ht="15" hidden="false" customHeight="false" outlineLevel="0" collapsed="false">
      <c r="A2888" s="3" t="n">
        <v>2019</v>
      </c>
      <c r="B2888" s="3" t="n">
        <v>11</v>
      </c>
      <c r="C2888" s="3" t="n">
        <v>26</v>
      </c>
      <c r="D2888" s="3" t="s">
        <v>2892</v>
      </c>
      <c r="E2888" s="4" t="n">
        <v>0</v>
      </c>
    </row>
    <row r="2889" customFormat="false" ht="15" hidden="false" customHeight="false" outlineLevel="0" collapsed="false">
      <c r="A2889" s="3" t="n">
        <v>2019</v>
      </c>
      <c r="B2889" s="3" t="n">
        <v>11</v>
      </c>
      <c r="C2889" s="3" t="n">
        <v>27</v>
      </c>
      <c r="D2889" s="3" t="s">
        <v>2893</v>
      </c>
      <c r="E2889" s="4" t="n">
        <v>27</v>
      </c>
    </row>
    <row r="2890" customFormat="false" ht="15" hidden="false" customHeight="false" outlineLevel="0" collapsed="false">
      <c r="A2890" s="3" t="n">
        <v>2019</v>
      </c>
      <c r="B2890" s="3" t="n">
        <v>11</v>
      </c>
      <c r="C2890" s="3" t="n">
        <v>28</v>
      </c>
      <c r="D2890" s="3" t="s">
        <v>2894</v>
      </c>
      <c r="E2890" s="4" t="n">
        <v>0</v>
      </c>
    </row>
    <row r="2891" customFormat="false" ht="15" hidden="false" customHeight="false" outlineLevel="0" collapsed="false">
      <c r="A2891" s="3" t="n">
        <v>2019</v>
      </c>
      <c r="B2891" s="3" t="n">
        <v>11</v>
      </c>
      <c r="C2891" s="3" t="n">
        <v>29</v>
      </c>
      <c r="D2891" s="3" t="s">
        <v>2895</v>
      </c>
      <c r="E2891" s="4" t="n">
        <v>6</v>
      </c>
    </row>
    <row r="2892" customFormat="false" ht="15" hidden="false" customHeight="false" outlineLevel="0" collapsed="false">
      <c r="A2892" s="3" t="n">
        <v>2019</v>
      </c>
      <c r="B2892" s="3" t="n">
        <v>11</v>
      </c>
      <c r="C2892" s="3" t="n">
        <v>30</v>
      </c>
      <c r="D2892" s="3" t="s">
        <v>2896</v>
      </c>
      <c r="E2892" s="4" t="n">
        <v>0</v>
      </c>
    </row>
    <row r="2893" customFormat="false" ht="15" hidden="false" customHeight="false" outlineLevel="0" collapsed="false">
      <c r="A2893" s="3" t="n">
        <v>2019</v>
      </c>
      <c r="B2893" s="3" t="n">
        <v>12</v>
      </c>
      <c r="C2893" s="3" t="n">
        <v>1</v>
      </c>
      <c r="D2893" s="3" t="s">
        <v>2897</v>
      </c>
      <c r="E2893" s="4" t="n">
        <v>6</v>
      </c>
    </row>
    <row r="2894" customFormat="false" ht="15" hidden="false" customHeight="false" outlineLevel="0" collapsed="false">
      <c r="A2894" s="3" t="n">
        <v>2019</v>
      </c>
      <c r="B2894" s="3" t="n">
        <v>12</v>
      </c>
      <c r="C2894" s="3" t="n">
        <v>2</v>
      </c>
      <c r="D2894" s="3" t="s">
        <v>2898</v>
      </c>
      <c r="E2894" s="4" t="n">
        <v>74</v>
      </c>
    </row>
    <row r="2895" customFormat="false" ht="15" hidden="false" customHeight="false" outlineLevel="0" collapsed="false">
      <c r="A2895" s="3" t="n">
        <v>2019</v>
      </c>
      <c r="B2895" s="3" t="n">
        <v>12</v>
      </c>
      <c r="C2895" s="3" t="n">
        <v>3</v>
      </c>
      <c r="D2895" s="3" t="s">
        <v>2899</v>
      </c>
      <c r="E2895" s="4" t="n">
        <v>0</v>
      </c>
    </row>
    <row r="2896" customFormat="false" ht="15" hidden="false" customHeight="false" outlineLevel="0" collapsed="false">
      <c r="A2896" s="3" t="n">
        <v>2019</v>
      </c>
      <c r="B2896" s="3" t="n">
        <v>12</v>
      </c>
      <c r="C2896" s="3" t="n">
        <v>4</v>
      </c>
      <c r="D2896" s="3" t="s">
        <v>2900</v>
      </c>
      <c r="E2896" s="4" t="n">
        <v>2</v>
      </c>
    </row>
    <row r="2897" customFormat="false" ht="15" hidden="false" customHeight="false" outlineLevel="0" collapsed="false">
      <c r="A2897" s="3" t="n">
        <v>2019</v>
      </c>
      <c r="B2897" s="3" t="n">
        <v>12</v>
      </c>
      <c r="C2897" s="3" t="n">
        <v>5</v>
      </c>
      <c r="D2897" s="3" t="s">
        <v>2901</v>
      </c>
      <c r="E2897" s="4" t="n">
        <v>0</v>
      </c>
    </row>
    <row r="2898" customFormat="false" ht="15" hidden="false" customHeight="false" outlineLevel="0" collapsed="false">
      <c r="A2898" s="3" t="n">
        <v>2019</v>
      </c>
      <c r="B2898" s="3" t="n">
        <v>12</v>
      </c>
      <c r="C2898" s="3" t="n">
        <v>6</v>
      </c>
      <c r="D2898" s="3" t="s">
        <v>2902</v>
      </c>
      <c r="E2898" s="4" t="n">
        <v>31</v>
      </c>
    </row>
    <row r="2899" customFormat="false" ht="15" hidden="false" customHeight="false" outlineLevel="0" collapsed="false">
      <c r="A2899" s="3" t="n">
        <v>2019</v>
      </c>
      <c r="B2899" s="3" t="n">
        <v>12</v>
      </c>
      <c r="C2899" s="3" t="n">
        <v>7</v>
      </c>
      <c r="D2899" s="3" t="s">
        <v>2903</v>
      </c>
      <c r="E2899" s="4" t="n">
        <v>1</v>
      </c>
    </row>
    <row r="2900" customFormat="false" ht="15" hidden="false" customHeight="false" outlineLevel="0" collapsed="false">
      <c r="A2900" s="3" t="n">
        <v>2019</v>
      </c>
      <c r="B2900" s="3" t="n">
        <v>12</v>
      </c>
      <c r="C2900" s="3" t="n">
        <v>8</v>
      </c>
      <c r="D2900" s="3" t="s">
        <v>2904</v>
      </c>
      <c r="E2900" s="4" t="n">
        <v>32</v>
      </c>
    </row>
    <row r="2901" customFormat="false" ht="15" hidden="false" customHeight="false" outlineLevel="0" collapsed="false">
      <c r="A2901" s="3" t="n">
        <v>2019</v>
      </c>
      <c r="B2901" s="3" t="n">
        <v>12</v>
      </c>
      <c r="C2901" s="3" t="n">
        <v>9</v>
      </c>
      <c r="D2901" s="3" t="s">
        <v>2905</v>
      </c>
      <c r="E2901" s="4" t="n">
        <v>37</v>
      </c>
    </row>
    <row r="2902" customFormat="false" ht="15" hidden="false" customHeight="false" outlineLevel="0" collapsed="false">
      <c r="A2902" s="3" t="n">
        <v>2019</v>
      </c>
      <c r="B2902" s="3" t="n">
        <v>12</v>
      </c>
      <c r="C2902" s="3" t="n">
        <v>10</v>
      </c>
      <c r="D2902" s="3" t="s">
        <v>2906</v>
      </c>
      <c r="E2902" s="4" t="n">
        <v>13</v>
      </c>
    </row>
    <row r="2903" customFormat="false" ht="15" hidden="false" customHeight="false" outlineLevel="0" collapsed="false">
      <c r="A2903" s="3" t="n">
        <v>2019</v>
      </c>
      <c r="B2903" s="3" t="n">
        <v>12</v>
      </c>
      <c r="C2903" s="3" t="n">
        <v>11</v>
      </c>
      <c r="D2903" s="3" t="s">
        <v>2907</v>
      </c>
      <c r="E2903" s="4" t="n">
        <v>20</v>
      </c>
    </row>
    <row r="2904" customFormat="false" ht="15" hidden="false" customHeight="false" outlineLevel="0" collapsed="false">
      <c r="A2904" s="3" t="n">
        <v>2019</v>
      </c>
      <c r="B2904" s="3" t="n">
        <v>12</v>
      </c>
      <c r="C2904" s="3" t="n">
        <v>12</v>
      </c>
      <c r="D2904" s="3" t="s">
        <v>2908</v>
      </c>
      <c r="E2904" s="4" t="n">
        <v>9</v>
      </c>
    </row>
    <row r="2905" customFormat="false" ht="15" hidden="false" customHeight="false" outlineLevel="0" collapsed="false">
      <c r="A2905" s="3" t="n">
        <v>2019</v>
      </c>
      <c r="B2905" s="3" t="n">
        <v>12</v>
      </c>
      <c r="C2905" s="3" t="n">
        <v>13</v>
      </c>
      <c r="D2905" s="3" t="s">
        <v>2909</v>
      </c>
      <c r="E2905" s="4" t="n">
        <v>1</v>
      </c>
    </row>
    <row r="2906" customFormat="false" ht="15" hidden="false" customHeight="false" outlineLevel="0" collapsed="false">
      <c r="A2906" s="3" t="n">
        <v>2019</v>
      </c>
      <c r="B2906" s="3" t="n">
        <v>12</v>
      </c>
      <c r="C2906" s="3" t="n">
        <v>14</v>
      </c>
      <c r="D2906" s="3" t="s">
        <v>2910</v>
      </c>
      <c r="E2906" s="4" t="n">
        <v>0</v>
      </c>
    </row>
    <row r="2907" customFormat="false" ht="15" hidden="false" customHeight="false" outlineLevel="0" collapsed="false">
      <c r="A2907" s="3" t="n">
        <v>2019</v>
      </c>
      <c r="B2907" s="3" t="n">
        <v>12</v>
      </c>
      <c r="C2907" s="3" t="n">
        <v>15</v>
      </c>
      <c r="D2907" s="3" t="s">
        <v>2911</v>
      </c>
      <c r="E2907" s="4" t="n">
        <v>21</v>
      </c>
    </row>
    <row r="2908" customFormat="false" ht="15" hidden="false" customHeight="false" outlineLevel="0" collapsed="false">
      <c r="A2908" s="3" t="n">
        <v>2019</v>
      </c>
      <c r="B2908" s="3" t="n">
        <v>12</v>
      </c>
      <c r="C2908" s="3" t="n">
        <v>16</v>
      </c>
      <c r="D2908" s="3" t="s">
        <v>2912</v>
      </c>
      <c r="E2908" s="4" t="n">
        <v>14</v>
      </c>
    </row>
    <row r="2909" customFormat="false" ht="15" hidden="false" customHeight="false" outlineLevel="0" collapsed="false">
      <c r="A2909" s="3" t="n">
        <v>2019</v>
      </c>
      <c r="B2909" s="3" t="n">
        <v>12</v>
      </c>
      <c r="C2909" s="3" t="n">
        <v>17</v>
      </c>
      <c r="D2909" s="3" t="s">
        <v>2913</v>
      </c>
      <c r="E2909" s="4" t="n">
        <v>0</v>
      </c>
    </row>
    <row r="2910" customFormat="false" ht="15" hidden="false" customHeight="false" outlineLevel="0" collapsed="false">
      <c r="A2910" s="3" t="n">
        <v>2019</v>
      </c>
      <c r="B2910" s="3" t="n">
        <v>12</v>
      </c>
      <c r="C2910" s="3" t="n">
        <v>18</v>
      </c>
      <c r="D2910" s="3" t="s">
        <v>2914</v>
      </c>
      <c r="E2910" s="4" t="n">
        <v>3</v>
      </c>
    </row>
    <row r="2911" customFormat="false" ht="15" hidden="false" customHeight="false" outlineLevel="0" collapsed="false">
      <c r="A2911" s="3" t="n">
        <v>2019</v>
      </c>
      <c r="B2911" s="3" t="n">
        <v>12</v>
      </c>
      <c r="C2911" s="3" t="n">
        <v>19</v>
      </c>
      <c r="D2911" s="3" t="s">
        <v>2915</v>
      </c>
      <c r="E2911" s="4" t="n">
        <v>0</v>
      </c>
    </row>
    <row r="2912" customFormat="false" ht="15" hidden="false" customHeight="false" outlineLevel="0" collapsed="false">
      <c r="A2912" s="3" t="n">
        <v>2019</v>
      </c>
      <c r="B2912" s="3" t="n">
        <v>12</v>
      </c>
      <c r="C2912" s="3" t="n">
        <v>20</v>
      </c>
      <c r="D2912" s="3" t="s">
        <v>2916</v>
      </c>
      <c r="E2912" s="4" t="n">
        <v>0</v>
      </c>
    </row>
    <row r="2913" customFormat="false" ht="15" hidden="false" customHeight="false" outlineLevel="0" collapsed="false">
      <c r="A2913" s="3" t="n">
        <v>2019</v>
      </c>
      <c r="B2913" s="3" t="n">
        <v>12</v>
      </c>
      <c r="C2913" s="3" t="n">
        <v>21</v>
      </c>
      <c r="D2913" s="3" t="s">
        <v>2917</v>
      </c>
      <c r="E2913" s="4" t="n">
        <v>0</v>
      </c>
    </row>
    <row r="2914" customFormat="false" ht="15" hidden="false" customHeight="false" outlineLevel="0" collapsed="false">
      <c r="A2914" s="3" t="n">
        <v>2019</v>
      </c>
      <c r="B2914" s="3" t="n">
        <v>12</v>
      </c>
      <c r="C2914" s="3" t="n">
        <v>22</v>
      </c>
      <c r="D2914" s="3" t="s">
        <v>2918</v>
      </c>
      <c r="E2914" s="4" t="n">
        <v>0</v>
      </c>
    </row>
    <row r="2915" customFormat="false" ht="15" hidden="false" customHeight="false" outlineLevel="0" collapsed="false">
      <c r="A2915" s="3" t="n">
        <v>2019</v>
      </c>
      <c r="B2915" s="3" t="n">
        <v>12</v>
      </c>
      <c r="C2915" s="3" t="n">
        <v>23</v>
      </c>
      <c r="D2915" s="3" t="s">
        <v>2919</v>
      </c>
      <c r="E2915" s="4" t="n">
        <v>37</v>
      </c>
    </row>
    <row r="2916" customFormat="false" ht="15" hidden="false" customHeight="false" outlineLevel="0" collapsed="false">
      <c r="A2916" s="3" t="n">
        <v>2019</v>
      </c>
      <c r="B2916" s="3" t="n">
        <v>12</v>
      </c>
      <c r="C2916" s="3" t="n">
        <v>24</v>
      </c>
      <c r="D2916" s="3" t="s">
        <v>2920</v>
      </c>
      <c r="E2916" s="4" t="n">
        <v>0</v>
      </c>
    </row>
    <row r="2917" customFormat="false" ht="15" hidden="false" customHeight="false" outlineLevel="0" collapsed="false">
      <c r="A2917" s="3" t="n">
        <v>2019</v>
      </c>
      <c r="B2917" s="3" t="n">
        <v>12</v>
      </c>
      <c r="C2917" s="3" t="n">
        <v>25</v>
      </c>
      <c r="D2917" s="3" t="s">
        <v>2921</v>
      </c>
      <c r="E2917" s="4" t="n">
        <v>0</v>
      </c>
    </row>
    <row r="2918" customFormat="false" ht="15" hidden="false" customHeight="false" outlineLevel="0" collapsed="false">
      <c r="A2918" s="3" t="n">
        <v>2019</v>
      </c>
      <c r="B2918" s="3" t="n">
        <v>12</v>
      </c>
      <c r="C2918" s="3" t="n">
        <v>26</v>
      </c>
      <c r="D2918" s="3" t="s">
        <v>2922</v>
      </c>
      <c r="E2918" s="4" t="n">
        <v>0</v>
      </c>
    </row>
    <row r="2919" customFormat="false" ht="15" hidden="false" customHeight="false" outlineLevel="0" collapsed="false">
      <c r="A2919" s="3" t="n">
        <v>2019</v>
      </c>
      <c r="B2919" s="3" t="n">
        <v>12</v>
      </c>
      <c r="C2919" s="3" t="n">
        <v>27</v>
      </c>
      <c r="D2919" s="3" t="s">
        <v>2923</v>
      </c>
      <c r="E2919" s="4" t="n">
        <v>10</v>
      </c>
    </row>
    <row r="2920" customFormat="false" ht="15" hidden="false" customHeight="false" outlineLevel="0" collapsed="false">
      <c r="A2920" s="3" t="n">
        <v>2019</v>
      </c>
      <c r="B2920" s="3" t="n">
        <v>12</v>
      </c>
      <c r="C2920" s="3" t="n">
        <v>28</v>
      </c>
      <c r="D2920" s="3" t="s">
        <v>2924</v>
      </c>
      <c r="E2920" s="4" t="n">
        <v>0</v>
      </c>
    </row>
    <row r="2921" customFormat="false" ht="15" hidden="false" customHeight="false" outlineLevel="0" collapsed="false">
      <c r="A2921" s="3" t="n">
        <v>2019</v>
      </c>
      <c r="B2921" s="3" t="n">
        <v>12</v>
      </c>
      <c r="C2921" s="3" t="n">
        <v>29</v>
      </c>
      <c r="D2921" s="3" t="s">
        <v>2925</v>
      </c>
      <c r="E2921" s="4" t="n">
        <v>0</v>
      </c>
    </row>
    <row r="2922" customFormat="false" ht="15" hidden="false" customHeight="false" outlineLevel="0" collapsed="false">
      <c r="A2922" s="3" t="n">
        <v>2019</v>
      </c>
      <c r="B2922" s="3" t="n">
        <v>12</v>
      </c>
      <c r="C2922" s="3" t="n">
        <v>30</v>
      </c>
      <c r="D2922" s="3" t="s">
        <v>2926</v>
      </c>
      <c r="E2922" s="4" t="n">
        <v>5</v>
      </c>
    </row>
    <row r="2923" customFormat="false" ht="15" hidden="false" customHeight="false" outlineLevel="0" collapsed="false">
      <c r="A2923" s="3" t="n">
        <v>2019</v>
      </c>
      <c r="B2923" s="3" t="n">
        <v>12</v>
      </c>
      <c r="C2923" s="3" t="n">
        <v>31</v>
      </c>
      <c r="D2923" s="3" t="s">
        <v>2927</v>
      </c>
      <c r="E2923" s="4" t="n">
        <v>41</v>
      </c>
    </row>
    <row r="2924" customFormat="false" ht="15" hidden="false" customHeight="false" outlineLevel="0" collapsed="false">
      <c r="A2924" s="3" t="n">
        <v>2020</v>
      </c>
      <c r="B2924" s="3" t="n">
        <v>1</v>
      </c>
      <c r="C2924" s="3" t="n">
        <v>1</v>
      </c>
      <c r="D2924" s="3" t="s">
        <v>2928</v>
      </c>
      <c r="E2924" s="4" t="n">
        <v>21</v>
      </c>
    </row>
    <row r="2925" customFormat="false" ht="15" hidden="false" customHeight="false" outlineLevel="0" collapsed="false">
      <c r="A2925" s="3" t="n">
        <v>2020</v>
      </c>
      <c r="B2925" s="3" t="n">
        <v>1</v>
      </c>
      <c r="C2925" s="3" t="n">
        <v>2</v>
      </c>
      <c r="D2925" s="3" t="s">
        <v>2929</v>
      </c>
      <c r="E2925" s="4" t="n">
        <v>14</v>
      </c>
    </row>
    <row r="2926" customFormat="false" ht="15" hidden="false" customHeight="false" outlineLevel="0" collapsed="false">
      <c r="A2926" s="3" t="n">
        <v>2020</v>
      </c>
      <c r="B2926" s="3" t="n">
        <v>1</v>
      </c>
      <c r="C2926" s="3" t="n">
        <v>3</v>
      </c>
      <c r="D2926" s="3" t="s">
        <v>2930</v>
      </c>
      <c r="E2926" s="4" t="n">
        <v>6</v>
      </c>
    </row>
    <row r="2927" customFormat="false" ht="15" hidden="false" customHeight="false" outlineLevel="0" collapsed="false">
      <c r="A2927" s="3" t="n">
        <v>2020</v>
      </c>
      <c r="B2927" s="3" t="n">
        <v>1</v>
      </c>
      <c r="C2927" s="3" t="n">
        <v>4</v>
      </c>
      <c r="D2927" s="3" t="s">
        <v>2931</v>
      </c>
      <c r="E2927" s="4" t="n">
        <v>8</v>
      </c>
    </row>
    <row r="2928" customFormat="false" ht="15" hidden="false" customHeight="false" outlineLevel="0" collapsed="false">
      <c r="A2928" s="3" t="n">
        <v>2020</v>
      </c>
      <c r="B2928" s="3" t="n">
        <v>1</v>
      </c>
      <c r="C2928" s="3" t="n">
        <v>5</v>
      </c>
      <c r="D2928" s="3" t="s">
        <v>2932</v>
      </c>
      <c r="E2928" s="4" t="n">
        <v>2</v>
      </c>
    </row>
    <row r="2929" customFormat="false" ht="15" hidden="false" customHeight="false" outlineLevel="0" collapsed="false">
      <c r="A2929" s="3" t="n">
        <v>2020</v>
      </c>
      <c r="B2929" s="3" t="n">
        <v>1</v>
      </c>
      <c r="C2929" s="3" t="n">
        <v>6</v>
      </c>
      <c r="D2929" s="3" t="s">
        <v>2933</v>
      </c>
      <c r="E2929" s="4" t="n">
        <v>0</v>
      </c>
    </row>
    <row r="2930" customFormat="false" ht="15" hidden="false" customHeight="false" outlineLevel="0" collapsed="false">
      <c r="A2930" s="3" t="n">
        <v>2020</v>
      </c>
      <c r="B2930" s="3" t="n">
        <v>1</v>
      </c>
      <c r="C2930" s="3" t="n">
        <v>7</v>
      </c>
      <c r="D2930" s="3" t="s">
        <v>2934</v>
      </c>
      <c r="E2930" s="4" t="n">
        <v>17</v>
      </c>
    </row>
    <row r="2931" customFormat="false" ht="15" hidden="false" customHeight="false" outlineLevel="0" collapsed="false">
      <c r="A2931" s="3" t="n">
        <v>2020</v>
      </c>
      <c r="B2931" s="3" t="n">
        <v>1</v>
      </c>
      <c r="C2931" s="3" t="n">
        <v>8</v>
      </c>
      <c r="D2931" s="3" t="s">
        <v>2935</v>
      </c>
      <c r="E2931" s="4" t="n">
        <v>2</v>
      </c>
    </row>
    <row r="2932" customFormat="false" ht="15" hidden="false" customHeight="false" outlineLevel="0" collapsed="false">
      <c r="A2932" s="3" t="n">
        <v>2020</v>
      </c>
      <c r="B2932" s="3" t="n">
        <v>1</v>
      </c>
      <c r="C2932" s="3" t="n">
        <v>9</v>
      </c>
      <c r="D2932" s="3" t="s">
        <v>2936</v>
      </c>
      <c r="E2932" s="4" t="n">
        <v>11</v>
      </c>
    </row>
    <row r="2933" customFormat="false" ht="15" hidden="false" customHeight="false" outlineLevel="0" collapsed="false">
      <c r="A2933" s="3" t="n">
        <v>2020</v>
      </c>
      <c r="B2933" s="3" t="n">
        <v>1</v>
      </c>
      <c r="C2933" s="3" t="n">
        <v>10</v>
      </c>
      <c r="D2933" s="3" t="s">
        <v>2937</v>
      </c>
      <c r="E2933" s="4" t="n">
        <v>1</v>
      </c>
    </row>
    <row r="2934" customFormat="false" ht="15" hidden="false" customHeight="false" outlineLevel="0" collapsed="false">
      <c r="A2934" s="3" t="n">
        <v>2020</v>
      </c>
      <c r="B2934" s="3" t="n">
        <v>1</v>
      </c>
      <c r="C2934" s="3" t="n">
        <v>11</v>
      </c>
      <c r="D2934" s="3" t="s">
        <v>2938</v>
      </c>
      <c r="E2934" s="4" t="n">
        <v>11</v>
      </c>
    </row>
    <row r="2935" customFormat="false" ht="15" hidden="false" customHeight="false" outlineLevel="0" collapsed="false">
      <c r="A2935" s="3" t="n">
        <v>2020</v>
      </c>
      <c r="B2935" s="3" t="n">
        <v>1</v>
      </c>
      <c r="C2935" s="3" t="n">
        <v>12</v>
      </c>
      <c r="D2935" s="3" t="s">
        <v>2939</v>
      </c>
      <c r="E2935" s="4" t="n">
        <v>0</v>
      </c>
    </row>
    <row r="2936" customFormat="false" ht="15" hidden="false" customHeight="false" outlineLevel="0" collapsed="false">
      <c r="A2936" s="3" t="n">
        <v>2020</v>
      </c>
      <c r="B2936" s="3" t="n">
        <v>1</v>
      </c>
      <c r="C2936" s="3" t="n">
        <v>13</v>
      </c>
      <c r="D2936" s="3" t="s">
        <v>2940</v>
      </c>
      <c r="E2936" s="4" t="n">
        <v>0</v>
      </c>
    </row>
    <row r="2937" customFormat="false" ht="15" hidden="false" customHeight="false" outlineLevel="0" collapsed="false">
      <c r="A2937" s="3" t="n">
        <v>2020</v>
      </c>
      <c r="B2937" s="3" t="n">
        <v>1</v>
      </c>
      <c r="C2937" s="3" t="n">
        <v>14</v>
      </c>
      <c r="D2937" s="3" t="s">
        <v>2941</v>
      </c>
      <c r="E2937" s="4" t="n">
        <v>0</v>
      </c>
    </row>
    <row r="2938" customFormat="false" ht="15" hidden="false" customHeight="false" outlineLevel="0" collapsed="false">
      <c r="A2938" s="3" t="n">
        <v>2020</v>
      </c>
      <c r="B2938" s="3" t="n">
        <v>1</v>
      </c>
      <c r="C2938" s="3" t="n">
        <v>15</v>
      </c>
      <c r="D2938" s="3" t="s">
        <v>2942</v>
      </c>
      <c r="E2938" s="4" t="n">
        <v>11</v>
      </c>
    </row>
    <row r="2939" customFormat="false" ht="15" hidden="false" customHeight="false" outlineLevel="0" collapsed="false">
      <c r="A2939" s="3" t="n">
        <v>2020</v>
      </c>
      <c r="B2939" s="3" t="n">
        <v>1</v>
      </c>
      <c r="C2939" s="3" t="n">
        <v>16</v>
      </c>
      <c r="D2939" s="3" t="s">
        <v>2943</v>
      </c>
      <c r="E2939" s="4" t="n">
        <v>0</v>
      </c>
    </row>
    <row r="2940" customFormat="false" ht="15" hidden="false" customHeight="false" outlineLevel="0" collapsed="false">
      <c r="A2940" s="3" t="n">
        <v>2020</v>
      </c>
      <c r="B2940" s="3" t="n">
        <v>1</v>
      </c>
      <c r="C2940" s="3" t="n">
        <v>17</v>
      </c>
      <c r="D2940" s="3" t="s">
        <v>2944</v>
      </c>
      <c r="E2940" s="4" t="n">
        <v>3</v>
      </c>
    </row>
    <row r="2941" customFormat="false" ht="15" hidden="false" customHeight="false" outlineLevel="0" collapsed="false">
      <c r="A2941" s="3" t="n">
        <v>2020</v>
      </c>
      <c r="B2941" s="3" t="n">
        <v>1</v>
      </c>
      <c r="C2941" s="3" t="n">
        <v>18</v>
      </c>
      <c r="D2941" s="3" t="s">
        <v>2945</v>
      </c>
      <c r="E2941" s="4" t="n">
        <v>0</v>
      </c>
    </row>
    <row r="2942" customFormat="false" ht="15" hidden="false" customHeight="false" outlineLevel="0" collapsed="false">
      <c r="A2942" s="3" t="n">
        <v>2020</v>
      </c>
      <c r="B2942" s="3" t="n">
        <v>1</v>
      </c>
      <c r="C2942" s="3" t="n">
        <v>19</v>
      </c>
      <c r="D2942" s="3" t="s">
        <v>2946</v>
      </c>
      <c r="E2942" s="4" t="n">
        <v>6</v>
      </c>
    </row>
    <row r="2943" customFormat="false" ht="15" hidden="false" customHeight="false" outlineLevel="0" collapsed="false">
      <c r="A2943" s="3" t="n">
        <v>2020</v>
      </c>
      <c r="B2943" s="3" t="n">
        <v>1</v>
      </c>
      <c r="C2943" s="3" t="n">
        <v>20</v>
      </c>
      <c r="D2943" s="3" t="s">
        <v>2947</v>
      </c>
      <c r="E2943" s="4" t="n">
        <v>79</v>
      </c>
    </row>
    <row r="2944" customFormat="false" ht="15" hidden="false" customHeight="false" outlineLevel="0" collapsed="false">
      <c r="A2944" s="3" t="n">
        <v>2020</v>
      </c>
      <c r="B2944" s="3" t="n">
        <v>1</v>
      </c>
      <c r="C2944" s="3" t="n">
        <v>21</v>
      </c>
      <c r="D2944" s="3" t="s">
        <v>2948</v>
      </c>
      <c r="E2944" s="4" t="n">
        <v>1</v>
      </c>
    </row>
    <row r="2945" customFormat="false" ht="15" hidden="false" customHeight="false" outlineLevel="0" collapsed="false">
      <c r="A2945" s="3" t="n">
        <v>2020</v>
      </c>
      <c r="B2945" s="3" t="n">
        <v>1</v>
      </c>
      <c r="C2945" s="3" t="n">
        <v>22</v>
      </c>
      <c r="D2945" s="3" t="s">
        <v>2949</v>
      </c>
      <c r="E2945" s="4" t="n">
        <v>0</v>
      </c>
    </row>
    <row r="2946" customFormat="false" ht="15" hidden="false" customHeight="false" outlineLevel="0" collapsed="false">
      <c r="A2946" s="3" t="n">
        <v>2020</v>
      </c>
      <c r="B2946" s="3" t="n">
        <v>1</v>
      </c>
      <c r="C2946" s="3" t="n">
        <v>23</v>
      </c>
      <c r="D2946" s="3" t="s">
        <v>2950</v>
      </c>
      <c r="E2946" s="4" t="n">
        <v>0</v>
      </c>
    </row>
    <row r="2947" customFormat="false" ht="15" hidden="false" customHeight="false" outlineLevel="0" collapsed="false">
      <c r="A2947" s="3" t="n">
        <v>2020</v>
      </c>
      <c r="B2947" s="3" t="n">
        <v>1</v>
      </c>
      <c r="C2947" s="3" t="n">
        <v>24</v>
      </c>
      <c r="D2947" s="3" t="s">
        <v>2951</v>
      </c>
      <c r="E2947" s="4" t="n">
        <v>9</v>
      </c>
    </row>
    <row r="2948" customFormat="false" ht="15" hidden="false" customHeight="false" outlineLevel="0" collapsed="false">
      <c r="A2948" s="3" t="n">
        <v>2020</v>
      </c>
      <c r="B2948" s="3" t="n">
        <v>1</v>
      </c>
      <c r="C2948" s="3" t="n">
        <v>25</v>
      </c>
      <c r="D2948" s="3" t="s">
        <v>2952</v>
      </c>
      <c r="E2948" s="4" t="n">
        <v>11</v>
      </c>
    </row>
    <row r="2949" customFormat="false" ht="15" hidden="false" customHeight="false" outlineLevel="0" collapsed="false">
      <c r="A2949" s="3" t="n">
        <v>2020</v>
      </c>
      <c r="B2949" s="3" t="n">
        <v>1</v>
      </c>
      <c r="C2949" s="3" t="n">
        <v>26</v>
      </c>
      <c r="D2949" s="3" t="s">
        <v>2953</v>
      </c>
      <c r="E2949" s="4" t="n">
        <v>0</v>
      </c>
    </row>
    <row r="2950" customFormat="false" ht="15" hidden="false" customHeight="false" outlineLevel="0" collapsed="false">
      <c r="A2950" s="3" t="n">
        <v>2020</v>
      </c>
      <c r="B2950" s="3" t="n">
        <v>1</v>
      </c>
      <c r="C2950" s="3" t="n">
        <v>27</v>
      </c>
      <c r="D2950" s="3" t="s">
        <v>2954</v>
      </c>
      <c r="E2950" s="4" t="n">
        <v>37</v>
      </c>
    </row>
    <row r="2951" customFormat="false" ht="15" hidden="false" customHeight="false" outlineLevel="0" collapsed="false">
      <c r="A2951" s="3" t="n">
        <v>2020</v>
      </c>
      <c r="B2951" s="3" t="n">
        <v>1</v>
      </c>
      <c r="C2951" s="3" t="n">
        <v>28</v>
      </c>
      <c r="D2951" s="3" t="s">
        <v>2955</v>
      </c>
      <c r="E2951" s="4" t="n">
        <v>2</v>
      </c>
    </row>
    <row r="2952" customFormat="false" ht="15" hidden="false" customHeight="false" outlineLevel="0" collapsed="false">
      <c r="A2952" s="3" t="n">
        <v>2020</v>
      </c>
      <c r="B2952" s="3" t="n">
        <v>1</v>
      </c>
      <c r="C2952" s="3" t="n">
        <v>29</v>
      </c>
      <c r="D2952" s="3" t="s">
        <v>2956</v>
      </c>
      <c r="E2952" s="4" t="n">
        <v>0</v>
      </c>
    </row>
    <row r="2953" customFormat="false" ht="15" hidden="false" customHeight="false" outlineLevel="0" collapsed="false">
      <c r="A2953" s="3" t="n">
        <v>2020</v>
      </c>
      <c r="B2953" s="3" t="n">
        <v>1</v>
      </c>
      <c r="C2953" s="3" t="n">
        <v>30</v>
      </c>
      <c r="D2953" s="3" t="s">
        <v>2957</v>
      </c>
      <c r="E2953" s="4" t="n">
        <v>83</v>
      </c>
    </row>
    <row r="2954" customFormat="false" ht="15" hidden="false" customHeight="false" outlineLevel="0" collapsed="false">
      <c r="A2954" s="3" t="n">
        <v>2020</v>
      </c>
      <c r="B2954" s="3" t="n">
        <v>1</v>
      </c>
      <c r="C2954" s="3" t="n">
        <v>31</v>
      </c>
      <c r="D2954" s="3" t="s">
        <v>2958</v>
      </c>
      <c r="E2954" s="4" t="n">
        <v>2</v>
      </c>
    </row>
    <row r="2955" customFormat="false" ht="15" hidden="false" customHeight="false" outlineLevel="0" collapsed="false">
      <c r="A2955" s="3" t="n">
        <v>2020</v>
      </c>
      <c r="B2955" s="3" t="n">
        <v>2</v>
      </c>
      <c r="C2955" s="3" t="n">
        <v>1</v>
      </c>
      <c r="D2955" s="3" t="s">
        <v>2959</v>
      </c>
      <c r="E2955" s="4" t="n">
        <v>0</v>
      </c>
    </row>
    <row r="2956" customFormat="false" ht="15" hidden="false" customHeight="false" outlineLevel="0" collapsed="false">
      <c r="A2956" s="3" t="n">
        <v>2020</v>
      </c>
      <c r="B2956" s="3" t="n">
        <v>2</v>
      </c>
      <c r="C2956" s="3" t="n">
        <v>2</v>
      </c>
      <c r="D2956" s="3" t="s">
        <v>2960</v>
      </c>
      <c r="E2956" s="4" t="n">
        <v>0</v>
      </c>
    </row>
    <row r="2957" customFormat="false" ht="15" hidden="false" customHeight="false" outlineLevel="0" collapsed="false">
      <c r="A2957" s="3" t="n">
        <v>2020</v>
      </c>
      <c r="B2957" s="3" t="n">
        <v>2</v>
      </c>
      <c r="C2957" s="3" t="n">
        <v>3</v>
      </c>
      <c r="D2957" s="3" t="s">
        <v>2961</v>
      </c>
      <c r="E2957" s="4" t="n">
        <v>0</v>
      </c>
    </row>
    <row r="2958" customFormat="false" ht="15" hidden="false" customHeight="false" outlineLevel="0" collapsed="false">
      <c r="A2958" s="3" t="n">
        <v>2020</v>
      </c>
      <c r="B2958" s="3" t="n">
        <v>2</v>
      </c>
      <c r="C2958" s="3" t="n">
        <v>4</v>
      </c>
      <c r="D2958" s="3" t="s">
        <v>2962</v>
      </c>
      <c r="E2958" s="4" t="n">
        <v>0</v>
      </c>
    </row>
    <row r="2959" customFormat="false" ht="15" hidden="false" customHeight="false" outlineLevel="0" collapsed="false">
      <c r="A2959" s="3" t="n">
        <v>2020</v>
      </c>
      <c r="B2959" s="3" t="n">
        <v>2</v>
      </c>
      <c r="C2959" s="3" t="n">
        <v>5</v>
      </c>
      <c r="D2959" s="3" t="s">
        <v>2963</v>
      </c>
      <c r="E2959" s="4" t="n">
        <v>27</v>
      </c>
    </row>
    <row r="2960" customFormat="false" ht="15" hidden="false" customHeight="false" outlineLevel="0" collapsed="false">
      <c r="A2960" s="3" t="n">
        <v>2020</v>
      </c>
      <c r="B2960" s="3" t="n">
        <v>2</v>
      </c>
      <c r="C2960" s="3" t="n">
        <v>6</v>
      </c>
      <c r="D2960" s="3" t="s">
        <v>2964</v>
      </c>
      <c r="E2960" s="4" t="n">
        <v>31</v>
      </c>
    </row>
    <row r="2961" customFormat="false" ht="15" hidden="false" customHeight="false" outlineLevel="0" collapsed="false">
      <c r="A2961" s="3" t="n">
        <v>2020</v>
      </c>
      <c r="B2961" s="3" t="n">
        <v>2</v>
      </c>
      <c r="C2961" s="3" t="n">
        <v>7</v>
      </c>
      <c r="D2961" s="3" t="s">
        <v>2965</v>
      </c>
      <c r="E2961" s="4" t="n">
        <v>6</v>
      </c>
    </row>
    <row r="2962" customFormat="false" ht="15" hidden="false" customHeight="false" outlineLevel="0" collapsed="false">
      <c r="A2962" s="3" t="n">
        <v>2020</v>
      </c>
      <c r="B2962" s="3" t="n">
        <v>2</v>
      </c>
      <c r="C2962" s="3" t="n">
        <v>8</v>
      </c>
      <c r="D2962" s="3" t="s">
        <v>2966</v>
      </c>
      <c r="E2962" s="4" t="n">
        <v>27</v>
      </c>
    </row>
    <row r="2963" customFormat="false" ht="15" hidden="false" customHeight="false" outlineLevel="0" collapsed="false">
      <c r="A2963" s="3" t="n">
        <v>2020</v>
      </c>
      <c r="B2963" s="3" t="n">
        <v>2</v>
      </c>
      <c r="C2963" s="3" t="n">
        <v>9</v>
      </c>
      <c r="D2963" s="3" t="s">
        <v>2967</v>
      </c>
      <c r="E2963" s="4" t="n">
        <v>1</v>
      </c>
    </row>
    <row r="2964" customFormat="false" ht="15" hidden="false" customHeight="false" outlineLevel="0" collapsed="false">
      <c r="A2964" s="3" t="n">
        <v>2020</v>
      </c>
      <c r="B2964" s="3" t="n">
        <v>2</v>
      </c>
      <c r="C2964" s="3" t="n">
        <v>10</v>
      </c>
      <c r="D2964" s="3" t="s">
        <v>2968</v>
      </c>
      <c r="E2964" s="4" t="n">
        <v>0</v>
      </c>
    </row>
    <row r="2965" customFormat="false" ht="15" hidden="false" customHeight="false" outlineLevel="0" collapsed="false">
      <c r="A2965" s="3" t="n">
        <v>2020</v>
      </c>
      <c r="B2965" s="3" t="n">
        <v>2</v>
      </c>
      <c r="C2965" s="3" t="n">
        <v>11</v>
      </c>
      <c r="D2965" s="3" t="s">
        <v>2969</v>
      </c>
      <c r="E2965" s="4" t="n">
        <v>0</v>
      </c>
    </row>
    <row r="2966" customFormat="false" ht="15" hidden="false" customHeight="false" outlineLevel="0" collapsed="false">
      <c r="A2966" s="3" t="n">
        <v>2020</v>
      </c>
      <c r="B2966" s="3" t="n">
        <v>2</v>
      </c>
      <c r="C2966" s="3" t="n">
        <v>12</v>
      </c>
      <c r="D2966" s="3" t="s">
        <v>2970</v>
      </c>
      <c r="E2966" s="4" t="n">
        <v>0</v>
      </c>
    </row>
    <row r="2967" customFormat="false" ht="15" hidden="false" customHeight="false" outlineLevel="0" collapsed="false">
      <c r="A2967" s="3" t="n">
        <v>2020</v>
      </c>
      <c r="B2967" s="3" t="n">
        <v>2</v>
      </c>
      <c r="C2967" s="3" t="n">
        <v>13</v>
      </c>
      <c r="D2967" s="3" t="s">
        <v>2971</v>
      </c>
      <c r="E2967" s="4" t="n">
        <v>0</v>
      </c>
    </row>
    <row r="2968" customFormat="false" ht="15" hidden="false" customHeight="false" outlineLevel="0" collapsed="false">
      <c r="A2968" s="3" t="n">
        <v>2020</v>
      </c>
      <c r="B2968" s="3" t="n">
        <v>2</v>
      </c>
      <c r="C2968" s="3" t="n">
        <v>14</v>
      </c>
      <c r="D2968" s="3" t="s">
        <v>2972</v>
      </c>
      <c r="E2968" s="4" t="n">
        <v>8</v>
      </c>
    </row>
    <row r="2969" customFormat="false" ht="15" hidden="false" customHeight="false" outlineLevel="0" collapsed="false">
      <c r="A2969" s="3" t="n">
        <v>2020</v>
      </c>
      <c r="B2969" s="3" t="n">
        <v>2</v>
      </c>
      <c r="C2969" s="3" t="n">
        <v>15</v>
      </c>
      <c r="D2969" s="3" t="s">
        <v>2973</v>
      </c>
      <c r="E2969" s="4" t="n">
        <v>31</v>
      </c>
    </row>
    <row r="2970" customFormat="false" ht="15" hidden="false" customHeight="false" outlineLevel="0" collapsed="false">
      <c r="A2970" s="3" t="n">
        <v>2020</v>
      </c>
      <c r="B2970" s="3" t="n">
        <v>2</v>
      </c>
      <c r="C2970" s="3" t="n">
        <v>16</v>
      </c>
      <c r="D2970" s="3" t="s">
        <v>2974</v>
      </c>
      <c r="E2970" s="4" t="n">
        <v>77</v>
      </c>
    </row>
    <row r="2971" customFormat="false" ht="15" hidden="false" customHeight="false" outlineLevel="0" collapsed="false">
      <c r="A2971" s="3" t="n">
        <v>2020</v>
      </c>
      <c r="B2971" s="3" t="n">
        <v>2</v>
      </c>
      <c r="C2971" s="3" t="n">
        <v>17</v>
      </c>
      <c r="D2971" s="3" t="s">
        <v>2975</v>
      </c>
      <c r="E2971" s="4" t="n">
        <v>0</v>
      </c>
    </row>
    <row r="2972" customFormat="false" ht="15" hidden="false" customHeight="false" outlineLevel="0" collapsed="false">
      <c r="A2972" s="3" t="n">
        <v>2020</v>
      </c>
      <c r="B2972" s="3" t="n">
        <v>2</v>
      </c>
      <c r="C2972" s="3" t="n">
        <v>18</v>
      </c>
      <c r="D2972" s="3" t="s">
        <v>2976</v>
      </c>
      <c r="E2972" s="4" t="n">
        <v>0</v>
      </c>
    </row>
    <row r="2973" customFormat="false" ht="15" hidden="false" customHeight="false" outlineLevel="0" collapsed="false">
      <c r="A2973" s="3" t="n">
        <v>2020</v>
      </c>
      <c r="B2973" s="3" t="n">
        <v>2</v>
      </c>
      <c r="C2973" s="3" t="n">
        <v>19</v>
      </c>
      <c r="D2973" s="3" t="s">
        <v>2977</v>
      </c>
      <c r="E2973" s="4" t="n">
        <v>0</v>
      </c>
    </row>
    <row r="2974" customFormat="false" ht="15" hidden="false" customHeight="false" outlineLevel="0" collapsed="false">
      <c r="A2974" s="3" t="n">
        <v>2020</v>
      </c>
      <c r="B2974" s="3" t="n">
        <v>2</v>
      </c>
      <c r="C2974" s="3" t="n">
        <v>20</v>
      </c>
      <c r="D2974" s="3" t="s">
        <v>2978</v>
      </c>
      <c r="E2974" s="4" t="n">
        <v>0</v>
      </c>
    </row>
    <row r="2975" customFormat="false" ht="15" hidden="false" customHeight="false" outlineLevel="0" collapsed="false">
      <c r="A2975" s="3" t="n">
        <v>2020</v>
      </c>
      <c r="B2975" s="3" t="n">
        <v>2</v>
      </c>
      <c r="C2975" s="3" t="n">
        <v>21</v>
      </c>
      <c r="D2975" s="3" t="s">
        <v>2979</v>
      </c>
      <c r="E2975" s="4" t="n">
        <v>27</v>
      </c>
    </row>
    <row r="2976" customFormat="false" ht="15" hidden="false" customHeight="false" outlineLevel="0" collapsed="false">
      <c r="A2976" s="3" t="n">
        <v>2020</v>
      </c>
      <c r="B2976" s="3" t="n">
        <v>2</v>
      </c>
      <c r="C2976" s="3" t="n">
        <v>22</v>
      </c>
      <c r="D2976" s="3" t="s">
        <v>2980</v>
      </c>
      <c r="E2976" s="4" t="n">
        <v>9</v>
      </c>
    </row>
    <row r="2977" customFormat="false" ht="15" hidden="false" customHeight="false" outlineLevel="0" collapsed="false">
      <c r="A2977" s="3" t="n">
        <v>2020</v>
      </c>
      <c r="B2977" s="3" t="n">
        <v>2</v>
      </c>
      <c r="C2977" s="3" t="n">
        <v>23</v>
      </c>
      <c r="D2977" s="3" t="s">
        <v>2981</v>
      </c>
      <c r="E2977" s="4" t="n">
        <v>1</v>
      </c>
    </row>
    <row r="2978" customFormat="false" ht="15" hidden="false" customHeight="false" outlineLevel="0" collapsed="false">
      <c r="A2978" s="3" t="n">
        <v>2020</v>
      </c>
      <c r="B2978" s="3" t="n">
        <v>2</v>
      </c>
      <c r="C2978" s="3" t="n">
        <v>24</v>
      </c>
      <c r="D2978" s="3" t="s">
        <v>2982</v>
      </c>
      <c r="E2978" s="4" t="n">
        <v>6</v>
      </c>
    </row>
    <row r="2979" customFormat="false" ht="15" hidden="false" customHeight="false" outlineLevel="0" collapsed="false">
      <c r="A2979" s="3" t="n">
        <v>2020</v>
      </c>
      <c r="B2979" s="3" t="n">
        <v>2</v>
      </c>
      <c r="C2979" s="3" t="n">
        <v>25</v>
      </c>
      <c r="D2979" s="3" t="s">
        <v>2983</v>
      </c>
      <c r="E2979" s="4" t="n">
        <v>0</v>
      </c>
    </row>
    <row r="2980" customFormat="false" ht="15" hidden="false" customHeight="false" outlineLevel="0" collapsed="false">
      <c r="A2980" s="3" t="n">
        <v>2020</v>
      </c>
      <c r="B2980" s="3" t="n">
        <v>2</v>
      </c>
      <c r="C2980" s="3" t="n">
        <v>26</v>
      </c>
      <c r="D2980" s="3" t="s">
        <v>2984</v>
      </c>
      <c r="E2980" s="4" t="n">
        <v>27</v>
      </c>
    </row>
    <row r="2981" customFormat="false" ht="15" hidden="false" customHeight="false" outlineLevel="0" collapsed="false">
      <c r="A2981" s="3" t="n">
        <v>2020</v>
      </c>
      <c r="B2981" s="3" t="n">
        <v>2</v>
      </c>
      <c r="C2981" s="3" t="n">
        <v>27</v>
      </c>
      <c r="D2981" s="3" t="s">
        <v>2985</v>
      </c>
      <c r="E2981" s="4" t="n">
        <v>14</v>
      </c>
    </row>
    <row r="2982" customFormat="false" ht="15" hidden="false" customHeight="false" outlineLevel="0" collapsed="false">
      <c r="A2982" s="3" t="n">
        <v>2020</v>
      </c>
      <c r="B2982" s="3" t="n">
        <v>2</v>
      </c>
      <c r="C2982" s="3" t="n">
        <v>28</v>
      </c>
      <c r="D2982" s="3" t="s">
        <v>2986</v>
      </c>
      <c r="E2982" s="4" t="n">
        <v>9</v>
      </c>
    </row>
    <row r="2983" customFormat="false" ht="15" hidden="false" customHeight="false" outlineLevel="0" collapsed="false">
      <c r="A2983" s="3" t="n">
        <v>2020</v>
      </c>
      <c r="B2983" s="3" t="n">
        <v>2</v>
      </c>
      <c r="C2983" s="3" t="n">
        <v>29</v>
      </c>
      <c r="D2983" s="3" t="s">
        <v>2987</v>
      </c>
      <c r="E2983" s="4" t="n">
        <v>4</v>
      </c>
    </row>
    <row r="2984" customFormat="false" ht="15" hidden="false" customHeight="false" outlineLevel="0" collapsed="false">
      <c r="A2984" s="3" t="n">
        <v>2020</v>
      </c>
      <c r="B2984" s="3" t="n">
        <v>3</v>
      </c>
      <c r="C2984" s="3" t="n">
        <v>1</v>
      </c>
      <c r="D2984" s="3" t="s">
        <v>2988</v>
      </c>
      <c r="E2984" s="4" t="n">
        <v>0</v>
      </c>
    </row>
    <row r="2985" customFormat="false" ht="15" hidden="false" customHeight="false" outlineLevel="0" collapsed="false">
      <c r="A2985" s="3" t="n">
        <v>2020</v>
      </c>
      <c r="B2985" s="3" t="n">
        <v>3</v>
      </c>
      <c r="C2985" s="3" t="n">
        <v>2</v>
      </c>
      <c r="D2985" s="3" t="s">
        <v>2989</v>
      </c>
      <c r="E2985" s="4" t="n">
        <v>50</v>
      </c>
    </row>
    <row r="2986" customFormat="false" ht="15" hidden="false" customHeight="false" outlineLevel="0" collapsed="false">
      <c r="A2986" s="3" t="n">
        <v>2020</v>
      </c>
      <c r="B2986" s="3" t="n">
        <v>3</v>
      </c>
      <c r="C2986" s="3" t="n">
        <v>3</v>
      </c>
      <c r="D2986" s="3" t="s">
        <v>2990</v>
      </c>
      <c r="E2986" s="4" t="n">
        <v>1</v>
      </c>
    </row>
    <row r="2987" customFormat="false" ht="15" hidden="false" customHeight="false" outlineLevel="0" collapsed="false">
      <c r="A2987" s="3" t="n">
        <v>2020</v>
      </c>
      <c r="B2987" s="3" t="n">
        <v>3</v>
      </c>
      <c r="C2987" s="3" t="n">
        <v>4</v>
      </c>
      <c r="D2987" s="3" t="s">
        <v>2991</v>
      </c>
      <c r="E2987" s="4" t="n">
        <v>1</v>
      </c>
    </row>
    <row r="2988" customFormat="false" ht="15" hidden="false" customHeight="false" outlineLevel="0" collapsed="false">
      <c r="A2988" s="3" t="n">
        <v>2020</v>
      </c>
      <c r="B2988" s="3" t="n">
        <v>3</v>
      </c>
      <c r="C2988" s="3" t="n">
        <v>5</v>
      </c>
      <c r="D2988" s="3" t="s">
        <v>2992</v>
      </c>
      <c r="E2988" s="4" t="n">
        <v>0</v>
      </c>
    </row>
    <row r="2989" customFormat="false" ht="15" hidden="false" customHeight="false" outlineLevel="0" collapsed="false">
      <c r="A2989" s="3" t="n">
        <v>2020</v>
      </c>
      <c r="B2989" s="3" t="n">
        <v>3</v>
      </c>
      <c r="C2989" s="3" t="n">
        <v>6</v>
      </c>
      <c r="D2989" s="3" t="s">
        <v>2993</v>
      </c>
      <c r="E2989" s="4" t="n">
        <v>0</v>
      </c>
    </row>
    <row r="2990" customFormat="false" ht="15" hidden="false" customHeight="false" outlineLevel="0" collapsed="false">
      <c r="A2990" s="3" t="n">
        <v>2020</v>
      </c>
      <c r="B2990" s="3" t="n">
        <v>3</v>
      </c>
      <c r="C2990" s="3" t="n">
        <v>7</v>
      </c>
      <c r="D2990" s="3" t="s">
        <v>2994</v>
      </c>
      <c r="E2990" s="4" t="n">
        <v>0</v>
      </c>
    </row>
    <row r="2991" customFormat="false" ht="15" hidden="false" customHeight="false" outlineLevel="0" collapsed="false">
      <c r="A2991" s="3" t="n">
        <v>2020</v>
      </c>
      <c r="B2991" s="3" t="n">
        <v>3</v>
      </c>
      <c r="C2991" s="3" t="n">
        <v>8</v>
      </c>
      <c r="D2991" s="3" t="s">
        <v>2995</v>
      </c>
      <c r="E2991" s="4" t="n">
        <v>0</v>
      </c>
    </row>
    <row r="2992" customFormat="false" ht="15" hidden="false" customHeight="false" outlineLevel="0" collapsed="false">
      <c r="A2992" s="3" t="n">
        <v>2020</v>
      </c>
      <c r="B2992" s="3" t="n">
        <v>3</v>
      </c>
      <c r="C2992" s="3" t="n">
        <v>9</v>
      </c>
      <c r="D2992" s="3" t="s">
        <v>2996</v>
      </c>
      <c r="E2992" s="4" t="n">
        <v>0</v>
      </c>
    </row>
    <row r="2993" customFormat="false" ht="15" hidden="false" customHeight="false" outlineLevel="0" collapsed="false">
      <c r="A2993" s="3" t="n">
        <v>2020</v>
      </c>
      <c r="B2993" s="3" t="n">
        <v>3</v>
      </c>
      <c r="C2993" s="3" t="n">
        <v>10</v>
      </c>
      <c r="D2993" s="3" t="s">
        <v>2997</v>
      </c>
      <c r="E2993" s="4" t="n">
        <v>0</v>
      </c>
    </row>
    <row r="2994" customFormat="false" ht="15" hidden="false" customHeight="false" outlineLevel="0" collapsed="false">
      <c r="A2994" s="3" t="n">
        <v>2020</v>
      </c>
      <c r="B2994" s="3" t="n">
        <v>3</v>
      </c>
      <c r="C2994" s="3" t="n">
        <v>11</v>
      </c>
      <c r="D2994" s="3" t="s">
        <v>2998</v>
      </c>
      <c r="E2994" s="4" t="n">
        <v>0</v>
      </c>
    </row>
    <row r="2995" customFormat="false" ht="15" hidden="false" customHeight="false" outlineLevel="0" collapsed="false">
      <c r="A2995" s="3" t="n">
        <v>2020</v>
      </c>
      <c r="B2995" s="3" t="n">
        <v>3</v>
      </c>
      <c r="C2995" s="3" t="n">
        <v>12</v>
      </c>
      <c r="D2995" s="3" t="s">
        <v>2999</v>
      </c>
      <c r="E2995" s="4" t="n">
        <v>0</v>
      </c>
    </row>
    <row r="2996" customFormat="false" ht="15" hidden="false" customHeight="false" outlineLevel="0" collapsed="false">
      <c r="A2996" s="3" t="n">
        <v>2020</v>
      </c>
      <c r="B2996" s="3" t="n">
        <v>3</v>
      </c>
      <c r="C2996" s="3" t="n">
        <v>13</v>
      </c>
      <c r="D2996" s="3" t="s">
        <v>3000</v>
      </c>
      <c r="E2996" s="4" t="n">
        <v>0</v>
      </c>
    </row>
    <row r="2997" customFormat="false" ht="15" hidden="false" customHeight="false" outlineLevel="0" collapsed="false">
      <c r="A2997" s="3" t="n">
        <v>2020</v>
      </c>
      <c r="B2997" s="3" t="n">
        <v>3</v>
      </c>
      <c r="C2997" s="3" t="n">
        <v>14</v>
      </c>
      <c r="D2997" s="3" t="s">
        <v>3001</v>
      </c>
      <c r="E2997" s="4" t="n">
        <v>40</v>
      </c>
    </row>
    <row r="2998" customFormat="false" ht="15" hidden="false" customHeight="false" outlineLevel="0" collapsed="false">
      <c r="A2998" s="3" t="n">
        <v>2020</v>
      </c>
      <c r="B2998" s="3" t="n">
        <v>3</v>
      </c>
      <c r="C2998" s="3" t="n">
        <v>15</v>
      </c>
      <c r="D2998" s="3" t="s">
        <v>3002</v>
      </c>
      <c r="E2998" s="4" t="n">
        <v>0</v>
      </c>
    </row>
    <row r="2999" customFormat="false" ht="15" hidden="false" customHeight="false" outlineLevel="0" collapsed="false">
      <c r="A2999" s="3" t="n">
        <v>2020</v>
      </c>
      <c r="B2999" s="3" t="n">
        <v>3</v>
      </c>
      <c r="C2999" s="3" t="n">
        <v>16</v>
      </c>
      <c r="D2999" s="3" t="s">
        <v>3003</v>
      </c>
      <c r="E2999" s="4" t="n">
        <v>31</v>
      </c>
    </row>
    <row r="3000" customFormat="false" ht="15" hidden="false" customHeight="false" outlineLevel="0" collapsed="false">
      <c r="A3000" s="3" t="n">
        <v>2020</v>
      </c>
      <c r="B3000" s="3" t="n">
        <v>3</v>
      </c>
      <c r="C3000" s="3" t="n">
        <v>17</v>
      </c>
      <c r="D3000" s="3" t="s">
        <v>3004</v>
      </c>
      <c r="E3000" s="4" t="n">
        <v>24</v>
      </c>
    </row>
    <row r="3001" customFormat="false" ht="15" hidden="false" customHeight="false" outlineLevel="0" collapsed="false">
      <c r="A3001" s="3" t="n">
        <v>2020</v>
      </c>
      <c r="B3001" s="3" t="n">
        <v>3</v>
      </c>
      <c r="C3001" s="3" t="n">
        <v>18</v>
      </c>
      <c r="D3001" s="3" t="s">
        <v>3005</v>
      </c>
      <c r="E3001" s="4" t="n">
        <v>0</v>
      </c>
    </row>
    <row r="3002" customFormat="false" ht="15" hidden="false" customHeight="false" outlineLevel="0" collapsed="false">
      <c r="A3002" s="3" t="n">
        <v>2020</v>
      </c>
      <c r="B3002" s="3" t="n">
        <v>3</v>
      </c>
      <c r="C3002" s="3" t="n">
        <v>19</v>
      </c>
      <c r="D3002" s="3" t="s">
        <v>3006</v>
      </c>
      <c r="E3002" s="4" t="n">
        <v>24</v>
      </c>
    </row>
    <row r="3003" customFormat="false" ht="15" hidden="false" customHeight="false" outlineLevel="0" collapsed="false">
      <c r="A3003" s="3" t="n">
        <v>2020</v>
      </c>
      <c r="B3003" s="3" t="n">
        <v>3</v>
      </c>
      <c r="C3003" s="3" t="n">
        <v>20</v>
      </c>
      <c r="D3003" s="3" t="s">
        <v>3007</v>
      </c>
      <c r="E3003" s="4" t="n">
        <v>33</v>
      </c>
    </row>
    <row r="3004" customFormat="false" ht="15" hidden="false" customHeight="false" outlineLevel="0" collapsed="false">
      <c r="A3004" s="3" t="n">
        <v>2020</v>
      </c>
      <c r="B3004" s="3" t="n">
        <v>3</v>
      </c>
      <c r="C3004" s="3" t="n">
        <v>21</v>
      </c>
      <c r="D3004" s="3" t="s">
        <v>3008</v>
      </c>
      <c r="E3004" s="4" t="n">
        <v>15</v>
      </c>
    </row>
    <row r="3005" customFormat="false" ht="15" hidden="false" customHeight="false" outlineLevel="0" collapsed="false">
      <c r="A3005" s="3" t="n">
        <v>2020</v>
      </c>
      <c r="B3005" s="3" t="n">
        <v>3</v>
      </c>
      <c r="C3005" s="3" t="n">
        <v>22</v>
      </c>
      <c r="D3005" s="3" t="s">
        <v>3009</v>
      </c>
      <c r="E3005" s="4" t="n">
        <v>0</v>
      </c>
    </row>
    <row r="3006" customFormat="false" ht="15" hidden="false" customHeight="false" outlineLevel="0" collapsed="false">
      <c r="A3006" s="3" t="n">
        <v>2020</v>
      </c>
      <c r="B3006" s="3" t="n">
        <v>3</v>
      </c>
      <c r="C3006" s="3" t="n">
        <v>23</v>
      </c>
      <c r="D3006" s="3" t="s">
        <v>3010</v>
      </c>
      <c r="E3006" s="4" t="n">
        <v>0</v>
      </c>
    </row>
    <row r="3007" customFormat="false" ht="15" hidden="false" customHeight="false" outlineLevel="0" collapsed="false">
      <c r="A3007" s="3" t="n">
        <v>2020</v>
      </c>
      <c r="B3007" s="3" t="n">
        <v>3</v>
      </c>
      <c r="C3007" s="3" t="n">
        <v>24</v>
      </c>
      <c r="D3007" s="3" t="s">
        <v>3011</v>
      </c>
      <c r="E3007" s="4" t="n">
        <v>0</v>
      </c>
    </row>
    <row r="3008" customFormat="false" ht="15" hidden="false" customHeight="false" outlineLevel="0" collapsed="false">
      <c r="A3008" s="3" t="n">
        <v>2020</v>
      </c>
      <c r="B3008" s="3" t="n">
        <v>3</v>
      </c>
      <c r="C3008" s="3" t="n">
        <v>25</v>
      </c>
      <c r="D3008" s="3" t="s">
        <v>3012</v>
      </c>
      <c r="E3008" s="4" t="n">
        <v>0</v>
      </c>
    </row>
    <row r="3009" customFormat="false" ht="15" hidden="false" customHeight="false" outlineLevel="0" collapsed="false">
      <c r="A3009" s="3" t="n">
        <v>2020</v>
      </c>
      <c r="B3009" s="3" t="n">
        <v>3</v>
      </c>
      <c r="C3009" s="3" t="n">
        <v>26</v>
      </c>
      <c r="D3009" s="3" t="s">
        <v>3013</v>
      </c>
      <c r="E3009" s="4" t="n">
        <v>0</v>
      </c>
    </row>
    <row r="3010" customFormat="false" ht="15" hidden="false" customHeight="false" outlineLevel="0" collapsed="false">
      <c r="A3010" s="3" t="n">
        <v>2020</v>
      </c>
      <c r="B3010" s="3" t="n">
        <v>3</v>
      </c>
      <c r="C3010" s="3" t="n">
        <v>27</v>
      </c>
      <c r="D3010" s="3" t="s">
        <v>3014</v>
      </c>
      <c r="E3010" s="4" t="n">
        <v>0</v>
      </c>
    </row>
    <row r="3011" customFormat="false" ht="15" hidden="false" customHeight="false" outlineLevel="0" collapsed="false">
      <c r="A3011" s="3" t="n">
        <v>2020</v>
      </c>
      <c r="B3011" s="3" t="n">
        <v>3</v>
      </c>
      <c r="C3011" s="3" t="n">
        <v>28</v>
      </c>
      <c r="D3011" s="3" t="s">
        <v>3015</v>
      </c>
      <c r="E3011" s="4" t="n">
        <v>0</v>
      </c>
    </row>
    <row r="3012" customFormat="false" ht="15" hidden="false" customHeight="false" outlineLevel="0" collapsed="false">
      <c r="A3012" s="3" t="n">
        <v>2020</v>
      </c>
      <c r="B3012" s="3" t="n">
        <v>3</v>
      </c>
      <c r="C3012" s="3" t="n">
        <v>29</v>
      </c>
      <c r="D3012" s="3" t="s">
        <v>3016</v>
      </c>
      <c r="E3012" s="4" t="n">
        <v>0</v>
      </c>
    </row>
    <row r="3013" customFormat="false" ht="15" hidden="false" customHeight="false" outlineLevel="0" collapsed="false">
      <c r="A3013" s="3" t="n">
        <v>2020</v>
      </c>
      <c r="B3013" s="3" t="n">
        <v>3</v>
      </c>
      <c r="C3013" s="3" t="n">
        <v>30</v>
      </c>
      <c r="D3013" s="3" t="s">
        <v>3017</v>
      </c>
      <c r="E3013" s="4" t="n">
        <v>0</v>
      </c>
    </row>
    <row r="3014" customFormat="false" ht="15" hidden="false" customHeight="false" outlineLevel="0" collapsed="false">
      <c r="A3014" s="3" t="n">
        <v>2020</v>
      </c>
      <c r="B3014" s="3" t="n">
        <v>3</v>
      </c>
      <c r="C3014" s="3" t="n">
        <v>31</v>
      </c>
      <c r="D3014" s="3" t="s">
        <v>3018</v>
      </c>
      <c r="E3014" s="4" t="n">
        <v>0</v>
      </c>
    </row>
    <row r="3015" customFormat="false" ht="15" hidden="false" customHeight="false" outlineLevel="0" collapsed="false">
      <c r="A3015" s="3" t="n">
        <v>2020</v>
      </c>
      <c r="B3015" s="3" t="n">
        <v>4</v>
      </c>
      <c r="C3015" s="3" t="n">
        <v>1</v>
      </c>
      <c r="D3015" s="3" t="s">
        <v>3019</v>
      </c>
      <c r="E3015" s="4" t="n">
        <v>0</v>
      </c>
    </row>
    <row r="3016" customFormat="false" ht="15" hidden="false" customHeight="false" outlineLevel="0" collapsed="false">
      <c r="A3016" s="3" t="n">
        <v>2020</v>
      </c>
      <c r="B3016" s="3" t="n">
        <v>4</v>
      </c>
      <c r="C3016" s="3" t="n">
        <v>2</v>
      </c>
      <c r="D3016" s="3" t="s">
        <v>3020</v>
      </c>
      <c r="E3016" s="4" t="n">
        <v>0</v>
      </c>
    </row>
    <row r="3017" customFormat="false" ht="15" hidden="false" customHeight="false" outlineLevel="0" collapsed="false">
      <c r="A3017" s="3" t="n">
        <v>2020</v>
      </c>
      <c r="B3017" s="3" t="n">
        <v>4</v>
      </c>
      <c r="C3017" s="3" t="n">
        <v>3</v>
      </c>
      <c r="D3017" s="3" t="s">
        <v>3021</v>
      </c>
      <c r="E3017" s="4" t="n">
        <v>0</v>
      </c>
    </row>
    <row r="3018" customFormat="false" ht="15" hidden="false" customHeight="false" outlineLevel="0" collapsed="false">
      <c r="A3018" s="3" t="n">
        <v>2020</v>
      </c>
      <c r="B3018" s="3" t="n">
        <v>4</v>
      </c>
      <c r="C3018" s="3" t="n">
        <v>4</v>
      </c>
      <c r="D3018" s="3" t="s">
        <v>3022</v>
      </c>
      <c r="E3018" s="4" t="n">
        <v>0</v>
      </c>
    </row>
    <row r="3019" customFormat="false" ht="15" hidden="false" customHeight="false" outlineLevel="0" collapsed="false">
      <c r="A3019" s="3" t="n">
        <v>2020</v>
      </c>
      <c r="B3019" s="3" t="n">
        <v>4</v>
      </c>
      <c r="C3019" s="3" t="n">
        <v>5</v>
      </c>
      <c r="D3019" s="3" t="s">
        <v>3023</v>
      </c>
      <c r="E3019" s="4" t="n">
        <v>2</v>
      </c>
    </row>
    <row r="3020" customFormat="false" ht="15" hidden="false" customHeight="false" outlineLevel="0" collapsed="false">
      <c r="A3020" s="3" t="n">
        <v>2020</v>
      </c>
      <c r="B3020" s="3" t="n">
        <v>4</v>
      </c>
      <c r="C3020" s="3" t="n">
        <v>6</v>
      </c>
      <c r="D3020" s="3" t="s">
        <v>3024</v>
      </c>
      <c r="E3020" s="4" t="n">
        <v>63</v>
      </c>
    </row>
    <row r="3021" customFormat="false" ht="15" hidden="false" customHeight="false" outlineLevel="0" collapsed="false">
      <c r="A3021" s="3" t="n">
        <v>2020</v>
      </c>
      <c r="B3021" s="3" t="n">
        <v>4</v>
      </c>
      <c r="C3021" s="3" t="n">
        <v>7</v>
      </c>
      <c r="D3021" s="3" t="s">
        <v>3025</v>
      </c>
      <c r="E3021" s="4" t="n">
        <v>13</v>
      </c>
    </row>
    <row r="3022" customFormat="false" ht="15" hidden="false" customHeight="false" outlineLevel="0" collapsed="false">
      <c r="A3022" s="3" t="n">
        <v>2020</v>
      </c>
      <c r="B3022" s="3" t="n">
        <v>4</v>
      </c>
      <c r="C3022" s="3" t="n">
        <v>8</v>
      </c>
      <c r="D3022" s="3" t="s">
        <v>3026</v>
      </c>
      <c r="E3022" s="4" t="n">
        <v>0</v>
      </c>
    </row>
    <row r="3023" customFormat="false" ht="15" hidden="false" customHeight="false" outlineLevel="0" collapsed="false">
      <c r="A3023" s="3" t="n">
        <v>2020</v>
      </c>
      <c r="B3023" s="3" t="n">
        <v>4</v>
      </c>
      <c r="C3023" s="3" t="n">
        <v>9</v>
      </c>
      <c r="D3023" s="3" t="s">
        <v>3027</v>
      </c>
      <c r="E3023" s="4" t="n">
        <v>0</v>
      </c>
    </row>
    <row r="3024" customFormat="false" ht="15" hidden="false" customHeight="false" outlineLevel="0" collapsed="false">
      <c r="A3024" s="3" t="n">
        <v>2020</v>
      </c>
      <c r="B3024" s="3" t="n">
        <v>4</v>
      </c>
      <c r="C3024" s="3" t="n">
        <v>10</v>
      </c>
      <c r="D3024" s="3" t="s">
        <v>3028</v>
      </c>
      <c r="E3024" s="4" t="n">
        <v>13</v>
      </c>
    </row>
    <row r="3025" customFormat="false" ht="15" hidden="false" customHeight="false" outlineLevel="0" collapsed="false">
      <c r="A3025" s="3" t="n">
        <v>2020</v>
      </c>
      <c r="B3025" s="3" t="n">
        <v>4</v>
      </c>
      <c r="C3025" s="3" t="n">
        <v>11</v>
      </c>
      <c r="D3025" s="3" t="s">
        <v>3029</v>
      </c>
      <c r="E3025" s="4" t="n">
        <v>3</v>
      </c>
    </row>
    <row r="3026" customFormat="false" ht="15" hidden="false" customHeight="false" outlineLevel="0" collapsed="false">
      <c r="A3026" s="3" t="n">
        <v>2020</v>
      </c>
      <c r="B3026" s="3" t="n">
        <v>4</v>
      </c>
      <c r="C3026" s="3" t="n">
        <v>12</v>
      </c>
      <c r="D3026" s="3" t="s">
        <v>3030</v>
      </c>
      <c r="E3026" s="4" t="n">
        <v>33</v>
      </c>
    </row>
    <row r="3027" customFormat="false" ht="15" hidden="false" customHeight="false" outlineLevel="0" collapsed="false">
      <c r="A3027" s="3" t="n">
        <v>2020</v>
      </c>
      <c r="B3027" s="3" t="n">
        <v>4</v>
      </c>
      <c r="C3027" s="3" t="n">
        <v>13</v>
      </c>
      <c r="D3027" s="3" t="s">
        <v>3031</v>
      </c>
      <c r="E3027" s="4" t="n">
        <v>2</v>
      </c>
    </row>
    <row r="3028" customFormat="false" ht="15" hidden="false" customHeight="false" outlineLevel="0" collapsed="false">
      <c r="A3028" s="3" t="n">
        <v>2020</v>
      </c>
      <c r="B3028" s="3" t="n">
        <v>4</v>
      </c>
      <c r="C3028" s="3" t="n">
        <v>14</v>
      </c>
      <c r="D3028" s="3" t="s">
        <v>3032</v>
      </c>
      <c r="E3028" s="4" t="n">
        <v>0</v>
      </c>
    </row>
    <row r="3029" customFormat="false" ht="15" hidden="false" customHeight="false" outlineLevel="0" collapsed="false">
      <c r="A3029" s="3" t="n">
        <v>2020</v>
      </c>
      <c r="B3029" s="3" t="n">
        <v>4</v>
      </c>
      <c r="C3029" s="3" t="n">
        <v>15</v>
      </c>
      <c r="D3029" s="3" t="s">
        <v>3033</v>
      </c>
      <c r="E3029" s="4" t="n">
        <v>0</v>
      </c>
    </row>
    <row r="3030" customFormat="false" ht="15" hidden="false" customHeight="false" outlineLevel="0" collapsed="false">
      <c r="A3030" s="3" t="n">
        <v>2020</v>
      </c>
      <c r="B3030" s="3" t="n">
        <v>4</v>
      </c>
      <c r="C3030" s="3" t="n">
        <v>16</v>
      </c>
      <c r="D3030" s="3" t="s">
        <v>3034</v>
      </c>
      <c r="E3030" s="4" t="n">
        <v>29</v>
      </c>
    </row>
    <row r="3031" customFormat="false" ht="15" hidden="false" customHeight="false" outlineLevel="0" collapsed="false">
      <c r="A3031" s="3" t="n">
        <v>2020</v>
      </c>
      <c r="B3031" s="3" t="n">
        <v>4</v>
      </c>
      <c r="C3031" s="3" t="n">
        <v>17</v>
      </c>
      <c r="D3031" s="3" t="s">
        <v>3035</v>
      </c>
      <c r="E3031" s="4" t="n">
        <v>40</v>
      </c>
    </row>
    <row r="3032" customFormat="false" ht="15" hidden="false" customHeight="false" outlineLevel="0" collapsed="false">
      <c r="A3032" s="3" t="n">
        <v>2020</v>
      </c>
      <c r="B3032" s="3" t="n">
        <v>4</v>
      </c>
      <c r="C3032" s="3" t="n">
        <v>18</v>
      </c>
      <c r="D3032" s="3" t="s">
        <v>3036</v>
      </c>
      <c r="E3032" s="4" t="n">
        <v>0</v>
      </c>
    </row>
    <row r="3033" customFormat="false" ht="15" hidden="false" customHeight="false" outlineLevel="0" collapsed="false">
      <c r="A3033" s="3" t="n">
        <v>2020</v>
      </c>
      <c r="B3033" s="3" t="n">
        <v>4</v>
      </c>
      <c r="C3033" s="3" t="n">
        <v>19</v>
      </c>
      <c r="D3033" s="3" t="s">
        <v>3037</v>
      </c>
      <c r="E3033" s="4" t="n">
        <v>0</v>
      </c>
    </row>
    <row r="3034" customFormat="false" ht="15" hidden="false" customHeight="false" outlineLevel="0" collapsed="false">
      <c r="A3034" s="3" t="n">
        <v>2020</v>
      </c>
      <c r="B3034" s="3" t="n">
        <v>4</v>
      </c>
      <c r="C3034" s="3" t="n">
        <v>20</v>
      </c>
      <c r="D3034" s="3" t="s">
        <v>3038</v>
      </c>
      <c r="E3034" s="4" t="n">
        <v>0</v>
      </c>
    </row>
    <row r="3035" customFormat="false" ht="15" hidden="false" customHeight="false" outlineLevel="0" collapsed="false">
      <c r="A3035" s="3" t="n">
        <v>2020</v>
      </c>
      <c r="B3035" s="3" t="n">
        <v>4</v>
      </c>
      <c r="C3035" s="3" t="n">
        <v>21</v>
      </c>
      <c r="D3035" s="3" t="s">
        <v>3039</v>
      </c>
      <c r="E3035" s="4" t="n">
        <v>0</v>
      </c>
    </row>
    <row r="3036" customFormat="false" ht="15" hidden="false" customHeight="false" outlineLevel="0" collapsed="false">
      <c r="A3036" s="3" t="n">
        <v>2020</v>
      </c>
      <c r="B3036" s="3" t="n">
        <v>4</v>
      </c>
      <c r="C3036" s="3" t="n">
        <v>22</v>
      </c>
      <c r="D3036" s="3" t="s">
        <v>3040</v>
      </c>
      <c r="E3036" s="4" t="n">
        <v>14</v>
      </c>
    </row>
    <row r="3037" customFormat="false" ht="15" hidden="false" customHeight="false" outlineLevel="0" collapsed="false">
      <c r="A3037" s="3" t="n">
        <v>2020</v>
      </c>
      <c r="B3037" s="3" t="n">
        <v>4</v>
      </c>
      <c r="C3037" s="3" t="n">
        <v>23</v>
      </c>
      <c r="D3037" s="3" t="s">
        <v>3041</v>
      </c>
      <c r="E3037" s="4" t="n">
        <v>0</v>
      </c>
    </row>
    <row r="3038" customFormat="false" ht="15" hidden="false" customHeight="false" outlineLevel="0" collapsed="false">
      <c r="A3038" s="3" t="n">
        <v>2020</v>
      </c>
      <c r="B3038" s="3" t="n">
        <v>4</v>
      </c>
      <c r="C3038" s="3" t="n">
        <v>24</v>
      </c>
      <c r="D3038" s="3" t="s">
        <v>3042</v>
      </c>
      <c r="E3038" s="4" t="n">
        <v>7</v>
      </c>
    </row>
    <row r="3039" customFormat="false" ht="15" hidden="false" customHeight="false" outlineLevel="0" collapsed="false">
      <c r="A3039" s="3" t="n">
        <v>2020</v>
      </c>
      <c r="B3039" s="3" t="n">
        <v>4</v>
      </c>
      <c r="C3039" s="3" t="n">
        <v>25</v>
      </c>
      <c r="D3039" s="3" t="s">
        <v>3043</v>
      </c>
      <c r="E3039" s="4" t="n">
        <v>31</v>
      </c>
    </row>
    <row r="3040" customFormat="false" ht="15" hidden="false" customHeight="false" outlineLevel="0" collapsed="false">
      <c r="A3040" s="3" t="n">
        <v>2020</v>
      </c>
      <c r="B3040" s="3" t="n">
        <v>4</v>
      </c>
      <c r="C3040" s="3" t="n">
        <v>26</v>
      </c>
      <c r="D3040" s="3" t="s">
        <v>3044</v>
      </c>
      <c r="E3040" s="4" t="n">
        <v>0</v>
      </c>
    </row>
    <row r="3041" customFormat="false" ht="15" hidden="false" customHeight="false" outlineLevel="0" collapsed="false">
      <c r="A3041" s="3" t="n">
        <v>2020</v>
      </c>
      <c r="B3041" s="3" t="n">
        <v>4</v>
      </c>
      <c r="C3041" s="3" t="n">
        <v>27</v>
      </c>
      <c r="D3041" s="3" t="s">
        <v>3045</v>
      </c>
      <c r="E3041" s="4" t="n">
        <v>6</v>
      </c>
    </row>
    <row r="3042" customFormat="false" ht="15" hidden="false" customHeight="false" outlineLevel="0" collapsed="false">
      <c r="A3042" s="3" t="n">
        <v>2020</v>
      </c>
      <c r="B3042" s="3" t="n">
        <v>4</v>
      </c>
      <c r="C3042" s="3" t="n">
        <v>28</v>
      </c>
      <c r="D3042" s="3" t="s">
        <v>3046</v>
      </c>
      <c r="E3042" s="4" t="n">
        <v>96</v>
      </c>
    </row>
    <row r="3043" customFormat="false" ht="15" hidden="false" customHeight="false" outlineLevel="0" collapsed="false">
      <c r="A3043" s="3" t="n">
        <v>2020</v>
      </c>
      <c r="B3043" s="3" t="n">
        <v>4</v>
      </c>
      <c r="C3043" s="3" t="n">
        <v>29</v>
      </c>
      <c r="D3043" s="3" t="s">
        <v>3047</v>
      </c>
      <c r="E3043" s="4" t="n">
        <v>1</v>
      </c>
    </row>
    <row r="3044" customFormat="false" ht="15" hidden="false" customHeight="false" outlineLevel="0" collapsed="false">
      <c r="A3044" s="3" t="n">
        <v>2020</v>
      </c>
      <c r="B3044" s="3" t="n">
        <v>4</v>
      </c>
      <c r="C3044" s="3" t="n">
        <v>30</v>
      </c>
      <c r="D3044" s="3" t="s">
        <v>3048</v>
      </c>
      <c r="E3044" s="4" t="n">
        <v>5</v>
      </c>
    </row>
    <row r="3045" customFormat="false" ht="15" hidden="false" customHeight="false" outlineLevel="0" collapsed="false">
      <c r="A3045" s="3" t="n">
        <v>2020</v>
      </c>
      <c r="B3045" s="3" t="n">
        <v>5</v>
      </c>
      <c r="C3045" s="3" t="n">
        <v>1</v>
      </c>
      <c r="D3045" s="3" t="s">
        <v>3049</v>
      </c>
      <c r="E3045" s="4" t="n">
        <v>3</v>
      </c>
    </row>
    <row r="3046" customFormat="false" ht="15" hidden="false" customHeight="false" outlineLevel="0" collapsed="false">
      <c r="A3046" s="3" t="n">
        <v>2020</v>
      </c>
      <c r="B3046" s="3" t="n">
        <v>5</v>
      </c>
      <c r="C3046" s="3" t="n">
        <v>2</v>
      </c>
      <c r="D3046" s="3" t="s">
        <v>3050</v>
      </c>
      <c r="E3046" s="4" t="n">
        <v>20</v>
      </c>
    </row>
    <row r="3047" customFormat="false" ht="15" hidden="false" customHeight="false" outlineLevel="0" collapsed="false">
      <c r="A3047" s="3" t="n">
        <v>2020</v>
      </c>
      <c r="B3047" s="3" t="n">
        <v>5</v>
      </c>
      <c r="C3047" s="3" t="n">
        <v>3</v>
      </c>
      <c r="D3047" s="3" t="s">
        <v>3051</v>
      </c>
      <c r="E3047" s="4" t="n">
        <v>22</v>
      </c>
    </row>
    <row r="3048" customFormat="false" ht="15" hidden="false" customHeight="false" outlineLevel="0" collapsed="false">
      <c r="A3048" s="3" t="n">
        <v>2020</v>
      </c>
      <c r="B3048" s="3" t="n">
        <v>5</v>
      </c>
      <c r="C3048" s="3" t="n">
        <v>4</v>
      </c>
      <c r="D3048" s="3" t="s">
        <v>3052</v>
      </c>
      <c r="E3048" s="4" t="n">
        <v>0</v>
      </c>
    </row>
    <row r="3049" customFormat="false" ht="15" hidden="false" customHeight="false" outlineLevel="0" collapsed="false">
      <c r="A3049" s="3" t="n">
        <v>2020</v>
      </c>
      <c r="B3049" s="3" t="n">
        <v>5</v>
      </c>
      <c r="C3049" s="3" t="n">
        <v>5</v>
      </c>
      <c r="D3049" s="3" t="s">
        <v>3053</v>
      </c>
      <c r="E3049" s="4" t="n">
        <v>0</v>
      </c>
    </row>
    <row r="3050" customFormat="false" ht="15" hidden="false" customHeight="false" outlineLevel="0" collapsed="false">
      <c r="A3050" s="3" t="n">
        <v>2020</v>
      </c>
      <c r="B3050" s="3" t="n">
        <v>5</v>
      </c>
      <c r="C3050" s="3" t="n">
        <v>6</v>
      </c>
      <c r="D3050" s="3" t="s">
        <v>3054</v>
      </c>
      <c r="E3050" s="4" t="n">
        <v>0</v>
      </c>
    </row>
    <row r="3051" customFormat="false" ht="15" hidden="false" customHeight="false" outlineLevel="0" collapsed="false">
      <c r="A3051" s="3" t="n">
        <v>2020</v>
      </c>
      <c r="B3051" s="3" t="n">
        <v>5</v>
      </c>
      <c r="C3051" s="3" t="n">
        <v>7</v>
      </c>
      <c r="D3051" s="3" t="s">
        <v>3055</v>
      </c>
      <c r="E3051" s="4" t="n">
        <v>2</v>
      </c>
    </row>
    <row r="3052" customFormat="false" ht="15" hidden="false" customHeight="false" outlineLevel="0" collapsed="false">
      <c r="A3052" s="3" t="n">
        <v>2020</v>
      </c>
      <c r="B3052" s="3" t="n">
        <v>5</v>
      </c>
      <c r="C3052" s="3" t="n">
        <v>8</v>
      </c>
      <c r="D3052" s="3" t="s">
        <v>3056</v>
      </c>
      <c r="E3052" s="4" t="n">
        <v>0</v>
      </c>
    </row>
    <row r="3053" customFormat="false" ht="15" hidden="false" customHeight="false" outlineLevel="0" collapsed="false">
      <c r="A3053" s="3" t="n">
        <v>2020</v>
      </c>
      <c r="B3053" s="3" t="n">
        <v>5</v>
      </c>
      <c r="C3053" s="3" t="n">
        <v>9</v>
      </c>
      <c r="D3053" s="3" t="s">
        <v>3057</v>
      </c>
      <c r="E3053" s="4" t="n">
        <v>16</v>
      </c>
    </row>
    <row r="3054" customFormat="false" ht="15" hidden="false" customHeight="false" outlineLevel="0" collapsed="false">
      <c r="A3054" s="3" t="n">
        <v>2020</v>
      </c>
      <c r="B3054" s="3" t="n">
        <v>5</v>
      </c>
      <c r="C3054" s="3" t="n">
        <v>10</v>
      </c>
      <c r="D3054" s="3" t="s">
        <v>3058</v>
      </c>
      <c r="E3054" s="4" t="n">
        <v>22</v>
      </c>
    </row>
    <row r="3055" customFormat="false" ht="15" hidden="false" customHeight="false" outlineLevel="0" collapsed="false">
      <c r="A3055" s="3" t="n">
        <v>2020</v>
      </c>
      <c r="B3055" s="3" t="n">
        <v>5</v>
      </c>
      <c r="C3055" s="3" t="n">
        <v>11</v>
      </c>
      <c r="D3055" s="3" t="s">
        <v>3059</v>
      </c>
      <c r="E3055" s="4" t="n">
        <v>0</v>
      </c>
    </row>
    <row r="3056" customFormat="false" ht="15" hidden="false" customHeight="false" outlineLevel="0" collapsed="false">
      <c r="A3056" s="3" t="n">
        <v>2020</v>
      </c>
      <c r="B3056" s="3" t="n">
        <v>5</v>
      </c>
      <c r="C3056" s="3" t="n">
        <v>12</v>
      </c>
      <c r="D3056" s="3" t="s">
        <v>3060</v>
      </c>
      <c r="E3056" s="4" t="n">
        <v>43</v>
      </c>
    </row>
    <row r="3057" customFormat="false" ht="15" hidden="false" customHeight="false" outlineLevel="0" collapsed="false">
      <c r="A3057" s="3" t="n">
        <v>2020</v>
      </c>
      <c r="B3057" s="3" t="n">
        <v>5</v>
      </c>
      <c r="C3057" s="3" t="n">
        <v>13</v>
      </c>
      <c r="D3057" s="3" t="s">
        <v>3061</v>
      </c>
      <c r="E3057" s="4" t="n">
        <v>21</v>
      </c>
    </row>
    <row r="3058" customFormat="false" ht="15" hidden="false" customHeight="false" outlineLevel="0" collapsed="false">
      <c r="A3058" s="3" t="n">
        <v>2020</v>
      </c>
      <c r="B3058" s="3" t="n">
        <v>5</v>
      </c>
      <c r="C3058" s="3" t="n">
        <v>14</v>
      </c>
      <c r="D3058" s="3" t="s">
        <v>3062</v>
      </c>
      <c r="E3058" s="4" t="n">
        <v>11</v>
      </c>
    </row>
    <row r="3059" customFormat="false" ht="15" hidden="false" customHeight="false" outlineLevel="0" collapsed="false">
      <c r="A3059" s="3" t="n">
        <v>2020</v>
      </c>
      <c r="B3059" s="3" t="n">
        <v>5</v>
      </c>
      <c r="C3059" s="3" t="n">
        <v>15</v>
      </c>
      <c r="D3059" s="3" t="s">
        <v>3063</v>
      </c>
      <c r="E3059" s="4" t="n">
        <v>1</v>
      </c>
    </row>
    <row r="3060" customFormat="false" ht="15" hidden="false" customHeight="false" outlineLevel="0" collapsed="false">
      <c r="A3060" s="3" t="n">
        <v>2020</v>
      </c>
      <c r="B3060" s="3" t="n">
        <v>5</v>
      </c>
      <c r="C3060" s="3" t="n">
        <v>16</v>
      </c>
      <c r="D3060" s="3" t="s">
        <v>3064</v>
      </c>
      <c r="E3060" s="4" t="n">
        <v>0</v>
      </c>
    </row>
    <row r="3061" customFormat="false" ht="15" hidden="false" customHeight="false" outlineLevel="0" collapsed="false">
      <c r="A3061" s="3" t="n">
        <v>2020</v>
      </c>
      <c r="B3061" s="3" t="n">
        <v>5</v>
      </c>
      <c r="C3061" s="3" t="n">
        <v>17</v>
      </c>
      <c r="D3061" s="3" t="s">
        <v>3065</v>
      </c>
      <c r="E3061" s="4" t="n">
        <v>53</v>
      </c>
    </row>
    <row r="3062" customFormat="false" ht="15" hidden="false" customHeight="false" outlineLevel="0" collapsed="false">
      <c r="A3062" s="3" t="n">
        <v>2020</v>
      </c>
      <c r="B3062" s="3" t="n">
        <v>5</v>
      </c>
      <c r="C3062" s="3" t="n">
        <v>18</v>
      </c>
      <c r="D3062" s="3" t="s">
        <v>3066</v>
      </c>
      <c r="E3062" s="4" t="n">
        <v>0</v>
      </c>
    </row>
    <row r="3063" customFormat="false" ht="15" hidden="false" customHeight="false" outlineLevel="0" collapsed="false">
      <c r="A3063" s="3" t="n">
        <v>2020</v>
      </c>
      <c r="B3063" s="3" t="n">
        <v>5</v>
      </c>
      <c r="C3063" s="3" t="n">
        <v>19</v>
      </c>
      <c r="D3063" s="3" t="s">
        <v>3067</v>
      </c>
      <c r="E3063" s="4" t="n">
        <v>0</v>
      </c>
    </row>
    <row r="3064" customFormat="false" ht="15" hidden="false" customHeight="false" outlineLevel="0" collapsed="false">
      <c r="A3064" s="3" t="n">
        <v>2020</v>
      </c>
      <c r="B3064" s="3" t="n">
        <v>5</v>
      </c>
      <c r="C3064" s="3" t="n">
        <v>20</v>
      </c>
      <c r="D3064" s="3" t="s">
        <v>3068</v>
      </c>
      <c r="E3064" s="4" t="n">
        <v>2</v>
      </c>
    </row>
    <row r="3065" customFormat="false" ht="15" hidden="false" customHeight="false" outlineLevel="0" collapsed="false">
      <c r="A3065" s="3" t="n">
        <v>2020</v>
      </c>
      <c r="B3065" s="3" t="n">
        <v>5</v>
      </c>
      <c r="C3065" s="3" t="n">
        <v>21</v>
      </c>
      <c r="D3065" s="3" t="s">
        <v>3069</v>
      </c>
      <c r="E3065" s="4" t="n">
        <v>0</v>
      </c>
    </row>
    <row r="3066" customFormat="false" ht="15" hidden="false" customHeight="false" outlineLevel="0" collapsed="false">
      <c r="A3066" s="3" t="n">
        <v>2020</v>
      </c>
      <c r="B3066" s="3" t="n">
        <v>5</v>
      </c>
      <c r="C3066" s="3" t="n">
        <v>22</v>
      </c>
      <c r="D3066" s="3" t="s">
        <v>3070</v>
      </c>
      <c r="E3066" s="4" t="n">
        <v>28</v>
      </c>
    </row>
    <row r="3067" customFormat="false" ht="15" hidden="false" customHeight="false" outlineLevel="0" collapsed="false">
      <c r="A3067" s="3" t="n">
        <v>2020</v>
      </c>
      <c r="B3067" s="3" t="n">
        <v>5</v>
      </c>
      <c r="C3067" s="3" t="n">
        <v>23</v>
      </c>
      <c r="D3067" s="3" t="s">
        <v>3071</v>
      </c>
      <c r="E3067" s="4" t="n">
        <v>0</v>
      </c>
    </row>
    <row r="3068" customFormat="false" ht="15" hidden="false" customHeight="false" outlineLevel="0" collapsed="false">
      <c r="A3068" s="3" t="n">
        <v>2020</v>
      </c>
      <c r="B3068" s="3" t="n">
        <v>5</v>
      </c>
      <c r="C3068" s="3" t="n">
        <v>24</v>
      </c>
      <c r="D3068" s="3" t="s">
        <v>3072</v>
      </c>
      <c r="E3068" s="4" t="n">
        <v>0</v>
      </c>
    </row>
    <row r="3069" customFormat="false" ht="15" hidden="false" customHeight="false" outlineLevel="0" collapsed="false">
      <c r="A3069" s="3" t="n">
        <v>2020</v>
      </c>
      <c r="B3069" s="3" t="n">
        <v>5</v>
      </c>
      <c r="C3069" s="3" t="n">
        <v>25</v>
      </c>
      <c r="D3069" s="3" t="s">
        <v>3073</v>
      </c>
      <c r="E3069" s="4" t="n">
        <v>0</v>
      </c>
    </row>
    <row r="3070" customFormat="false" ht="15" hidden="false" customHeight="false" outlineLevel="0" collapsed="false">
      <c r="A3070" s="3" t="n">
        <v>2020</v>
      </c>
      <c r="B3070" s="3" t="n">
        <v>5</v>
      </c>
      <c r="C3070" s="3" t="n">
        <v>26</v>
      </c>
      <c r="D3070" s="3" t="s">
        <v>3074</v>
      </c>
      <c r="E3070" s="4" t="n">
        <v>0</v>
      </c>
    </row>
    <row r="3071" customFormat="false" ht="15" hidden="false" customHeight="false" outlineLevel="0" collapsed="false">
      <c r="A3071" s="3" t="n">
        <v>2020</v>
      </c>
      <c r="B3071" s="3" t="n">
        <v>5</v>
      </c>
      <c r="C3071" s="3" t="n">
        <v>27</v>
      </c>
      <c r="D3071" s="3" t="s">
        <v>3075</v>
      </c>
      <c r="E3071" s="4" t="n">
        <v>3</v>
      </c>
    </row>
    <row r="3072" customFormat="false" ht="15" hidden="false" customHeight="false" outlineLevel="0" collapsed="false">
      <c r="A3072" s="3" t="n">
        <v>2020</v>
      </c>
      <c r="B3072" s="3" t="n">
        <v>5</v>
      </c>
      <c r="C3072" s="3" t="n">
        <v>28</v>
      </c>
      <c r="D3072" s="3" t="s">
        <v>3076</v>
      </c>
      <c r="E3072" s="4" t="n">
        <v>26</v>
      </c>
    </row>
    <row r="3073" customFormat="false" ht="15" hidden="false" customHeight="false" outlineLevel="0" collapsed="false">
      <c r="A3073" s="3" t="n">
        <v>2020</v>
      </c>
      <c r="B3073" s="3" t="n">
        <v>5</v>
      </c>
      <c r="C3073" s="3" t="n">
        <v>29</v>
      </c>
      <c r="D3073" s="3" t="s">
        <v>3077</v>
      </c>
      <c r="E3073" s="4" t="n">
        <v>0</v>
      </c>
    </row>
    <row r="3074" customFormat="false" ht="15" hidden="false" customHeight="false" outlineLevel="0" collapsed="false">
      <c r="A3074" s="3" t="n">
        <v>2020</v>
      </c>
      <c r="B3074" s="3" t="n">
        <v>5</v>
      </c>
      <c r="C3074" s="3" t="n">
        <v>30</v>
      </c>
      <c r="D3074" s="3" t="s">
        <v>3078</v>
      </c>
      <c r="E3074" s="4" t="n">
        <v>8</v>
      </c>
    </row>
    <row r="3075" customFormat="false" ht="15" hidden="false" customHeight="false" outlineLevel="0" collapsed="false">
      <c r="A3075" s="3" t="n">
        <v>2020</v>
      </c>
      <c r="B3075" s="3" t="n">
        <v>5</v>
      </c>
      <c r="C3075" s="3" t="n">
        <v>31</v>
      </c>
      <c r="D3075" s="3" t="s">
        <v>3079</v>
      </c>
      <c r="E3075" s="4" t="n">
        <v>24</v>
      </c>
    </row>
    <row r="3076" customFormat="false" ht="15" hidden="false" customHeight="false" outlineLevel="0" collapsed="false">
      <c r="A3076" s="3" t="n">
        <v>2020</v>
      </c>
      <c r="B3076" s="3" t="n">
        <v>6</v>
      </c>
      <c r="C3076" s="3" t="n">
        <v>1</v>
      </c>
      <c r="D3076" s="3" t="s">
        <v>3080</v>
      </c>
      <c r="E3076" s="4" t="n">
        <v>9</v>
      </c>
    </row>
    <row r="3077" customFormat="false" ht="15" hidden="false" customHeight="false" outlineLevel="0" collapsed="false">
      <c r="A3077" s="3" t="n">
        <v>2020</v>
      </c>
      <c r="B3077" s="3" t="n">
        <v>6</v>
      </c>
      <c r="C3077" s="3" t="n">
        <v>2</v>
      </c>
      <c r="D3077" s="3" t="s">
        <v>3081</v>
      </c>
      <c r="E3077" s="4" t="n">
        <v>5</v>
      </c>
    </row>
    <row r="3078" customFormat="false" ht="15" hidden="false" customHeight="false" outlineLevel="0" collapsed="false">
      <c r="A3078" s="3" t="n">
        <v>2020</v>
      </c>
      <c r="B3078" s="3" t="n">
        <v>6</v>
      </c>
      <c r="C3078" s="3" t="n">
        <v>3</v>
      </c>
      <c r="D3078" s="3" t="s">
        <v>3082</v>
      </c>
      <c r="E3078" s="4" t="n">
        <v>0</v>
      </c>
    </row>
    <row r="3079" customFormat="false" ht="15" hidden="false" customHeight="false" outlineLevel="0" collapsed="false">
      <c r="A3079" s="3" t="n">
        <v>2020</v>
      </c>
      <c r="B3079" s="3" t="n">
        <v>6</v>
      </c>
      <c r="C3079" s="3" t="n">
        <v>4</v>
      </c>
      <c r="D3079" s="3" t="s">
        <v>3083</v>
      </c>
      <c r="E3079" s="4" t="n">
        <v>32</v>
      </c>
    </row>
    <row r="3080" customFormat="false" ht="15" hidden="false" customHeight="false" outlineLevel="0" collapsed="false">
      <c r="A3080" s="3" t="n">
        <v>2020</v>
      </c>
      <c r="B3080" s="3" t="n">
        <v>6</v>
      </c>
      <c r="C3080" s="3" t="n">
        <v>5</v>
      </c>
      <c r="D3080" s="3" t="s">
        <v>3084</v>
      </c>
      <c r="E3080" s="4" t="n">
        <v>0</v>
      </c>
    </row>
    <row r="3081" customFormat="false" ht="15" hidden="false" customHeight="false" outlineLevel="0" collapsed="false">
      <c r="A3081" s="3" t="n">
        <v>2020</v>
      </c>
      <c r="B3081" s="3" t="n">
        <v>6</v>
      </c>
      <c r="C3081" s="3" t="n">
        <v>6</v>
      </c>
      <c r="D3081" s="3" t="s">
        <v>3085</v>
      </c>
      <c r="E3081" s="4" t="n">
        <v>18</v>
      </c>
    </row>
    <row r="3082" customFormat="false" ht="15" hidden="false" customHeight="false" outlineLevel="0" collapsed="false">
      <c r="A3082" s="3" t="n">
        <v>2020</v>
      </c>
      <c r="B3082" s="3" t="n">
        <v>6</v>
      </c>
      <c r="C3082" s="3" t="n">
        <v>7</v>
      </c>
      <c r="D3082" s="3" t="s">
        <v>3086</v>
      </c>
      <c r="E3082" s="4" t="n">
        <v>23</v>
      </c>
    </row>
    <row r="3083" customFormat="false" ht="15" hidden="false" customHeight="false" outlineLevel="0" collapsed="false">
      <c r="A3083" s="3" t="n">
        <v>2020</v>
      </c>
      <c r="B3083" s="3" t="n">
        <v>6</v>
      </c>
      <c r="C3083" s="3" t="n">
        <v>8</v>
      </c>
      <c r="D3083" s="3" t="s">
        <v>3087</v>
      </c>
      <c r="E3083" s="4" t="n">
        <v>0</v>
      </c>
    </row>
    <row r="3084" customFormat="false" ht="15" hidden="false" customHeight="false" outlineLevel="0" collapsed="false">
      <c r="A3084" s="3" t="n">
        <v>2020</v>
      </c>
      <c r="B3084" s="3" t="n">
        <v>6</v>
      </c>
      <c r="C3084" s="3" t="n">
        <v>9</v>
      </c>
      <c r="D3084" s="3" t="s">
        <v>3088</v>
      </c>
      <c r="E3084" s="4" t="n">
        <v>0</v>
      </c>
    </row>
    <row r="3085" customFormat="false" ht="15" hidden="false" customHeight="false" outlineLevel="0" collapsed="false">
      <c r="A3085" s="3" t="n">
        <v>2020</v>
      </c>
      <c r="B3085" s="3" t="n">
        <v>6</v>
      </c>
      <c r="C3085" s="3" t="n">
        <v>10</v>
      </c>
      <c r="D3085" s="3" t="s">
        <v>3089</v>
      </c>
      <c r="E3085" s="4" t="n">
        <v>0</v>
      </c>
    </row>
    <row r="3086" customFormat="false" ht="15" hidden="false" customHeight="false" outlineLevel="0" collapsed="false">
      <c r="A3086" s="3" t="n">
        <v>2020</v>
      </c>
      <c r="B3086" s="3" t="n">
        <v>6</v>
      </c>
      <c r="C3086" s="3" t="n">
        <v>11</v>
      </c>
      <c r="D3086" s="3" t="s">
        <v>3090</v>
      </c>
      <c r="E3086" s="4" t="n">
        <v>0</v>
      </c>
    </row>
    <row r="3087" customFormat="false" ht="15" hidden="false" customHeight="false" outlineLevel="0" collapsed="false">
      <c r="A3087" s="3" t="n">
        <v>2020</v>
      </c>
      <c r="B3087" s="3" t="n">
        <v>6</v>
      </c>
      <c r="C3087" s="3" t="n">
        <v>12</v>
      </c>
      <c r="D3087" s="3" t="s">
        <v>3091</v>
      </c>
      <c r="E3087" s="4" t="n">
        <v>0</v>
      </c>
    </row>
    <row r="3088" customFormat="false" ht="15" hidden="false" customHeight="false" outlineLevel="0" collapsed="false">
      <c r="A3088" s="3" t="n">
        <v>2020</v>
      </c>
      <c r="B3088" s="3" t="n">
        <v>6</v>
      </c>
      <c r="C3088" s="3" t="n">
        <v>13</v>
      </c>
      <c r="D3088" s="3" t="s">
        <v>3092</v>
      </c>
      <c r="E3088" s="4" t="n">
        <v>0</v>
      </c>
    </row>
    <row r="3089" customFormat="false" ht="15" hidden="false" customHeight="false" outlineLevel="0" collapsed="false">
      <c r="A3089" s="3" t="n">
        <v>2020</v>
      </c>
      <c r="B3089" s="3" t="n">
        <v>6</v>
      </c>
      <c r="C3089" s="3" t="n">
        <v>14</v>
      </c>
      <c r="D3089" s="3" t="s">
        <v>3093</v>
      </c>
      <c r="E3089" s="4" t="n">
        <v>43</v>
      </c>
    </row>
    <row r="3090" customFormat="false" ht="15" hidden="false" customHeight="false" outlineLevel="0" collapsed="false">
      <c r="A3090" s="3" t="n">
        <v>2020</v>
      </c>
      <c r="B3090" s="3" t="n">
        <v>6</v>
      </c>
      <c r="C3090" s="3" t="n">
        <v>15</v>
      </c>
      <c r="D3090" s="3" t="s">
        <v>3094</v>
      </c>
      <c r="E3090" s="4" t="n">
        <v>0</v>
      </c>
    </row>
    <row r="3091" customFormat="false" ht="15" hidden="false" customHeight="false" outlineLevel="0" collapsed="false">
      <c r="A3091" s="3" t="n">
        <v>2020</v>
      </c>
      <c r="B3091" s="3" t="n">
        <v>6</v>
      </c>
      <c r="C3091" s="3" t="n">
        <v>16</v>
      </c>
      <c r="D3091" s="3" t="s">
        <v>3095</v>
      </c>
      <c r="E3091" s="4" t="n">
        <v>54</v>
      </c>
    </row>
    <row r="3092" customFormat="false" ht="15" hidden="false" customHeight="false" outlineLevel="0" collapsed="false">
      <c r="A3092" s="3" t="n">
        <v>2020</v>
      </c>
      <c r="B3092" s="3" t="n">
        <v>6</v>
      </c>
      <c r="C3092" s="3" t="n">
        <v>17</v>
      </c>
      <c r="D3092" s="3" t="s">
        <v>3096</v>
      </c>
      <c r="E3092" s="4" t="n">
        <v>0</v>
      </c>
    </row>
    <row r="3093" customFormat="false" ht="15" hidden="false" customHeight="false" outlineLevel="0" collapsed="false">
      <c r="A3093" s="3" t="n">
        <v>2020</v>
      </c>
      <c r="B3093" s="3" t="n">
        <v>6</v>
      </c>
      <c r="C3093" s="3" t="n">
        <v>18</v>
      </c>
      <c r="D3093" s="3" t="s">
        <v>3097</v>
      </c>
      <c r="E3093" s="4" t="n">
        <v>54</v>
      </c>
    </row>
    <row r="3094" customFormat="false" ht="15" hidden="false" customHeight="false" outlineLevel="0" collapsed="false">
      <c r="A3094" s="3" t="n">
        <v>2020</v>
      </c>
      <c r="B3094" s="3" t="n">
        <v>6</v>
      </c>
      <c r="C3094" s="3" t="n">
        <v>19</v>
      </c>
      <c r="D3094" s="3" t="s">
        <v>3098</v>
      </c>
      <c r="E3094" s="4" t="n">
        <v>37</v>
      </c>
    </row>
    <row r="3095" customFormat="false" ht="15" hidden="false" customHeight="false" outlineLevel="0" collapsed="false">
      <c r="A3095" s="3" t="n">
        <v>2020</v>
      </c>
      <c r="B3095" s="3" t="n">
        <v>6</v>
      </c>
      <c r="C3095" s="3" t="n">
        <v>20</v>
      </c>
      <c r="D3095" s="3" t="s">
        <v>3099</v>
      </c>
      <c r="E3095" s="4" t="n">
        <v>0</v>
      </c>
    </row>
    <row r="3096" customFormat="false" ht="15" hidden="false" customHeight="false" outlineLevel="0" collapsed="false">
      <c r="A3096" s="3" t="n">
        <v>2020</v>
      </c>
      <c r="B3096" s="3" t="n">
        <v>6</v>
      </c>
      <c r="C3096" s="3" t="n">
        <v>21</v>
      </c>
      <c r="D3096" s="3" t="s">
        <v>3100</v>
      </c>
      <c r="E3096" s="4" t="n">
        <v>9</v>
      </c>
    </row>
    <row r="3097" customFormat="false" ht="15" hidden="false" customHeight="false" outlineLevel="0" collapsed="false">
      <c r="A3097" s="3" t="n">
        <v>2020</v>
      </c>
      <c r="B3097" s="3" t="n">
        <v>6</v>
      </c>
      <c r="C3097" s="3" t="n">
        <v>22</v>
      </c>
      <c r="D3097" s="3" t="s">
        <v>3101</v>
      </c>
      <c r="E3097" s="4" t="n">
        <v>63</v>
      </c>
    </row>
    <row r="3098" customFormat="false" ht="15" hidden="false" customHeight="false" outlineLevel="0" collapsed="false">
      <c r="A3098" s="3" t="n">
        <v>2020</v>
      </c>
      <c r="B3098" s="3" t="n">
        <v>6</v>
      </c>
      <c r="C3098" s="3" t="n">
        <v>23</v>
      </c>
      <c r="D3098" s="3" t="s">
        <v>3102</v>
      </c>
      <c r="E3098" s="4" t="n">
        <v>27</v>
      </c>
    </row>
    <row r="3099" customFormat="false" ht="15" hidden="false" customHeight="false" outlineLevel="0" collapsed="false">
      <c r="A3099" s="3" t="n">
        <v>2020</v>
      </c>
      <c r="B3099" s="3" t="n">
        <v>6</v>
      </c>
      <c r="C3099" s="3" t="n">
        <v>24</v>
      </c>
      <c r="D3099" s="3" t="s">
        <v>3103</v>
      </c>
      <c r="E3099" s="4" t="n">
        <v>8</v>
      </c>
    </row>
    <row r="3100" customFormat="false" ht="15" hidden="false" customHeight="false" outlineLevel="0" collapsed="false">
      <c r="A3100" s="3" t="n">
        <v>2020</v>
      </c>
      <c r="B3100" s="3" t="n">
        <v>6</v>
      </c>
      <c r="C3100" s="3" t="n">
        <v>25</v>
      </c>
      <c r="D3100" s="3" t="s">
        <v>3104</v>
      </c>
      <c r="E3100" s="4" t="n">
        <v>0</v>
      </c>
    </row>
    <row r="3101" customFormat="false" ht="15" hidden="false" customHeight="false" outlineLevel="0" collapsed="false">
      <c r="A3101" s="3" t="n">
        <v>2020</v>
      </c>
      <c r="B3101" s="3" t="n">
        <v>6</v>
      </c>
      <c r="C3101" s="3" t="n">
        <v>26</v>
      </c>
      <c r="D3101" s="3" t="s">
        <v>3105</v>
      </c>
      <c r="E3101" s="4" t="n">
        <v>0</v>
      </c>
    </row>
    <row r="3102" customFormat="false" ht="15" hidden="false" customHeight="false" outlineLevel="0" collapsed="false">
      <c r="A3102" s="3" t="n">
        <v>2020</v>
      </c>
      <c r="B3102" s="3" t="n">
        <v>6</v>
      </c>
      <c r="C3102" s="3" t="n">
        <v>27</v>
      </c>
      <c r="D3102" s="3" t="s">
        <v>3106</v>
      </c>
      <c r="E3102" s="4" t="n">
        <v>6</v>
      </c>
    </row>
    <row r="3103" customFormat="false" ht="15" hidden="false" customHeight="false" outlineLevel="0" collapsed="false">
      <c r="A3103" s="3" t="n">
        <v>2020</v>
      </c>
      <c r="B3103" s="3" t="n">
        <v>6</v>
      </c>
      <c r="C3103" s="3" t="n">
        <v>28</v>
      </c>
      <c r="D3103" s="3" t="s">
        <v>3107</v>
      </c>
      <c r="E3103" s="4" t="n">
        <v>0</v>
      </c>
    </row>
    <row r="3104" customFormat="false" ht="15" hidden="false" customHeight="false" outlineLevel="0" collapsed="false">
      <c r="A3104" s="3" t="n">
        <v>2020</v>
      </c>
      <c r="B3104" s="3" t="n">
        <v>6</v>
      </c>
      <c r="C3104" s="3" t="n">
        <v>29</v>
      </c>
      <c r="D3104" s="3" t="s">
        <v>3108</v>
      </c>
      <c r="E3104" s="4" t="n">
        <v>0</v>
      </c>
    </row>
    <row r="3105" customFormat="false" ht="15" hidden="false" customHeight="false" outlineLevel="0" collapsed="false">
      <c r="A3105" s="3" t="n">
        <v>2020</v>
      </c>
      <c r="B3105" s="3" t="n">
        <v>6</v>
      </c>
      <c r="C3105" s="3" t="n">
        <v>30</v>
      </c>
      <c r="D3105" s="3" t="s">
        <v>3109</v>
      </c>
      <c r="E3105" s="4" t="n">
        <v>0</v>
      </c>
    </row>
    <row r="3106" customFormat="false" ht="15" hidden="false" customHeight="false" outlineLevel="0" collapsed="false">
      <c r="A3106" s="3" t="n">
        <v>2020</v>
      </c>
      <c r="B3106" s="3" t="n">
        <v>7</v>
      </c>
      <c r="C3106" s="3" t="n">
        <v>1</v>
      </c>
      <c r="D3106" s="3" t="s">
        <v>3110</v>
      </c>
      <c r="E3106" s="4" t="n">
        <v>0</v>
      </c>
    </row>
    <row r="3107" customFormat="false" ht="15" hidden="false" customHeight="false" outlineLevel="0" collapsed="false">
      <c r="A3107" s="3" t="n">
        <v>2020</v>
      </c>
      <c r="B3107" s="3" t="n">
        <v>7</v>
      </c>
      <c r="C3107" s="3" t="n">
        <v>2</v>
      </c>
      <c r="D3107" s="3" t="s">
        <v>3111</v>
      </c>
      <c r="E3107" s="4" t="n">
        <v>72</v>
      </c>
    </row>
    <row r="3108" customFormat="false" ht="15" hidden="false" customHeight="false" outlineLevel="0" collapsed="false">
      <c r="A3108" s="3" t="n">
        <v>2020</v>
      </c>
      <c r="B3108" s="3" t="n">
        <v>7</v>
      </c>
      <c r="C3108" s="3" t="n">
        <v>3</v>
      </c>
      <c r="D3108" s="3" t="s">
        <v>3112</v>
      </c>
      <c r="E3108" s="4" t="n">
        <v>0</v>
      </c>
    </row>
    <row r="3109" customFormat="false" ht="15" hidden="false" customHeight="false" outlineLevel="0" collapsed="false">
      <c r="A3109" s="3" t="n">
        <v>2020</v>
      </c>
      <c r="B3109" s="3" t="n">
        <v>7</v>
      </c>
      <c r="C3109" s="3" t="n">
        <v>4</v>
      </c>
      <c r="D3109" s="3" t="s">
        <v>3113</v>
      </c>
      <c r="E3109" s="4" t="n">
        <v>0</v>
      </c>
    </row>
    <row r="3110" customFormat="false" ht="15" hidden="false" customHeight="false" outlineLevel="0" collapsed="false">
      <c r="A3110" s="3" t="n">
        <v>2020</v>
      </c>
      <c r="B3110" s="3" t="n">
        <v>7</v>
      </c>
      <c r="C3110" s="3" t="n">
        <v>5</v>
      </c>
      <c r="D3110" s="3" t="s">
        <v>3114</v>
      </c>
      <c r="E3110" s="4" t="n">
        <v>0</v>
      </c>
    </row>
    <row r="3111" customFormat="false" ht="15" hidden="false" customHeight="false" outlineLevel="0" collapsed="false">
      <c r="A3111" s="3" t="n">
        <v>2020</v>
      </c>
      <c r="B3111" s="3" t="n">
        <v>7</v>
      </c>
      <c r="C3111" s="3" t="n">
        <v>6</v>
      </c>
      <c r="D3111" s="3" t="s">
        <v>3115</v>
      </c>
      <c r="E3111" s="4" t="n">
        <v>9</v>
      </c>
    </row>
    <row r="3112" customFormat="false" ht="15" hidden="false" customHeight="false" outlineLevel="0" collapsed="false">
      <c r="A3112" s="3" t="n">
        <v>2020</v>
      </c>
      <c r="B3112" s="3" t="n">
        <v>7</v>
      </c>
      <c r="C3112" s="3" t="n">
        <v>7</v>
      </c>
      <c r="D3112" s="3" t="s">
        <v>3116</v>
      </c>
      <c r="E3112" s="4" t="n">
        <v>0</v>
      </c>
    </row>
    <row r="3113" customFormat="false" ht="15" hidden="false" customHeight="false" outlineLevel="0" collapsed="false">
      <c r="A3113" s="3" t="n">
        <v>2020</v>
      </c>
      <c r="B3113" s="3" t="n">
        <v>7</v>
      </c>
      <c r="C3113" s="3" t="n">
        <v>8</v>
      </c>
      <c r="D3113" s="3" t="s">
        <v>3117</v>
      </c>
      <c r="E3113" s="4" t="n">
        <v>0</v>
      </c>
    </row>
    <row r="3114" customFormat="false" ht="15" hidden="false" customHeight="false" outlineLevel="0" collapsed="false">
      <c r="A3114" s="3" t="n">
        <v>2020</v>
      </c>
      <c r="B3114" s="3" t="n">
        <v>7</v>
      </c>
      <c r="C3114" s="3" t="n">
        <v>9</v>
      </c>
      <c r="D3114" s="3" t="s">
        <v>3118</v>
      </c>
      <c r="E3114" s="4" t="n">
        <v>4</v>
      </c>
    </row>
    <row r="3115" customFormat="false" ht="15" hidden="false" customHeight="false" outlineLevel="0" collapsed="false">
      <c r="A3115" s="3" t="n">
        <v>2020</v>
      </c>
      <c r="B3115" s="3" t="n">
        <v>7</v>
      </c>
      <c r="C3115" s="3" t="n">
        <v>10</v>
      </c>
      <c r="D3115" s="3" t="s">
        <v>3119</v>
      </c>
      <c r="E3115" s="4" t="n">
        <v>29</v>
      </c>
    </row>
    <row r="3116" customFormat="false" ht="15" hidden="false" customHeight="false" outlineLevel="0" collapsed="false">
      <c r="A3116" s="3" t="n">
        <v>2020</v>
      </c>
      <c r="B3116" s="3" t="n">
        <v>7</v>
      </c>
      <c r="C3116" s="3" t="n">
        <v>11</v>
      </c>
      <c r="D3116" s="3" t="s">
        <v>3120</v>
      </c>
      <c r="E3116" s="4" t="n">
        <v>9</v>
      </c>
    </row>
    <row r="3117" customFormat="false" ht="15" hidden="false" customHeight="false" outlineLevel="0" collapsed="false">
      <c r="A3117" s="3" t="n">
        <v>2020</v>
      </c>
      <c r="B3117" s="3" t="n">
        <v>7</v>
      </c>
      <c r="C3117" s="3" t="n">
        <v>12</v>
      </c>
      <c r="D3117" s="3" t="s">
        <v>3121</v>
      </c>
      <c r="E3117" s="4" t="n">
        <v>0</v>
      </c>
    </row>
    <row r="3118" customFormat="false" ht="15" hidden="false" customHeight="false" outlineLevel="0" collapsed="false">
      <c r="A3118" s="3" t="n">
        <v>2020</v>
      </c>
      <c r="B3118" s="3" t="n">
        <v>7</v>
      </c>
      <c r="C3118" s="3" t="n">
        <v>13</v>
      </c>
      <c r="D3118" s="3" t="s">
        <v>3122</v>
      </c>
      <c r="E3118" s="4" t="n">
        <v>53</v>
      </c>
    </row>
    <row r="3119" customFormat="false" ht="15" hidden="false" customHeight="false" outlineLevel="0" collapsed="false">
      <c r="A3119" s="3" t="n">
        <v>2020</v>
      </c>
      <c r="B3119" s="3" t="n">
        <v>7</v>
      </c>
      <c r="C3119" s="3" t="n">
        <v>14</v>
      </c>
      <c r="D3119" s="3" t="s">
        <v>3123</v>
      </c>
      <c r="E3119" s="4" t="n">
        <v>10</v>
      </c>
    </row>
    <row r="3120" customFormat="false" ht="15" hidden="false" customHeight="false" outlineLevel="0" collapsed="false">
      <c r="A3120" s="3" t="n">
        <v>2020</v>
      </c>
      <c r="B3120" s="3" t="n">
        <v>7</v>
      </c>
      <c r="C3120" s="3" t="n">
        <v>15</v>
      </c>
      <c r="D3120" s="3" t="s">
        <v>3124</v>
      </c>
      <c r="E3120" s="4" t="n">
        <v>220</v>
      </c>
    </row>
    <row r="3121" customFormat="false" ht="15" hidden="false" customHeight="false" outlineLevel="0" collapsed="false">
      <c r="A3121" s="3" t="n">
        <v>2020</v>
      </c>
      <c r="B3121" s="3" t="n">
        <v>7</v>
      </c>
      <c r="C3121" s="3" t="n">
        <v>16</v>
      </c>
      <c r="D3121" s="3" t="s">
        <v>3125</v>
      </c>
      <c r="E3121" s="4" t="n">
        <v>0</v>
      </c>
    </row>
    <row r="3122" customFormat="false" ht="15" hidden="false" customHeight="false" outlineLevel="0" collapsed="false">
      <c r="A3122" s="3" t="n">
        <v>2020</v>
      </c>
      <c r="B3122" s="3" t="n">
        <v>7</v>
      </c>
      <c r="C3122" s="3" t="n">
        <v>17</v>
      </c>
      <c r="D3122" s="3" t="s">
        <v>3126</v>
      </c>
      <c r="E3122" s="4" t="n">
        <v>12</v>
      </c>
    </row>
    <row r="3123" customFormat="false" ht="15" hidden="false" customHeight="false" outlineLevel="0" collapsed="false">
      <c r="A3123" s="3" t="n">
        <v>2020</v>
      </c>
      <c r="B3123" s="3" t="n">
        <v>7</v>
      </c>
      <c r="C3123" s="3" t="n">
        <v>18</v>
      </c>
      <c r="D3123" s="3" t="s">
        <v>3127</v>
      </c>
      <c r="E3123" s="4" t="n">
        <v>9</v>
      </c>
    </row>
    <row r="3124" customFormat="false" ht="15" hidden="false" customHeight="false" outlineLevel="0" collapsed="false">
      <c r="A3124" s="3" t="n">
        <v>2020</v>
      </c>
      <c r="B3124" s="3" t="n">
        <v>7</v>
      </c>
      <c r="C3124" s="3" t="n">
        <v>19</v>
      </c>
      <c r="D3124" s="3" t="s">
        <v>3128</v>
      </c>
      <c r="E3124" s="4" t="n">
        <v>0</v>
      </c>
    </row>
    <row r="3125" customFormat="false" ht="15" hidden="false" customHeight="false" outlineLevel="0" collapsed="false">
      <c r="A3125" s="3" t="n">
        <v>2020</v>
      </c>
      <c r="B3125" s="3" t="n">
        <v>7</v>
      </c>
      <c r="C3125" s="3" t="n">
        <v>20</v>
      </c>
      <c r="D3125" s="3" t="s">
        <v>3129</v>
      </c>
      <c r="E3125" s="4" t="n">
        <v>0</v>
      </c>
    </row>
    <row r="3126" customFormat="false" ht="15" hidden="false" customHeight="false" outlineLevel="0" collapsed="false">
      <c r="A3126" s="3" t="n">
        <v>2020</v>
      </c>
      <c r="B3126" s="3" t="n">
        <v>7</v>
      </c>
      <c r="C3126" s="3" t="n">
        <v>21</v>
      </c>
      <c r="D3126" s="3" t="s">
        <v>3130</v>
      </c>
      <c r="E3126" s="4" t="n">
        <v>8</v>
      </c>
    </row>
    <row r="3127" customFormat="false" ht="15" hidden="false" customHeight="false" outlineLevel="0" collapsed="false">
      <c r="A3127" s="3" t="n">
        <v>2020</v>
      </c>
      <c r="B3127" s="3" t="n">
        <v>7</v>
      </c>
      <c r="C3127" s="3" t="n">
        <v>22</v>
      </c>
      <c r="D3127" s="3" t="s">
        <v>3131</v>
      </c>
      <c r="E3127" s="4" t="n">
        <v>0</v>
      </c>
    </row>
    <row r="3128" customFormat="false" ht="15" hidden="false" customHeight="false" outlineLevel="0" collapsed="false">
      <c r="A3128" s="3" t="n">
        <v>2020</v>
      </c>
      <c r="B3128" s="3" t="n">
        <v>7</v>
      </c>
      <c r="C3128" s="3" t="n">
        <v>23</v>
      </c>
      <c r="D3128" s="3" t="s">
        <v>3132</v>
      </c>
      <c r="E3128" s="4" t="n">
        <v>5</v>
      </c>
    </row>
    <row r="3129" customFormat="false" ht="15" hidden="false" customHeight="false" outlineLevel="0" collapsed="false">
      <c r="A3129" s="3" t="n">
        <v>2020</v>
      </c>
      <c r="B3129" s="3" t="n">
        <v>7</v>
      </c>
      <c r="C3129" s="3" t="n">
        <v>24</v>
      </c>
      <c r="D3129" s="3" t="s">
        <v>3133</v>
      </c>
      <c r="E3129" s="4" t="n">
        <v>39</v>
      </c>
    </row>
    <row r="3130" customFormat="false" ht="15" hidden="false" customHeight="false" outlineLevel="0" collapsed="false">
      <c r="A3130" s="3" t="n">
        <v>2020</v>
      </c>
      <c r="B3130" s="3" t="n">
        <v>7</v>
      </c>
      <c r="C3130" s="3" t="n">
        <v>25</v>
      </c>
      <c r="D3130" s="3" t="s">
        <v>3134</v>
      </c>
      <c r="E3130" s="4" t="n">
        <v>5</v>
      </c>
    </row>
    <row r="3131" customFormat="false" ht="15" hidden="false" customHeight="false" outlineLevel="0" collapsed="false">
      <c r="A3131" s="3" t="n">
        <v>2020</v>
      </c>
      <c r="B3131" s="3" t="n">
        <v>7</v>
      </c>
      <c r="C3131" s="3" t="n">
        <v>26</v>
      </c>
      <c r="D3131" s="3" t="s">
        <v>3135</v>
      </c>
      <c r="E3131" s="4" t="n">
        <v>10</v>
      </c>
    </row>
    <row r="3132" customFormat="false" ht="15" hidden="false" customHeight="false" outlineLevel="0" collapsed="false">
      <c r="A3132" s="3" t="n">
        <v>2020</v>
      </c>
      <c r="B3132" s="3" t="n">
        <v>7</v>
      </c>
      <c r="C3132" s="3" t="n">
        <v>27</v>
      </c>
      <c r="D3132" s="3" t="s">
        <v>3136</v>
      </c>
      <c r="E3132" s="4" t="n">
        <v>5</v>
      </c>
    </row>
    <row r="3133" customFormat="false" ht="15" hidden="false" customHeight="false" outlineLevel="0" collapsed="false">
      <c r="A3133" s="3" t="n">
        <v>2020</v>
      </c>
      <c r="B3133" s="3" t="n">
        <v>7</v>
      </c>
      <c r="C3133" s="3" t="n">
        <v>28</v>
      </c>
      <c r="D3133" s="3" t="s">
        <v>3137</v>
      </c>
      <c r="E3133" s="4" t="n">
        <v>8</v>
      </c>
    </row>
    <row r="3134" customFormat="false" ht="15" hidden="false" customHeight="false" outlineLevel="0" collapsed="false">
      <c r="A3134" s="3" t="n">
        <v>2020</v>
      </c>
      <c r="B3134" s="3" t="n">
        <v>7</v>
      </c>
      <c r="C3134" s="3" t="n">
        <v>29</v>
      </c>
      <c r="D3134" s="3" t="s">
        <v>3138</v>
      </c>
      <c r="E3134" s="4" t="n">
        <v>0</v>
      </c>
    </row>
    <row r="3135" customFormat="false" ht="15" hidden="false" customHeight="false" outlineLevel="0" collapsed="false">
      <c r="A3135" s="3" t="n">
        <v>2020</v>
      </c>
      <c r="B3135" s="3" t="n">
        <v>7</v>
      </c>
      <c r="C3135" s="3" t="n">
        <v>30</v>
      </c>
      <c r="D3135" s="3" t="s">
        <v>3139</v>
      </c>
      <c r="E3135" s="4" t="n">
        <v>0</v>
      </c>
    </row>
    <row r="3136" customFormat="false" ht="15" hidden="false" customHeight="false" outlineLevel="0" collapsed="false">
      <c r="A3136" s="3" t="n">
        <v>2020</v>
      </c>
      <c r="B3136" s="3" t="n">
        <v>7</v>
      </c>
      <c r="C3136" s="3" t="n">
        <v>31</v>
      </c>
      <c r="D3136" s="3" t="s">
        <v>3140</v>
      </c>
      <c r="E3136" s="4" t="n">
        <v>0</v>
      </c>
    </row>
    <row r="3137" customFormat="false" ht="15" hidden="false" customHeight="false" outlineLevel="0" collapsed="false">
      <c r="A3137" s="3" t="n">
        <v>2020</v>
      </c>
      <c r="B3137" s="3" t="n">
        <v>8</v>
      </c>
      <c r="C3137" s="3" t="n">
        <v>1</v>
      </c>
      <c r="D3137" s="3" t="s">
        <v>3141</v>
      </c>
      <c r="E3137" s="4" t="n">
        <v>0</v>
      </c>
    </row>
    <row r="3138" customFormat="false" ht="15" hidden="false" customHeight="false" outlineLevel="0" collapsed="false">
      <c r="A3138" s="3" t="n">
        <v>2020</v>
      </c>
      <c r="B3138" s="3" t="n">
        <v>8</v>
      </c>
      <c r="C3138" s="3" t="n">
        <v>2</v>
      </c>
      <c r="D3138" s="3" t="s">
        <v>3142</v>
      </c>
      <c r="E3138" s="4" t="n">
        <v>0</v>
      </c>
    </row>
    <row r="3139" customFormat="false" ht="15" hidden="false" customHeight="false" outlineLevel="0" collapsed="false">
      <c r="A3139" s="3" t="n">
        <v>2020</v>
      </c>
      <c r="B3139" s="3" t="n">
        <v>8</v>
      </c>
      <c r="C3139" s="3" t="n">
        <v>3</v>
      </c>
      <c r="D3139" s="3" t="s">
        <v>3143</v>
      </c>
      <c r="E3139" s="4" t="n">
        <v>2</v>
      </c>
    </row>
    <row r="3140" customFormat="false" ht="15" hidden="false" customHeight="false" outlineLevel="0" collapsed="false">
      <c r="A3140" s="3" t="n">
        <v>2020</v>
      </c>
      <c r="B3140" s="3" t="n">
        <v>8</v>
      </c>
      <c r="C3140" s="3" t="n">
        <v>4</v>
      </c>
      <c r="D3140" s="3" t="s">
        <v>3144</v>
      </c>
      <c r="E3140" s="4" t="n">
        <v>0</v>
      </c>
    </row>
    <row r="3141" customFormat="false" ht="15" hidden="false" customHeight="false" outlineLevel="0" collapsed="false">
      <c r="A3141" s="3" t="n">
        <v>2020</v>
      </c>
      <c r="B3141" s="3" t="n">
        <v>8</v>
      </c>
      <c r="C3141" s="3" t="n">
        <v>5</v>
      </c>
      <c r="D3141" s="3" t="s">
        <v>3145</v>
      </c>
      <c r="E3141" s="4" t="n">
        <v>48</v>
      </c>
    </row>
    <row r="3142" customFormat="false" ht="15" hidden="false" customHeight="false" outlineLevel="0" collapsed="false">
      <c r="A3142" s="3" t="n">
        <v>2020</v>
      </c>
      <c r="B3142" s="3" t="n">
        <v>8</v>
      </c>
      <c r="C3142" s="3" t="n">
        <v>6</v>
      </c>
      <c r="D3142" s="3" t="s">
        <v>3146</v>
      </c>
      <c r="E3142" s="4" t="n">
        <v>0</v>
      </c>
    </row>
    <row r="3143" customFormat="false" ht="15" hidden="false" customHeight="false" outlineLevel="0" collapsed="false">
      <c r="A3143" s="3" t="n">
        <v>2020</v>
      </c>
      <c r="B3143" s="3" t="n">
        <v>8</v>
      </c>
      <c r="C3143" s="3" t="n">
        <v>7</v>
      </c>
      <c r="D3143" s="3" t="s">
        <v>3147</v>
      </c>
      <c r="E3143" s="4" t="n">
        <v>0</v>
      </c>
    </row>
    <row r="3144" customFormat="false" ht="15" hidden="false" customHeight="false" outlineLevel="0" collapsed="false">
      <c r="A3144" s="3" t="n">
        <v>2020</v>
      </c>
      <c r="B3144" s="3" t="n">
        <v>8</v>
      </c>
      <c r="C3144" s="3" t="n">
        <v>8</v>
      </c>
      <c r="D3144" s="3" t="s">
        <v>3148</v>
      </c>
      <c r="E3144" s="4" t="n">
        <v>0</v>
      </c>
    </row>
    <row r="3145" customFormat="false" ht="15" hidden="false" customHeight="false" outlineLevel="0" collapsed="false">
      <c r="A3145" s="3" t="n">
        <v>2020</v>
      </c>
      <c r="B3145" s="3" t="n">
        <v>8</v>
      </c>
      <c r="C3145" s="3" t="n">
        <v>9</v>
      </c>
      <c r="D3145" s="3" t="s">
        <v>3149</v>
      </c>
      <c r="E3145" s="4" t="n">
        <v>0</v>
      </c>
    </row>
    <row r="3146" customFormat="false" ht="15" hidden="false" customHeight="false" outlineLevel="0" collapsed="false">
      <c r="A3146" s="3" t="n">
        <v>2020</v>
      </c>
      <c r="B3146" s="3" t="n">
        <v>8</v>
      </c>
      <c r="C3146" s="3" t="n">
        <v>10</v>
      </c>
      <c r="D3146" s="3" t="s">
        <v>3150</v>
      </c>
      <c r="E3146" s="4" t="n">
        <v>0</v>
      </c>
    </row>
    <row r="3147" customFormat="false" ht="15" hidden="false" customHeight="false" outlineLevel="0" collapsed="false">
      <c r="A3147" s="3" t="n">
        <v>2020</v>
      </c>
      <c r="B3147" s="3" t="n">
        <v>8</v>
      </c>
      <c r="C3147" s="3" t="n">
        <v>11</v>
      </c>
      <c r="D3147" s="3" t="s">
        <v>3151</v>
      </c>
      <c r="E3147" s="4" t="n">
        <v>0</v>
      </c>
    </row>
    <row r="3148" customFormat="false" ht="15" hidden="false" customHeight="false" outlineLevel="0" collapsed="false">
      <c r="A3148" s="3" t="n">
        <v>2020</v>
      </c>
      <c r="B3148" s="3" t="n">
        <v>8</v>
      </c>
      <c r="C3148" s="3" t="n">
        <v>12</v>
      </c>
      <c r="D3148" s="3" t="s">
        <v>3152</v>
      </c>
      <c r="E3148" s="4" t="n">
        <v>0</v>
      </c>
    </row>
    <row r="3149" customFormat="false" ht="15" hidden="false" customHeight="false" outlineLevel="0" collapsed="false">
      <c r="A3149" s="3" t="n">
        <v>2020</v>
      </c>
      <c r="B3149" s="3" t="n">
        <v>8</v>
      </c>
      <c r="C3149" s="3" t="n">
        <v>13</v>
      </c>
      <c r="D3149" s="3" t="s">
        <v>3153</v>
      </c>
      <c r="E3149" s="4" t="n">
        <v>0</v>
      </c>
    </row>
    <row r="3150" customFormat="false" ht="15" hidden="false" customHeight="false" outlineLevel="0" collapsed="false">
      <c r="A3150" s="3" t="n">
        <v>2020</v>
      </c>
      <c r="B3150" s="3" t="n">
        <v>8</v>
      </c>
      <c r="C3150" s="3" t="n">
        <v>14</v>
      </c>
      <c r="D3150" s="3" t="s">
        <v>3154</v>
      </c>
      <c r="E3150" s="4" t="n">
        <v>0</v>
      </c>
    </row>
    <row r="3151" customFormat="false" ht="15" hidden="false" customHeight="false" outlineLevel="0" collapsed="false">
      <c r="A3151" s="3" t="n">
        <v>2020</v>
      </c>
      <c r="B3151" s="3" t="n">
        <v>8</v>
      </c>
      <c r="C3151" s="3" t="n">
        <v>15</v>
      </c>
      <c r="D3151" s="3" t="s">
        <v>3155</v>
      </c>
      <c r="E3151" s="4" t="n">
        <v>50</v>
      </c>
    </row>
    <row r="3152" customFormat="false" ht="15" hidden="false" customHeight="false" outlineLevel="0" collapsed="false">
      <c r="A3152" s="3" t="n">
        <v>2020</v>
      </c>
      <c r="B3152" s="3" t="n">
        <v>8</v>
      </c>
      <c r="C3152" s="3" t="n">
        <v>16</v>
      </c>
      <c r="D3152" s="3" t="s">
        <v>3156</v>
      </c>
      <c r="E3152" s="4" t="n">
        <v>0</v>
      </c>
    </row>
    <row r="3153" customFormat="false" ht="15" hidden="false" customHeight="false" outlineLevel="0" collapsed="false">
      <c r="A3153" s="3" t="n">
        <v>2020</v>
      </c>
      <c r="B3153" s="3" t="n">
        <v>8</v>
      </c>
      <c r="C3153" s="3" t="n">
        <v>17</v>
      </c>
      <c r="D3153" s="3" t="s">
        <v>3157</v>
      </c>
      <c r="E3153" s="4" t="n">
        <v>0</v>
      </c>
    </row>
    <row r="3154" customFormat="false" ht="15" hidden="false" customHeight="false" outlineLevel="0" collapsed="false">
      <c r="A3154" s="3" t="n">
        <v>2020</v>
      </c>
      <c r="B3154" s="3" t="n">
        <v>8</v>
      </c>
      <c r="C3154" s="3" t="n">
        <v>18</v>
      </c>
      <c r="D3154" s="3" t="s">
        <v>3158</v>
      </c>
      <c r="E3154" s="4" t="n">
        <v>42</v>
      </c>
    </row>
    <row r="3155" customFormat="false" ht="15" hidden="false" customHeight="false" outlineLevel="0" collapsed="false">
      <c r="A3155" s="3" t="n">
        <v>2020</v>
      </c>
      <c r="B3155" s="3" t="n">
        <v>8</v>
      </c>
      <c r="C3155" s="3" t="n">
        <v>19</v>
      </c>
      <c r="D3155" s="3" t="s">
        <v>3159</v>
      </c>
      <c r="E3155" s="4" t="n">
        <v>10</v>
      </c>
    </row>
    <row r="3156" customFormat="false" ht="15" hidden="false" customHeight="false" outlineLevel="0" collapsed="false">
      <c r="A3156" s="3" t="n">
        <v>2020</v>
      </c>
      <c r="B3156" s="3" t="n">
        <v>8</v>
      </c>
      <c r="C3156" s="3" t="n">
        <v>20</v>
      </c>
      <c r="D3156" s="3" t="s">
        <v>3160</v>
      </c>
      <c r="E3156" s="4" t="n">
        <v>0</v>
      </c>
    </row>
    <row r="3157" customFormat="false" ht="15" hidden="false" customHeight="false" outlineLevel="0" collapsed="false">
      <c r="A3157" s="3" t="n">
        <v>2020</v>
      </c>
      <c r="B3157" s="3" t="n">
        <v>8</v>
      </c>
      <c r="C3157" s="3" t="n">
        <v>21</v>
      </c>
      <c r="D3157" s="3" t="s">
        <v>3161</v>
      </c>
      <c r="E3157" s="4" t="n">
        <v>0</v>
      </c>
    </row>
    <row r="3158" customFormat="false" ht="15" hidden="false" customHeight="false" outlineLevel="0" collapsed="false">
      <c r="A3158" s="3" t="n">
        <v>2020</v>
      </c>
      <c r="B3158" s="3" t="n">
        <v>8</v>
      </c>
      <c r="C3158" s="3" t="n">
        <v>22</v>
      </c>
      <c r="D3158" s="3" t="s">
        <v>3162</v>
      </c>
      <c r="E3158" s="4" t="n">
        <v>0</v>
      </c>
    </row>
    <row r="3159" customFormat="false" ht="15" hidden="false" customHeight="false" outlineLevel="0" collapsed="false">
      <c r="A3159" s="3" t="n">
        <v>2020</v>
      </c>
      <c r="B3159" s="3" t="n">
        <v>8</v>
      </c>
      <c r="C3159" s="3" t="n">
        <v>23</v>
      </c>
      <c r="D3159" s="3" t="s">
        <v>3163</v>
      </c>
      <c r="E3159" s="4" t="n">
        <v>14</v>
      </c>
    </row>
    <row r="3160" customFormat="false" ht="15" hidden="false" customHeight="false" outlineLevel="0" collapsed="false">
      <c r="A3160" s="3" t="n">
        <v>2020</v>
      </c>
      <c r="B3160" s="3" t="n">
        <v>8</v>
      </c>
      <c r="C3160" s="3" t="n">
        <v>24</v>
      </c>
      <c r="D3160" s="3" t="s">
        <v>3164</v>
      </c>
      <c r="E3160" s="4" t="n">
        <v>0</v>
      </c>
    </row>
    <row r="3161" customFormat="false" ht="15" hidden="false" customHeight="false" outlineLevel="0" collapsed="false">
      <c r="A3161" s="3" t="n">
        <v>2020</v>
      </c>
      <c r="B3161" s="3" t="n">
        <v>8</v>
      </c>
      <c r="C3161" s="3" t="n">
        <v>25</v>
      </c>
      <c r="D3161" s="3" t="s">
        <v>3165</v>
      </c>
      <c r="E3161" s="4" t="n">
        <v>3</v>
      </c>
    </row>
    <row r="3162" customFormat="false" ht="15" hidden="false" customHeight="false" outlineLevel="0" collapsed="false">
      <c r="A3162" s="3" t="n">
        <v>2020</v>
      </c>
      <c r="B3162" s="3" t="n">
        <v>8</v>
      </c>
      <c r="C3162" s="3" t="n">
        <v>26</v>
      </c>
      <c r="D3162" s="3" t="s">
        <v>3166</v>
      </c>
      <c r="E3162" s="4" t="n">
        <v>0</v>
      </c>
    </row>
    <row r="3163" customFormat="false" ht="15" hidden="false" customHeight="false" outlineLevel="0" collapsed="false">
      <c r="A3163" s="3" t="n">
        <v>2020</v>
      </c>
      <c r="B3163" s="3" t="n">
        <v>8</v>
      </c>
      <c r="C3163" s="3" t="n">
        <v>27</v>
      </c>
      <c r="D3163" s="3" t="s">
        <v>3167</v>
      </c>
      <c r="E3163" s="4" t="n">
        <v>16</v>
      </c>
    </row>
    <row r="3164" customFormat="false" ht="15" hidden="false" customHeight="false" outlineLevel="0" collapsed="false">
      <c r="A3164" s="3" t="n">
        <v>2020</v>
      </c>
      <c r="B3164" s="3" t="n">
        <v>8</v>
      </c>
      <c r="C3164" s="3" t="n">
        <v>28</v>
      </c>
      <c r="D3164" s="3" t="s">
        <v>3168</v>
      </c>
      <c r="E3164" s="4" t="n">
        <v>20</v>
      </c>
    </row>
    <row r="3165" customFormat="false" ht="15" hidden="false" customHeight="false" outlineLevel="0" collapsed="false">
      <c r="A3165" s="3" t="n">
        <v>2020</v>
      </c>
      <c r="B3165" s="3" t="n">
        <v>8</v>
      </c>
      <c r="C3165" s="3" t="n">
        <v>29</v>
      </c>
      <c r="D3165" s="3" t="s">
        <v>3169</v>
      </c>
      <c r="E3165" s="4" t="n">
        <v>7</v>
      </c>
    </row>
    <row r="3166" customFormat="false" ht="15" hidden="false" customHeight="false" outlineLevel="0" collapsed="false">
      <c r="A3166" s="3" t="n">
        <v>2020</v>
      </c>
      <c r="B3166" s="3" t="n">
        <v>8</v>
      </c>
      <c r="C3166" s="3" t="n">
        <v>30</v>
      </c>
      <c r="D3166" s="3" t="s">
        <v>3170</v>
      </c>
      <c r="E3166" s="4" t="n">
        <v>0</v>
      </c>
    </row>
    <row r="3167" customFormat="false" ht="15" hidden="false" customHeight="false" outlineLevel="0" collapsed="false">
      <c r="A3167" s="3" t="n">
        <v>2020</v>
      </c>
      <c r="B3167" s="3" t="n">
        <v>8</v>
      </c>
      <c r="C3167" s="3" t="n">
        <v>31</v>
      </c>
      <c r="D3167" s="3" t="s">
        <v>3171</v>
      </c>
      <c r="E3167" s="4" t="n">
        <v>0</v>
      </c>
    </row>
    <row r="3168" customFormat="false" ht="15" hidden="false" customHeight="false" outlineLevel="0" collapsed="false">
      <c r="A3168" s="3" t="n">
        <v>2020</v>
      </c>
      <c r="B3168" s="3" t="n">
        <v>9</v>
      </c>
      <c r="C3168" s="3" t="n">
        <v>1</v>
      </c>
      <c r="D3168" s="3" t="s">
        <v>3172</v>
      </c>
      <c r="E3168" s="4" t="n">
        <v>46</v>
      </c>
    </row>
    <row r="3169" customFormat="false" ht="15" hidden="false" customHeight="false" outlineLevel="0" collapsed="false">
      <c r="A3169" s="3" t="n">
        <v>2020</v>
      </c>
      <c r="B3169" s="3" t="n">
        <v>9</v>
      </c>
      <c r="C3169" s="3" t="n">
        <v>2</v>
      </c>
      <c r="D3169" s="3" t="s">
        <v>3173</v>
      </c>
      <c r="E3169" s="4" t="n">
        <v>98</v>
      </c>
    </row>
    <row r="3170" customFormat="false" ht="15" hidden="false" customHeight="false" outlineLevel="0" collapsed="false">
      <c r="A3170" s="3" t="n">
        <v>2020</v>
      </c>
      <c r="B3170" s="3" t="n">
        <v>9</v>
      </c>
      <c r="C3170" s="3" t="n">
        <v>3</v>
      </c>
      <c r="D3170" s="3" t="s">
        <v>3174</v>
      </c>
      <c r="E3170" s="4" t="n">
        <v>0</v>
      </c>
    </row>
    <row r="3171" customFormat="false" ht="15" hidden="false" customHeight="false" outlineLevel="0" collapsed="false">
      <c r="A3171" s="3" t="n">
        <v>2020</v>
      </c>
      <c r="B3171" s="3" t="n">
        <v>9</v>
      </c>
      <c r="C3171" s="3" t="n">
        <v>4</v>
      </c>
      <c r="D3171" s="3" t="s">
        <v>3175</v>
      </c>
      <c r="E3171" s="4" t="n">
        <v>2</v>
      </c>
    </row>
    <row r="3172" customFormat="false" ht="15" hidden="false" customHeight="false" outlineLevel="0" collapsed="false">
      <c r="A3172" s="3" t="n">
        <v>2020</v>
      </c>
      <c r="B3172" s="3" t="n">
        <v>9</v>
      </c>
      <c r="C3172" s="3" t="n">
        <v>5</v>
      </c>
      <c r="D3172" s="3" t="s">
        <v>3176</v>
      </c>
      <c r="E3172" s="4" t="n">
        <v>15</v>
      </c>
    </row>
    <row r="3173" customFormat="false" ht="15" hidden="false" customHeight="false" outlineLevel="0" collapsed="false">
      <c r="A3173" s="3" t="n">
        <v>2020</v>
      </c>
      <c r="B3173" s="3" t="n">
        <v>9</v>
      </c>
      <c r="C3173" s="3" t="n">
        <v>6</v>
      </c>
      <c r="D3173" s="3" t="s">
        <v>3177</v>
      </c>
      <c r="E3173" s="4" t="n">
        <v>20</v>
      </c>
    </row>
    <row r="3174" customFormat="false" ht="15" hidden="false" customHeight="false" outlineLevel="0" collapsed="false">
      <c r="A3174" s="3" t="n">
        <v>2020</v>
      </c>
      <c r="B3174" s="3" t="n">
        <v>9</v>
      </c>
      <c r="C3174" s="3" t="n">
        <v>7</v>
      </c>
      <c r="D3174" s="3" t="s">
        <v>3178</v>
      </c>
      <c r="E3174" s="4" t="n">
        <v>1</v>
      </c>
    </row>
    <row r="3175" customFormat="false" ht="15" hidden="false" customHeight="false" outlineLevel="0" collapsed="false">
      <c r="A3175" s="3" t="n">
        <v>2020</v>
      </c>
      <c r="B3175" s="3" t="n">
        <v>9</v>
      </c>
      <c r="C3175" s="3" t="n">
        <v>8</v>
      </c>
      <c r="D3175" s="3" t="s">
        <v>3179</v>
      </c>
      <c r="E3175" s="4" t="n">
        <v>0</v>
      </c>
    </row>
    <row r="3176" customFormat="false" ht="15" hidden="false" customHeight="false" outlineLevel="0" collapsed="false">
      <c r="A3176" s="3" t="n">
        <v>2020</v>
      </c>
      <c r="B3176" s="3" t="n">
        <v>9</v>
      </c>
      <c r="C3176" s="3" t="n">
        <v>9</v>
      </c>
      <c r="D3176" s="3" t="s">
        <v>3180</v>
      </c>
      <c r="E3176" s="4" t="n">
        <v>31</v>
      </c>
    </row>
    <row r="3177" customFormat="false" ht="15" hidden="false" customHeight="false" outlineLevel="0" collapsed="false">
      <c r="A3177" s="3" t="n">
        <v>2020</v>
      </c>
      <c r="B3177" s="3" t="n">
        <v>9</v>
      </c>
      <c r="C3177" s="3" t="n">
        <v>10</v>
      </c>
      <c r="D3177" s="3" t="s">
        <v>3181</v>
      </c>
      <c r="E3177" s="4" t="n">
        <v>29</v>
      </c>
    </row>
    <row r="3178" customFormat="false" ht="15" hidden="false" customHeight="false" outlineLevel="0" collapsed="false">
      <c r="A3178" s="3" t="n">
        <v>2020</v>
      </c>
      <c r="B3178" s="3" t="n">
        <v>9</v>
      </c>
      <c r="C3178" s="3" t="n">
        <v>11</v>
      </c>
      <c r="D3178" s="3" t="s">
        <v>3182</v>
      </c>
      <c r="E3178" s="4" t="n">
        <v>0</v>
      </c>
    </row>
    <row r="3179" customFormat="false" ht="15" hidden="false" customHeight="false" outlineLevel="0" collapsed="false">
      <c r="A3179" s="3" t="n">
        <v>2020</v>
      </c>
      <c r="B3179" s="3" t="n">
        <v>9</v>
      </c>
      <c r="C3179" s="3" t="n">
        <v>12</v>
      </c>
      <c r="D3179" s="3" t="s">
        <v>3183</v>
      </c>
      <c r="E3179" s="4" t="n">
        <v>8</v>
      </c>
    </row>
    <row r="3180" customFormat="false" ht="15" hidden="false" customHeight="false" outlineLevel="0" collapsed="false">
      <c r="A3180" s="3" t="n">
        <v>2020</v>
      </c>
      <c r="B3180" s="3" t="n">
        <v>9</v>
      </c>
      <c r="C3180" s="3" t="n">
        <v>13</v>
      </c>
      <c r="D3180" s="3" t="s">
        <v>3184</v>
      </c>
      <c r="E3180" s="4" t="n">
        <v>15</v>
      </c>
    </row>
    <row r="3181" customFormat="false" ht="15" hidden="false" customHeight="false" outlineLevel="0" collapsed="false">
      <c r="A3181" s="3" t="n">
        <v>2020</v>
      </c>
      <c r="B3181" s="3" t="n">
        <v>9</v>
      </c>
      <c r="C3181" s="3" t="n">
        <v>14</v>
      </c>
      <c r="D3181" s="3" t="s">
        <v>3185</v>
      </c>
      <c r="E3181" s="4" t="n">
        <v>33</v>
      </c>
    </row>
    <row r="3182" customFormat="false" ht="15" hidden="false" customHeight="false" outlineLevel="0" collapsed="false">
      <c r="A3182" s="3" t="n">
        <v>2020</v>
      </c>
      <c r="B3182" s="3" t="n">
        <v>9</v>
      </c>
      <c r="C3182" s="3" t="n">
        <v>15</v>
      </c>
      <c r="D3182" s="3" t="s">
        <v>3186</v>
      </c>
      <c r="E3182" s="4" t="n">
        <v>0</v>
      </c>
    </row>
    <row r="3183" customFormat="false" ht="15" hidden="false" customHeight="false" outlineLevel="0" collapsed="false">
      <c r="A3183" s="3" t="n">
        <v>2020</v>
      </c>
      <c r="B3183" s="3" t="n">
        <v>9</v>
      </c>
      <c r="C3183" s="3" t="n">
        <v>16</v>
      </c>
      <c r="D3183" s="3" t="s">
        <v>3187</v>
      </c>
      <c r="E3183" s="4" t="n">
        <v>0</v>
      </c>
    </row>
    <row r="3184" customFormat="false" ht="15" hidden="false" customHeight="false" outlineLevel="0" collapsed="false">
      <c r="A3184" s="3" t="n">
        <v>2020</v>
      </c>
      <c r="B3184" s="3" t="n">
        <v>9</v>
      </c>
      <c r="C3184" s="3" t="n">
        <v>17</v>
      </c>
      <c r="D3184" s="3" t="s">
        <v>3188</v>
      </c>
      <c r="E3184" s="4" t="n">
        <v>0</v>
      </c>
    </row>
    <row r="3185" customFormat="false" ht="15" hidden="false" customHeight="false" outlineLevel="0" collapsed="false">
      <c r="A3185" s="3" t="n">
        <v>2020</v>
      </c>
      <c r="B3185" s="3" t="n">
        <v>9</v>
      </c>
      <c r="C3185" s="3" t="n">
        <v>18</v>
      </c>
      <c r="D3185" s="3" t="s">
        <v>3189</v>
      </c>
      <c r="E3185" s="4" t="n">
        <v>0</v>
      </c>
    </row>
    <row r="3186" customFormat="false" ht="15" hidden="false" customHeight="false" outlineLevel="0" collapsed="false">
      <c r="A3186" s="3" t="n">
        <v>2020</v>
      </c>
      <c r="B3186" s="3" t="n">
        <v>9</v>
      </c>
      <c r="C3186" s="3" t="n">
        <v>19</v>
      </c>
      <c r="D3186" s="3" t="s">
        <v>3190</v>
      </c>
      <c r="E3186" s="4" t="n">
        <v>0</v>
      </c>
    </row>
    <row r="3187" customFormat="false" ht="15" hidden="false" customHeight="false" outlineLevel="0" collapsed="false">
      <c r="A3187" s="3" t="n">
        <v>2020</v>
      </c>
      <c r="B3187" s="3" t="n">
        <v>9</v>
      </c>
      <c r="C3187" s="3" t="n">
        <v>20</v>
      </c>
      <c r="D3187" s="3" t="s">
        <v>3191</v>
      </c>
      <c r="E3187" s="4" t="n">
        <v>0</v>
      </c>
    </row>
    <row r="3188" customFormat="false" ht="15" hidden="false" customHeight="false" outlineLevel="0" collapsed="false">
      <c r="A3188" s="3" t="n">
        <v>2020</v>
      </c>
      <c r="B3188" s="3" t="n">
        <v>9</v>
      </c>
      <c r="C3188" s="3" t="n">
        <v>21</v>
      </c>
      <c r="D3188" s="3" t="s">
        <v>3192</v>
      </c>
      <c r="E3188" s="4" t="n">
        <v>59</v>
      </c>
    </row>
    <row r="3189" customFormat="false" ht="15" hidden="false" customHeight="false" outlineLevel="0" collapsed="false">
      <c r="A3189" s="3" t="n">
        <v>2020</v>
      </c>
      <c r="B3189" s="3" t="n">
        <v>9</v>
      </c>
      <c r="C3189" s="3" t="n">
        <v>22</v>
      </c>
      <c r="D3189" s="3" t="s">
        <v>3193</v>
      </c>
      <c r="E3189" s="4" t="n">
        <v>16</v>
      </c>
    </row>
    <row r="3190" customFormat="false" ht="15" hidden="false" customHeight="false" outlineLevel="0" collapsed="false">
      <c r="A3190" s="3" t="n">
        <v>2020</v>
      </c>
      <c r="B3190" s="3" t="n">
        <v>9</v>
      </c>
      <c r="C3190" s="3" t="n">
        <v>23</v>
      </c>
      <c r="D3190" s="3" t="s">
        <v>3194</v>
      </c>
      <c r="E3190" s="4" t="n">
        <v>0</v>
      </c>
    </row>
    <row r="3191" customFormat="false" ht="15" hidden="false" customHeight="false" outlineLevel="0" collapsed="false">
      <c r="A3191" s="3" t="n">
        <v>2020</v>
      </c>
      <c r="B3191" s="3" t="n">
        <v>9</v>
      </c>
      <c r="C3191" s="3" t="n">
        <v>24</v>
      </c>
      <c r="D3191" s="3" t="s">
        <v>3195</v>
      </c>
      <c r="E3191" s="4" t="n">
        <v>2</v>
      </c>
    </row>
    <row r="3192" customFormat="false" ht="15" hidden="false" customHeight="false" outlineLevel="0" collapsed="false">
      <c r="A3192" s="3" t="n">
        <v>2020</v>
      </c>
      <c r="B3192" s="3" t="n">
        <v>9</v>
      </c>
      <c r="C3192" s="3" t="n">
        <v>25</v>
      </c>
      <c r="D3192" s="3" t="s">
        <v>3196</v>
      </c>
      <c r="E3192" s="4" t="n">
        <v>1</v>
      </c>
    </row>
    <row r="3193" customFormat="false" ht="15" hidden="false" customHeight="false" outlineLevel="0" collapsed="false">
      <c r="A3193" s="3" t="n">
        <v>2020</v>
      </c>
      <c r="B3193" s="3" t="n">
        <v>9</v>
      </c>
      <c r="C3193" s="3" t="n">
        <v>26</v>
      </c>
      <c r="D3193" s="3" t="s">
        <v>3197</v>
      </c>
      <c r="E3193" s="4" t="n">
        <v>0</v>
      </c>
    </row>
    <row r="3194" customFormat="false" ht="15" hidden="false" customHeight="false" outlineLevel="0" collapsed="false">
      <c r="A3194" s="3" t="n">
        <v>2020</v>
      </c>
      <c r="B3194" s="3" t="n">
        <v>9</v>
      </c>
      <c r="C3194" s="3" t="n">
        <v>27</v>
      </c>
      <c r="D3194" s="3" t="s">
        <v>3198</v>
      </c>
      <c r="E3194" s="4" t="n">
        <v>53</v>
      </c>
    </row>
    <row r="3195" customFormat="false" ht="15" hidden="false" customHeight="false" outlineLevel="0" collapsed="false">
      <c r="A3195" s="3" t="n">
        <v>2020</v>
      </c>
      <c r="B3195" s="3" t="n">
        <v>9</v>
      </c>
      <c r="C3195" s="3" t="n">
        <v>28</v>
      </c>
      <c r="D3195" s="3" t="s">
        <v>3199</v>
      </c>
      <c r="E3195" s="4" t="n">
        <v>0</v>
      </c>
    </row>
    <row r="3196" customFormat="false" ht="15" hidden="false" customHeight="false" outlineLevel="0" collapsed="false">
      <c r="A3196" s="3" t="n">
        <v>2020</v>
      </c>
      <c r="B3196" s="3" t="n">
        <v>9</v>
      </c>
      <c r="C3196" s="3" t="n">
        <v>29</v>
      </c>
      <c r="D3196" s="3" t="s">
        <v>3200</v>
      </c>
      <c r="E3196" s="4" t="n">
        <v>0</v>
      </c>
    </row>
    <row r="3197" customFormat="false" ht="15" hidden="false" customHeight="false" outlineLevel="0" collapsed="false">
      <c r="A3197" s="3" t="n">
        <v>2020</v>
      </c>
      <c r="B3197" s="3" t="n">
        <v>9</v>
      </c>
      <c r="C3197" s="3" t="n">
        <v>30</v>
      </c>
      <c r="D3197" s="3" t="s">
        <v>3201</v>
      </c>
      <c r="E3197" s="4" t="n">
        <v>31</v>
      </c>
    </row>
    <row r="3198" customFormat="false" ht="15" hidden="false" customHeight="false" outlineLevel="0" collapsed="false">
      <c r="A3198" s="3" t="n">
        <v>2020</v>
      </c>
      <c r="B3198" s="3" t="n">
        <v>10</v>
      </c>
      <c r="C3198" s="3" t="n">
        <v>1</v>
      </c>
      <c r="D3198" s="3" t="s">
        <v>3202</v>
      </c>
      <c r="E3198" s="4" t="n">
        <v>9</v>
      </c>
    </row>
    <row r="3199" customFormat="false" ht="15" hidden="false" customHeight="false" outlineLevel="0" collapsed="false">
      <c r="A3199" s="3" t="n">
        <v>2020</v>
      </c>
      <c r="B3199" s="3" t="n">
        <v>10</v>
      </c>
      <c r="C3199" s="3" t="n">
        <v>2</v>
      </c>
      <c r="D3199" s="3" t="s">
        <v>3203</v>
      </c>
      <c r="E3199" s="4" t="n">
        <v>51</v>
      </c>
    </row>
    <row r="3200" customFormat="false" ht="15" hidden="false" customHeight="false" outlineLevel="0" collapsed="false">
      <c r="A3200" s="3" t="n">
        <v>2020</v>
      </c>
      <c r="B3200" s="3" t="n">
        <v>10</v>
      </c>
      <c r="C3200" s="3" t="n">
        <v>3</v>
      </c>
      <c r="D3200" s="3" t="s">
        <v>3204</v>
      </c>
      <c r="E3200" s="4" t="n">
        <v>0</v>
      </c>
    </row>
    <row r="3201" customFormat="false" ht="15" hidden="false" customHeight="false" outlineLevel="0" collapsed="false">
      <c r="A3201" s="3" t="n">
        <v>2020</v>
      </c>
      <c r="B3201" s="3" t="n">
        <v>10</v>
      </c>
      <c r="C3201" s="3" t="n">
        <v>4</v>
      </c>
      <c r="D3201" s="3" t="s">
        <v>3205</v>
      </c>
      <c r="E3201" s="4" t="n">
        <v>0</v>
      </c>
    </row>
    <row r="3202" customFormat="false" ht="15" hidden="false" customHeight="false" outlineLevel="0" collapsed="false">
      <c r="A3202" s="3" t="n">
        <v>2020</v>
      </c>
      <c r="B3202" s="3" t="n">
        <v>10</v>
      </c>
      <c r="C3202" s="3" t="n">
        <v>5</v>
      </c>
      <c r="D3202" s="3" t="s">
        <v>3206</v>
      </c>
      <c r="E3202" s="4" t="n">
        <v>0</v>
      </c>
    </row>
    <row r="3203" customFormat="false" ht="15" hidden="false" customHeight="false" outlineLevel="0" collapsed="false">
      <c r="A3203" s="3" t="n">
        <v>2020</v>
      </c>
      <c r="B3203" s="3" t="n">
        <v>10</v>
      </c>
      <c r="C3203" s="3" t="n">
        <v>6</v>
      </c>
      <c r="D3203" s="3" t="s">
        <v>3207</v>
      </c>
      <c r="E3203" s="4" t="n">
        <v>0</v>
      </c>
    </row>
    <row r="3204" customFormat="false" ht="15" hidden="false" customHeight="false" outlineLevel="0" collapsed="false">
      <c r="A3204" s="3" t="n">
        <v>2020</v>
      </c>
      <c r="B3204" s="3" t="n">
        <v>10</v>
      </c>
      <c r="C3204" s="3" t="n">
        <v>7</v>
      </c>
      <c r="D3204" s="3" t="s">
        <v>3208</v>
      </c>
      <c r="E3204" s="4" t="n">
        <v>0</v>
      </c>
    </row>
    <row r="3205" customFormat="false" ht="15" hidden="false" customHeight="false" outlineLevel="0" collapsed="false">
      <c r="A3205" s="3" t="n">
        <v>2020</v>
      </c>
      <c r="B3205" s="3" t="n">
        <v>10</v>
      </c>
      <c r="C3205" s="3" t="n">
        <v>8</v>
      </c>
      <c r="D3205" s="3" t="s">
        <v>3209</v>
      </c>
      <c r="E3205" s="4" t="n">
        <v>0</v>
      </c>
    </row>
    <row r="3206" customFormat="false" ht="15" hidden="false" customHeight="false" outlineLevel="0" collapsed="false">
      <c r="A3206" s="3" t="n">
        <v>2020</v>
      </c>
      <c r="B3206" s="3" t="n">
        <v>10</v>
      </c>
      <c r="C3206" s="3" t="n">
        <v>9</v>
      </c>
      <c r="D3206" s="3" t="s">
        <v>3210</v>
      </c>
      <c r="E3206" s="4" t="n">
        <v>19</v>
      </c>
    </row>
    <row r="3207" customFormat="false" ht="15" hidden="false" customHeight="false" outlineLevel="0" collapsed="false">
      <c r="A3207" s="3" t="n">
        <v>2020</v>
      </c>
      <c r="B3207" s="3" t="n">
        <v>10</v>
      </c>
      <c r="C3207" s="3" t="n">
        <v>10</v>
      </c>
      <c r="D3207" s="3" t="s">
        <v>3211</v>
      </c>
      <c r="E3207" s="4" t="n">
        <v>5</v>
      </c>
    </row>
    <row r="3208" customFormat="false" ht="15" hidden="false" customHeight="false" outlineLevel="0" collapsed="false">
      <c r="A3208" s="3" t="n">
        <v>2020</v>
      </c>
      <c r="B3208" s="3" t="n">
        <v>10</v>
      </c>
      <c r="C3208" s="3" t="n">
        <v>11</v>
      </c>
      <c r="D3208" s="3" t="s">
        <v>3212</v>
      </c>
      <c r="E3208" s="4" t="n">
        <v>57</v>
      </c>
    </row>
    <row r="3209" customFormat="false" ht="15" hidden="false" customHeight="false" outlineLevel="0" collapsed="false">
      <c r="A3209" s="3" t="n">
        <v>2020</v>
      </c>
      <c r="B3209" s="3" t="n">
        <v>10</v>
      </c>
      <c r="C3209" s="3" t="n">
        <v>12</v>
      </c>
      <c r="D3209" s="3" t="s">
        <v>3213</v>
      </c>
      <c r="E3209" s="4" t="n">
        <v>0</v>
      </c>
    </row>
    <row r="3210" customFormat="false" ht="15" hidden="false" customHeight="false" outlineLevel="0" collapsed="false">
      <c r="A3210" s="3" t="n">
        <v>2020</v>
      </c>
      <c r="B3210" s="3" t="n">
        <v>10</v>
      </c>
      <c r="C3210" s="3" t="n">
        <v>13</v>
      </c>
      <c r="D3210" s="3" t="s">
        <v>3214</v>
      </c>
      <c r="E3210" s="4" t="n">
        <v>0</v>
      </c>
    </row>
    <row r="3211" customFormat="false" ht="15" hidden="false" customHeight="false" outlineLevel="0" collapsed="false">
      <c r="A3211" s="3" t="n">
        <v>2020</v>
      </c>
      <c r="B3211" s="3" t="n">
        <v>10</v>
      </c>
      <c r="C3211" s="3" t="n">
        <v>14</v>
      </c>
      <c r="D3211" s="3" t="s">
        <v>3215</v>
      </c>
      <c r="E3211" s="4" t="n">
        <v>0</v>
      </c>
    </row>
    <row r="3212" customFormat="false" ht="15" hidden="false" customHeight="false" outlineLevel="0" collapsed="false">
      <c r="A3212" s="3" t="n">
        <v>2020</v>
      </c>
      <c r="B3212" s="3" t="n">
        <v>10</v>
      </c>
      <c r="C3212" s="3" t="n">
        <v>15</v>
      </c>
      <c r="D3212" s="3" t="s">
        <v>3216</v>
      </c>
      <c r="E3212" s="4" t="n">
        <v>0</v>
      </c>
    </row>
    <row r="3213" customFormat="false" ht="15" hidden="false" customHeight="false" outlineLevel="0" collapsed="false">
      <c r="A3213" s="3" t="n">
        <v>2020</v>
      </c>
      <c r="B3213" s="3" t="n">
        <v>10</v>
      </c>
      <c r="C3213" s="3" t="n">
        <v>16</v>
      </c>
      <c r="D3213" s="3" t="s">
        <v>3217</v>
      </c>
      <c r="E3213" s="4" t="n">
        <v>0</v>
      </c>
    </row>
    <row r="3214" customFormat="false" ht="15" hidden="false" customHeight="false" outlineLevel="0" collapsed="false">
      <c r="A3214" s="3" t="n">
        <v>2020</v>
      </c>
      <c r="B3214" s="3" t="n">
        <v>10</v>
      </c>
      <c r="C3214" s="3" t="n">
        <v>17</v>
      </c>
      <c r="D3214" s="3" t="s">
        <v>3218</v>
      </c>
      <c r="E3214" s="4" t="n">
        <v>0</v>
      </c>
    </row>
    <row r="3215" customFormat="false" ht="15" hidden="false" customHeight="false" outlineLevel="0" collapsed="false">
      <c r="A3215" s="3" t="n">
        <v>2020</v>
      </c>
      <c r="B3215" s="3" t="n">
        <v>10</v>
      </c>
      <c r="C3215" s="3" t="n">
        <v>18</v>
      </c>
      <c r="D3215" s="3" t="s">
        <v>3219</v>
      </c>
      <c r="E3215" s="4" t="n">
        <v>0</v>
      </c>
    </row>
    <row r="3216" customFormat="false" ht="15" hidden="false" customHeight="false" outlineLevel="0" collapsed="false">
      <c r="A3216" s="3" t="n">
        <v>2020</v>
      </c>
      <c r="B3216" s="3" t="n">
        <v>10</v>
      </c>
      <c r="C3216" s="3" t="n">
        <v>19</v>
      </c>
      <c r="D3216" s="3" t="s">
        <v>3220</v>
      </c>
      <c r="E3216" s="4" t="n">
        <v>8</v>
      </c>
    </row>
    <row r="3217" customFormat="false" ht="15" hidden="false" customHeight="false" outlineLevel="0" collapsed="false">
      <c r="A3217" s="3" t="n">
        <v>2020</v>
      </c>
      <c r="B3217" s="3" t="n">
        <v>10</v>
      </c>
      <c r="C3217" s="3" t="n">
        <v>20</v>
      </c>
      <c r="D3217" s="3" t="s">
        <v>3221</v>
      </c>
      <c r="E3217" s="4" t="n">
        <v>0</v>
      </c>
    </row>
    <row r="3218" customFormat="false" ht="15" hidden="false" customHeight="false" outlineLevel="0" collapsed="false">
      <c r="A3218" s="3" t="n">
        <v>2020</v>
      </c>
      <c r="B3218" s="3" t="n">
        <v>10</v>
      </c>
      <c r="C3218" s="3" t="n">
        <v>21</v>
      </c>
      <c r="D3218" s="3" t="s">
        <v>3222</v>
      </c>
      <c r="E3218" s="4" t="n">
        <v>0</v>
      </c>
    </row>
    <row r="3219" customFormat="false" ht="15" hidden="false" customHeight="false" outlineLevel="0" collapsed="false">
      <c r="A3219" s="3" t="n">
        <v>2020</v>
      </c>
      <c r="B3219" s="3" t="n">
        <v>10</v>
      </c>
      <c r="C3219" s="3" t="n">
        <v>22</v>
      </c>
      <c r="D3219" s="3" t="s">
        <v>3223</v>
      </c>
      <c r="E3219" s="4" t="n">
        <v>32</v>
      </c>
    </row>
    <row r="3220" customFormat="false" ht="15" hidden="false" customHeight="false" outlineLevel="0" collapsed="false">
      <c r="A3220" s="3" t="n">
        <v>2020</v>
      </c>
      <c r="B3220" s="3" t="n">
        <v>10</v>
      </c>
      <c r="C3220" s="3" t="n">
        <v>23</v>
      </c>
      <c r="D3220" s="3" t="s">
        <v>3224</v>
      </c>
      <c r="E3220" s="4" t="n">
        <v>18</v>
      </c>
    </row>
    <row r="3221" customFormat="false" ht="15" hidden="false" customHeight="false" outlineLevel="0" collapsed="false">
      <c r="A3221" s="3" t="n">
        <v>2020</v>
      </c>
      <c r="B3221" s="3" t="n">
        <v>10</v>
      </c>
      <c r="C3221" s="3" t="n">
        <v>24</v>
      </c>
      <c r="D3221" s="3" t="s">
        <v>3225</v>
      </c>
      <c r="E3221" s="4" t="n">
        <v>2</v>
      </c>
    </row>
    <row r="3222" customFormat="false" ht="15" hidden="false" customHeight="false" outlineLevel="0" collapsed="false">
      <c r="A3222" s="3" t="n">
        <v>2020</v>
      </c>
      <c r="B3222" s="3" t="n">
        <v>10</v>
      </c>
      <c r="C3222" s="3" t="n">
        <v>25</v>
      </c>
      <c r="D3222" s="3" t="s">
        <v>3226</v>
      </c>
      <c r="E3222" s="4" t="n">
        <v>4</v>
      </c>
    </row>
    <row r="3223" customFormat="false" ht="15" hidden="false" customHeight="false" outlineLevel="0" collapsed="false">
      <c r="A3223" s="3" t="n">
        <v>2020</v>
      </c>
      <c r="B3223" s="3" t="n">
        <v>10</v>
      </c>
      <c r="C3223" s="3" t="n">
        <v>26</v>
      </c>
      <c r="D3223" s="3" t="s">
        <v>3227</v>
      </c>
      <c r="E3223" s="4" t="n">
        <v>11</v>
      </c>
    </row>
    <row r="3224" customFormat="false" ht="15" hidden="false" customHeight="false" outlineLevel="0" collapsed="false">
      <c r="A3224" s="3" t="n">
        <v>2020</v>
      </c>
      <c r="B3224" s="3" t="n">
        <v>10</v>
      </c>
      <c r="C3224" s="3" t="n">
        <v>27</v>
      </c>
      <c r="D3224" s="3" t="s">
        <v>3228</v>
      </c>
      <c r="E3224" s="4" t="n">
        <v>8</v>
      </c>
    </row>
    <row r="3225" customFormat="false" ht="15" hidden="false" customHeight="false" outlineLevel="0" collapsed="false">
      <c r="A3225" s="3" t="n">
        <v>2020</v>
      </c>
      <c r="B3225" s="3" t="n">
        <v>10</v>
      </c>
      <c r="C3225" s="3" t="n">
        <v>28</v>
      </c>
      <c r="D3225" s="3" t="s">
        <v>3229</v>
      </c>
      <c r="E3225" s="4" t="n">
        <v>0</v>
      </c>
    </row>
    <row r="3226" customFormat="false" ht="15" hidden="false" customHeight="false" outlineLevel="0" collapsed="false">
      <c r="A3226" s="3" t="n">
        <v>2020</v>
      </c>
      <c r="B3226" s="3" t="n">
        <v>10</v>
      </c>
      <c r="C3226" s="3" t="n">
        <v>29</v>
      </c>
      <c r="D3226" s="3" t="s">
        <v>3230</v>
      </c>
      <c r="E3226" s="4" t="n">
        <v>0</v>
      </c>
    </row>
    <row r="3227" customFormat="false" ht="15" hidden="false" customHeight="false" outlineLevel="0" collapsed="false">
      <c r="A3227" s="3" t="n">
        <v>2020</v>
      </c>
      <c r="B3227" s="3" t="n">
        <v>10</v>
      </c>
      <c r="C3227" s="3" t="n">
        <v>30</v>
      </c>
      <c r="D3227" s="3" t="s">
        <v>3231</v>
      </c>
      <c r="E3227" s="4" t="n">
        <v>20</v>
      </c>
    </row>
    <row r="3228" customFormat="false" ht="15" hidden="false" customHeight="false" outlineLevel="0" collapsed="false">
      <c r="A3228" s="3" t="n">
        <v>2020</v>
      </c>
      <c r="B3228" s="3" t="n">
        <v>10</v>
      </c>
      <c r="C3228" s="3" t="n">
        <v>31</v>
      </c>
      <c r="D3228" s="3" t="s">
        <v>3232</v>
      </c>
      <c r="E3228" s="4" t="n">
        <v>12</v>
      </c>
    </row>
    <row r="3229" customFormat="false" ht="15" hidden="false" customHeight="false" outlineLevel="0" collapsed="false">
      <c r="A3229" s="3" t="n">
        <v>2020</v>
      </c>
      <c r="B3229" s="3" t="n">
        <v>11</v>
      </c>
      <c r="C3229" s="3" t="n">
        <v>1</v>
      </c>
      <c r="D3229" s="3" t="s">
        <v>3233</v>
      </c>
      <c r="E3229" s="4" t="n">
        <v>1</v>
      </c>
    </row>
    <row r="3230" customFormat="false" ht="15" hidden="false" customHeight="false" outlineLevel="0" collapsed="false">
      <c r="A3230" s="3" t="n">
        <v>2020</v>
      </c>
      <c r="B3230" s="3" t="n">
        <v>11</v>
      </c>
      <c r="C3230" s="3" t="n">
        <v>2</v>
      </c>
      <c r="D3230" s="3" t="s">
        <v>3234</v>
      </c>
      <c r="E3230" s="4" t="n">
        <v>2</v>
      </c>
    </row>
    <row r="3231" customFormat="false" ht="15" hidden="false" customHeight="false" outlineLevel="0" collapsed="false">
      <c r="A3231" s="3" t="n">
        <v>2020</v>
      </c>
      <c r="B3231" s="3" t="n">
        <v>11</v>
      </c>
      <c r="C3231" s="3" t="n">
        <v>3</v>
      </c>
      <c r="D3231" s="3" t="s">
        <v>3235</v>
      </c>
      <c r="E3231" s="4" t="n">
        <v>11</v>
      </c>
    </row>
    <row r="3232" customFormat="false" ht="15" hidden="false" customHeight="false" outlineLevel="0" collapsed="false">
      <c r="A3232" s="3" t="n">
        <v>2020</v>
      </c>
      <c r="B3232" s="3" t="n">
        <v>11</v>
      </c>
      <c r="C3232" s="3" t="n">
        <v>4</v>
      </c>
      <c r="D3232" s="3" t="s">
        <v>3236</v>
      </c>
      <c r="E3232" s="4" t="n">
        <v>4</v>
      </c>
    </row>
    <row r="3233" customFormat="false" ht="15" hidden="false" customHeight="false" outlineLevel="0" collapsed="false">
      <c r="A3233" s="3" t="n">
        <v>2020</v>
      </c>
      <c r="B3233" s="3" t="n">
        <v>11</v>
      </c>
      <c r="C3233" s="3" t="n">
        <v>5</v>
      </c>
      <c r="D3233" s="3" t="s">
        <v>3237</v>
      </c>
      <c r="E3233" s="4" t="n">
        <v>9</v>
      </c>
    </row>
    <row r="3234" customFormat="false" ht="15" hidden="false" customHeight="false" outlineLevel="0" collapsed="false">
      <c r="A3234" s="3" t="n">
        <v>2020</v>
      </c>
      <c r="B3234" s="3" t="n">
        <v>11</v>
      </c>
      <c r="C3234" s="3" t="n">
        <v>6</v>
      </c>
      <c r="D3234" s="3" t="s">
        <v>3238</v>
      </c>
      <c r="E3234" s="4" t="n">
        <v>0</v>
      </c>
    </row>
    <row r="3235" customFormat="false" ht="15" hidden="false" customHeight="false" outlineLevel="0" collapsed="false">
      <c r="A3235" s="3" t="n">
        <v>2020</v>
      </c>
      <c r="B3235" s="3" t="n">
        <v>11</v>
      </c>
      <c r="C3235" s="3" t="n">
        <v>7</v>
      </c>
      <c r="D3235" s="3" t="s">
        <v>3239</v>
      </c>
      <c r="E3235" s="4" t="n">
        <v>10</v>
      </c>
    </row>
    <row r="3236" customFormat="false" ht="15" hidden="false" customHeight="false" outlineLevel="0" collapsed="false">
      <c r="A3236" s="3" t="n">
        <v>2020</v>
      </c>
      <c r="B3236" s="3" t="n">
        <v>11</v>
      </c>
      <c r="C3236" s="3" t="n">
        <v>8</v>
      </c>
      <c r="D3236" s="3" t="s">
        <v>3240</v>
      </c>
      <c r="E3236" s="4" t="n">
        <v>2</v>
      </c>
    </row>
    <row r="3237" customFormat="false" ht="15" hidden="false" customHeight="false" outlineLevel="0" collapsed="false">
      <c r="A3237" s="3" t="n">
        <v>2020</v>
      </c>
      <c r="B3237" s="3" t="n">
        <v>11</v>
      </c>
      <c r="C3237" s="3" t="n">
        <v>9</v>
      </c>
      <c r="D3237" s="3" t="s">
        <v>3241</v>
      </c>
      <c r="E3237" s="4" t="n">
        <v>4</v>
      </c>
    </row>
    <row r="3238" customFormat="false" ht="15" hidden="false" customHeight="false" outlineLevel="0" collapsed="false">
      <c r="A3238" s="3" t="n">
        <v>2020</v>
      </c>
      <c r="B3238" s="3" t="n">
        <v>11</v>
      </c>
      <c r="C3238" s="3" t="n">
        <v>10</v>
      </c>
      <c r="D3238" s="3" t="s">
        <v>3242</v>
      </c>
      <c r="E3238" s="4" t="n">
        <v>28</v>
      </c>
    </row>
    <row r="3239" customFormat="false" ht="15" hidden="false" customHeight="false" outlineLevel="0" collapsed="false">
      <c r="A3239" s="3" t="n">
        <v>2020</v>
      </c>
      <c r="B3239" s="3" t="n">
        <v>11</v>
      </c>
      <c r="C3239" s="3" t="n">
        <v>11</v>
      </c>
      <c r="D3239" s="3" t="s">
        <v>3243</v>
      </c>
      <c r="E3239" s="4" t="n">
        <v>24</v>
      </c>
    </row>
    <row r="3240" customFormat="false" ht="15" hidden="false" customHeight="false" outlineLevel="0" collapsed="false">
      <c r="A3240" s="3" t="n">
        <v>2020</v>
      </c>
      <c r="B3240" s="3" t="n">
        <v>11</v>
      </c>
      <c r="C3240" s="3" t="n">
        <v>12</v>
      </c>
      <c r="D3240" s="3" t="s">
        <v>3244</v>
      </c>
      <c r="E3240" s="4" t="n">
        <v>0</v>
      </c>
    </row>
    <row r="3241" customFormat="false" ht="15" hidden="false" customHeight="false" outlineLevel="0" collapsed="false">
      <c r="A3241" s="3" t="n">
        <v>2020</v>
      </c>
      <c r="B3241" s="3" t="n">
        <v>11</v>
      </c>
      <c r="C3241" s="3" t="n">
        <v>13</v>
      </c>
      <c r="D3241" s="3" t="s">
        <v>3245</v>
      </c>
      <c r="E3241" s="4" t="n">
        <v>15</v>
      </c>
    </row>
    <row r="3242" customFormat="false" ht="15" hidden="false" customHeight="false" outlineLevel="0" collapsed="false">
      <c r="A3242" s="3" t="n">
        <v>2020</v>
      </c>
      <c r="B3242" s="3" t="n">
        <v>11</v>
      </c>
      <c r="C3242" s="3" t="n">
        <v>14</v>
      </c>
      <c r="D3242" s="3" t="s">
        <v>3246</v>
      </c>
      <c r="E3242" s="4" t="n">
        <v>5</v>
      </c>
    </row>
    <row r="3243" customFormat="false" ht="15" hidden="false" customHeight="false" outlineLevel="0" collapsed="false">
      <c r="A3243" s="3" t="n">
        <v>2020</v>
      </c>
      <c r="B3243" s="3" t="n">
        <v>11</v>
      </c>
      <c r="C3243" s="3" t="n">
        <v>15</v>
      </c>
      <c r="D3243" s="3" t="s">
        <v>3247</v>
      </c>
      <c r="E3243" s="4" t="n">
        <v>64</v>
      </c>
    </row>
    <row r="3244" customFormat="false" ht="15" hidden="false" customHeight="false" outlineLevel="0" collapsed="false">
      <c r="A3244" s="3" t="n">
        <v>2020</v>
      </c>
      <c r="B3244" s="3" t="n">
        <v>11</v>
      </c>
      <c r="C3244" s="3" t="n">
        <v>16</v>
      </c>
      <c r="D3244" s="3" t="s">
        <v>3248</v>
      </c>
      <c r="E3244" s="4" t="n">
        <v>0</v>
      </c>
    </row>
    <row r="3245" customFormat="false" ht="15" hidden="false" customHeight="false" outlineLevel="0" collapsed="false">
      <c r="A3245" s="3" t="n">
        <v>2020</v>
      </c>
      <c r="B3245" s="3" t="n">
        <v>11</v>
      </c>
      <c r="C3245" s="3" t="n">
        <v>17</v>
      </c>
      <c r="D3245" s="3" t="s">
        <v>3249</v>
      </c>
      <c r="E3245" s="4" t="n">
        <v>59</v>
      </c>
    </row>
    <row r="3246" customFormat="false" ht="15" hidden="false" customHeight="false" outlineLevel="0" collapsed="false">
      <c r="A3246" s="3" t="n">
        <v>2020</v>
      </c>
      <c r="B3246" s="3" t="n">
        <v>11</v>
      </c>
      <c r="C3246" s="3" t="n">
        <v>18</v>
      </c>
      <c r="D3246" s="3" t="s">
        <v>3250</v>
      </c>
      <c r="E3246" s="4" t="n">
        <v>6</v>
      </c>
    </row>
    <row r="3247" customFormat="false" ht="15" hidden="false" customHeight="false" outlineLevel="0" collapsed="false">
      <c r="A3247" s="3" t="n">
        <v>2020</v>
      </c>
      <c r="B3247" s="3" t="n">
        <v>11</v>
      </c>
      <c r="C3247" s="3" t="n">
        <v>19</v>
      </c>
      <c r="D3247" s="3" t="s">
        <v>3251</v>
      </c>
      <c r="E3247" s="4" t="n">
        <v>21</v>
      </c>
    </row>
    <row r="3248" customFormat="false" ht="15" hidden="false" customHeight="false" outlineLevel="0" collapsed="false">
      <c r="A3248" s="3" t="n">
        <v>2020</v>
      </c>
      <c r="B3248" s="3" t="n">
        <v>11</v>
      </c>
      <c r="C3248" s="3" t="n">
        <v>20</v>
      </c>
      <c r="D3248" s="3" t="s">
        <v>3252</v>
      </c>
      <c r="E3248" s="4" t="n">
        <v>126</v>
      </c>
    </row>
    <row r="3249" customFormat="false" ht="15" hidden="false" customHeight="false" outlineLevel="0" collapsed="false">
      <c r="A3249" s="3" t="n">
        <v>2020</v>
      </c>
      <c r="B3249" s="3" t="n">
        <v>11</v>
      </c>
      <c r="C3249" s="3" t="n">
        <v>21</v>
      </c>
      <c r="D3249" s="3" t="s">
        <v>3253</v>
      </c>
      <c r="E3249" s="4" t="n">
        <v>13</v>
      </c>
    </row>
    <row r="3250" customFormat="false" ht="15" hidden="false" customHeight="false" outlineLevel="0" collapsed="false">
      <c r="A3250" s="3" t="n">
        <v>2020</v>
      </c>
      <c r="B3250" s="3" t="n">
        <v>11</v>
      </c>
      <c r="C3250" s="3" t="n">
        <v>22</v>
      </c>
      <c r="D3250" s="3" t="s">
        <v>3254</v>
      </c>
      <c r="E3250" s="4" t="n">
        <v>35</v>
      </c>
    </row>
    <row r="3251" customFormat="false" ht="15" hidden="false" customHeight="false" outlineLevel="0" collapsed="false">
      <c r="A3251" s="3" t="n">
        <v>2020</v>
      </c>
      <c r="B3251" s="3" t="n">
        <v>11</v>
      </c>
      <c r="C3251" s="3" t="n">
        <v>23</v>
      </c>
      <c r="D3251" s="3" t="s">
        <v>3255</v>
      </c>
      <c r="E3251" s="4" t="n">
        <v>10</v>
      </c>
    </row>
    <row r="3252" customFormat="false" ht="15" hidden="false" customHeight="false" outlineLevel="0" collapsed="false">
      <c r="A3252" s="3" t="n">
        <v>2020</v>
      </c>
      <c r="B3252" s="3" t="n">
        <v>11</v>
      </c>
      <c r="C3252" s="3" t="n">
        <v>24</v>
      </c>
      <c r="D3252" s="3" t="s">
        <v>3256</v>
      </c>
      <c r="E3252" s="4" t="n">
        <v>6</v>
      </c>
    </row>
    <row r="3253" customFormat="false" ht="15" hidden="false" customHeight="false" outlineLevel="0" collapsed="false">
      <c r="A3253" s="3" t="n">
        <v>2020</v>
      </c>
      <c r="B3253" s="3" t="n">
        <v>11</v>
      </c>
      <c r="C3253" s="3" t="n">
        <v>25</v>
      </c>
      <c r="D3253" s="3" t="s">
        <v>3257</v>
      </c>
      <c r="E3253" s="4" t="n">
        <v>34</v>
      </c>
    </row>
    <row r="3254" customFormat="false" ht="15" hidden="false" customHeight="false" outlineLevel="0" collapsed="false">
      <c r="A3254" s="3" t="n">
        <v>2020</v>
      </c>
      <c r="B3254" s="3" t="n">
        <v>11</v>
      </c>
      <c r="C3254" s="3" t="n">
        <v>26</v>
      </c>
      <c r="D3254" s="3" t="s">
        <v>3258</v>
      </c>
      <c r="E3254" s="4" t="n">
        <v>4</v>
      </c>
    </row>
    <row r="3255" customFormat="false" ht="15" hidden="false" customHeight="false" outlineLevel="0" collapsed="false">
      <c r="A3255" s="3" t="n">
        <v>2020</v>
      </c>
      <c r="B3255" s="3" t="n">
        <v>11</v>
      </c>
      <c r="C3255" s="3" t="n">
        <v>27</v>
      </c>
      <c r="D3255" s="3" t="s">
        <v>3259</v>
      </c>
      <c r="E3255" s="4" t="n">
        <v>6</v>
      </c>
    </row>
    <row r="3256" customFormat="false" ht="15" hidden="false" customHeight="false" outlineLevel="0" collapsed="false">
      <c r="A3256" s="3" t="n">
        <v>2020</v>
      </c>
      <c r="B3256" s="3" t="n">
        <v>11</v>
      </c>
      <c r="C3256" s="3" t="n">
        <v>28</v>
      </c>
      <c r="D3256" s="3" t="s">
        <v>3260</v>
      </c>
      <c r="E3256" s="4" t="n">
        <v>2</v>
      </c>
    </row>
    <row r="3257" customFormat="false" ht="15" hidden="false" customHeight="false" outlineLevel="0" collapsed="false">
      <c r="A3257" s="3" t="n">
        <v>2020</v>
      </c>
      <c r="B3257" s="3" t="n">
        <v>11</v>
      </c>
      <c r="C3257" s="3" t="n">
        <v>29</v>
      </c>
      <c r="D3257" s="3" t="s">
        <v>3261</v>
      </c>
      <c r="E3257" s="4" t="n">
        <v>0</v>
      </c>
    </row>
    <row r="3258" customFormat="false" ht="15" hidden="false" customHeight="false" outlineLevel="0" collapsed="false">
      <c r="A3258" s="3" t="n">
        <v>2020</v>
      </c>
      <c r="B3258" s="3" t="n">
        <v>11</v>
      </c>
      <c r="C3258" s="3" t="n">
        <v>30</v>
      </c>
      <c r="D3258" s="3" t="s">
        <v>3262</v>
      </c>
      <c r="E3258" s="4" t="n">
        <v>67</v>
      </c>
    </row>
    <row r="3259" customFormat="false" ht="15" hidden="false" customHeight="false" outlineLevel="0" collapsed="false">
      <c r="A3259" s="3" t="n">
        <v>2020</v>
      </c>
      <c r="B3259" s="3" t="n">
        <v>12</v>
      </c>
      <c r="C3259" s="3" t="n">
        <v>1</v>
      </c>
      <c r="D3259" s="3" t="s">
        <v>3263</v>
      </c>
      <c r="E3259" s="4" t="n">
        <v>0</v>
      </c>
    </row>
    <row r="3260" customFormat="false" ht="15" hidden="false" customHeight="false" outlineLevel="0" collapsed="false">
      <c r="A3260" s="3" t="n">
        <v>2020</v>
      </c>
      <c r="B3260" s="3" t="n">
        <v>12</v>
      </c>
      <c r="C3260" s="3" t="n">
        <v>2</v>
      </c>
      <c r="D3260" s="3" t="s">
        <v>3264</v>
      </c>
      <c r="E3260" s="4" t="n">
        <v>0</v>
      </c>
    </row>
    <row r="3261" customFormat="false" ht="15" hidden="false" customHeight="false" outlineLevel="0" collapsed="false">
      <c r="A3261" s="3" t="n">
        <v>2020</v>
      </c>
      <c r="B3261" s="3" t="n">
        <v>12</v>
      </c>
      <c r="C3261" s="3" t="n">
        <v>3</v>
      </c>
      <c r="D3261" s="3" t="s">
        <v>3265</v>
      </c>
      <c r="E3261" s="4" t="n">
        <v>0</v>
      </c>
    </row>
    <row r="3262" customFormat="false" ht="15" hidden="false" customHeight="false" outlineLevel="0" collapsed="false">
      <c r="A3262" s="3" t="n">
        <v>2020</v>
      </c>
      <c r="B3262" s="3" t="n">
        <v>12</v>
      </c>
      <c r="C3262" s="3" t="n">
        <v>4</v>
      </c>
      <c r="D3262" s="3" t="s">
        <v>3266</v>
      </c>
      <c r="E3262" s="4" t="n">
        <v>0</v>
      </c>
    </row>
    <row r="3263" customFormat="false" ht="15" hidden="false" customHeight="false" outlineLevel="0" collapsed="false">
      <c r="A3263" s="3" t="n">
        <v>2020</v>
      </c>
      <c r="B3263" s="3" t="n">
        <v>12</v>
      </c>
      <c r="C3263" s="3" t="n">
        <v>5</v>
      </c>
      <c r="D3263" s="3" t="s">
        <v>3267</v>
      </c>
      <c r="E3263" s="4" t="n">
        <v>0</v>
      </c>
    </row>
    <row r="3264" customFormat="false" ht="15" hidden="false" customHeight="false" outlineLevel="0" collapsed="false">
      <c r="A3264" s="3" t="n">
        <v>2020</v>
      </c>
      <c r="B3264" s="3" t="n">
        <v>12</v>
      </c>
      <c r="C3264" s="3" t="n">
        <v>6</v>
      </c>
      <c r="D3264" s="3" t="s">
        <v>3268</v>
      </c>
      <c r="E3264" s="4" t="n">
        <v>17</v>
      </c>
    </row>
    <row r="3265" customFormat="false" ht="15" hidden="false" customHeight="false" outlineLevel="0" collapsed="false">
      <c r="A3265" s="3" t="n">
        <v>2020</v>
      </c>
      <c r="B3265" s="3" t="n">
        <v>12</v>
      </c>
      <c r="C3265" s="3" t="n">
        <v>7</v>
      </c>
      <c r="D3265" s="3" t="s">
        <v>3269</v>
      </c>
      <c r="E3265" s="4" t="n">
        <v>0</v>
      </c>
    </row>
    <row r="3266" customFormat="false" ht="15" hidden="false" customHeight="false" outlineLevel="0" collapsed="false">
      <c r="A3266" s="3" t="n">
        <v>2020</v>
      </c>
      <c r="B3266" s="3" t="n">
        <v>12</v>
      </c>
      <c r="C3266" s="3" t="n">
        <v>8</v>
      </c>
      <c r="D3266" s="3" t="s">
        <v>3270</v>
      </c>
      <c r="E3266" s="4" t="n">
        <v>0</v>
      </c>
    </row>
    <row r="3267" customFormat="false" ht="15" hidden="false" customHeight="false" outlineLevel="0" collapsed="false">
      <c r="A3267" s="3" t="n">
        <v>2020</v>
      </c>
      <c r="B3267" s="3" t="n">
        <v>12</v>
      </c>
      <c r="C3267" s="3" t="n">
        <v>9</v>
      </c>
      <c r="D3267" s="3" t="s">
        <v>3271</v>
      </c>
      <c r="E3267" s="4" t="n">
        <v>0</v>
      </c>
    </row>
    <row r="3268" customFormat="false" ht="15" hidden="false" customHeight="false" outlineLevel="0" collapsed="false">
      <c r="A3268" s="3" t="n">
        <v>2020</v>
      </c>
      <c r="B3268" s="3" t="n">
        <v>12</v>
      </c>
      <c r="C3268" s="3" t="n">
        <v>10</v>
      </c>
      <c r="D3268" s="3" t="s">
        <v>3272</v>
      </c>
      <c r="E3268" s="4" t="n">
        <v>0</v>
      </c>
    </row>
    <row r="3269" customFormat="false" ht="15" hidden="false" customHeight="false" outlineLevel="0" collapsed="false">
      <c r="A3269" s="3" t="n">
        <v>2020</v>
      </c>
      <c r="B3269" s="3" t="n">
        <v>12</v>
      </c>
      <c r="C3269" s="3" t="n">
        <v>11</v>
      </c>
      <c r="D3269" s="3" t="s">
        <v>3273</v>
      </c>
      <c r="E3269" s="4" t="n">
        <v>0</v>
      </c>
    </row>
    <row r="3270" customFormat="false" ht="15" hidden="false" customHeight="false" outlineLevel="0" collapsed="false">
      <c r="A3270" s="3" t="n">
        <v>2020</v>
      </c>
      <c r="B3270" s="3" t="n">
        <v>12</v>
      </c>
      <c r="C3270" s="3" t="n">
        <v>12</v>
      </c>
      <c r="D3270" s="3" t="s">
        <v>3274</v>
      </c>
      <c r="E3270" s="4" t="n">
        <v>2</v>
      </c>
    </row>
    <row r="3271" customFormat="false" ht="15" hidden="false" customHeight="false" outlineLevel="0" collapsed="false">
      <c r="A3271" s="3" t="n">
        <v>2020</v>
      </c>
      <c r="B3271" s="3" t="n">
        <v>12</v>
      </c>
      <c r="C3271" s="3" t="n">
        <v>13</v>
      </c>
      <c r="D3271" s="3" t="s">
        <v>3275</v>
      </c>
      <c r="E3271" s="4" t="n">
        <v>18</v>
      </c>
    </row>
    <row r="3272" customFormat="false" ht="15" hidden="false" customHeight="false" outlineLevel="0" collapsed="false">
      <c r="A3272" s="3" t="n">
        <v>2020</v>
      </c>
      <c r="B3272" s="3" t="n">
        <v>12</v>
      </c>
      <c r="C3272" s="3" t="n">
        <v>14</v>
      </c>
      <c r="D3272" s="3" t="s">
        <v>3276</v>
      </c>
      <c r="E3272" s="4" t="n">
        <v>36</v>
      </c>
    </row>
    <row r="3273" customFormat="false" ht="15" hidden="false" customHeight="false" outlineLevel="0" collapsed="false">
      <c r="A3273" s="3" t="n">
        <v>2020</v>
      </c>
      <c r="B3273" s="3" t="n">
        <v>12</v>
      </c>
      <c r="C3273" s="3" t="n">
        <v>15</v>
      </c>
      <c r="D3273" s="3" t="s">
        <v>3277</v>
      </c>
      <c r="E3273" s="4" t="n">
        <v>11</v>
      </c>
    </row>
    <row r="3274" customFormat="false" ht="15" hidden="false" customHeight="false" outlineLevel="0" collapsed="false">
      <c r="A3274" s="3" t="n">
        <v>2020</v>
      </c>
      <c r="B3274" s="3" t="n">
        <v>12</v>
      </c>
      <c r="C3274" s="3" t="n">
        <v>16</v>
      </c>
      <c r="D3274" s="3" t="s">
        <v>3278</v>
      </c>
      <c r="E3274" s="4" t="n">
        <v>4</v>
      </c>
    </row>
    <row r="3275" customFormat="false" ht="15" hidden="false" customHeight="false" outlineLevel="0" collapsed="false">
      <c r="A3275" s="3" t="n">
        <v>2020</v>
      </c>
      <c r="B3275" s="3" t="n">
        <v>12</v>
      </c>
      <c r="C3275" s="3" t="n">
        <v>17</v>
      </c>
      <c r="D3275" s="3" t="s">
        <v>3279</v>
      </c>
      <c r="E3275" s="4" t="n">
        <v>8</v>
      </c>
    </row>
    <row r="3276" customFormat="false" ht="15" hidden="false" customHeight="false" outlineLevel="0" collapsed="false">
      <c r="A3276" s="3" t="n">
        <v>2020</v>
      </c>
      <c r="B3276" s="3" t="n">
        <v>12</v>
      </c>
      <c r="C3276" s="3" t="n">
        <v>18</v>
      </c>
      <c r="D3276" s="3" t="s">
        <v>3280</v>
      </c>
      <c r="E3276" s="4" t="n">
        <v>8</v>
      </c>
    </row>
    <row r="3277" customFormat="false" ht="15" hidden="false" customHeight="false" outlineLevel="0" collapsed="false">
      <c r="A3277" s="3" t="n">
        <v>2020</v>
      </c>
      <c r="B3277" s="3" t="n">
        <v>12</v>
      </c>
      <c r="C3277" s="3" t="n">
        <v>19</v>
      </c>
      <c r="D3277" s="3" t="s">
        <v>3281</v>
      </c>
      <c r="E3277" s="4" t="n">
        <v>34</v>
      </c>
    </row>
    <row r="3278" customFormat="false" ht="15" hidden="false" customHeight="false" outlineLevel="0" collapsed="false">
      <c r="A3278" s="3" t="n">
        <v>2020</v>
      </c>
      <c r="B3278" s="3" t="n">
        <v>12</v>
      </c>
      <c r="C3278" s="3" t="n">
        <v>20</v>
      </c>
      <c r="D3278" s="3" t="s">
        <v>3282</v>
      </c>
      <c r="E3278" s="4" t="n">
        <v>0</v>
      </c>
    </row>
    <row r="3279" customFormat="false" ht="15" hidden="false" customHeight="false" outlineLevel="0" collapsed="false">
      <c r="A3279" s="3" t="n">
        <v>2020</v>
      </c>
      <c r="B3279" s="3" t="n">
        <v>12</v>
      </c>
      <c r="C3279" s="3" t="n">
        <v>21</v>
      </c>
      <c r="D3279" s="3" t="s">
        <v>3283</v>
      </c>
      <c r="E3279" s="4" t="n">
        <v>5</v>
      </c>
    </row>
    <row r="3280" customFormat="false" ht="15" hidden="false" customHeight="false" outlineLevel="0" collapsed="false">
      <c r="A3280" s="3" t="n">
        <v>2020</v>
      </c>
      <c r="B3280" s="3" t="n">
        <v>12</v>
      </c>
      <c r="C3280" s="3" t="n">
        <v>22</v>
      </c>
      <c r="D3280" s="3" t="s">
        <v>3284</v>
      </c>
      <c r="E3280" s="4" t="n">
        <v>8</v>
      </c>
    </row>
    <row r="3281" customFormat="false" ht="15" hidden="false" customHeight="false" outlineLevel="0" collapsed="false">
      <c r="A3281" s="3" t="n">
        <v>2020</v>
      </c>
      <c r="B3281" s="3" t="n">
        <v>12</v>
      </c>
      <c r="C3281" s="3" t="n">
        <v>23</v>
      </c>
      <c r="D3281" s="3" t="s">
        <v>3285</v>
      </c>
      <c r="E3281" s="4" t="n">
        <v>0</v>
      </c>
    </row>
    <row r="3282" customFormat="false" ht="15" hidden="false" customHeight="false" outlineLevel="0" collapsed="false">
      <c r="A3282" s="3" t="n">
        <v>2020</v>
      </c>
      <c r="B3282" s="3" t="n">
        <v>12</v>
      </c>
      <c r="C3282" s="3" t="n">
        <v>24</v>
      </c>
      <c r="D3282" s="3" t="s">
        <v>3286</v>
      </c>
      <c r="E3282" s="4" t="n">
        <v>0</v>
      </c>
    </row>
    <row r="3283" customFormat="false" ht="15" hidden="false" customHeight="false" outlineLevel="0" collapsed="false">
      <c r="A3283" s="3" t="n">
        <v>2020</v>
      </c>
      <c r="B3283" s="3" t="n">
        <v>12</v>
      </c>
      <c r="C3283" s="3" t="n">
        <v>25</v>
      </c>
      <c r="D3283" s="3" t="s">
        <v>3287</v>
      </c>
      <c r="E3283" s="4" t="n">
        <v>20</v>
      </c>
    </row>
    <row r="3284" customFormat="false" ht="15" hidden="false" customHeight="false" outlineLevel="0" collapsed="false">
      <c r="A3284" s="3" t="n">
        <v>2020</v>
      </c>
      <c r="B3284" s="3" t="n">
        <v>12</v>
      </c>
      <c r="C3284" s="3" t="n">
        <v>26</v>
      </c>
      <c r="D3284" s="3" t="s">
        <v>3288</v>
      </c>
      <c r="E3284" s="4" t="n">
        <v>90</v>
      </c>
    </row>
    <row r="3285" customFormat="false" ht="15" hidden="false" customHeight="false" outlineLevel="0" collapsed="false">
      <c r="A3285" s="3" t="n">
        <v>2020</v>
      </c>
      <c r="B3285" s="3" t="n">
        <v>12</v>
      </c>
      <c r="C3285" s="3" t="n">
        <v>27</v>
      </c>
      <c r="D3285" s="3" t="s">
        <v>3289</v>
      </c>
      <c r="E3285" s="4" t="n">
        <v>6</v>
      </c>
    </row>
    <row r="3286" customFormat="false" ht="15" hidden="false" customHeight="false" outlineLevel="0" collapsed="false">
      <c r="A3286" s="3" t="n">
        <v>2020</v>
      </c>
      <c r="B3286" s="3" t="n">
        <v>12</v>
      </c>
      <c r="C3286" s="3" t="n">
        <v>28</v>
      </c>
      <c r="D3286" s="3" t="s">
        <v>3290</v>
      </c>
      <c r="E3286" s="4" t="n">
        <v>0</v>
      </c>
    </row>
    <row r="3287" customFormat="false" ht="15" hidden="false" customHeight="false" outlineLevel="0" collapsed="false">
      <c r="A3287" s="3" t="n">
        <v>2020</v>
      </c>
      <c r="B3287" s="3" t="n">
        <v>12</v>
      </c>
      <c r="C3287" s="3" t="n">
        <v>29</v>
      </c>
      <c r="D3287" s="3" t="s">
        <v>3291</v>
      </c>
      <c r="E3287" s="4" t="n">
        <v>0</v>
      </c>
    </row>
    <row r="3288" customFormat="false" ht="15" hidden="false" customHeight="false" outlineLevel="0" collapsed="false">
      <c r="A3288" s="3" t="n">
        <v>2020</v>
      </c>
      <c r="B3288" s="3" t="n">
        <v>12</v>
      </c>
      <c r="C3288" s="3" t="n">
        <v>30</v>
      </c>
      <c r="D3288" s="3" t="s">
        <v>3292</v>
      </c>
      <c r="E3288" s="4" t="n">
        <v>0</v>
      </c>
    </row>
    <row r="3289" customFormat="false" ht="15" hidden="false" customHeight="false" outlineLevel="0" collapsed="false">
      <c r="A3289" s="3" t="n">
        <v>2020</v>
      </c>
      <c r="B3289" s="3" t="n">
        <v>12</v>
      </c>
      <c r="C3289" s="3" t="n">
        <v>31</v>
      </c>
      <c r="D3289" s="3" t="s">
        <v>3293</v>
      </c>
      <c r="E3289" s="4" t="n">
        <v>7</v>
      </c>
    </row>
    <row r="3290" customFormat="false" ht="15" hidden="false" customHeight="false" outlineLevel="0" collapsed="false">
      <c r="A3290" s="3" t="n">
        <v>2021</v>
      </c>
      <c r="B3290" s="3" t="n">
        <v>1</v>
      </c>
      <c r="C3290" s="3" t="n">
        <v>1</v>
      </c>
      <c r="D3290" s="3" t="s">
        <v>3294</v>
      </c>
      <c r="E3290" s="4" t="n">
        <v>17</v>
      </c>
    </row>
    <row r="3291" customFormat="false" ht="15" hidden="false" customHeight="false" outlineLevel="0" collapsed="false">
      <c r="A3291" s="3" t="n">
        <v>2021</v>
      </c>
      <c r="B3291" s="3" t="n">
        <v>1</v>
      </c>
      <c r="C3291" s="3" t="n">
        <v>2</v>
      </c>
      <c r="D3291" s="3" t="s">
        <v>3295</v>
      </c>
      <c r="E3291" s="4" t="n">
        <v>0</v>
      </c>
    </row>
    <row r="3292" customFormat="false" ht="15" hidden="false" customHeight="false" outlineLevel="0" collapsed="false">
      <c r="A3292" s="3" t="n">
        <v>2021</v>
      </c>
      <c r="B3292" s="3" t="n">
        <v>1</v>
      </c>
      <c r="C3292" s="3" t="n">
        <v>3</v>
      </c>
      <c r="D3292" s="3" t="s">
        <v>3296</v>
      </c>
      <c r="E3292" s="4" t="n">
        <v>9</v>
      </c>
    </row>
    <row r="3293" customFormat="false" ht="15" hidden="false" customHeight="false" outlineLevel="0" collapsed="false">
      <c r="A3293" s="3" t="n">
        <v>2021</v>
      </c>
      <c r="B3293" s="3" t="n">
        <v>1</v>
      </c>
      <c r="C3293" s="3" t="n">
        <v>4</v>
      </c>
      <c r="D3293" s="3" t="s">
        <v>3297</v>
      </c>
      <c r="E3293" s="4" t="n">
        <v>2</v>
      </c>
    </row>
    <row r="3294" customFormat="false" ht="15" hidden="false" customHeight="false" outlineLevel="0" collapsed="false">
      <c r="A3294" s="3" t="n">
        <v>2021</v>
      </c>
      <c r="B3294" s="3" t="n">
        <v>1</v>
      </c>
      <c r="C3294" s="3" t="n">
        <v>5</v>
      </c>
      <c r="D3294" s="3" t="s">
        <v>3298</v>
      </c>
      <c r="E3294" s="4" t="n">
        <v>10</v>
      </c>
    </row>
    <row r="3295" customFormat="false" ht="15" hidden="false" customHeight="false" outlineLevel="0" collapsed="false">
      <c r="A3295" s="3" t="n">
        <v>2021</v>
      </c>
      <c r="B3295" s="3" t="n">
        <v>1</v>
      </c>
      <c r="C3295" s="3" t="n">
        <v>6</v>
      </c>
      <c r="D3295" s="3" t="s">
        <v>3299</v>
      </c>
      <c r="E3295" s="4" t="n">
        <v>0</v>
      </c>
    </row>
    <row r="3296" customFormat="false" ht="15" hidden="false" customHeight="false" outlineLevel="0" collapsed="false">
      <c r="A3296" s="3" t="n">
        <v>2021</v>
      </c>
      <c r="B3296" s="3" t="n">
        <v>1</v>
      </c>
      <c r="C3296" s="3" t="n">
        <v>7</v>
      </c>
      <c r="D3296" s="3" t="s">
        <v>3300</v>
      </c>
      <c r="E3296" s="4" t="n">
        <v>2</v>
      </c>
    </row>
    <row r="3297" customFormat="false" ht="15" hidden="false" customHeight="false" outlineLevel="0" collapsed="false">
      <c r="A3297" s="3" t="n">
        <v>2021</v>
      </c>
      <c r="B3297" s="3" t="n">
        <v>1</v>
      </c>
      <c r="C3297" s="3" t="n">
        <v>8</v>
      </c>
      <c r="D3297" s="3" t="s">
        <v>3301</v>
      </c>
      <c r="E3297" s="4" t="n">
        <v>78</v>
      </c>
    </row>
    <row r="3298" customFormat="false" ht="15" hidden="false" customHeight="false" outlineLevel="0" collapsed="false">
      <c r="A3298" s="3" t="n">
        <v>2021</v>
      </c>
      <c r="B3298" s="3" t="n">
        <v>1</v>
      </c>
      <c r="C3298" s="3" t="n">
        <v>9</v>
      </c>
      <c r="D3298" s="3" t="s">
        <v>3302</v>
      </c>
      <c r="E3298" s="4" t="n">
        <v>0</v>
      </c>
    </row>
    <row r="3299" customFormat="false" ht="15" hidden="false" customHeight="false" outlineLevel="0" collapsed="false">
      <c r="A3299" s="3" t="n">
        <v>2021</v>
      </c>
      <c r="B3299" s="3" t="n">
        <v>1</v>
      </c>
      <c r="C3299" s="3" t="n">
        <v>10</v>
      </c>
      <c r="D3299" s="3" t="s">
        <v>3303</v>
      </c>
      <c r="E3299" s="4" t="n">
        <v>34</v>
      </c>
    </row>
    <row r="3300" customFormat="false" ht="15" hidden="false" customHeight="false" outlineLevel="0" collapsed="false">
      <c r="A3300" s="3" t="n">
        <v>2021</v>
      </c>
      <c r="B3300" s="3" t="n">
        <v>1</v>
      </c>
      <c r="C3300" s="3" t="n">
        <v>11</v>
      </c>
      <c r="D3300" s="3" t="s">
        <v>3304</v>
      </c>
      <c r="E3300" s="4" t="n">
        <v>14</v>
      </c>
    </row>
    <row r="3301" customFormat="false" ht="15" hidden="false" customHeight="false" outlineLevel="0" collapsed="false">
      <c r="A3301" s="3" t="n">
        <v>2021</v>
      </c>
      <c r="B3301" s="3" t="n">
        <v>1</v>
      </c>
      <c r="C3301" s="3" t="n">
        <v>12</v>
      </c>
      <c r="D3301" s="3" t="s">
        <v>3305</v>
      </c>
      <c r="E3301" s="4" t="n">
        <v>0</v>
      </c>
    </row>
    <row r="3302" customFormat="false" ht="15" hidden="false" customHeight="false" outlineLevel="0" collapsed="false">
      <c r="A3302" s="3" t="n">
        <v>2021</v>
      </c>
      <c r="B3302" s="3" t="n">
        <v>1</v>
      </c>
      <c r="C3302" s="3" t="n">
        <v>13</v>
      </c>
      <c r="D3302" s="3" t="s">
        <v>3306</v>
      </c>
      <c r="E3302" s="4" t="n">
        <v>37</v>
      </c>
    </row>
    <row r="3303" customFormat="false" ht="15" hidden="false" customHeight="false" outlineLevel="0" collapsed="false">
      <c r="A3303" s="3" t="n">
        <v>2021</v>
      </c>
      <c r="B3303" s="3" t="n">
        <v>1</v>
      </c>
      <c r="C3303" s="3" t="n">
        <v>14</v>
      </c>
      <c r="D3303" s="3" t="s">
        <v>3307</v>
      </c>
      <c r="E3303" s="4" t="n">
        <v>50</v>
      </c>
    </row>
    <row r="3304" customFormat="false" ht="15" hidden="false" customHeight="false" outlineLevel="0" collapsed="false">
      <c r="A3304" s="3" t="n">
        <v>2021</v>
      </c>
      <c r="B3304" s="3" t="n">
        <v>1</v>
      </c>
      <c r="C3304" s="3" t="n">
        <v>15</v>
      </c>
      <c r="D3304" s="3" t="s">
        <v>3308</v>
      </c>
      <c r="E3304" s="4" t="n">
        <v>20</v>
      </c>
    </row>
    <row r="3305" customFormat="false" ht="15" hidden="false" customHeight="false" outlineLevel="0" collapsed="false">
      <c r="A3305" s="3" t="n">
        <v>2021</v>
      </c>
      <c r="B3305" s="3" t="n">
        <v>1</v>
      </c>
      <c r="C3305" s="3" t="n">
        <v>16</v>
      </c>
      <c r="D3305" s="3" t="s">
        <v>3309</v>
      </c>
      <c r="E3305" s="4" t="n">
        <v>1</v>
      </c>
    </row>
    <row r="3306" customFormat="false" ht="15" hidden="false" customHeight="false" outlineLevel="0" collapsed="false">
      <c r="A3306" s="3" t="n">
        <v>2021</v>
      </c>
      <c r="B3306" s="3" t="n">
        <v>1</v>
      </c>
      <c r="C3306" s="3" t="n">
        <v>17</v>
      </c>
      <c r="D3306" s="3" t="s">
        <v>3310</v>
      </c>
      <c r="E3306" s="4" t="n">
        <v>0</v>
      </c>
    </row>
    <row r="3307" customFormat="false" ht="15" hidden="false" customHeight="false" outlineLevel="0" collapsed="false">
      <c r="A3307" s="3" t="n">
        <v>2021</v>
      </c>
      <c r="B3307" s="3" t="n">
        <v>1</v>
      </c>
      <c r="C3307" s="3" t="n">
        <v>18</v>
      </c>
      <c r="D3307" s="3" t="s">
        <v>3311</v>
      </c>
      <c r="E3307" s="4" t="n">
        <v>0</v>
      </c>
    </row>
    <row r="3308" customFormat="false" ht="15" hidden="false" customHeight="false" outlineLevel="0" collapsed="false">
      <c r="A3308" s="3" t="n">
        <v>2021</v>
      </c>
      <c r="B3308" s="3" t="n">
        <v>1</v>
      </c>
      <c r="C3308" s="3" t="n">
        <v>19</v>
      </c>
      <c r="D3308" s="3" t="s">
        <v>3312</v>
      </c>
      <c r="E3308" s="4" t="n">
        <v>0</v>
      </c>
    </row>
    <row r="3309" customFormat="false" ht="15" hidden="false" customHeight="false" outlineLevel="0" collapsed="false">
      <c r="A3309" s="3" t="n">
        <v>2021</v>
      </c>
      <c r="B3309" s="3" t="n">
        <v>1</v>
      </c>
      <c r="C3309" s="3" t="n">
        <v>20</v>
      </c>
      <c r="D3309" s="3" t="s">
        <v>3313</v>
      </c>
      <c r="E3309" s="4" t="n">
        <v>0</v>
      </c>
    </row>
    <row r="3310" customFormat="false" ht="15" hidden="false" customHeight="false" outlineLevel="0" collapsed="false">
      <c r="A3310" s="3" t="n">
        <v>2021</v>
      </c>
      <c r="B3310" s="3" t="n">
        <v>1</v>
      </c>
      <c r="C3310" s="3" t="n">
        <v>21</v>
      </c>
      <c r="D3310" s="3" t="s">
        <v>3314</v>
      </c>
      <c r="E3310" s="4" t="n">
        <v>0</v>
      </c>
    </row>
    <row r="3311" customFormat="false" ht="15" hidden="false" customHeight="false" outlineLevel="0" collapsed="false">
      <c r="A3311" s="3" t="n">
        <v>2021</v>
      </c>
      <c r="B3311" s="3" t="n">
        <v>1</v>
      </c>
      <c r="C3311" s="3" t="n">
        <v>22</v>
      </c>
      <c r="D3311" s="3" t="s">
        <v>3315</v>
      </c>
      <c r="E3311" s="4" t="n">
        <v>0</v>
      </c>
    </row>
    <row r="3312" customFormat="false" ht="15" hidden="false" customHeight="false" outlineLevel="0" collapsed="false">
      <c r="A3312" s="3" t="n">
        <v>2021</v>
      </c>
      <c r="B3312" s="3" t="n">
        <v>1</v>
      </c>
      <c r="C3312" s="3" t="n">
        <v>23</v>
      </c>
      <c r="D3312" s="3" t="s">
        <v>3316</v>
      </c>
      <c r="E3312" s="4" t="n">
        <v>0</v>
      </c>
    </row>
    <row r="3313" customFormat="false" ht="15" hidden="false" customHeight="false" outlineLevel="0" collapsed="false">
      <c r="A3313" s="3" t="n">
        <v>2021</v>
      </c>
      <c r="B3313" s="3" t="n">
        <v>1</v>
      </c>
      <c r="C3313" s="3" t="n">
        <v>24</v>
      </c>
      <c r="D3313" s="3" t="s">
        <v>3317</v>
      </c>
      <c r="E3313" s="4" t="n">
        <v>0</v>
      </c>
    </row>
    <row r="3314" customFormat="false" ht="15" hidden="false" customHeight="false" outlineLevel="0" collapsed="false">
      <c r="A3314" s="3" t="n">
        <v>2021</v>
      </c>
      <c r="B3314" s="3" t="n">
        <v>1</v>
      </c>
      <c r="C3314" s="3" t="n">
        <v>25</v>
      </c>
      <c r="D3314" s="3" t="s">
        <v>3318</v>
      </c>
      <c r="E3314" s="4" t="n">
        <v>4</v>
      </c>
    </row>
    <row r="3315" customFormat="false" ht="15" hidden="false" customHeight="false" outlineLevel="0" collapsed="false">
      <c r="A3315" s="3" t="n">
        <v>2021</v>
      </c>
      <c r="B3315" s="3" t="n">
        <v>1</v>
      </c>
      <c r="C3315" s="3" t="n">
        <v>26</v>
      </c>
      <c r="D3315" s="3" t="s">
        <v>3319</v>
      </c>
      <c r="E3315" s="4" t="n">
        <v>0</v>
      </c>
    </row>
    <row r="3316" customFormat="false" ht="15" hidden="false" customHeight="false" outlineLevel="0" collapsed="false">
      <c r="A3316" s="3" t="n">
        <v>2021</v>
      </c>
      <c r="B3316" s="3" t="n">
        <v>1</v>
      </c>
      <c r="C3316" s="3" t="n">
        <v>27</v>
      </c>
      <c r="D3316" s="3" t="s">
        <v>3320</v>
      </c>
      <c r="E3316" s="4" t="n">
        <v>0</v>
      </c>
    </row>
    <row r="3317" customFormat="false" ht="15" hidden="false" customHeight="false" outlineLevel="0" collapsed="false">
      <c r="A3317" s="3" t="n">
        <v>2021</v>
      </c>
      <c r="B3317" s="3" t="n">
        <v>1</v>
      </c>
      <c r="C3317" s="3" t="n">
        <v>28</v>
      </c>
      <c r="D3317" s="3" t="s">
        <v>3321</v>
      </c>
      <c r="E3317" s="4" t="n">
        <v>3</v>
      </c>
    </row>
    <row r="3318" customFormat="false" ht="15" hidden="false" customHeight="false" outlineLevel="0" collapsed="false">
      <c r="A3318" s="3" t="n">
        <v>2021</v>
      </c>
      <c r="B3318" s="3" t="n">
        <v>1</v>
      </c>
      <c r="C3318" s="3" t="n">
        <v>29</v>
      </c>
      <c r="D3318" s="3" t="s">
        <v>3322</v>
      </c>
      <c r="E3318" s="4" t="n">
        <v>27</v>
      </c>
    </row>
    <row r="3319" customFormat="false" ht="15" hidden="false" customHeight="false" outlineLevel="0" collapsed="false">
      <c r="A3319" s="3" t="n">
        <v>2021</v>
      </c>
      <c r="B3319" s="3" t="n">
        <v>1</v>
      </c>
      <c r="C3319" s="3" t="n">
        <v>30</v>
      </c>
      <c r="D3319" s="3" t="s">
        <v>3323</v>
      </c>
      <c r="E3319" s="4" t="n">
        <v>2</v>
      </c>
    </row>
    <row r="3320" customFormat="false" ht="15" hidden="false" customHeight="false" outlineLevel="0" collapsed="false">
      <c r="A3320" s="3" t="n">
        <v>2021</v>
      </c>
      <c r="B3320" s="3" t="n">
        <v>1</v>
      </c>
      <c r="C3320" s="3" t="n">
        <v>31</v>
      </c>
      <c r="D3320" s="3" t="s">
        <v>3324</v>
      </c>
      <c r="E3320" s="4" t="n">
        <v>0</v>
      </c>
    </row>
    <row r="3321" customFormat="false" ht="15" hidden="false" customHeight="false" outlineLevel="0" collapsed="false">
      <c r="A3321" s="3" t="n">
        <v>2021</v>
      </c>
      <c r="B3321" s="3" t="n">
        <v>2</v>
      </c>
      <c r="C3321" s="3" t="n">
        <v>1</v>
      </c>
      <c r="D3321" s="3" t="s">
        <v>3325</v>
      </c>
      <c r="E3321" s="4" t="n">
        <v>4</v>
      </c>
    </row>
    <row r="3322" customFormat="false" ht="15" hidden="false" customHeight="false" outlineLevel="0" collapsed="false">
      <c r="A3322" s="3" t="n">
        <v>2021</v>
      </c>
      <c r="B3322" s="3" t="n">
        <v>2</v>
      </c>
      <c r="C3322" s="3" t="n">
        <v>2</v>
      </c>
      <c r="D3322" s="3" t="s">
        <v>3326</v>
      </c>
      <c r="E3322" s="4" t="n">
        <v>40</v>
      </c>
    </row>
    <row r="3323" customFormat="false" ht="15" hidden="false" customHeight="false" outlineLevel="0" collapsed="false">
      <c r="A3323" s="3" t="n">
        <v>2021</v>
      </c>
      <c r="B3323" s="3" t="n">
        <v>2</v>
      </c>
      <c r="C3323" s="3" t="n">
        <v>3</v>
      </c>
      <c r="D3323" s="3" t="s">
        <v>3327</v>
      </c>
      <c r="E3323" s="4" t="n">
        <v>2</v>
      </c>
    </row>
    <row r="3324" customFormat="false" ht="15" hidden="false" customHeight="false" outlineLevel="0" collapsed="false">
      <c r="A3324" s="3" t="n">
        <v>2021</v>
      </c>
      <c r="B3324" s="3" t="n">
        <v>2</v>
      </c>
      <c r="C3324" s="3" t="n">
        <v>4</v>
      </c>
      <c r="D3324" s="3" t="s">
        <v>3328</v>
      </c>
      <c r="E3324" s="4" t="n">
        <v>2</v>
      </c>
    </row>
    <row r="3325" customFormat="false" ht="15" hidden="false" customHeight="false" outlineLevel="0" collapsed="false">
      <c r="A3325" s="3" t="n">
        <v>2021</v>
      </c>
      <c r="B3325" s="3" t="n">
        <v>2</v>
      </c>
      <c r="C3325" s="3" t="n">
        <v>5</v>
      </c>
      <c r="D3325" s="3" t="s">
        <v>3329</v>
      </c>
      <c r="E3325" s="4" t="n">
        <v>0</v>
      </c>
    </row>
    <row r="3326" customFormat="false" ht="15" hidden="false" customHeight="false" outlineLevel="0" collapsed="false">
      <c r="A3326" s="3" t="n">
        <v>2021</v>
      </c>
      <c r="B3326" s="3" t="n">
        <v>2</v>
      </c>
      <c r="C3326" s="3" t="n">
        <v>6</v>
      </c>
      <c r="D3326" s="3" t="s">
        <v>3330</v>
      </c>
      <c r="E3326" s="4" t="n">
        <v>0</v>
      </c>
    </row>
    <row r="3327" customFormat="false" ht="15" hidden="false" customHeight="false" outlineLevel="0" collapsed="false">
      <c r="A3327" s="3" t="n">
        <v>2021</v>
      </c>
      <c r="B3327" s="3" t="n">
        <v>2</v>
      </c>
      <c r="C3327" s="3" t="n">
        <v>7</v>
      </c>
      <c r="D3327" s="3" t="s">
        <v>3331</v>
      </c>
      <c r="E3327" s="4" t="n">
        <v>0</v>
      </c>
    </row>
    <row r="3328" customFormat="false" ht="15" hidden="false" customHeight="false" outlineLevel="0" collapsed="false">
      <c r="A3328" s="3" t="n">
        <v>2021</v>
      </c>
      <c r="B3328" s="3" t="n">
        <v>2</v>
      </c>
      <c r="C3328" s="3" t="n">
        <v>8</v>
      </c>
      <c r="D3328" s="3" t="s">
        <v>3332</v>
      </c>
      <c r="E3328" s="4" t="n">
        <v>0</v>
      </c>
    </row>
    <row r="3329" customFormat="false" ht="15" hidden="false" customHeight="false" outlineLevel="0" collapsed="false">
      <c r="A3329" s="3" t="n">
        <v>2021</v>
      </c>
      <c r="B3329" s="3" t="n">
        <v>2</v>
      </c>
      <c r="C3329" s="3" t="n">
        <v>9</v>
      </c>
      <c r="D3329" s="3" t="s">
        <v>3333</v>
      </c>
      <c r="E3329" s="4" t="n">
        <v>0</v>
      </c>
    </row>
    <row r="3330" customFormat="false" ht="15" hidden="false" customHeight="false" outlineLevel="0" collapsed="false">
      <c r="A3330" s="3" t="n">
        <v>2021</v>
      </c>
      <c r="B3330" s="3" t="n">
        <v>2</v>
      </c>
      <c r="C3330" s="3" t="n">
        <v>10</v>
      </c>
      <c r="D3330" s="3" t="s">
        <v>3334</v>
      </c>
      <c r="E3330" s="4" t="n">
        <v>0</v>
      </c>
    </row>
    <row r="3331" customFormat="false" ht="15" hidden="false" customHeight="false" outlineLevel="0" collapsed="false">
      <c r="A3331" s="3" t="n">
        <v>2021</v>
      </c>
      <c r="B3331" s="3" t="n">
        <v>2</v>
      </c>
      <c r="C3331" s="3" t="n">
        <v>11</v>
      </c>
      <c r="D3331" s="3" t="s">
        <v>3335</v>
      </c>
      <c r="E3331" s="4" t="n">
        <v>0</v>
      </c>
    </row>
    <row r="3332" customFormat="false" ht="15" hidden="false" customHeight="false" outlineLevel="0" collapsed="false">
      <c r="A3332" s="3" t="n">
        <v>2021</v>
      </c>
      <c r="B3332" s="3" t="n">
        <v>2</v>
      </c>
      <c r="C3332" s="3" t="n">
        <v>12</v>
      </c>
      <c r="D3332" s="3" t="s">
        <v>3336</v>
      </c>
      <c r="E3332" s="4" t="n">
        <v>0</v>
      </c>
    </row>
    <row r="3333" customFormat="false" ht="15" hidden="false" customHeight="false" outlineLevel="0" collapsed="false">
      <c r="A3333" s="3" t="n">
        <v>2021</v>
      </c>
      <c r="B3333" s="3" t="n">
        <v>2</v>
      </c>
      <c r="C3333" s="3" t="n">
        <v>13</v>
      </c>
      <c r="D3333" s="3" t="s">
        <v>3337</v>
      </c>
      <c r="E3333" s="4" t="n">
        <v>0</v>
      </c>
    </row>
    <row r="3334" customFormat="false" ht="15" hidden="false" customHeight="false" outlineLevel="0" collapsed="false">
      <c r="A3334" s="3" t="n">
        <v>2021</v>
      </c>
      <c r="B3334" s="3" t="n">
        <v>2</v>
      </c>
      <c r="C3334" s="3" t="n">
        <v>14</v>
      </c>
      <c r="D3334" s="3" t="s">
        <v>3338</v>
      </c>
      <c r="E3334" s="4" t="n">
        <v>0</v>
      </c>
    </row>
    <row r="3335" customFormat="false" ht="15" hidden="false" customHeight="false" outlineLevel="0" collapsed="false">
      <c r="A3335" s="3" t="n">
        <v>2021</v>
      </c>
      <c r="B3335" s="3" t="n">
        <v>2</v>
      </c>
      <c r="C3335" s="3" t="n">
        <v>15</v>
      </c>
      <c r="D3335" s="3" t="s">
        <v>3339</v>
      </c>
      <c r="E3335" s="4" t="n">
        <v>0</v>
      </c>
    </row>
    <row r="3336" customFormat="false" ht="15" hidden="false" customHeight="false" outlineLevel="0" collapsed="false">
      <c r="A3336" s="3" t="n">
        <v>2021</v>
      </c>
      <c r="B3336" s="3" t="n">
        <v>2</v>
      </c>
      <c r="C3336" s="3" t="n">
        <v>16</v>
      </c>
      <c r="D3336" s="3" t="s">
        <v>3340</v>
      </c>
      <c r="E3336" s="4" t="n">
        <v>0</v>
      </c>
    </row>
    <row r="3337" customFormat="false" ht="15" hidden="false" customHeight="false" outlineLevel="0" collapsed="false">
      <c r="A3337" s="3" t="n">
        <v>2021</v>
      </c>
      <c r="B3337" s="3" t="n">
        <v>2</v>
      </c>
      <c r="C3337" s="3" t="n">
        <v>17</v>
      </c>
      <c r="D3337" s="3" t="s">
        <v>3341</v>
      </c>
      <c r="E3337" s="4" t="n">
        <v>0</v>
      </c>
    </row>
    <row r="3338" customFormat="false" ht="15" hidden="false" customHeight="false" outlineLevel="0" collapsed="false">
      <c r="A3338" s="3" t="n">
        <v>2021</v>
      </c>
      <c r="B3338" s="3" t="n">
        <v>2</v>
      </c>
      <c r="C3338" s="3" t="n">
        <v>18</v>
      </c>
      <c r="D3338" s="3" t="s">
        <v>3342</v>
      </c>
      <c r="E3338" s="4" t="n">
        <v>0</v>
      </c>
    </row>
    <row r="3339" customFormat="false" ht="15" hidden="false" customHeight="false" outlineLevel="0" collapsed="false">
      <c r="A3339" s="3" t="n">
        <v>2021</v>
      </c>
      <c r="B3339" s="3" t="n">
        <v>2</v>
      </c>
      <c r="C3339" s="3" t="n">
        <v>19</v>
      </c>
      <c r="D3339" s="3" t="s">
        <v>3343</v>
      </c>
      <c r="E3339" s="4" t="n">
        <v>0</v>
      </c>
    </row>
    <row r="3340" customFormat="false" ht="15" hidden="false" customHeight="false" outlineLevel="0" collapsed="false">
      <c r="A3340" s="3" t="n">
        <v>2021</v>
      </c>
      <c r="B3340" s="3" t="n">
        <v>2</v>
      </c>
      <c r="C3340" s="3" t="n">
        <v>20</v>
      </c>
      <c r="D3340" s="3" t="s">
        <v>3344</v>
      </c>
      <c r="E3340" s="4" t="n">
        <v>0</v>
      </c>
    </row>
    <row r="3341" customFormat="false" ht="15" hidden="false" customHeight="false" outlineLevel="0" collapsed="false">
      <c r="A3341" s="3" t="n">
        <v>2021</v>
      </c>
      <c r="B3341" s="3" t="n">
        <v>2</v>
      </c>
      <c r="C3341" s="3" t="n">
        <v>21</v>
      </c>
      <c r="D3341" s="3" t="s">
        <v>3345</v>
      </c>
      <c r="E3341" s="4" t="n">
        <v>0</v>
      </c>
    </row>
    <row r="3342" customFormat="false" ht="15" hidden="false" customHeight="false" outlineLevel="0" collapsed="false">
      <c r="A3342" s="3" t="n">
        <v>2021</v>
      </c>
      <c r="B3342" s="3" t="n">
        <v>2</v>
      </c>
      <c r="C3342" s="3" t="n">
        <v>22</v>
      </c>
      <c r="D3342" s="3" t="s">
        <v>3346</v>
      </c>
      <c r="E3342" s="4" t="n">
        <v>0</v>
      </c>
    </row>
    <row r="3343" customFormat="false" ht="15" hidden="false" customHeight="false" outlineLevel="0" collapsed="false">
      <c r="A3343" s="3" t="n">
        <v>2021</v>
      </c>
      <c r="B3343" s="3" t="n">
        <v>2</v>
      </c>
      <c r="C3343" s="3" t="n">
        <v>23</v>
      </c>
      <c r="D3343" s="3" t="s">
        <v>3347</v>
      </c>
      <c r="E3343" s="4" t="n">
        <v>0</v>
      </c>
    </row>
    <row r="3344" customFormat="false" ht="15" hidden="false" customHeight="false" outlineLevel="0" collapsed="false">
      <c r="A3344" s="3" t="n">
        <v>2021</v>
      </c>
      <c r="B3344" s="3" t="n">
        <v>2</v>
      </c>
      <c r="C3344" s="3" t="n">
        <v>24</v>
      </c>
      <c r="D3344" s="3" t="s">
        <v>3348</v>
      </c>
      <c r="E3344" s="4" t="n">
        <v>2</v>
      </c>
    </row>
    <row r="3345" customFormat="false" ht="15" hidden="false" customHeight="false" outlineLevel="0" collapsed="false">
      <c r="A3345" s="3" t="n">
        <v>2021</v>
      </c>
      <c r="B3345" s="3" t="n">
        <v>2</v>
      </c>
      <c r="C3345" s="3" t="n">
        <v>25</v>
      </c>
      <c r="D3345" s="3" t="s">
        <v>3349</v>
      </c>
      <c r="E3345" s="4" t="n">
        <v>0</v>
      </c>
    </row>
    <row r="3346" customFormat="false" ht="15" hidden="false" customHeight="false" outlineLevel="0" collapsed="false">
      <c r="A3346" s="3" t="n">
        <v>2021</v>
      </c>
      <c r="B3346" s="3" t="n">
        <v>2</v>
      </c>
      <c r="C3346" s="3" t="n">
        <v>26</v>
      </c>
      <c r="D3346" s="3" t="s">
        <v>3350</v>
      </c>
      <c r="E3346" s="4" t="n">
        <v>0</v>
      </c>
    </row>
    <row r="3347" customFormat="false" ht="15" hidden="false" customHeight="false" outlineLevel="0" collapsed="false">
      <c r="A3347" s="3" t="n">
        <v>2021</v>
      </c>
      <c r="B3347" s="3" t="n">
        <v>2</v>
      </c>
      <c r="C3347" s="3" t="n">
        <v>27</v>
      </c>
      <c r="D3347" s="3" t="s">
        <v>3351</v>
      </c>
      <c r="E3347" s="4" t="n">
        <v>0</v>
      </c>
    </row>
    <row r="3348" customFormat="false" ht="15" hidden="false" customHeight="false" outlineLevel="0" collapsed="false">
      <c r="A3348" s="3" t="n">
        <v>2021</v>
      </c>
      <c r="B3348" s="3" t="n">
        <v>2</v>
      </c>
      <c r="C3348" s="3" t="n">
        <v>28</v>
      </c>
      <c r="D3348" s="3" t="s">
        <v>3352</v>
      </c>
      <c r="E3348" s="4" t="n">
        <v>0</v>
      </c>
    </row>
    <row r="3349" customFormat="false" ht="15" hidden="false" customHeight="false" outlineLevel="0" collapsed="false">
      <c r="A3349" s="3" t="n">
        <v>2021</v>
      </c>
      <c r="B3349" s="3" t="n">
        <v>3</v>
      </c>
      <c r="C3349" s="3" t="n">
        <v>1</v>
      </c>
      <c r="D3349" s="3" t="s">
        <v>3353</v>
      </c>
      <c r="E3349" s="4" t="n">
        <v>0</v>
      </c>
    </row>
    <row r="3350" customFormat="false" ht="15" hidden="false" customHeight="false" outlineLevel="0" collapsed="false">
      <c r="A3350" s="3" t="n">
        <v>2021</v>
      </c>
      <c r="B3350" s="3" t="n">
        <v>3</v>
      </c>
      <c r="C3350" s="3" t="n">
        <v>2</v>
      </c>
      <c r="D3350" s="3" t="s">
        <v>3354</v>
      </c>
      <c r="E3350" s="4" t="n">
        <v>0</v>
      </c>
    </row>
    <row r="3351" customFormat="false" ht="15" hidden="false" customHeight="false" outlineLevel="0" collapsed="false">
      <c r="A3351" s="3" t="n">
        <v>2021</v>
      </c>
      <c r="B3351" s="3" t="n">
        <v>3</v>
      </c>
      <c r="C3351" s="3" t="n">
        <v>3</v>
      </c>
      <c r="D3351" s="3" t="s">
        <v>3355</v>
      </c>
      <c r="E3351" s="4" t="n">
        <v>1</v>
      </c>
    </row>
    <row r="3352" customFormat="false" ht="15" hidden="false" customHeight="false" outlineLevel="0" collapsed="false">
      <c r="A3352" s="3" t="n">
        <v>2021</v>
      </c>
      <c r="B3352" s="3" t="n">
        <v>3</v>
      </c>
      <c r="C3352" s="3" t="n">
        <v>4</v>
      </c>
      <c r="D3352" s="3" t="s">
        <v>3356</v>
      </c>
      <c r="E3352" s="4" t="n">
        <v>8</v>
      </c>
    </row>
    <row r="3353" customFormat="false" ht="15" hidden="false" customHeight="false" outlineLevel="0" collapsed="false">
      <c r="A3353" s="3" t="n">
        <v>2021</v>
      </c>
      <c r="B3353" s="3" t="n">
        <v>3</v>
      </c>
      <c r="C3353" s="3" t="n">
        <v>5</v>
      </c>
      <c r="D3353" s="3" t="s">
        <v>3357</v>
      </c>
      <c r="E3353" s="4" t="n">
        <v>2</v>
      </c>
    </row>
    <row r="3354" customFormat="false" ht="15" hidden="false" customHeight="false" outlineLevel="0" collapsed="false">
      <c r="A3354" s="3" t="n">
        <v>2021</v>
      </c>
      <c r="B3354" s="3" t="n">
        <v>3</v>
      </c>
      <c r="C3354" s="3" t="n">
        <v>6</v>
      </c>
      <c r="D3354" s="3" t="s">
        <v>3358</v>
      </c>
      <c r="E3354" s="4" t="n">
        <v>0</v>
      </c>
    </row>
    <row r="3355" customFormat="false" ht="15" hidden="false" customHeight="false" outlineLevel="0" collapsed="false">
      <c r="A3355" s="3" t="n">
        <v>2021</v>
      </c>
      <c r="B3355" s="3" t="n">
        <v>3</v>
      </c>
      <c r="C3355" s="3" t="n">
        <v>7</v>
      </c>
      <c r="D3355" s="3" t="s">
        <v>3359</v>
      </c>
      <c r="E3355" s="4" t="n">
        <v>14</v>
      </c>
    </row>
    <row r="3356" customFormat="false" ht="15" hidden="false" customHeight="false" outlineLevel="0" collapsed="false">
      <c r="A3356" s="3" t="n">
        <v>2021</v>
      </c>
      <c r="B3356" s="3" t="n">
        <v>3</v>
      </c>
      <c r="C3356" s="3" t="n">
        <v>8</v>
      </c>
      <c r="D3356" s="3" t="s">
        <v>3360</v>
      </c>
      <c r="E3356" s="4" t="n">
        <v>29</v>
      </c>
    </row>
    <row r="3357" customFormat="false" ht="15" hidden="false" customHeight="false" outlineLevel="0" collapsed="false">
      <c r="A3357" s="3" t="n">
        <v>2021</v>
      </c>
      <c r="B3357" s="3" t="n">
        <v>3</v>
      </c>
      <c r="C3357" s="3" t="n">
        <v>9</v>
      </c>
      <c r="D3357" s="3" t="s">
        <v>3361</v>
      </c>
      <c r="E3357" s="4" t="n">
        <v>18</v>
      </c>
    </row>
    <row r="3358" customFormat="false" ht="15" hidden="false" customHeight="false" outlineLevel="0" collapsed="false">
      <c r="A3358" s="3" t="n">
        <v>2021</v>
      </c>
      <c r="B3358" s="3" t="n">
        <v>3</v>
      </c>
      <c r="C3358" s="3" t="n">
        <v>10</v>
      </c>
      <c r="D3358" s="3" t="s">
        <v>3362</v>
      </c>
      <c r="E3358" s="4" t="n">
        <v>0</v>
      </c>
    </row>
    <row r="3359" customFormat="false" ht="15" hidden="false" customHeight="false" outlineLevel="0" collapsed="false">
      <c r="A3359" s="3" t="n">
        <v>2021</v>
      </c>
      <c r="B3359" s="3" t="n">
        <v>3</v>
      </c>
      <c r="C3359" s="3" t="n">
        <v>11</v>
      </c>
      <c r="D3359" s="3" t="s">
        <v>3363</v>
      </c>
      <c r="E3359" s="4" t="n">
        <v>0</v>
      </c>
    </row>
    <row r="3360" customFormat="false" ht="15" hidden="false" customHeight="false" outlineLevel="0" collapsed="false">
      <c r="A3360" s="3" t="n">
        <v>2021</v>
      </c>
      <c r="B3360" s="3" t="n">
        <v>3</v>
      </c>
      <c r="C3360" s="3" t="n">
        <v>12</v>
      </c>
      <c r="D3360" s="3" t="s">
        <v>3364</v>
      </c>
      <c r="E3360" s="4" t="n">
        <v>0</v>
      </c>
    </row>
    <row r="3361" customFormat="false" ht="15" hidden="false" customHeight="false" outlineLevel="0" collapsed="false">
      <c r="A3361" s="3" t="n">
        <v>2021</v>
      </c>
      <c r="B3361" s="3" t="n">
        <v>3</v>
      </c>
      <c r="C3361" s="3" t="n">
        <v>13</v>
      </c>
      <c r="D3361" s="3" t="s">
        <v>3365</v>
      </c>
      <c r="E3361" s="4" t="n">
        <v>0</v>
      </c>
    </row>
    <row r="3362" customFormat="false" ht="15" hidden="false" customHeight="false" outlineLevel="0" collapsed="false">
      <c r="A3362" s="3" t="n">
        <v>2021</v>
      </c>
      <c r="B3362" s="3" t="n">
        <v>3</v>
      </c>
      <c r="C3362" s="3" t="n">
        <v>14</v>
      </c>
      <c r="D3362" s="3" t="s">
        <v>3366</v>
      </c>
      <c r="E3362" s="4" t="n">
        <v>0</v>
      </c>
    </row>
    <row r="3363" customFormat="false" ht="15" hidden="false" customHeight="false" outlineLevel="0" collapsed="false">
      <c r="A3363" s="3" t="n">
        <v>2021</v>
      </c>
      <c r="B3363" s="3" t="n">
        <v>3</v>
      </c>
      <c r="C3363" s="3" t="n">
        <v>15</v>
      </c>
      <c r="D3363" s="3" t="s">
        <v>3367</v>
      </c>
      <c r="E3363" s="4" t="n">
        <v>16</v>
      </c>
    </row>
    <row r="3364" customFormat="false" ht="15" hidden="false" customHeight="false" outlineLevel="0" collapsed="false">
      <c r="A3364" s="3" t="n">
        <v>2021</v>
      </c>
      <c r="B3364" s="3" t="n">
        <v>3</v>
      </c>
      <c r="C3364" s="3" t="n">
        <v>16</v>
      </c>
      <c r="D3364" s="3" t="s">
        <v>3368</v>
      </c>
      <c r="E3364" s="4" t="n">
        <v>0</v>
      </c>
    </row>
    <row r="3365" customFormat="false" ht="15" hidden="false" customHeight="false" outlineLevel="0" collapsed="false">
      <c r="A3365" s="3" t="n">
        <v>2021</v>
      </c>
      <c r="B3365" s="3" t="n">
        <v>3</v>
      </c>
      <c r="C3365" s="3" t="n">
        <v>17</v>
      </c>
      <c r="D3365" s="3" t="s">
        <v>3369</v>
      </c>
      <c r="E3365" s="4" t="n">
        <v>0</v>
      </c>
    </row>
    <row r="3366" customFormat="false" ht="15" hidden="false" customHeight="false" outlineLevel="0" collapsed="false">
      <c r="A3366" s="3" t="n">
        <v>2021</v>
      </c>
      <c r="B3366" s="3" t="n">
        <v>3</v>
      </c>
      <c r="C3366" s="3" t="n">
        <v>18</v>
      </c>
      <c r="D3366" s="3" t="s">
        <v>3370</v>
      </c>
      <c r="E3366" s="4" t="n">
        <v>0</v>
      </c>
    </row>
    <row r="3367" customFormat="false" ht="15" hidden="false" customHeight="false" outlineLevel="0" collapsed="false">
      <c r="A3367" s="3" t="n">
        <v>2021</v>
      </c>
      <c r="B3367" s="3" t="n">
        <v>3</v>
      </c>
      <c r="C3367" s="3" t="n">
        <v>19</v>
      </c>
      <c r="D3367" s="3" t="s">
        <v>3371</v>
      </c>
      <c r="E3367" s="4" t="n">
        <v>0</v>
      </c>
    </row>
    <row r="3368" customFormat="false" ht="15" hidden="false" customHeight="false" outlineLevel="0" collapsed="false">
      <c r="A3368" s="3" t="n">
        <v>2021</v>
      </c>
      <c r="B3368" s="3" t="n">
        <v>3</v>
      </c>
      <c r="C3368" s="3" t="n">
        <v>20</v>
      </c>
      <c r="D3368" s="3" t="s">
        <v>3372</v>
      </c>
      <c r="E3368" s="4" t="n">
        <v>0</v>
      </c>
    </row>
    <row r="3369" customFormat="false" ht="15" hidden="false" customHeight="false" outlineLevel="0" collapsed="false">
      <c r="A3369" s="3" t="n">
        <v>2021</v>
      </c>
      <c r="B3369" s="3" t="n">
        <v>3</v>
      </c>
      <c r="C3369" s="3" t="n">
        <v>21</v>
      </c>
      <c r="D3369" s="3" t="s">
        <v>3373</v>
      </c>
      <c r="E3369" s="4" t="n">
        <v>0</v>
      </c>
    </row>
    <row r="3370" customFormat="false" ht="15" hidden="false" customHeight="false" outlineLevel="0" collapsed="false">
      <c r="A3370" s="3" t="n">
        <v>2021</v>
      </c>
      <c r="B3370" s="3" t="n">
        <v>3</v>
      </c>
      <c r="C3370" s="3" t="n">
        <v>22</v>
      </c>
      <c r="D3370" s="3" t="s">
        <v>3374</v>
      </c>
      <c r="E3370" s="4" t="n">
        <v>47</v>
      </c>
    </row>
    <row r="3371" customFormat="false" ht="15" hidden="false" customHeight="false" outlineLevel="0" collapsed="false">
      <c r="A3371" s="3" t="n">
        <v>2021</v>
      </c>
      <c r="B3371" s="3" t="n">
        <v>3</v>
      </c>
      <c r="C3371" s="3" t="n">
        <v>23</v>
      </c>
      <c r="D3371" s="3" t="s">
        <v>3375</v>
      </c>
      <c r="E3371" s="4" t="n">
        <v>31</v>
      </c>
    </row>
    <row r="3372" customFormat="false" ht="15" hidden="false" customHeight="false" outlineLevel="0" collapsed="false">
      <c r="A3372" s="3" t="n">
        <v>2021</v>
      </c>
      <c r="B3372" s="3" t="n">
        <v>3</v>
      </c>
      <c r="C3372" s="3" t="n">
        <v>24</v>
      </c>
      <c r="D3372" s="3" t="s">
        <v>3376</v>
      </c>
      <c r="E3372" s="4" t="n">
        <v>13</v>
      </c>
    </row>
    <row r="3373" customFormat="false" ht="15" hidden="false" customHeight="false" outlineLevel="0" collapsed="false">
      <c r="A3373" s="3" t="n">
        <v>2021</v>
      </c>
      <c r="B3373" s="3" t="n">
        <v>3</v>
      </c>
      <c r="C3373" s="3" t="n">
        <v>25</v>
      </c>
      <c r="D3373" s="3" t="s">
        <v>3377</v>
      </c>
      <c r="E3373" s="4" t="n">
        <v>39</v>
      </c>
    </row>
    <row r="3374" customFormat="false" ht="15" hidden="false" customHeight="false" outlineLevel="0" collapsed="false">
      <c r="A3374" s="3" t="n">
        <v>2021</v>
      </c>
      <c r="B3374" s="3" t="n">
        <v>3</v>
      </c>
      <c r="C3374" s="3" t="n">
        <v>26</v>
      </c>
      <c r="D3374" s="3" t="s">
        <v>3378</v>
      </c>
      <c r="E3374" s="4" t="n">
        <v>0</v>
      </c>
    </row>
    <row r="3375" customFormat="false" ht="15" hidden="false" customHeight="false" outlineLevel="0" collapsed="false">
      <c r="A3375" s="3" t="n">
        <v>2021</v>
      </c>
      <c r="B3375" s="3" t="n">
        <v>3</v>
      </c>
      <c r="C3375" s="3" t="n">
        <v>27</v>
      </c>
      <c r="D3375" s="3" t="s">
        <v>3379</v>
      </c>
      <c r="E3375" s="4" t="n">
        <v>6</v>
      </c>
    </row>
    <row r="3376" customFormat="false" ht="15" hidden="false" customHeight="false" outlineLevel="0" collapsed="false">
      <c r="A3376" s="3" t="n">
        <v>2021</v>
      </c>
      <c r="B3376" s="3" t="n">
        <v>3</v>
      </c>
      <c r="C3376" s="3" t="n">
        <v>28</v>
      </c>
      <c r="D3376" s="3" t="s">
        <v>3380</v>
      </c>
      <c r="E3376" s="4" t="n">
        <v>0</v>
      </c>
    </row>
    <row r="3377" customFormat="false" ht="15" hidden="false" customHeight="false" outlineLevel="0" collapsed="false">
      <c r="A3377" s="3" t="n">
        <v>2021</v>
      </c>
      <c r="B3377" s="3" t="n">
        <v>3</v>
      </c>
      <c r="C3377" s="3" t="n">
        <v>29</v>
      </c>
      <c r="D3377" s="3" t="s">
        <v>3381</v>
      </c>
      <c r="E3377" s="4" t="n">
        <v>39</v>
      </c>
    </row>
    <row r="3378" customFormat="false" ht="15" hidden="false" customHeight="false" outlineLevel="0" collapsed="false">
      <c r="A3378" s="3" t="n">
        <v>2021</v>
      </c>
      <c r="B3378" s="3" t="n">
        <v>3</v>
      </c>
      <c r="C3378" s="3" t="n">
        <v>30</v>
      </c>
      <c r="D3378" s="3" t="s">
        <v>3382</v>
      </c>
      <c r="E3378" s="4" t="n">
        <v>0</v>
      </c>
    </row>
    <row r="3379" customFormat="false" ht="15" hidden="false" customHeight="false" outlineLevel="0" collapsed="false">
      <c r="A3379" s="3" t="n">
        <v>2021</v>
      </c>
      <c r="B3379" s="3" t="n">
        <v>3</v>
      </c>
      <c r="C3379" s="3" t="n">
        <v>31</v>
      </c>
      <c r="D3379" s="3" t="s">
        <v>3383</v>
      </c>
      <c r="E3379" s="4" t="n">
        <v>0</v>
      </c>
    </row>
    <row r="3380" customFormat="false" ht="15" hidden="false" customHeight="false" outlineLevel="0" collapsed="false">
      <c r="A3380" s="3" t="n">
        <v>2021</v>
      </c>
      <c r="B3380" s="3" t="n">
        <v>4</v>
      </c>
      <c r="C3380" s="3" t="n">
        <v>1</v>
      </c>
      <c r="D3380" s="3" t="s">
        <v>3384</v>
      </c>
      <c r="E3380" s="4" t="n">
        <v>0</v>
      </c>
    </row>
    <row r="3381" customFormat="false" ht="15" hidden="false" customHeight="false" outlineLevel="0" collapsed="false">
      <c r="A3381" s="3" t="n">
        <v>2021</v>
      </c>
      <c r="B3381" s="3" t="n">
        <v>4</v>
      </c>
      <c r="C3381" s="3" t="n">
        <v>2</v>
      </c>
      <c r="D3381" s="3" t="s">
        <v>3385</v>
      </c>
      <c r="E3381" s="4" t="n">
        <v>0</v>
      </c>
    </row>
    <row r="3382" customFormat="false" ht="15" hidden="false" customHeight="false" outlineLevel="0" collapsed="false">
      <c r="A3382" s="3" t="n">
        <v>2021</v>
      </c>
      <c r="B3382" s="3" t="n">
        <v>4</v>
      </c>
      <c r="C3382" s="3" t="n">
        <v>3</v>
      </c>
      <c r="D3382" s="3" t="s">
        <v>3386</v>
      </c>
      <c r="E3382" s="4" t="n">
        <v>0</v>
      </c>
    </row>
    <row r="3383" customFormat="false" ht="15" hidden="false" customHeight="false" outlineLevel="0" collapsed="false">
      <c r="A3383" s="3" t="n">
        <v>2021</v>
      </c>
      <c r="B3383" s="3" t="n">
        <v>4</v>
      </c>
      <c r="C3383" s="3" t="n">
        <v>4</v>
      </c>
      <c r="D3383" s="3" t="s">
        <v>3387</v>
      </c>
      <c r="E3383" s="4" t="n">
        <v>0</v>
      </c>
    </row>
    <row r="3384" customFormat="false" ht="15" hidden="false" customHeight="false" outlineLevel="0" collapsed="false">
      <c r="A3384" s="3" t="n">
        <v>2021</v>
      </c>
      <c r="B3384" s="3" t="n">
        <v>4</v>
      </c>
      <c r="C3384" s="3" t="n">
        <v>5</v>
      </c>
      <c r="D3384" s="3" t="s">
        <v>3388</v>
      </c>
      <c r="E3384" s="4" t="n">
        <v>0</v>
      </c>
    </row>
    <row r="3385" customFormat="false" ht="15" hidden="false" customHeight="false" outlineLevel="0" collapsed="false">
      <c r="A3385" s="3" t="n">
        <v>2021</v>
      </c>
      <c r="B3385" s="3" t="n">
        <v>4</v>
      </c>
      <c r="C3385" s="3" t="n">
        <v>6</v>
      </c>
      <c r="D3385" s="3" t="s">
        <v>3389</v>
      </c>
      <c r="E3385" s="4" t="n">
        <v>0</v>
      </c>
    </row>
    <row r="3386" customFormat="false" ht="15" hidden="false" customHeight="false" outlineLevel="0" collapsed="false">
      <c r="A3386" s="3" t="n">
        <v>2021</v>
      </c>
      <c r="B3386" s="3" t="n">
        <v>4</v>
      </c>
      <c r="C3386" s="3" t="n">
        <v>7</v>
      </c>
      <c r="D3386" s="3" t="s">
        <v>3390</v>
      </c>
      <c r="E3386" s="4" t="n">
        <v>0</v>
      </c>
    </row>
    <row r="3387" customFormat="false" ht="15" hidden="false" customHeight="false" outlineLevel="0" collapsed="false">
      <c r="A3387" s="3" t="n">
        <v>2021</v>
      </c>
      <c r="B3387" s="3" t="n">
        <v>4</v>
      </c>
      <c r="C3387" s="3" t="n">
        <v>8</v>
      </c>
      <c r="D3387" s="3" t="s">
        <v>3391</v>
      </c>
      <c r="E3387" s="4" t="n">
        <v>3</v>
      </c>
    </row>
    <row r="3388" customFormat="false" ht="15" hidden="false" customHeight="false" outlineLevel="0" collapsed="false">
      <c r="A3388" s="3" t="n">
        <v>2021</v>
      </c>
      <c r="B3388" s="3" t="n">
        <v>4</v>
      </c>
      <c r="C3388" s="3" t="n">
        <v>9</v>
      </c>
      <c r="D3388" s="3" t="s">
        <v>3392</v>
      </c>
      <c r="E3388" s="4" t="n">
        <v>0</v>
      </c>
    </row>
    <row r="3389" customFormat="false" ht="15" hidden="false" customHeight="false" outlineLevel="0" collapsed="false">
      <c r="A3389" s="3" t="n">
        <v>2021</v>
      </c>
      <c r="B3389" s="3" t="n">
        <v>4</v>
      </c>
      <c r="C3389" s="3" t="n">
        <v>10</v>
      </c>
      <c r="D3389" s="3" t="s">
        <v>3393</v>
      </c>
      <c r="E3389" s="4" t="n">
        <v>0</v>
      </c>
    </row>
    <row r="3390" customFormat="false" ht="15" hidden="false" customHeight="false" outlineLevel="0" collapsed="false">
      <c r="A3390" s="3" t="n">
        <v>2021</v>
      </c>
      <c r="B3390" s="3" t="n">
        <v>4</v>
      </c>
      <c r="C3390" s="3" t="n">
        <v>11</v>
      </c>
      <c r="D3390" s="3" t="s">
        <v>3394</v>
      </c>
      <c r="E3390" s="4" t="n">
        <v>1</v>
      </c>
    </row>
    <row r="3391" customFormat="false" ht="15" hidden="false" customHeight="false" outlineLevel="0" collapsed="false">
      <c r="A3391" s="3" t="n">
        <v>2021</v>
      </c>
      <c r="B3391" s="3" t="n">
        <v>4</v>
      </c>
      <c r="C3391" s="3" t="n">
        <v>12</v>
      </c>
      <c r="D3391" s="3" t="s">
        <v>3395</v>
      </c>
      <c r="E3391" s="4" t="n">
        <v>4</v>
      </c>
    </row>
    <row r="3392" customFormat="false" ht="15" hidden="false" customHeight="false" outlineLevel="0" collapsed="false">
      <c r="A3392" s="3" t="n">
        <v>2021</v>
      </c>
      <c r="B3392" s="3" t="n">
        <v>4</v>
      </c>
      <c r="C3392" s="3" t="n">
        <v>13</v>
      </c>
      <c r="D3392" s="3" t="s">
        <v>3396</v>
      </c>
      <c r="E3392" s="4" t="n">
        <v>0</v>
      </c>
    </row>
    <row r="3393" customFormat="false" ht="15" hidden="false" customHeight="false" outlineLevel="0" collapsed="false">
      <c r="A3393" s="3" t="n">
        <v>2021</v>
      </c>
      <c r="B3393" s="3" t="n">
        <v>4</v>
      </c>
      <c r="C3393" s="3" t="n">
        <v>14</v>
      </c>
      <c r="D3393" s="3" t="s">
        <v>3397</v>
      </c>
      <c r="E3393" s="4" t="n">
        <v>2</v>
      </c>
    </row>
    <row r="3394" customFormat="false" ht="15" hidden="false" customHeight="false" outlineLevel="0" collapsed="false">
      <c r="A3394" s="3" t="n">
        <v>2021</v>
      </c>
      <c r="B3394" s="3" t="n">
        <v>4</v>
      </c>
      <c r="C3394" s="3" t="n">
        <v>15</v>
      </c>
      <c r="D3394" s="3" t="s">
        <v>3398</v>
      </c>
      <c r="E3394" s="4" t="n">
        <v>8</v>
      </c>
    </row>
    <row r="3395" customFormat="false" ht="15" hidden="false" customHeight="false" outlineLevel="0" collapsed="false">
      <c r="A3395" s="3" t="n">
        <v>2021</v>
      </c>
      <c r="B3395" s="3" t="n">
        <v>4</v>
      </c>
      <c r="C3395" s="3" t="n">
        <v>16</v>
      </c>
      <c r="D3395" s="3" t="s">
        <v>3399</v>
      </c>
      <c r="E3395" s="4" t="n">
        <v>39</v>
      </c>
    </row>
    <row r="3396" customFormat="false" ht="15" hidden="false" customHeight="false" outlineLevel="0" collapsed="false">
      <c r="A3396" s="3" t="n">
        <v>2021</v>
      </c>
      <c r="B3396" s="3" t="n">
        <v>4</v>
      </c>
      <c r="C3396" s="3" t="n">
        <v>17</v>
      </c>
      <c r="D3396" s="3" t="s">
        <v>3400</v>
      </c>
      <c r="E3396" s="4" t="n">
        <v>11</v>
      </c>
    </row>
    <row r="3397" customFormat="false" ht="15" hidden="false" customHeight="false" outlineLevel="0" collapsed="false">
      <c r="A3397" s="3" t="n">
        <v>2021</v>
      </c>
      <c r="B3397" s="3" t="n">
        <v>4</v>
      </c>
      <c r="C3397" s="3" t="n">
        <v>18</v>
      </c>
      <c r="D3397" s="3" t="s">
        <v>3401</v>
      </c>
      <c r="E3397" s="4" t="n">
        <v>13</v>
      </c>
    </row>
    <row r="3398" customFormat="false" ht="15" hidden="false" customHeight="false" outlineLevel="0" collapsed="false">
      <c r="A3398" s="3" t="n">
        <v>2021</v>
      </c>
      <c r="B3398" s="3" t="n">
        <v>4</v>
      </c>
      <c r="C3398" s="3" t="n">
        <v>19</v>
      </c>
      <c r="D3398" s="3" t="s">
        <v>3402</v>
      </c>
      <c r="E3398" s="4" t="n">
        <v>0</v>
      </c>
    </row>
    <row r="3399" customFormat="false" ht="15" hidden="false" customHeight="false" outlineLevel="0" collapsed="false">
      <c r="A3399" s="3" t="n">
        <v>2021</v>
      </c>
      <c r="B3399" s="3" t="n">
        <v>4</v>
      </c>
      <c r="C3399" s="3" t="n">
        <v>20</v>
      </c>
      <c r="D3399" s="3" t="s">
        <v>3403</v>
      </c>
      <c r="E3399" s="4" t="n">
        <v>16</v>
      </c>
    </row>
    <row r="3400" customFormat="false" ht="15" hidden="false" customHeight="false" outlineLevel="0" collapsed="false">
      <c r="A3400" s="3" t="n">
        <v>2021</v>
      </c>
      <c r="B3400" s="3" t="n">
        <v>4</v>
      </c>
      <c r="C3400" s="3" t="n">
        <v>21</v>
      </c>
      <c r="D3400" s="3" t="s">
        <v>3404</v>
      </c>
      <c r="E3400" s="4" t="n">
        <v>24</v>
      </c>
    </row>
    <row r="3401" customFormat="false" ht="15" hidden="false" customHeight="false" outlineLevel="0" collapsed="false">
      <c r="A3401" s="3" t="n">
        <v>2021</v>
      </c>
      <c r="B3401" s="3" t="n">
        <v>4</v>
      </c>
      <c r="C3401" s="3" t="n">
        <v>22</v>
      </c>
      <c r="D3401" s="3" t="s">
        <v>3405</v>
      </c>
      <c r="E3401" s="4" t="n">
        <v>0</v>
      </c>
    </row>
    <row r="3402" customFormat="false" ht="15" hidden="false" customHeight="false" outlineLevel="0" collapsed="false">
      <c r="A3402" s="3" t="n">
        <v>2021</v>
      </c>
      <c r="B3402" s="3" t="n">
        <v>4</v>
      </c>
      <c r="C3402" s="3" t="n">
        <v>23</v>
      </c>
      <c r="D3402" s="3" t="s">
        <v>3406</v>
      </c>
      <c r="E3402" s="4" t="n">
        <v>45</v>
      </c>
    </row>
    <row r="3403" customFormat="false" ht="15" hidden="false" customHeight="false" outlineLevel="0" collapsed="false">
      <c r="A3403" s="3" t="n">
        <v>2021</v>
      </c>
      <c r="B3403" s="3" t="n">
        <v>4</v>
      </c>
      <c r="C3403" s="3" t="n">
        <v>24</v>
      </c>
      <c r="D3403" s="3" t="s">
        <v>3407</v>
      </c>
      <c r="E3403" s="4" t="n">
        <v>1</v>
      </c>
    </row>
    <row r="3404" customFormat="false" ht="15" hidden="false" customHeight="false" outlineLevel="0" collapsed="false">
      <c r="A3404" s="3" t="n">
        <v>2021</v>
      </c>
      <c r="B3404" s="3" t="n">
        <v>4</v>
      </c>
      <c r="C3404" s="3" t="n">
        <v>25</v>
      </c>
      <c r="D3404" s="3" t="s">
        <v>3408</v>
      </c>
      <c r="E3404" s="4" t="n">
        <v>0</v>
      </c>
    </row>
    <row r="3405" customFormat="false" ht="15" hidden="false" customHeight="false" outlineLevel="0" collapsed="false">
      <c r="A3405" s="3" t="n">
        <v>2021</v>
      </c>
      <c r="B3405" s="3" t="n">
        <v>4</v>
      </c>
      <c r="C3405" s="3" t="n">
        <v>26</v>
      </c>
      <c r="D3405" s="3" t="s">
        <v>3409</v>
      </c>
      <c r="E3405" s="4" t="n">
        <v>5</v>
      </c>
    </row>
    <row r="3406" customFormat="false" ht="15" hidden="false" customHeight="false" outlineLevel="0" collapsed="false">
      <c r="A3406" s="3" t="n">
        <v>2021</v>
      </c>
      <c r="B3406" s="3" t="n">
        <v>4</v>
      </c>
      <c r="C3406" s="3" t="n">
        <v>27</v>
      </c>
      <c r="D3406" s="3" t="s">
        <v>3410</v>
      </c>
      <c r="E3406" s="4" t="n">
        <v>13</v>
      </c>
    </row>
    <row r="3407" customFormat="false" ht="15" hidden="false" customHeight="false" outlineLevel="0" collapsed="false">
      <c r="A3407" s="3" t="n">
        <v>2021</v>
      </c>
      <c r="B3407" s="3" t="n">
        <v>4</v>
      </c>
      <c r="C3407" s="3" t="n">
        <v>28</v>
      </c>
      <c r="D3407" s="3" t="s">
        <v>3411</v>
      </c>
      <c r="E3407" s="4" t="n">
        <v>32</v>
      </c>
    </row>
    <row r="3408" customFormat="false" ht="15" hidden="false" customHeight="false" outlineLevel="0" collapsed="false">
      <c r="A3408" s="3" t="n">
        <v>2021</v>
      </c>
      <c r="B3408" s="3" t="n">
        <v>4</v>
      </c>
      <c r="C3408" s="3" t="n">
        <v>29</v>
      </c>
      <c r="D3408" s="3" t="s">
        <v>3412</v>
      </c>
      <c r="E3408" s="4" t="n">
        <v>0</v>
      </c>
    </row>
    <row r="3409" customFormat="false" ht="15" hidden="false" customHeight="false" outlineLevel="0" collapsed="false">
      <c r="A3409" s="3" t="n">
        <v>2021</v>
      </c>
      <c r="B3409" s="3" t="n">
        <v>4</v>
      </c>
      <c r="C3409" s="3" t="n">
        <v>30</v>
      </c>
      <c r="D3409" s="3" t="s">
        <v>3413</v>
      </c>
      <c r="E3409" s="4" t="n">
        <v>23</v>
      </c>
    </row>
    <row r="3410" customFormat="false" ht="15" hidden="false" customHeight="false" outlineLevel="0" collapsed="false">
      <c r="A3410" s="3" t="n">
        <v>2021</v>
      </c>
      <c r="B3410" s="3" t="n">
        <v>5</v>
      </c>
      <c r="C3410" s="3" t="n">
        <v>1</v>
      </c>
      <c r="D3410" s="3" t="s">
        <v>3414</v>
      </c>
      <c r="E3410" s="4" t="n">
        <v>0</v>
      </c>
    </row>
    <row r="3411" customFormat="false" ht="15" hidden="false" customHeight="false" outlineLevel="0" collapsed="false">
      <c r="A3411" s="3" t="n">
        <v>2021</v>
      </c>
      <c r="B3411" s="3" t="n">
        <v>5</v>
      </c>
      <c r="C3411" s="3" t="n">
        <v>2</v>
      </c>
      <c r="D3411" s="3" t="s">
        <v>3415</v>
      </c>
      <c r="E3411" s="4" t="n">
        <v>0</v>
      </c>
    </row>
    <row r="3412" customFormat="false" ht="15" hidden="false" customHeight="false" outlineLevel="0" collapsed="false">
      <c r="A3412" s="3" t="n">
        <v>2021</v>
      </c>
      <c r="B3412" s="3" t="n">
        <v>5</v>
      </c>
      <c r="C3412" s="3" t="n">
        <v>3</v>
      </c>
      <c r="D3412" s="3" t="s">
        <v>3416</v>
      </c>
      <c r="E3412" s="4" t="n">
        <v>34</v>
      </c>
    </row>
    <row r="3413" customFormat="false" ht="15" hidden="false" customHeight="false" outlineLevel="0" collapsed="false">
      <c r="A3413" s="3" t="n">
        <v>2021</v>
      </c>
      <c r="B3413" s="3" t="n">
        <v>5</v>
      </c>
      <c r="C3413" s="3" t="n">
        <v>4</v>
      </c>
      <c r="D3413" s="3" t="s">
        <v>3417</v>
      </c>
      <c r="E3413" s="4" t="n">
        <v>0</v>
      </c>
    </row>
    <row r="3414" customFormat="false" ht="15" hidden="false" customHeight="false" outlineLevel="0" collapsed="false">
      <c r="A3414" s="3" t="n">
        <v>2021</v>
      </c>
      <c r="B3414" s="3" t="n">
        <v>5</v>
      </c>
      <c r="C3414" s="3" t="n">
        <v>5</v>
      </c>
      <c r="D3414" s="3" t="s">
        <v>3418</v>
      </c>
      <c r="E3414" s="4" t="n">
        <v>8</v>
      </c>
    </row>
    <row r="3415" customFormat="false" ht="15" hidden="false" customHeight="false" outlineLevel="0" collapsed="false">
      <c r="A3415" s="3" t="n">
        <v>2021</v>
      </c>
      <c r="B3415" s="3" t="n">
        <v>5</v>
      </c>
      <c r="C3415" s="3" t="n">
        <v>6</v>
      </c>
      <c r="D3415" s="3" t="s">
        <v>3419</v>
      </c>
      <c r="E3415" s="4" t="n">
        <v>39</v>
      </c>
    </row>
    <row r="3416" customFormat="false" ht="15" hidden="false" customHeight="false" outlineLevel="0" collapsed="false">
      <c r="A3416" s="3" t="n">
        <v>2021</v>
      </c>
      <c r="B3416" s="3" t="n">
        <v>5</v>
      </c>
      <c r="C3416" s="3" t="n">
        <v>7</v>
      </c>
      <c r="D3416" s="3" t="s">
        <v>3420</v>
      </c>
      <c r="E3416" s="4" t="n">
        <v>3</v>
      </c>
    </row>
    <row r="3417" customFormat="false" ht="15" hidden="false" customHeight="false" outlineLevel="0" collapsed="false">
      <c r="A3417" s="3" t="n">
        <v>2021</v>
      </c>
      <c r="B3417" s="3" t="n">
        <v>5</v>
      </c>
      <c r="C3417" s="3" t="n">
        <v>8</v>
      </c>
      <c r="D3417" s="3" t="s">
        <v>3421</v>
      </c>
      <c r="E3417" s="4" t="n">
        <v>3</v>
      </c>
    </row>
    <row r="3418" customFormat="false" ht="15" hidden="false" customHeight="false" outlineLevel="0" collapsed="false">
      <c r="A3418" s="3" t="n">
        <v>2021</v>
      </c>
      <c r="B3418" s="3" t="n">
        <v>5</v>
      </c>
      <c r="C3418" s="3" t="n">
        <v>9</v>
      </c>
      <c r="D3418" s="3" t="s">
        <v>3422</v>
      </c>
      <c r="E3418" s="4" t="n">
        <v>25</v>
      </c>
    </row>
    <row r="3419" customFormat="false" ht="15" hidden="false" customHeight="false" outlineLevel="0" collapsed="false">
      <c r="A3419" s="3" t="n">
        <v>2021</v>
      </c>
      <c r="B3419" s="3" t="n">
        <v>5</v>
      </c>
      <c r="C3419" s="3" t="n">
        <v>10</v>
      </c>
      <c r="D3419" s="3" t="s">
        <v>3423</v>
      </c>
      <c r="E3419" s="4" t="n">
        <v>12</v>
      </c>
    </row>
    <row r="3420" customFormat="false" ht="15" hidden="false" customHeight="false" outlineLevel="0" collapsed="false">
      <c r="A3420" s="3" t="n">
        <v>2021</v>
      </c>
      <c r="B3420" s="3" t="n">
        <v>5</v>
      </c>
      <c r="C3420" s="3" t="n">
        <v>11</v>
      </c>
      <c r="D3420" s="3" t="s">
        <v>3424</v>
      </c>
      <c r="E3420" s="4" t="n">
        <v>8</v>
      </c>
    </row>
    <row r="3421" customFormat="false" ht="15" hidden="false" customHeight="false" outlineLevel="0" collapsed="false">
      <c r="A3421" s="3" t="n">
        <v>2021</v>
      </c>
      <c r="B3421" s="3" t="n">
        <v>5</v>
      </c>
      <c r="C3421" s="3" t="n">
        <v>12</v>
      </c>
      <c r="D3421" s="3" t="s">
        <v>3425</v>
      </c>
      <c r="E3421" s="4" t="n">
        <v>0</v>
      </c>
    </row>
    <row r="3422" customFormat="false" ht="15" hidden="false" customHeight="false" outlineLevel="0" collapsed="false">
      <c r="A3422" s="3" t="n">
        <v>2021</v>
      </c>
      <c r="B3422" s="3" t="n">
        <v>5</v>
      </c>
      <c r="C3422" s="3" t="n">
        <v>13</v>
      </c>
      <c r="D3422" s="3" t="s">
        <v>3426</v>
      </c>
      <c r="E3422" s="4" t="n">
        <v>17</v>
      </c>
    </row>
    <row r="3423" customFormat="false" ht="15" hidden="false" customHeight="false" outlineLevel="0" collapsed="false">
      <c r="A3423" s="3" t="n">
        <v>2021</v>
      </c>
      <c r="B3423" s="3" t="n">
        <v>5</v>
      </c>
      <c r="C3423" s="3" t="n">
        <v>14</v>
      </c>
      <c r="D3423" s="3" t="s">
        <v>3427</v>
      </c>
      <c r="E3423" s="4" t="n">
        <v>0</v>
      </c>
    </row>
    <row r="3424" customFormat="false" ht="15" hidden="false" customHeight="false" outlineLevel="0" collapsed="false">
      <c r="A3424" s="3" t="n">
        <v>2021</v>
      </c>
      <c r="B3424" s="3" t="n">
        <v>5</v>
      </c>
      <c r="C3424" s="3" t="n">
        <v>15</v>
      </c>
      <c r="D3424" s="3" t="s">
        <v>3428</v>
      </c>
      <c r="E3424" s="4" t="n">
        <v>1</v>
      </c>
    </row>
    <row r="3425" customFormat="false" ht="15" hidden="false" customHeight="false" outlineLevel="0" collapsed="false">
      <c r="A3425" s="3" t="n">
        <v>2021</v>
      </c>
      <c r="B3425" s="3" t="n">
        <v>5</v>
      </c>
      <c r="C3425" s="3" t="n">
        <v>16</v>
      </c>
      <c r="D3425" s="3" t="s">
        <v>3429</v>
      </c>
      <c r="E3425" s="4" t="n">
        <v>2</v>
      </c>
    </row>
    <row r="3426" customFormat="false" ht="15" hidden="false" customHeight="false" outlineLevel="0" collapsed="false">
      <c r="A3426" s="3" t="n">
        <v>2021</v>
      </c>
      <c r="B3426" s="3" t="n">
        <v>5</v>
      </c>
      <c r="C3426" s="3" t="n">
        <v>17</v>
      </c>
      <c r="D3426" s="3" t="s">
        <v>3430</v>
      </c>
      <c r="E3426" s="4" t="n">
        <v>0</v>
      </c>
    </row>
    <row r="3427" customFormat="false" ht="15" hidden="false" customHeight="false" outlineLevel="0" collapsed="false">
      <c r="A3427" s="3" t="n">
        <v>2021</v>
      </c>
      <c r="B3427" s="3" t="n">
        <v>5</v>
      </c>
      <c r="C3427" s="3" t="n">
        <v>18</v>
      </c>
      <c r="D3427" s="3" t="s">
        <v>3431</v>
      </c>
      <c r="E3427" s="4" t="n">
        <v>72</v>
      </c>
    </row>
    <row r="3428" customFormat="false" ht="15" hidden="false" customHeight="false" outlineLevel="0" collapsed="false">
      <c r="A3428" s="3" t="n">
        <v>2021</v>
      </c>
      <c r="B3428" s="3" t="n">
        <v>5</v>
      </c>
      <c r="C3428" s="3" t="n">
        <v>19</v>
      </c>
      <c r="D3428" s="3" t="s">
        <v>3432</v>
      </c>
      <c r="E3428" s="4" t="n">
        <v>36</v>
      </c>
    </row>
    <row r="3429" customFormat="false" ht="15" hidden="false" customHeight="false" outlineLevel="0" collapsed="false">
      <c r="A3429" s="3" t="n">
        <v>2021</v>
      </c>
      <c r="B3429" s="3" t="n">
        <v>5</v>
      </c>
      <c r="C3429" s="3" t="n">
        <v>20</v>
      </c>
      <c r="D3429" s="3" t="s">
        <v>3433</v>
      </c>
      <c r="E3429" s="4" t="n">
        <v>6</v>
      </c>
    </row>
    <row r="3430" customFormat="false" ht="15" hidden="false" customHeight="false" outlineLevel="0" collapsed="false">
      <c r="A3430" s="3" t="n">
        <v>2021</v>
      </c>
      <c r="B3430" s="3" t="n">
        <v>5</v>
      </c>
      <c r="C3430" s="3" t="n">
        <v>21</v>
      </c>
      <c r="D3430" s="3" t="s">
        <v>3434</v>
      </c>
      <c r="E3430" s="4" t="n">
        <v>15</v>
      </c>
    </row>
    <row r="3431" customFormat="false" ht="15" hidden="false" customHeight="false" outlineLevel="0" collapsed="false">
      <c r="A3431" s="3" t="n">
        <v>2021</v>
      </c>
      <c r="B3431" s="3" t="n">
        <v>5</v>
      </c>
      <c r="C3431" s="3" t="n">
        <v>22</v>
      </c>
      <c r="D3431" s="3" t="s">
        <v>3435</v>
      </c>
      <c r="E3431" s="4" t="n">
        <v>2</v>
      </c>
    </row>
    <row r="3432" customFormat="false" ht="15" hidden="false" customHeight="false" outlineLevel="0" collapsed="false">
      <c r="A3432" s="3" t="n">
        <v>2021</v>
      </c>
      <c r="B3432" s="3" t="n">
        <v>5</v>
      </c>
      <c r="C3432" s="3" t="n">
        <v>23</v>
      </c>
      <c r="D3432" s="3" t="s">
        <v>3436</v>
      </c>
      <c r="E3432" s="4" t="n">
        <v>64</v>
      </c>
    </row>
    <row r="3433" customFormat="false" ht="15" hidden="false" customHeight="false" outlineLevel="0" collapsed="false">
      <c r="A3433" s="3" t="n">
        <v>2021</v>
      </c>
      <c r="B3433" s="3" t="n">
        <v>5</v>
      </c>
      <c r="C3433" s="3" t="n">
        <v>24</v>
      </c>
      <c r="D3433" s="3" t="s">
        <v>3437</v>
      </c>
      <c r="E3433" s="4" t="n">
        <v>0</v>
      </c>
    </row>
    <row r="3434" customFormat="false" ht="15" hidden="false" customHeight="false" outlineLevel="0" collapsed="false">
      <c r="A3434" s="3" t="n">
        <v>2021</v>
      </c>
      <c r="B3434" s="3" t="n">
        <v>5</v>
      </c>
      <c r="C3434" s="3" t="n">
        <v>25</v>
      </c>
      <c r="D3434" s="3" t="s">
        <v>3438</v>
      </c>
      <c r="E3434" s="4" t="n">
        <v>0</v>
      </c>
    </row>
    <row r="3435" customFormat="false" ht="15" hidden="false" customHeight="false" outlineLevel="0" collapsed="false">
      <c r="A3435" s="3" t="n">
        <v>2021</v>
      </c>
      <c r="B3435" s="3" t="n">
        <v>5</v>
      </c>
      <c r="C3435" s="3" t="n">
        <v>26</v>
      </c>
      <c r="D3435" s="3" t="s">
        <v>3439</v>
      </c>
      <c r="E3435" s="4" t="n">
        <v>0</v>
      </c>
    </row>
    <row r="3436" customFormat="false" ht="15" hidden="false" customHeight="false" outlineLevel="0" collapsed="false">
      <c r="A3436" s="3" t="n">
        <v>2021</v>
      </c>
      <c r="B3436" s="3" t="n">
        <v>5</v>
      </c>
      <c r="C3436" s="3" t="n">
        <v>27</v>
      </c>
      <c r="D3436" s="3" t="s">
        <v>3440</v>
      </c>
      <c r="E3436" s="4" t="n">
        <v>4</v>
      </c>
    </row>
    <row r="3437" customFormat="false" ht="15" hidden="false" customHeight="false" outlineLevel="0" collapsed="false">
      <c r="A3437" s="3" t="n">
        <v>2021</v>
      </c>
      <c r="B3437" s="3" t="n">
        <v>5</v>
      </c>
      <c r="C3437" s="3" t="n">
        <v>28</v>
      </c>
      <c r="D3437" s="3" t="s">
        <v>3441</v>
      </c>
      <c r="E3437" s="4" t="n">
        <v>0</v>
      </c>
    </row>
    <row r="3438" customFormat="false" ht="15" hidden="false" customHeight="false" outlineLevel="0" collapsed="false">
      <c r="A3438" s="3" t="n">
        <v>2021</v>
      </c>
      <c r="B3438" s="3" t="n">
        <v>5</v>
      </c>
      <c r="C3438" s="3" t="n">
        <v>29</v>
      </c>
      <c r="D3438" s="3" t="s">
        <v>3442</v>
      </c>
      <c r="E3438" s="4" t="n">
        <v>18</v>
      </c>
    </row>
    <row r="3439" customFormat="false" ht="15" hidden="false" customHeight="false" outlineLevel="0" collapsed="false">
      <c r="A3439" s="3" t="n">
        <v>2021</v>
      </c>
      <c r="B3439" s="3" t="n">
        <v>5</v>
      </c>
      <c r="C3439" s="3" t="n">
        <v>30</v>
      </c>
      <c r="D3439" s="3" t="s">
        <v>3443</v>
      </c>
      <c r="E3439" s="4" t="n">
        <v>5</v>
      </c>
    </row>
    <row r="3440" customFormat="false" ht="15" hidden="false" customHeight="false" outlineLevel="0" collapsed="false">
      <c r="A3440" s="3" t="n">
        <v>2021</v>
      </c>
      <c r="B3440" s="3" t="n">
        <v>5</v>
      </c>
      <c r="C3440" s="3" t="n">
        <v>31</v>
      </c>
      <c r="D3440" s="3" t="s">
        <v>3444</v>
      </c>
      <c r="E3440" s="4" t="n">
        <v>91</v>
      </c>
    </row>
    <row r="3441" customFormat="false" ht="15" hidden="false" customHeight="false" outlineLevel="0" collapsed="false">
      <c r="A3441" s="3" t="n">
        <v>2021</v>
      </c>
      <c r="B3441" s="3" t="n">
        <v>6</v>
      </c>
      <c r="C3441" s="3" t="n">
        <v>1</v>
      </c>
      <c r="D3441" s="3" t="s">
        <v>3445</v>
      </c>
      <c r="E3441" s="4" t="n">
        <v>2</v>
      </c>
    </row>
    <row r="3442" customFormat="false" ht="15" hidden="false" customHeight="false" outlineLevel="0" collapsed="false">
      <c r="A3442" s="3" t="n">
        <v>2021</v>
      </c>
      <c r="B3442" s="3" t="n">
        <v>6</v>
      </c>
      <c r="C3442" s="3" t="n">
        <v>2</v>
      </c>
      <c r="D3442" s="3" t="s">
        <v>3446</v>
      </c>
      <c r="E3442" s="4" t="n">
        <v>6</v>
      </c>
    </row>
    <row r="3443" customFormat="false" ht="15" hidden="false" customHeight="false" outlineLevel="0" collapsed="false">
      <c r="A3443" s="3" t="n">
        <v>2021</v>
      </c>
      <c r="B3443" s="3" t="n">
        <v>6</v>
      </c>
      <c r="C3443" s="3" t="n">
        <v>3</v>
      </c>
      <c r="D3443" s="3" t="s">
        <v>3447</v>
      </c>
      <c r="E3443" s="4" t="n">
        <v>2</v>
      </c>
    </row>
    <row r="3444" customFormat="false" ht="15" hidden="false" customHeight="false" outlineLevel="0" collapsed="false">
      <c r="A3444" s="3" t="n">
        <v>2021</v>
      </c>
      <c r="B3444" s="3" t="n">
        <v>6</v>
      </c>
      <c r="C3444" s="3" t="n">
        <v>4</v>
      </c>
      <c r="D3444" s="3" t="s">
        <v>3448</v>
      </c>
      <c r="E3444" s="4" t="n">
        <v>0</v>
      </c>
    </row>
    <row r="3445" customFormat="false" ht="15" hidden="false" customHeight="false" outlineLevel="0" collapsed="false">
      <c r="A3445" s="3" t="n">
        <v>2021</v>
      </c>
      <c r="B3445" s="3" t="n">
        <v>6</v>
      </c>
      <c r="C3445" s="3" t="n">
        <v>5</v>
      </c>
      <c r="D3445" s="3" t="s">
        <v>3449</v>
      </c>
      <c r="E3445" s="4" t="n">
        <v>0</v>
      </c>
    </row>
    <row r="3446" customFormat="false" ht="15" hidden="false" customHeight="false" outlineLevel="0" collapsed="false">
      <c r="A3446" s="3" t="n">
        <v>2021</v>
      </c>
      <c r="B3446" s="3" t="n">
        <v>6</v>
      </c>
      <c r="C3446" s="3" t="n">
        <v>6</v>
      </c>
      <c r="D3446" s="3" t="s">
        <v>3450</v>
      </c>
      <c r="E3446" s="4" t="n">
        <v>2</v>
      </c>
    </row>
    <row r="3447" customFormat="false" ht="15" hidden="false" customHeight="false" outlineLevel="0" collapsed="false">
      <c r="A3447" s="3" t="n">
        <v>2021</v>
      </c>
      <c r="B3447" s="3" t="n">
        <v>6</v>
      </c>
      <c r="C3447" s="3" t="n">
        <v>7</v>
      </c>
      <c r="D3447" s="3" t="s">
        <v>3451</v>
      </c>
      <c r="E3447" s="4" t="n">
        <v>6</v>
      </c>
    </row>
    <row r="3448" customFormat="false" ht="15" hidden="false" customHeight="false" outlineLevel="0" collapsed="false">
      <c r="A3448" s="3" t="n">
        <v>2021</v>
      </c>
      <c r="B3448" s="3" t="n">
        <v>6</v>
      </c>
      <c r="C3448" s="3" t="n">
        <v>8</v>
      </c>
      <c r="D3448" s="3" t="s">
        <v>3452</v>
      </c>
      <c r="E3448" s="4" t="n">
        <v>0</v>
      </c>
    </row>
    <row r="3449" customFormat="false" ht="15" hidden="false" customHeight="false" outlineLevel="0" collapsed="false">
      <c r="A3449" s="3" t="n">
        <v>2021</v>
      </c>
      <c r="B3449" s="3" t="n">
        <v>6</v>
      </c>
      <c r="C3449" s="3" t="n">
        <v>9</v>
      </c>
      <c r="D3449" s="3" t="s">
        <v>3453</v>
      </c>
      <c r="E3449" s="4" t="n">
        <v>12</v>
      </c>
    </row>
    <row r="3450" customFormat="false" ht="15" hidden="false" customHeight="false" outlineLevel="0" collapsed="false">
      <c r="A3450" s="3" t="n">
        <v>2021</v>
      </c>
      <c r="B3450" s="3" t="n">
        <v>6</v>
      </c>
      <c r="C3450" s="3" t="n">
        <v>10</v>
      </c>
      <c r="D3450" s="3" t="s">
        <v>3454</v>
      </c>
      <c r="E3450" s="4" t="n">
        <v>45</v>
      </c>
    </row>
    <row r="3451" customFormat="false" ht="15" hidden="false" customHeight="false" outlineLevel="0" collapsed="false">
      <c r="A3451" s="3" t="n">
        <v>2021</v>
      </c>
      <c r="B3451" s="3" t="n">
        <v>6</v>
      </c>
      <c r="C3451" s="3" t="n">
        <v>11</v>
      </c>
      <c r="D3451" s="3" t="s">
        <v>3455</v>
      </c>
      <c r="E3451" s="4" t="n">
        <v>0</v>
      </c>
    </row>
    <row r="3452" customFormat="false" ht="15" hidden="false" customHeight="false" outlineLevel="0" collapsed="false">
      <c r="A3452" s="3" t="n">
        <v>2021</v>
      </c>
      <c r="B3452" s="3" t="n">
        <v>6</v>
      </c>
      <c r="C3452" s="3" t="n">
        <v>12</v>
      </c>
      <c r="D3452" s="3" t="s">
        <v>3456</v>
      </c>
      <c r="E3452" s="4" t="n">
        <v>34</v>
      </c>
    </row>
    <row r="3453" customFormat="false" ht="15" hidden="false" customHeight="false" outlineLevel="0" collapsed="false">
      <c r="A3453" s="3" t="n">
        <v>2021</v>
      </c>
      <c r="B3453" s="3" t="n">
        <v>6</v>
      </c>
      <c r="C3453" s="3" t="n">
        <v>13</v>
      </c>
      <c r="D3453" s="3" t="s">
        <v>3457</v>
      </c>
      <c r="E3453" s="4" t="n">
        <v>0</v>
      </c>
    </row>
    <row r="3454" customFormat="false" ht="15" hidden="false" customHeight="false" outlineLevel="0" collapsed="false">
      <c r="A3454" s="3" t="n">
        <v>2021</v>
      </c>
      <c r="B3454" s="3" t="n">
        <v>6</v>
      </c>
      <c r="C3454" s="3" t="n">
        <v>14</v>
      </c>
      <c r="D3454" s="3" t="s">
        <v>3458</v>
      </c>
      <c r="E3454" s="4" t="n">
        <v>35</v>
      </c>
    </row>
    <row r="3455" customFormat="false" ht="15" hidden="false" customHeight="false" outlineLevel="0" collapsed="false">
      <c r="A3455" s="3" t="n">
        <v>2021</v>
      </c>
      <c r="B3455" s="3" t="n">
        <v>6</v>
      </c>
      <c r="C3455" s="3" t="n">
        <v>15</v>
      </c>
      <c r="D3455" s="3" t="s">
        <v>3459</v>
      </c>
      <c r="E3455" s="4" t="n">
        <v>0</v>
      </c>
    </row>
    <row r="3456" customFormat="false" ht="15" hidden="false" customHeight="false" outlineLevel="0" collapsed="false">
      <c r="A3456" s="3" t="n">
        <v>2021</v>
      </c>
      <c r="B3456" s="3" t="n">
        <v>6</v>
      </c>
      <c r="C3456" s="3" t="n">
        <v>16</v>
      </c>
      <c r="D3456" s="3" t="s">
        <v>3460</v>
      </c>
      <c r="E3456" s="4" t="n">
        <v>74</v>
      </c>
    </row>
    <row r="3457" customFormat="false" ht="15" hidden="false" customHeight="false" outlineLevel="0" collapsed="false">
      <c r="A3457" s="3" t="n">
        <v>2021</v>
      </c>
      <c r="B3457" s="3" t="n">
        <v>6</v>
      </c>
      <c r="C3457" s="3" t="n">
        <v>17</v>
      </c>
      <c r="D3457" s="3" t="s">
        <v>3461</v>
      </c>
      <c r="E3457" s="4" t="n">
        <v>2</v>
      </c>
    </row>
    <row r="3458" customFormat="false" ht="15" hidden="false" customHeight="false" outlineLevel="0" collapsed="false">
      <c r="A3458" s="3" t="n">
        <v>2021</v>
      </c>
      <c r="B3458" s="3" t="n">
        <v>6</v>
      </c>
      <c r="C3458" s="3" t="n">
        <v>18</v>
      </c>
      <c r="D3458" s="3" t="s">
        <v>3462</v>
      </c>
      <c r="E3458" s="4" t="n">
        <v>79</v>
      </c>
    </row>
    <row r="3459" customFormat="false" ht="15" hidden="false" customHeight="false" outlineLevel="0" collapsed="false">
      <c r="A3459" s="3" t="n">
        <v>2021</v>
      </c>
      <c r="B3459" s="3" t="n">
        <v>6</v>
      </c>
      <c r="C3459" s="3" t="n">
        <v>19</v>
      </c>
      <c r="D3459" s="3" t="s">
        <v>3463</v>
      </c>
      <c r="E3459" s="4" t="n">
        <v>0</v>
      </c>
    </row>
    <row r="3460" customFormat="false" ht="15" hidden="false" customHeight="false" outlineLevel="0" collapsed="false">
      <c r="A3460" s="3" t="n">
        <v>2021</v>
      </c>
      <c r="B3460" s="3" t="n">
        <v>6</v>
      </c>
      <c r="C3460" s="3" t="n">
        <v>20</v>
      </c>
      <c r="D3460" s="3" t="s">
        <v>3464</v>
      </c>
      <c r="E3460" s="4" t="n">
        <v>39</v>
      </c>
    </row>
    <row r="3461" customFormat="false" ht="15" hidden="false" customHeight="false" outlineLevel="0" collapsed="false">
      <c r="A3461" s="3" t="n">
        <v>2021</v>
      </c>
      <c r="B3461" s="3" t="n">
        <v>6</v>
      </c>
      <c r="C3461" s="3" t="n">
        <v>21</v>
      </c>
      <c r="D3461" s="3" t="s">
        <v>3465</v>
      </c>
      <c r="E3461" s="4" t="n">
        <v>29</v>
      </c>
    </row>
    <row r="3462" customFormat="false" ht="15" hidden="false" customHeight="false" outlineLevel="0" collapsed="false">
      <c r="A3462" s="3" t="n">
        <v>2021</v>
      </c>
      <c r="B3462" s="3" t="n">
        <v>6</v>
      </c>
      <c r="C3462" s="3" t="n">
        <v>22</v>
      </c>
      <c r="D3462" s="3" t="s">
        <v>3466</v>
      </c>
      <c r="E3462" s="4" t="n">
        <v>0</v>
      </c>
    </row>
    <row r="3463" customFormat="false" ht="15" hidden="false" customHeight="false" outlineLevel="0" collapsed="false">
      <c r="A3463" s="3" t="n">
        <v>2021</v>
      </c>
      <c r="B3463" s="3" t="n">
        <v>6</v>
      </c>
      <c r="C3463" s="3" t="n">
        <v>23</v>
      </c>
      <c r="D3463" s="3" t="s">
        <v>3467</v>
      </c>
      <c r="E3463" s="4" t="n">
        <v>0</v>
      </c>
    </row>
    <row r="3464" customFormat="false" ht="15" hidden="false" customHeight="false" outlineLevel="0" collapsed="false">
      <c r="A3464" s="3" t="n">
        <v>2021</v>
      </c>
      <c r="B3464" s="3" t="n">
        <v>6</v>
      </c>
      <c r="C3464" s="3" t="n">
        <v>24</v>
      </c>
      <c r="D3464" s="3" t="s">
        <v>3468</v>
      </c>
      <c r="E3464" s="4" t="n">
        <v>3</v>
      </c>
    </row>
    <row r="3465" customFormat="false" ht="15" hidden="false" customHeight="false" outlineLevel="0" collapsed="false">
      <c r="A3465" s="3" t="n">
        <v>2021</v>
      </c>
      <c r="B3465" s="3" t="n">
        <v>6</v>
      </c>
      <c r="C3465" s="3" t="n">
        <v>25</v>
      </c>
      <c r="D3465" s="3" t="s">
        <v>3469</v>
      </c>
      <c r="E3465" s="4" t="n">
        <v>0</v>
      </c>
    </row>
    <row r="3466" customFormat="false" ht="15" hidden="false" customHeight="false" outlineLevel="0" collapsed="false">
      <c r="A3466" s="3" t="n">
        <v>2021</v>
      </c>
      <c r="B3466" s="3" t="n">
        <v>6</v>
      </c>
      <c r="C3466" s="3" t="n">
        <v>26</v>
      </c>
      <c r="D3466" s="3" t="s">
        <v>3470</v>
      </c>
      <c r="E3466" s="4" t="n">
        <v>0</v>
      </c>
    </row>
    <row r="3467" customFormat="false" ht="15" hidden="false" customHeight="false" outlineLevel="0" collapsed="false">
      <c r="A3467" s="3" t="n">
        <v>2021</v>
      </c>
      <c r="B3467" s="3" t="n">
        <v>6</v>
      </c>
      <c r="C3467" s="3" t="n">
        <v>27</v>
      </c>
      <c r="D3467" s="3" t="s">
        <v>3471</v>
      </c>
      <c r="E3467" s="4" t="n">
        <v>0</v>
      </c>
    </row>
    <row r="3468" customFormat="false" ht="15" hidden="false" customHeight="false" outlineLevel="0" collapsed="false">
      <c r="A3468" s="3" t="n">
        <v>2021</v>
      </c>
      <c r="B3468" s="3" t="n">
        <v>6</v>
      </c>
      <c r="C3468" s="3" t="n">
        <v>28</v>
      </c>
      <c r="D3468" s="3" t="s">
        <v>3472</v>
      </c>
      <c r="E3468" s="4" t="n">
        <v>12</v>
      </c>
    </row>
    <row r="3469" customFormat="false" ht="15" hidden="false" customHeight="false" outlineLevel="0" collapsed="false">
      <c r="A3469" s="3" t="n">
        <v>2021</v>
      </c>
      <c r="B3469" s="3" t="n">
        <v>6</v>
      </c>
      <c r="C3469" s="3" t="n">
        <v>29</v>
      </c>
      <c r="D3469" s="3" t="s">
        <v>3473</v>
      </c>
      <c r="E3469" s="4" t="n">
        <v>6</v>
      </c>
    </row>
    <row r="3470" customFormat="false" ht="15" hidden="false" customHeight="false" outlineLevel="0" collapsed="false">
      <c r="A3470" s="3" t="n">
        <v>2021</v>
      </c>
      <c r="B3470" s="3" t="n">
        <v>6</v>
      </c>
      <c r="C3470" s="3" t="n">
        <v>30</v>
      </c>
      <c r="D3470" s="3" t="s">
        <v>3474</v>
      </c>
      <c r="E3470" s="4" t="n">
        <v>2</v>
      </c>
    </row>
    <row r="3471" customFormat="false" ht="15" hidden="false" customHeight="false" outlineLevel="0" collapsed="false">
      <c r="A3471" s="3" t="n">
        <v>2021</v>
      </c>
      <c r="B3471" s="3" t="n">
        <v>7</v>
      </c>
      <c r="C3471" s="3" t="n">
        <v>1</v>
      </c>
      <c r="D3471" s="3" t="s">
        <v>3475</v>
      </c>
      <c r="E3471" s="4" t="n">
        <v>9</v>
      </c>
    </row>
    <row r="3472" customFormat="false" ht="15" hidden="false" customHeight="false" outlineLevel="0" collapsed="false">
      <c r="A3472" s="3" t="n">
        <v>2021</v>
      </c>
      <c r="B3472" s="3" t="n">
        <v>7</v>
      </c>
      <c r="C3472" s="3" t="n">
        <v>2</v>
      </c>
      <c r="D3472" s="3" t="s">
        <v>3476</v>
      </c>
      <c r="E3472" s="4" t="n">
        <v>6</v>
      </c>
    </row>
    <row r="3473" customFormat="false" ht="15" hidden="false" customHeight="false" outlineLevel="0" collapsed="false">
      <c r="A3473" s="3" t="n">
        <v>2021</v>
      </c>
      <c r="B3473" s="3" t="n">
        <v>7</v>
      </c>
      <c r="C3473" s="3" t="n">
        <v>3</v>
      </c>
      <c r="D3473" s="3" t="s">
        <v>3477</v>
      </c>
      <c r="E3473" s="4" t="n">
        <v>0</v>
      </c>
    </row>
    <row r="3474" customFormat="false" ht="15" hidden="false" customHeight="false" outlineLevel="0" collapsed="false">
      <c r="A3474" s="3" t="n">
        <v>2021</v>
      </c>
      <c r="B3474" s="3" t="n">
        <v>7</v>
      </c>
      <c r="C3474" s="3" t="n">
        <v>4</v>
      </c>
      <c r="D3474" s="3" t="s">
        <v>3478</v>
      </c>
      <c r="E3474" s="4" t="n">
        <v>0</v>
      </c>
    </row>
    <row r="3475" customFormat="false" ht="15" hidden="false" customHeight="false" outlineLevel="0" collapsed="false">
      <c r="A3475" s="3" t="n">
        <v>2021</v>
      </c>
      <c r="B3475" s="3" t="n">
        <v>7</v>
      </c>
      <c r="C3475" s="3" t="n">
        <v>5</v>
      </c>
      <c r="D3475" s="3" t="s">
        <v>3479</v>
      </c>
      <c r="E3475" s="4" t="n">
        <v>0</v>
      </c>
    </row>
    <row r="3476" customFormat="false" ht="15" hidden="false" customHeight="false" outlineLevel="0" collapsed="false">
      <c r="A3476" s="3" t="n">
        <v>2021</v>
      </c>
      <c r="B3476" s="3" t="n">
        <v>7</v>
      </c>
      <c r="C3476" s="3" t="n">
        <v>6</v>
      </c>
      <c r="D3476" s="3" t="s">
        <v>3480</v>
      </c>
      <c r="E3476" s="4" t="n">
        <v>0</v>
      </c>
    </row>
    <row r="3477" customFormat="false" ht="15" hidden="false" customHeight="false" outlineLevel="0" collapsed="false">
      <c r="A3477" s="3" t="n">
        <v>2021</v>
      </c>
      <c r="B3477" s="3" t="n">
        <v>7</v>
      </c>
      <c r="C3477" s="3" t="n">
        <v>7</v>
      </c>
      <c r="D3477" s="3" t="s">
        <v>3481</v>
      </c>
      <c r="E3477" s="4" t="n">
        <v>0</v>
      </c>
    </row>
    <row r="3478" customFormat="false" ht="15" hidden="false" customHeight="false" outlineLevel="0" collapsed="false">
      <c r="A3478" s="3" t="n">
        <v>2021</v>
      </c>
      <c r="B3478" s="3" t="n">
        <v>7</v>
      </c>
      <c r="C3478" s="3" t="n">
        <v>8</v>
      </c>
      <c r="D3478" s="3" t="s">
        <v>3482</v>
      </c>
      <c r="E3478" s="4" t="n">
        <v>3</v>
      </c>
    </row>
    <row r="3479" customFormat="false" ht="15" hidden="false" customHeight="false" outlineLevel="0" collapsed="false">
      <c r="A3479" s="3" t="n">
        <v>2021</v>
      </c>
      <c r="B3479" s="3" t="n">
        <v>7</v>
      </c>
      <c r="C3479" s="3" t="n">
        <v>9</v>
      </c>
      <c r="D3479" s="3" t="s">
        <v>3483</v>
      </c>
      <c r="E3479" s="4" t="n">
        <v>51</v>
      </c>
    </row>
    <row r="3480" customFormat="false" ht="15" hidden="false" customHeight="false" outlineLevel="0" collapsed="false">
      <c r="A3480" s="3" t="n">
        <v>2021</v>
      </c>
      <c r="B3480" s="3" t="n">
        <v>7</v>
      </c>
      <c r="C3480" s="3" t="n">
        <v>10</v>
      </c>
      <c r="D3480" s="3" t="s">
        <v>3484</v>
      </c>
      <c r="E3480" s="4" t="n">
        <v>0</v>
      </c>
    </row>
    <row r="3481" customFormat="false" ht="15" hidden="false" customHeight="false" outlineLevel="0" collapsed="false">
      <c r="A3481" s="3" t="n">
        <v>2021</v>
      </c>
      <c r="B3481" s="3" t="n">
        <v>7</v>
      </c>
      <c r="C3481" s="3" t="n">
        <v>11</v>
      </c>
      <c r="D3481" s="3" t="s">
        <v>3485</v>
      </c>
      <c r="E3481" s="4" t="n">
        <v>2</v>
      </c>
    </row>
    <row r="3482" customFormat="false" ht="15" hidden="false" customHeight="false" outlineLevel="0" collapsed="false">
      <c r="A3482" s="3" t="n">
        <v>2021</v>
      </c>
      <c r="B3482" s="3" t="n">
        <v>7</v>
      </c>
      <c r="C3482" s="3" t="n">
        <v>12</v>
      </c>
      <c r="D3482" s="3" t="s">
        <v>3486</v>
      </c>
      <c r="E3482" s="4" t="n">
        <v>2</v>
      </c>
    </row>
    <row r="3483" customFormat="false" ht="15" hidden="false" customHeight="false" outlineLevel="0" collapsed="false">
      <c r="A3483" s="3" t="n">
        <v>2021</v>
      </c>
      <c r="B3483" s="3" t="n">
        <v>7</v>
      </c>
      <c r="C3483" s="3" t="n">
        <v>13</v>
      </c>
      <c r="D3483" s="3" t="s">
        <v>3487</v>
      </c>
      <c r="E3483" s="4" t="n">
        <v>9</v>
      </c>
    </row>
    <row r="3484" customFormat="false" ht="15" hidden="false" customHeight="false" outlineLevel="0" collapsed="false">
      <c r="A3484" s="3" t="n">
        <v>2021</v>
      </c>
      <c r="B3484" s="3" t="n">
        <v>7</v>
      </c>
      <c r="C3484" s="3" t="n">
        <v>14</v>
      </c>
      <c r="D3484" s="3" t="s">
        <v>3488</v>
      </c>
      <c r="E3484" s="4" t="n">
        <v>83</v>
      </c>
    </row>
    <row r="3485" customFormat="false" ht="15" hidden="false" customHeight="false" outlineLevel="0" collapsed="false">
      <c r="A3485" s="3" t="n">
        <v>2021</v>
      </c>
      <c r="B3485" s="3" t="n">
        <v>7</v>
      </c>
      <c r="C3485" s="3" t="n">
        <v>15</v>
      </c>
      <c r="D3485" s="3" t="s">
        <v>3489</v>
      </c>
      <c r="E3485" s="4" t="n">
        <v>14</v>
      </c>
    </row>
    <row r="3486" customFormat="false" ht="15" hidden="false" customHeight="false" outlineLevel="0" collapsed="false">
      <c r="A3486" s="3" t="n">
        <v>2021</v>
      </c>
      <c r="B3486" s="3" t="n">
        <v>7</v>
      </c>
      <c r="C3486" s="3" t="n">
        <v>16</v>
      </c>
      <c r="D3486" s="3" t="s">
        <v>3490</v>
      </c>
      <c r="E3486" s="4" t="n">
        <v>0</v>
      </c>
    </row>
    <row r="3487" customFormat="false" ht="15" hidden="false" customHeight="false" outlineLevel="0" collapsed="false">
      <c r="A3487" s="3" t="n">
        <v>2021</v>
      </c>
      <c r="B3487" s="3" t="n">
        <v>7</v>
      </c>
      <c r="C3487" s="3" t="n">
        <v>17</v>
      </c>
      <c r="D3487" s="3" t="s">
        <v>3491</v>
      </c>
      <c r="E3487" s="4" t="n">
        <v>0</v>
      </c>
    </row>
    <row r="3488" customFormat="false" ht="15" hidden="false" customHeight="false" outlineLevel="0" collapsed="false">
      <c r="A3488" s="3" t="n">
        <v>2021</v>
      </c>
      <c r="B3488" s="3" t="n">
        <v>7</v>
      </c>
      <c r="C3488" s="3" t="n">
        <v>18</v>
      </c>
      <c r="D3488" s="3" t="s">
        <v>3492</v>
      </c>
      <c r="E3488" s="4" t="n">
        <v>0</v>
      </c>
    </row>
    <row r="3489" customFormat="false" ht="15" hidden="false" customHeight="false" outlineLevel="0" collapsed="false">
      <c r="A3489" s="3" t="n">
        <v>2021</v>
      </c>
      <c r="B3489" s="3" t="n">
        <v>7</v>
      </c>
      <c r="C3489" s="3" t="n">
        <v>19</v>
      </c>
      <c r="D3489" s="3" t="s">
        <v>3493</v>
      </c>
      <c r="E3489" s="4" t="n">
        <v>10</v>
      </c>
    </row>
    <row r="3490" customFormat="false" ht="15" hidden="false" customHeight="false" outlineLevel="0" collapsed="false">
      <c r="A3490" s="3" t="n">
        <v>2021</v>
      </c>
      <c r="B3490" s="3" t="n">
        <v>7</v>
      </c>
      <c r="C3490" s="3" t="n">
        <v>20</v>
      </c>
      <c r="D3490" s="3" t="s">
        <v>3494</v>
      </c>
      <c r="E3490" s="4" t="n">
        <v>7</v>
      </c>
    </row>
    <row r="3491" customFormat="false" ht="15" hidden="false" customHeight="false" outlineLevel="0" collapsed="false">
      <c r="A3491" s="3" t="n">
        <v>2021</v>
      </c>
      <c r="B3491" s="3" t="n">
        <v>7</v>
      </c>
      <c r="C3491" s="3" t="n">
        <v>21</v>
      </c>
      <c r="D3491" s="3" t="s">
        <v>3495</v>
      </c>
      <c r="E3491" s="4" t="n">
        <v>6</v>
      </c>
    </row>
    <row r="3492" customFormat="false" ht="15" hidden="false" customHeight="false" outlineLevel="0" collapsed="false">
      <c r="A3492" s="3" t="n">
        <v>2021</v>
      </c>
      <c r="B3492" s="3" t="n">
        <v>7</v>
      </c>
      <c r="C3492" s="3" t="n">
        <v>22</v>
      </c>
      <c r="D3492" s="3" t="s">
        <v>3496</v>
      </c>
      <c r="E3492" s="4" t="n">
        <v>0</v>
      </c>
    </row>
    <row r="3493" customFormat="false" ht="15" hidden="false" customHeight="false" outlineLevel="0" collapsed="false">
      <c r="A3493" s="3" t="n">
        <v>2021</v>
      </c>
      <c r="B3493" s="3" t="n">
        <v>7</v>
      </c>
      <c r="C3493" s="3" t="n">
        <v>23</v>
      </c>
      <c r="D3493" s="3" t="s">
        <v>3497</v>
      </c>
      <c r="E3493" s="4" t="n">
        <v>0</v>
      </c>
    </row>
    <row r="3494" customFormat="false" ht="15" hidden="false" customHeight="false" outlineLevel="0" collapsed="false">
      <c r="A3494" s="3" t="n">
        <v>2021</v>
      </c>
      <c r="B3494" s="3" t="n">
        <v>7</v>
      </c>
      <c r="C3494" s="3" t="n">
        <v>24</v>
      </c>
      <c r="D3494" s="3" t="s">
        <v>3498</v>
      </c>
      <c r="E3494" s="4" t="n">
        <v>0</v>
      </c>
    </row>
    <row r="3495" customFormat="false" ht="15" hidden="false" customHeight="false" outlineLevel="0" collapsed="false">
      <c r="A3495" s="3" t="n">
        <v>2021</v>
      </c>
      <c r="B3495" s="3" t="n">
        <v>7</v>
      </c>
      <c r="C3495" s="3" t="n">
        <v>25</v>
      </c>
      <c r="D3495" s="3" t="s">
        <v>3499</v>
      </c>
      <c r="E3495" s="4" t="n">
        <v>0</v>
      </c>
    </row>
    <row r="3496" customFormat="false" ht="15" hidden="false" customHeight="false" outlineLevel="0" collapsed="false">
      <c r="A3496" s="3" t="n">
        <v>2021</v>
      </c>
      <c r="B3496" s="3" t="n">
        <v>7</v>
      </c>
      <c r="C3496" s="3" t="n">
        <v>26</v>
      </c>
      <c r="D3496" s="3" t="s">
        <v>3500</v>
      </c>
      <c r="E3496" s="4" t="n">
        <v>0</v>
      </c>
    </row>
    <row r="3497" customFormat="false" ht="15" hidden="false" customHeight="false" outlineLevel="0" collapsed="false">
      <c r="A3497" s="3" t="n">
        <v>2021</v>
      </c>
      <c r="B3497" s="3" t="n">
        <v>7</v>
      </c>
      <c r="C3497" s="3" t="n">
        <v>27</v>
      </c>
      <c r="D3497" s="3" t="s">
        <v>3501</v>
      </c>
      <c r="E3497" s="4" t="n">
        <v>0</v>
      </c>
    </row>
    <row r="3498" customFormat="false" ht="15" hidden="false" customHeight="false" outlineLevel="0" collapsed="false">
      <c r="A3498" s="3" t="n">
        <v>2021</v>
      </c>
      <c r="B3498" s="3" t="n">
        <v>7</v>
      </c>
      <c r="C3498" s="3" t="n">
        <v>28</v>
      </c>
      <c r="D3498" s="3" t="s">
        <v>3502</v>
      </c>
      <c r="E3498" s="4" t="n">
        <v>4</v>
      </c>
    </row>
    <row r="3499" customFormat="false" ht="15" hidden="false" customHeight="false" outlineLevel="0" collapsed="false">
      <c r="A3499" s="3" t="n">
        <v>2021</v>
      </c>
      <c r="B3499" s="3" t="n">
        <v>7</v>
      </c>
      <c r="C3499" s="3" t="n">
        <v>29</v>
      </c>
      <c r="D3499" s="3" t="s">
        <v>3503</v>
      </c>
      <c r="E3499" s="4" t="n">
        <v>3</v>
      </c>
    </row>
    <row r="3500" customFormat="false" ht="15" hidden="false" customHeight="false" outlineLevel="0" collapsed="false">
      <c r="A3500" s="3" t="n">
        <v>2021</v>
      </c>
      <c r="B3500" s="3" t="n">
        <v>7</v>
      </c>
      <c r="C3500" s="3" t="n">
        <v>30</v>
      </c>
      <c r="D3500" s="3" t="s">
        <v>3504</v>
      </c>
      <c r="E3500" s="4" t="n">
        <v>2</v>
      </c>
    </row>
    <row r="3501" customFormat="false" ht="15" hidden="false" customHeight="false" outlineLevel="0" collapsed="false">
      <c r="A3501" s="3" t="n">
        <v>2021</v>
      </c>
      <c r="B3501" s="3" t="n">
        <v>7</v>
      </c>
      <c r="C3501" s="3" t="n">
        <v>31</v>
      </c>
      <c r="D3501" s="3" t="s">
        <v>3505</v>
      </c>
      <c r="E3501" s="4" t="n">
        <v>0</v>
      </c>
    </row>
    <row r="3502" customFormat="false" ht="15" hidden="false" customHeight="false" outlineLevel="0" collapsed="false">
      <c r="A3502" s="3" t="n">
        <v>2021</v>
      </c>
      <c r="B3502" s="3" t="n">
        <v>8</v>
      </c>
      <c r="C3502" s="3" t="n">
        <v>1</v>
      </c>
      <c r="D3502" s="3" t="s">
        <v>3506</v>
      </c>
      <c r="E3502" s="4" t="n">
        <v>2</v>
      </c>
    </row>
    <row r="3503" customFormat="false" ht="15" hidden="false" customHeight="false" outlineLevel="0" collapsed="false">
      <c r="A3503" s="3" t="n">
        <v>2021</v>
      </c>
      <c r="B3503" s="3" t="n">
        <v>8</v>
      </c>
      <c r="C3503" s="3" t="n">
        <v>2</v>
      </c>
      <c r="D3503" s="3" t="s">
        <v>3507</v>
      </c>
      <c r="E3503" s="4" t="n">
        <v>35</v>
      </c>
    </row>
    <row r="3504" customFormat="false" ht="15" hidden="false" customHeight="false" outlineLevel="0" collapsed="false">
      <c r="A3504" s="3" t="n">
        <v>2021</v>
      </c>
      <c r="B3504" s="3" t="n">
        <v>8</v>
      </c>
      <c r="C3504" s="3" t="n">
        <v>3</v>
      </c>
      <c r="D3504" s="3" t="s">
        <v>3508</v>
      </c>
      <c r="E3504" s="4" t="n">
        <v>0</v>
      </c>
    </row>
    <row r="3505" customFormat="false" ht="15" hidden="false" customHeight="false" outlineLevel="0" collapsed="false">
      <c r="A3505" s="3" t="n">
        <v>2021</v>
      </c>
      <c r="B3505" s="3" t="n">
        <v>8</v>
      </c>
      <c r="C3505" s="3" t="n">
        <v>4</v>
      </c>
      <c r="D3505" s="3" t="s">
        <v>3509</v>
      </c>
      <c r="E3505" s="4" t="n">
        <v>0</v>
      </c>
    </row>
    <row r="3506" customFormat="false" ht="15" hidden="false" customHeight="false" outlineLevel="0" collapsed="false">
      <c r="A3506" s="3" t="n">
        <v>2021</v>
      </c>
      <c r="B3506" s="3" t="n">
        <v>8</v>
      </c>
      <c r="C3506" s="3" t="n">
        <v>5</v>
      </c>
      <c r="D3506" s="3" t="s">
        <v>3510</v>
      </c>
      <c r="E3506" s="4" t="n">
        <v>14</v>
      </c>
    </row>
    <row r="3507" customFormat="false" ht="15" hidden="false" customHeight="false" outlineLevel="0" collapsed="false">
      <c r="A3507" s="3" t="n">
        <v>2021</v>
      </c>
      <c r="B3507" s="3" t="n">
        <v>8</v>
      </c>
      <c r="C3507" s="3" t="n">
        <v>6</v>
      </c>
      <c r="D3507" s="3" t="s">
        <v>3511</v>
      </c>
      <c r="E3507" s="4" t="n">
        <v>0</v>
      </c>
    </row>
    <row r="3508" customFormat="false" ht="15" hidden="false" customHeight="false" outlineLevel="0" collapsed="false">
      <c r="A3508" s="3" t="n">
        <v>2021</v>
      </c>
      <c r="B3508" s="3" t="n">
        <v>8</v>
      </c>
      <c r="C3508" s="3" t="n">
        <v>7</v>
      </c>
      <c r="D3508" s="3" t="s">
        <v>3512</v>
      </c>
      <c r="E3508" s="4" t="n">
        <v>0</v>
      </c>
    </row>
    <row r="3509" customFormat="false" ht="15" hidden="false" customHeight="false" outlineLevel="0" collapsed="false">
      <c r="A3509" s="3" t="n">
        <v>2021</v>
      </c>
      <c r="B3509" s="3" t="n">
        <v>8</v>
      </c>
      <c r="C3509" s="3" t="n">
        <v>8</v>
      </c>
      <c r="D3509" s="3" t="s">
        <v>3513</v>
      </c>
      <c r="E3509" s="4" t="n">
        <v>28</v>
      </c>
    </row>
    <row r="3510" customFormat="false" ht="15" hidden="false" customHeight="false" outlineLevel="0" collapsed="false">
      <c r="A3510" s="3" t="n">
        <v>2021</v>
      </c>
      <c r="B3510" s="3" t="n">
        <v>8</v>
      </c>
      <c r="C3510" s="3" t="n">
        <v>9</v>
      </c>
      <c r="D3510" s="3" t="s">
        <v>3514</v>
      </c>
      <c r="E3510" s="4" t="n">
        <v>4</v>
      </c>
    </row>
    <row r="3511" customFormat="false" ht="15" hidden="false" customHeight="false" outlineLevel="0" collapsed="false">
      <c r="A3511" s="3" t="n">
        <v>2021</v>
      </c>
      <c r="B3511" s="3" t="n">
        <v>8</v>
      </c>
      <c r="C3511" s="3" t="n">
        <v>10</v>
      </c>
      <c r="D3511" s="3" t="s">
        <v>3515</v>
      </c>
      <c r="E3511" s="4" t="n">
        <v>0</v>
      </c>
    </row>
    <row r="3512" customFormat="false" ht="15" hidden="false" customHeight="false" outlineLevel="0" collapsed="false">
      <c r="A3512" s="3" t="n">
        <v>2021</v>
      </c>
      <c r="B3512" s="3" t="n">
        <v>8</v>
      </c>
      <c r="C3512" s="3" t="n">
        <v>11</v>
      </c>
      <c r="D3512" s="3" t="s">
        <v>3516</v>
      </c>
      <c r="E3512" s="4" t="n">
        <v>0</v>
      </c>
    </row>
    <row r="3513" customFormat="false" ht="15" hidden="false" customHeight="false" outlineLevel="0" collapsed="false">
      <c r="A3513" s="3" t="n">
        <v>2021</v>
      </c>
      <c r="B3513" s="3" t="n">
        <v>8</v>
      </c>
      <c r="C3513" s="3" t="n">
        <v>12</v>
      </c>
      <c r="D3513" s="3" t="s">
        <v>3517</v>
      </c>
      <c r="E3513" s="4" t="n">
        <v>0</v>
      </c>
    </row>
    <row r="3514" customFormat="false" ht="15" hidden="false" customHeight="false" outlineLevel="0" collapsed="false">
      <c r="A3514" s="3" t="n">
        <v>2021</v>
      </c>
      <c r="B3514" s="3" t="n">
        <v>8</v>
      </c>
      <c r="C3514" s="3" t="n">
        <v>13</v>
      </c>
      <c r="D3514" s="3" t="s">
        <v>3518</v>
      </c>
      <c r="E3514" s="4" t="n">
        <v>1</v>
      </c>
    </row>
    <row r="3515" customFormat="false" ht="15" hidden="false" customHeight="false" outlineLevel="0" collapsed="false">
      <c r="A3515" s="3" t="n">
        <v>2021</v>
      </c>
      <c r="B3515" s="3" t="n">
        <v>8</v>
      </c>
      <c r="C3515" s="3" t="n">
        <v>14</v>
      </c>
      <c r="D3515" s="3" t="s">
        <v>3519</v>
      </c>
      <c r="E3515" s="4" t="n">
        <v>5</v>
      </c>
    </row>
    <row r="3516" customFormat="false" ht="15" hidden="false" customHeight="false" outlineLevel="0" collapsed="false">
      <c r="A3516" s="3" t="n">
        <v>2021</v>
      </c>
      <c r="B3516" s="3" t="n">
        <v>8</v>
      </c>
      <c r="C3516" s="3" t="n">
        <v>15</v>
      </c>
      <c r="D3516" s="3" t="s">
        <v>3520</v>
      </c>
      <c r="E3516" s="4" t="n">
        <v>15</v>
      </c>
    </row>
    <row r="3517" customFormat="false" ht="15" hidden="false" customHeight="false" outlineLevel="0" collapsed="false">
      <c r="A3517" s="3" t="n">
        <v>2021</v>
      </c>
      <c r="B3517" s="3" t="n">
        <v>8</v>
      </c>
      <c r="C3517" s="3" t="n">
        <v>16</v>
      </c>
      <c r="D3517" s="3" t="s">
        <v>3521</v>
      </c>
      <c r="E3517" s="4" t="n">
        <v>7</v>
      </c>
    </row>
    <row r="3518" customFormat="false" ht="15" hidden="false" customHeight="false" outlineLevel="0" collapsed="false">
      <c r="A3518" s="3" t="n">
        <v>2021</v>
      </c>
      <c r="B3518" s="3" t="n">
        <v>8</v>
      </c>
      <c r="C3518" s="3" t="n">
        <v>17</v>
      </c>
      <c r="D3518" s="3" t="s">
        <v>3522</v>
      </c>
      <c r="E3518" s="4" t="n">
        <v>23</v>
      </c>
    </row>
    <row r="3519" customFormat="false" ht="15" hidden="false" customHeight="false" outlineLevel="0" collapsed="false">
      <c r="A3519" s="3" t="n">
        <v>2021</v>
      </c>
      <c r="B3519" s="3" t="n">
        <v>8</v>
      </c>
      <c r="C3519" s="3" t="n">
        <v>18</v>
      </c>
      <c r="D3519" s="3" t="s">
        <v>3523</v>
      </c>
      <c r="E3519" s="4" t="n">
        <v>151</v>
      </c>
    </row>
    <row r="3520" customFormat="false" ht="15" hidden="false" customHeight="false" outlineLevel="0" collapsed="false">
      <c r="A3520" s="3" t="n">
        <v>2021</v>
      </c>
      <c r="B3520" s="3" t="n">
        <v>8</v>
      </c>
      <c r="C3520" s="3" t="n">
        <v>19</v>
      </c>
      <c r="D3520" s="3" t="s">
        <v>3524</v>
      </c>
      <c r="E3520" s="4" t="n">
        <v>11</v>
      </c>
    </row>
    <row r="3521" customFormat="false" ht="15" hidden="false" customHeight="false" outlineLevel="0" collapsed="false">
      <c r="A3521" s="3" t="n">
        <v>2021</v>
      </c>
      <c r="B3521" s="3" t="n">
        <v>8</v>
      </c>
      <c r="C3521" s="3" t="n">
        <v>20</v>
      </c>
      <c r="D3521" s="3" t="s">
        <v>3525</v>
      </c>
      <c r="E3521" s="4" t="n">
        <v>13</v>
      </c>
    </row>
    <row r="3522" customFormat="false" ht="15" hidden="false" customHeight="false" outlineLevel="0" collapsed="false">
      <c r="A3522" s="3" t="n">
        <v>2021</v>
      </c>
      <c r="B3522" s="3" t="n">
        <v>8</v>
      </c>
      <c r="C3522" s="3" t="n">
        <v>21</v>
      </c>
      <c r="D3522" s="3" t="s">
        <v>3526</v>
      </c>
      <c r="E3522" s="4" t="n">
        <v>0</v>
      </c>
    </row>
    <row r="3523" customFormat="false" ht="15" hidden="false" customHeight="false" outlineLevel="0" collapsed="false">
      <c r="A3523" s="3" t="n">
        <v>2021</v>
      </c>
      <c r="B3523" s="3" t="n">
        <v>8</v>
      </c>
      <c r="C3523" s="3" t="n">
        <v>22</v>
      </c>
      <c r="D3523" s="3" t="s">
        <v>3527</v>
      </c>
      <c r="E3523" s="4" t="n">
        <v>145</v>
      </c>
    </row>
    <row r="3524" customFormat="false" ht="15" hidden="false" customHeight="false" outlineLevel="0" collapsed="false">
      <c r="A3524" s="3" t="n">
        <v>2021</v>
      </c>
      <c r="B3524" s="3" t="n">
        <v>8</v>
      </c>
      <c r="C3524" s="3" t="n">
        <v>23</v>
      </c>
      <c r="D3524" s="3" t="s">
        <v>3528</v>
      </c>
      <c r="E3524" s="4" t="n">
        <v>0</v>
      </c>
    </row>
    <row r="3525" customFormat="false" ht="15" hidden="false" customHeight="false" outlineLevel="0" collapsed="false">
      <c r="A3525" s="3" t="n">
        <v>2021</v>
      </c>
      <c r="B3525" s="3" t="n">
        <v>8</v>
      </c>
      <c r="C3525" s="3" t="n">
        <v>24</v>
      </c>
      <c r="D3525" s="3" t="s">
        <v>3529</v>
      </c>
      <c r="E3525" s="4" t="n">
        <v>35</v>
      </c>
    </row>
    <row r="3526" customFormat="false" ht="15" hidden="false" customHeight="false" outlineLevel="0" collapsed="false">
      <c r="A3526" s="3" t="n">
        <v>2021</v>
      </c>
      <c r="B3526" s="3" t="n">
        <v>8</v>
      </c>
      <c r="C3526" s="3" t="n">
        <v>25</v>
      </c>
      <c r="D3526" s="3" t="s">
        <v>3530</v>
      </c>
      <c r="E3526" s="4" t="n">
        <v>0</v>
      </c>
    </row>
    <row r="3527" customFormat="false" ht="15" hidden="false" customHeight="false" outlineLevel="0" collapsed="false">
      <c r="A3527" s="3" t="n">
        <v>2021</v>
      </c>
      <c r="B3527" s="3" t="n">
        <v>8</v>
      </c>
      <c r="C3527" s="3" t="n">
        <v>26</v>
      </c>
      <c r="D3527" s="3" t="s">
        <v>3531</v>
      </c>
      <c r="E3527" s="4" t="n">
        <v>32</v>
      </c>
    </row>
    <row r="3528" customFormat="false" ht="15" hidden="false" customHeight="false" outlineLevel="0" collapsed="false">
      <c r="A3528" s="3" t="n">
        <v>2021</v>
      </c>
      <c r="B3528" s="3" t="n">
        <v>8</v>
      </c>
      <c r="C3528" s="3" t="n">
        <v>27</v>
      </c>
      <c r="D3528" s="3" t="s">
        <v>3532</v>
      </c>
      <c r="E3528" s="4" t="n">
        <v>0</v>
      </c>
    </row>
    <row r="3529" customFormat="false" ht="15" hidden="false" customHeight="false" outlineLevel="0" collapsed="false">
      <c r="A3529" s="3" t="n">
        <v>2021</v>
      </c>
      <c r="B3529" s="3" t="n">
        <v>8</v>
      </c>
      <c r="C3529" s="3" t="n">
        <v>28</v>
      </c>
      <c r="D3529" s="3" t="s">
        <v>3533</v>
      </c>
      <c r="E3529" s="4" t="n">
        <v>14</v>
      </c>
    </row>
    <row r="3530" customFormat="false" ht="15" hidden="false" customHeight="false" outlineLevel="0" collapsed="false">
      <c r="A3530" s="3" t="n">
        <v>2021</v>
      </c>
      <c r="B3530" s="3" t="n">
        <v>8</v>
      </c>
      <c r="C3530" s="3" t="n">
        <v>29</v>
      </c>
      <c r="D3530" s="3" t="s">
        <v>3534</v>
      </c>
      <c r="E3530" s="4" t="n">
        <v>0</v>
      </c>
    </row>
    <row r="3531" customFormat="false" ht="15" hidden="false" customHeight="false" outlineLevel="0" collapsed="false">
      <c r="A3531" s="3" t="n">
        <v>2021</v>
      </c>
      <c r="B3531" s="3" t="n">
        <v>8</v>
      </c>
      <c r="C3531" s="3" t="n">
        <v>30</v>
      </c>
      <c r="D3531" s="3" t="s">
        <v>3535</v>
      </c>
      <c r="E3531" s="4" t="n">
        <v>52</v>
      </c>
    </row>
    <row r="3532" customFormat="false" ht="15" hidden="false" customHeight="false" outlineLevel="0" collapsed="false">
      <c r="A3532" s="3" t="n">
        <v>2021</v>
      </c>
      <c r="B3532" s="3" t="n">
        <v>8</v>
      </c>
      <c r="C3532" s="3" t="n">
        <v>31</v>
      </c>
      <c r="D3532" s="3" t="s">
        <v>3536</v>
      </c>
      <c r="E3532" s="4" t="n">
        <v>0</v>
      </c>
    </row>
    <row r="3533" customFormat="false" ht="15" hidden="false" customHeight="false" outlineLevel="0" collapsed="false">
      <c r="A3533" s="3" t="n">
        <v>2021</v>
      </c>
      <c r="B3533" s="3" t="n">
        <v>9</v>
      </c>
      <c r="C3533" s="3" t="n">
        <v>1</v>
      </c>
      <c r="D3533" s="3" t="s">
        <v>3537</v>
      </c>
      <c r="E3533" s="4" t="n">
        <v>60</v>
      </c>
    </row>
    <row r="3534" customFormat="false" ht="15" hidden="false" customHeight="false" outlineLevel="0" collapsed="false">
      <c r="A3534" s="3" t="n">
        <v>2021</v>
      </c>
      <c r="B3534" s="3" t="n">
        <v>9</v>
      </c>
      <c r="C3534" s="3" t="n">
        <v>2</v>
      </c>
      <c r="D3534" s="3" t="s">
        <v>3538</v>
      </c>
      <c r="E3534" s="4" t="n">
        <v>15</v>
      </c>
    </row>
    <row r="3535" customFormat="false" ht="15" hidden="false" customHeight="false" outlineLevel="0" collapsed="false">
      <c r="A3535" s="3" t="n">
        <v>2021</v>
      </c>
      <c r="B3535" s="3" t="n">
        <v>9</v>
      </c>
      <c r="C3535" s="3" t="n">
        <v>3</v>
      </c>
      <c r="D3535" s="3" t="s">
        <v>3539</v>
      </c>
      <c r="E3535" s="4" t="n">
        <v>4</v>
      </c>
    </row>
    <row r="3536" customFormat="false" ht="15" hidden="false" customHeight="false" outlineLevel="0" collapsed="false">
      <c r="A3536" s="3" t="n">
        <v>2021</v>
      </c>
      <c r="B3536" s="3" t="n">
        <v>9</v>
      </c>
      <c r="C3536" s="3" t="n">
        <v>4</v>
      </c>
      <c r="D3536" s="3" t="s">
        <v>3540</v>
      </c>
      <c r="E3536" s="4" t="n">
        <v>0</v>
      </c>
    </row>
    <row r="3537" customFormat="false" ht="15" hidden="false" customHeight="false" outlineLevel="0" collapsed="false">
      <c r="A3537" s="3" t="n">
        <v>2021</v>
      </c>
      <c r="B3537" s="3" t="n">
        <v>9</v>
      </c>
      <c r="C3537" s="3" t="n">
        <v>5</v>
      </c>
      <c r="D3537" s="3" t="s">
        <v>3541</v>
      </c>
      <c r="E3537" s="4" t="n">
        <v>44</v>
      </c>
    </row>
    <row r="3538" customFormat="false" ht="15" hidden="false" customHeight="false" outlineLevel="0" collapsed="false">
      <c r="A3538" s="3" t="n">
        <v>2021</v>
      </c>
      <c r="B3538" s="3" t="n">
        <v>9</v>
      </c>
      <c r="C3538" s="3" t="n">
        <v>6</v>
      </c>
      <c r="D3538" s="3" t="s">
        <v>3542</v>
      </c>
      <c r="E3538" s="4" t="n">
        <v>5</v>
      </c>
    </row>
    <row r="3539" customFormat="false" ht="15" hidden="false" customHeight="false" outlineLevel="0" collapsed="false">
      <c r="A3539" s="3" t="n">
        <v>2021</v>
      </c>
      <c r="B3539" s="3" t="n">
        <v>9</v>
      </c>
      <c r="C3539" s="3" t="n">
        <v>7</v>
      </c>
      <c r="D3539" s="3" t="s">
        <v>3543</v>
      </c>
      <c r="E3539" s="4" t="n">
        <v>1</v>
      </c>
    </row>
    <row r="3540" customFormat="false" ht="15" hidden="false" customHeight="false" outlineLevel="0" collapsed="false">
      <c r="A3540" s="3" t="n">
        <v>2021</v>
      </c>
      <c r="B3540" s="3" t="n">
        <v>9</v>
      </c>
      <c r="C3540" s="3" t="n">
        <v>8</v>
      </c>
      <c r="D3540" s="3" t="s">
        <v>3544</v>
      </c>
      <c r="E3540" s="4" t="n">
        <v>30</v>
      </c>
    </row>
    <row r="3541" customFormat="false" ht="15" hidden="false" customHeight="false" outlineLevel="0" collapsed="false">
      <c r="A3541" s="3" t="n">
        <v>2021</v>
      </c>
      <c r="B3541" s="3" t="n">
        <v>9</v>
      </c>
      <c r="C3541" s="3" t="n">
        <v>9</v>
      </c>
      <c r="D3541" s="3" t="s">
        <v>3545</v>
      </c>
      <c r="E3541" s="4" t="n">
        <v>10</v>
      </c>
    </row>
    <row r="3542" customFormat="false" ht="15" hidden="false" customHeight="false" outlineLevel="0" collapsed="false">
      <c r="A3542" s="3" t="n">
        <v>2021</v>
      </c>
      <c r="B3542" s="3" t="n">
        <v>9</v>
      </c>
      <c r="C3542" s="3" t="n">
        <v>10</v>
      </c>
      <c r="D3542" s="3" t="s">
        <v>3546</v>
      </c>
      <c r="E3542" s="4" t="n">
        <v>0</v>
      </c>
    </row>
    <row r="3543" customFormat="false" ht="15" hidden="false" customHeight="false" outlineLevel="0" collapsed="false">
      <c r="A3543" s="3" t="n">
        <v>2021</v>
      </c>
      <c r="B3543" s="3" t="n">
        <v>9</v>
      </c>
      <c r="C3543" s="3" t="n">
        <v>11</v>
      </c>
      <c r="D3543" s="3" t="s">
        <v>3547</v>
      </c>
      <c r="E3543" s="4" t="n">
        <v>33</v>
      </c>
    </row>
    <row r="3544" customFormat="false" ht="15" hidden="false" customHeight="false" outlineLevel="0" collapsed="false">
      <c r="A3544" s="3" t="n">
        <v>2021</v>
      </c>
      <c r="B3544" s="3" t="n">
        <v>9</v>
      </c>
      <c r="C3544" s="3" t="n">
        <v>12</v>
      </c>
      <c r="D3544" s="3" t="s">
        <v>3548</v>
      </c>
      <c r="E3544" s="4" t="n">
        <v>0</v>
      </c>
    </row>
    <row r="3545" customFormat="false" ht="15" hidden="false" customHeight="false" outlineLevel="0" collapsed="false">
      <c r="A3545" s="3" t="n">
        <v>2021</v>
      </c>
      <c r="B3545" s="3" t="n">
        <v>9</v>
      </c>
      <c r="C3545" s="3" t="n">
        <v>13</v>
      </c>
      <c r="D3545" s="3" t="s">
        <v>3549</v>
      </c>
      <c r="E3545" s="4" t="n">
        <v>53</v>
      </c>
    </row>
    <row r="3546" customFormat="false" ht="15" hidden="false" customHeight="false" outlineLevel="0" collapsed="false">
      <c r="A3546" s="3" t="n">
        <v>2021</v>
      </c>
      <c r="B3546" s="3" t="n">
        <v>9</v>
      </c>
      <c r="C3546" s="3" t="n">
        <v>14</v>
      </c>
      <c r="D3546" s="3" t="s">
        <v>3550</v>
      </c>
      <c r="E3546" s="4" t="n">
        <v>86</v>
      </c>
    </row>
    <row r="3547" customFormat="false" ht="15" hidden="false" customHeight="false" outlineLevel="0" collapsed="false">
      <c r="A3547" s="3" t="n">
        <v>2021</v>
      </c>
      <c r="B3547" s="3" t="n">
        <v>9</v>
      </c>
      <c r="C3547" s="3" t="n">
        <v>15</v>
      </c>
      <c r="D3547" s="3" t="s">
        <v>3551</v>
      </c>
      <c r="E3547" s="4" t="n">
        <v>1</v>
      </c>
    </row>
    <row r="3548" customFormat="false" ht="15" hidden="false" customHeight="false" outlineLevel="0" collapsed="false">
      <c r="A3548" s="3" t="n">
        <v>2021</v>
      </c>
      <c r="B3548" s="3" t="n">
        <v>9</v>
      </c>
      <c r="C3548" s="3" t="n">
        <v>16</v>
      </c>
      <c r="D3548" s="3" t="s">
        <v>3552</v>
      </c>
      <c r="E3548" s="4" t="n">
        <v>0</v>
      </c>
    </row>
    <row r="3549" customFormat="false" ht="15" hidden="false" customHeight="false" outlineLevel="0" collapsed="false">
      <c r="A3549" s="3" t="n">
        <v>2021</v>
      </c>
      <c r="B3549" s="3" t="n">
        <v>9</v>
      </c>
      <c r="C3549" s="3" t="n">
        <v>17</v>
      </c>
      <c r="D3549" s="3" t="s">
        <v>3553</v>
      </c>
      <c r="E3549" s="4" t="n">
        <v>0</v>
      </c>
    </row>
    <row r="3550" customFormat="false" ht="15" hidden="false" customHeight="false" outlineLevel="0" collapsed="false">
      <c r="A3550" s="3" t="n">
        <v>2021</v>
      </c>
      <c r="B3550" s="3" t="n">
        <v>9</v>
      </c>
      <c r="C3550" s="3" t="n">
        <v>18</v>
      </c>
      <c r="D3550" s="3" t="s">
        <v>3554</v>
      </c>
      <c r="E3550" s="4" t="n">
        <v>12</v>
      </c>
    </row>
    <row r="3551" customFormat="false" ht="15" hidden="false" customHeight="false" outlineLevel="0" collapsed="false">
      <c r="A3551" s="3" t="n">
        <v>2021</v>
      </c>
      <c r="B3551" s="3" t="n">
        <v>9</v>
      </c>
      <c r="C3551" s="3" t="n">
        <v>19</v>
      </c>
      <c r="D3551" s="3" t="s">
        <v>3555</v>
      </c>
      <c r="E3551" s="4" t="n">
        <v>34</v>
      </c>
    </row>
    <row r="3552" customFormat="false" ht="15" hidden="false" customHeight="false" outlineLevel="0" collapsed="false">
      <c r="A3552" s="3" t="n">
        <v>2021</v>
      </c>
      <c r="B3552" s="3" t="n">
        <v>9</v>
      </c>
      <c r="C3552" s="3" t="n">
        <v>20</v>
      </c>
      <c r="D3552" s="3" t="s">
        <v>3556</v>
      </c>
      <c r="E3552" s="4" t="n">
        <v>0</v>
      </c>
    </row>
    <row r="3553" customFormat="false" ht="15" hidden="false" customHeight="false" outlineLevel="0" collapsed="false">
      <c r="A3553" s="3" t="n">
        <v>2021</v>
      </c>
      <c r="B3553" s="3" t="n">
        <v>9</v>
      </c>
      <c r="C3553" s="3" t="n">
        <v>21</v>
      </c>
      <c r="D3553" s="3" t="s">
        <v>3557</v>
      </c>
      <c r="E3553" s="4" t="n">
        <v>0</v>
      </c>
    </row>
    <row r="3554" customFormat="false" ht="15" hidden="false" customHeight="false" outlineLevel="0" collapsed="false">
      <c r="A3554" s="3" t="n">
        <v>2021</v>
      </c>
      <c r="B3554" s="3" t="n">
        <v>9</v>
      </c>
      <c r="C3554" s="3" t="n">
        <v>22</v>
      </c>
      <c r="D3554" s="3" t="s">
        <v>3558</v>
      </c>
      <c r="E3554" s="4" t="n">
        <v>0</v>
      </c>
    </row>
    <row r="3555" customFormat="false" ht="15" hidden="false" customHeight="false" outlineLevel="0" collapsed="false">
      <c r="A3555" s="3" t="n">
        <v>2021</v>
      </c>
      <c r="B3555" s="3" t="n">
        <v>9</v>
      </c>
      <c r="C3555" s="3" t="n">
        <v>23</v>
      </c>
      <c r="D3555" s="3" t="s">
        <v>3559</v>
      </c>
      <c r="E3555" s="4" t="n">
        <v>0</v>
      </c>
    </row>
    <row r="3556" customFormat="false" ht="15" hidden="false" customHeight="false" outlineLevel="0" collapsed="false">
      <c r="A3556" s="3" t="n">
        <v>2021</v>
      </c>
      <c r="B3556" s="3" t="n">
        <v>9</v>
      </c>
      <c r="C3556" s="3" t="n">
        <v>24</v>
      </c>
      <c r="D3556" s="3" t="s">
        <v>3560</v>
      </c>
      <c r="E3556" s="4" t="n">
        <v>108</v>
      </c>
    </row>
    <row r="3557" customFormat="false" ht="15" hidden="false" customHeight="false" outlineLevel="0" collapsed="false">
      <c r="A3557" s="3" t="n">
        <v>2021</v>
      </c>
      <c r="B3557" s="3" t="n">
        <v>9</v>
      </c>
      <c r="C3557" s="3" t="n">
        <v>25</v>
      </c>
      <c r="D3557" s="3" t="s">
        <v>3561</v>
      </c>
      <c r="E3557" s="4" t="n">
        <v>15</v>
      </c>
    </row>
    <row r="3558" customFormat="false" ht="15" hidden="false" customHeight="false" outlineLevel="0" collapsed="false">
      <c r="A3558" s="3" t="n">
        <v>2021</v>
      </c>
      <c r="B3558" s="3" t="n">
        <v>9</v>
      </c>
      <c r="C3558" s="3" t="n">
        <v>26</v>
      </c>
      <c r="D3558" s="3" t="s">
        <v>3562</v>
      </c>
      <c r="E3558" s="4" t="n">
        <v>3</v>
      </c>
    </row>
    <row r="3559" customFormat="false" ht="15" hidden="false" customHeight="false" outlineLevel="0" collapsed="false">
      <c r="A3559" s="3" t="n">
        <v>2021</v>
      </c>
      <c r="B3559" s="3" t="n">
        <v>9</v>
      </c>
      <c r="C3559" s="3" t="n">
        <v>27</v>
      </c>
      <c r="D3559" s="3" t="s">
        <v>3563</v>
      </c>
      <c r="E3559" s="4" t="n">
        <v>6</v>
      </c>
    </row>
    <row r="3560" customFormat="false" ht="15" hidden="false" customHeight="false" outlineLevel="0" collapsed="false">
      <c r="A3560" s="3" t="n">
        <v>2021</v>
      </c>
      <c r="B3560" s="3" t="n">
        <v>9</v>
      </c>
      <c r="C3560" s="3" t="n">
        <v>28</v>
      </c>
      <c r="D3560" s="3" t="s">
        <v>3564</v>
      </c>
      <c r="E3560" s="4" t="n">
        <v>0</v>
      </c>
    </row>
    <row r="3561" customFormat="false" ht="15" hidden="false" customHeight="false" outlineLevel="0" collapsed="false">
      <c r="A3561" s="3" t="n">
        <v>2021</v>
      </c>
      <c r="B3561" s="3" t="n">
        <v>9</v>
      </c>
      <c r="C3561" s="3" t="n">
        <v>29</v>
      </c>
      <c r="D3561" s="3" t="s">
        <v>3565</v>
      </c>
      <c r="E3561" s="4" t="n">
        <v>4</v>
      </c>
    </row>
    <row r="3562" customFormat="false" ht="15" hidden="false" customHeight="false" outlineLevel="0" collapsed="false">
      <c r="A3562" s="3" t="n">
        <v>2021</v>
      </c>
      <c r="B3562" s="3" t="n">
        <v>9</v>
      </c>
      <c r="C3562" s="3" t="n">
        <v>30</v>
      </c>
      <c r="D3562" s="3" t="s">
        <v>3566</v>
      </c>
      <c r="E3562" s="4" t="n">
        <v>0</v>
      </c>
    </row>
    <row r="3563" customFormat="false" ht="15" hidden="false" customHeight="false" outlineLevel="0" collapsed="false">
      <c r="A3563" s="3" t="n">
        <v>2021</v>
      </c>
      <c r="B3563" s="3" t="n">
        <v>10</v>
      </c>
      <c r="C3563" s="3" t="n">
        <v>1</v>
      </c>
      <c r="D3563" s="3" t="s">
        <v>3567</v>
      </c>
      <c r="E3563" s="4" t="n">
        <v>73</v>
      </c>
    </row>
    <row r="3564" customFormat="false" ht="15" hidden="false" customHeight="false" outlineLevel="0" collapsed="false">
      <c r="A3564" s="3" t="n">
        <v>2021</v>
      </c>
      <c r="B3564" s="3" t="n">
        <v>10</v>
      </c>
      <c r="C3564" s="3" t="n">
        <v>2</v>
      </c>
      <c r="D3564" s="3" t="s">
        <v>3568</v>
      </c>
      <c r="E3564" s="4" t="n">
        <v>4</v>
      </c>
    </row>
    <row r="3565" customFormat="false" ht="15" hidden="false" customHeight="false" outlineLevel="0" collapsed="false">
      <c r="A3565" s="3" t="n">
        <v>2021</v>
      </c>
      <c r="B3565" s="3" t="n">
        <v>10</v>
      </c>
      <c r="C3565" s="3" t="n">
        <v>3</v>
      </c>
      <c r="D3565" s="3" t="s">
        <v>3569</v>
      </c>
      <c r="E3565" s="4" t="n">
        <v>0</v>
      </c>
    </row>
    <row r="3566" customFormat="false" ht="15" hidden="false" customHeight="false" outlineLevel="0" collapsed="false">
      <c r="A3566" s="3" t="n">
        <v>2021</v>
      </c>
      <c r="B3566" s="3" t="n">
        <v>10</v>
      </c>
      <c r="C3566" s="3" t="n">
        <v>4</v>
      </c>
      <c r="D3566" s="3" t="s">
        <v>3570</v>
      </c>
      <c r="E3566" s="4" t="n">
        <v>13</v>
      </c>
    </row>
    <row r="3567" customFormat="false" ht="15" hidden="false" customHeight="false" outlineLevel="0" collapsed="false">
      <c r="A3567" s="3" t="n">
        <v>2021</v>
      </c>
      <c r="B3567" s="3" t="n">
        <v>10</v>
      </c>
      <c r="C3567" s="3" t="n">
        <v>5</v>
      </c>
      <c r="D3567" s="3" t="s">
        <v>3571</v>
      </c>
      <c r="E3567" s="4" t="n">
        <v>0</v>
      </c>
    </row>
    <row r="3568" customFormat="false" ht="15" hidden="false" customHeight="false" outlineLevel="0" collapsed="false">
      <c r="A3568" s="3" t="n">
        <v>2021</v>
      </c>
      <c r="B3568" s="3" t="n">
        <v>10</v>
      </c>
      <c r="C3568" s="3" t="n">
        <v>6</v>
      </c>
      <c r="D3568" s="3" t="s">
        <v>3572</v>
      </c>
      <c r="E3568" s="4" t="n">
        <v>0</v>
      </c>
    </row>
    <row r="3569" customFormat="false" ht="15" hidden="false" customHeight="false" outlineLevel="0" collapsed="false">
      <c r="A3569" s="3" t="n">
        <v>2021</v>
      </c>
      <c r="B3569" s="3" t="n">
        <v>10</v>
      </c>
      <c r="C3569" s="3" t="n">
        <v>7</v>
      </c>
      <c r="D3569" s="3" t="s">
        <v>3573</v>
      </c>
      <c r="E3569" s="4" t="n">
        <v>0</v>
      </c>
    </row>
    <row r="3570" customFormat="false" ht="15" hidden="false" customHeight="false" outlineLevel="0" collapsed="false">
      <c r="A3570" s="3" t="n">
        <v>2021</v>
      </c>
      <c r="B3570" s="3" t="n">
        <v>10</v>
      </c>
      <c r="C3570" s="3" t="n">
        <v>8</v>
      </c>
      <c r="D3570" s="3" t="s">
        <v>3574</v>
      </c>
      <c r="E3570" s="4" t="n">
        <v>30</v>
      </c>
    </row>
    <row r="3571" customFormat="false" ht="15" hidden="false" customHeight="false" outlineLevel="0" collapsed="false">
      <c r="A3571" s="3" t="n">
        <v>2021</v>
      </c>
      <c r="B3571" s="3" t="n">
        <v>10</v>
      </c>
      <c r="C3571" s="3" t="n">
        <v>9</v>
      </c>
      <c r="D3571" s="3" t="s">
        <v>3575</v>
      </c>
      <c r="E3571" s="4" t="n">
        <v>0</v>
      </c>
    </row>
    <row r="3572" customFormat="false" ht="15" hidden="false" customHeight="false" outlineLevel="0" collapsed="false">
      <c r="A3572" s="3" t="n">
        <v>2021</v>
      </c>
      <c r="B3572" s="3" t="n">
        <v>10</v>
      </c>
      <c r="C3572" s="3" t="n">
        <v>10</v>
      </c>
      <c r="D3572" s="3" t="s">
        <v>3576</v>
      </c>
      <c r="E3572" s="4" t="n">
        <v>0</v>
      </c>
    </row>
    <row r="3573" customFormat="false" ht="15" hidden="false" customHeight="false" outlineLevel="0" collapsed="false">
      <c r="A3573" s="3" t="n">
        <v>2021</v>
      </c>
      <c r="B3573" s="3" t="n">
        <v>10</v>
      </c>
      <c r="C3573" s="3" t="n">
        <v>11</v>
      </c>
      <c r="D3573" s="3" t="s">
        <v>3577</v>
      </c>
      <c r="E3573" s="4" t="n">
        <v>0</v>
      </c>
    </row>
    <row r="3574" customFormat="false" ht="15" hidden="false" customHeight="false" outlineLevel="0" collapsed="false">
      <c r="A3574" s="3" t="n">
        <v>2021</v>
      </c>
      <c r="B3574" s="3" t="n">
        <v>10</v>
      </c>
      <c r="C3574" s="3" t="n">
        <v>12</v>
      </c>
      <c r="D3574" s="3" t="s">
        <v>3578</v>
      </c>
      <c r="E3574" s="4" t="n">
        <v>0</v>
      </c>
    </row>
    <row r="3575" customFormat="false" ht="15" hidden="false" customHeight="false" outlineLevel="0" collapsed="false">
      <c r="A3575" s="3" t="n">
        <v>2021</v>
      </c>
      <c r="B3575" s="3" t="n">
        <v>10</v>
      </c>
      <c r="C3575" s="3" t="n">
        <v>13</v>
      </c>
      <c r="D3575" s="3" t="s">
        <v>3579</v>
      </c>
      <c r="E3575" s="4" t="n">
        <v>0</v>
      </c>
    </row>
    <row r="3576" customFormat="false" ht="15" hidden="false" customHeight="false" outlineLevel="0" collapsed="false">
      <c r="A3576" s="3" t="n">
        <v>2021</v>
      </c>
      <c r="B3576" s="3" t="n">
        <v>10</v>
      </c>
      <c r="C3576" s="3" t="n">
        <v>14</v>
      </c>
      <c r="D3576" s="3" t="s">
        <v>3580</v>
      </c>
      <c r="E3576" s="4" t="n">
        <v>0</v>
      </c>
    </row>
    <row r="3577" customFormat="false" ht="15" hidden="false" customHeight="false" outlineLevel="0" collapsed="false">
      <c r="A3577" s="3" t="n">
        <v>2021</v>
      </c>
      <c r="B3577" s="3" t="n">
        <v>10</v>
      </c>
      <c r="C3577" s="3" t="n">
        <v>15</v>
      </c>
      <c r="D3577" s="3" t="s">
        <v>3581</v>
      </c>
      <c r="E3577" s="4" t="n">
        <v>0</v>
      </c>
    </row>
    <row r="3578" customFormat="false" ht="15" hidden="false" customHeight="false" outlineLevel="0" collapsed="false">
      <c r="A3578" s="3" t="n">
        <v>2021</v>
      </c>
      <c r="B3578" s="3" t="n">
        <v>10</v>
      </c>
      <c r="C3578" s="3" t="n">
        <v>16</v>
      </c>
      <c r="D3578" s="3" t="s">
        <v>3582</v>
      </c>
      <c r="E3578" s="4" t="n">
        <v>10</v>
      </c>
    </row>
    <row r="3579" customFormat="false" ht="15" hidden="false" customHeight="false" outlineLevel="0" collapsed="false">
      <c r="A3579" s="3" t="n">
        <v>2021</v>
      </c>
      <c r="B3579" s="3" t="n">
        <v>10</v>
      </c>
      <c r="C3579" s="3" t="n">
        <v>17</v>
      </c>
      <c r="D3579" s="3" t="s">
        <v>3583</v>
      </c>
      <c r="E3579" s="4" t="n">
        <v>3</v>
      </c>
    </row>
    <row r="3580" customFormat="false" ht="15" hidden="false" customHeight="false" outlineLevel="0" collapsed="false">
      <c r="A3580" s="3" t="n">
        <v>2021</v>
      </c>
      <c r="B3580" s="3" t="n">
        <v>10</v>
      </c>
      <c r="C3580" s="3" t="n">
        <v>18</v>
      </c>
      <c r="D3580" s="3" t="s">
        <v>3584</v>
      </c>
      <c r="E3580" s="4" t="n">
        <v>0</v>
      </c>
    </row>
    <row r="3581" customFormat="false" ht="15" hidden="false" customHeight="false" outlineLevel="0" collapsed="false">
      <c r="A3581" s="3" t="n">
        <v>2021</v>
      </c>
      <c r="B3581" s="3" t="n">
        <v>10</v>
      </c>
      <c r="C3581" s="3" t="n">
        <v>19</v>
      </c>
      <c r="D3581" s="3" t="s">
        <v>3585</v>
      </c>
      <c r="E3581" s="4" t="n">
        <v>7</v>
      </c>
    </row>
    <row r="3582" customFormat="false" ht="15" hidden="false" customHeight="false" outlineLevel="0" collapsed="false">
      <c r="A3582" s="3" t="n">
        <v>2021</v>
      </c>
      <c r="B3582" s="3" t="n">
        <v>10</v>
      </c>
      <c r="C3582" s="3" t="n">
        <v>20</v>
      </c>
      <c r="D3582" s="3" t="s">
        <v>3586</v>
      </c>
      <c r="E3582" s="4" t="n">
        <v>14</v>
      </c>
    </row>
    <row r="3583" customFormat="false" ht="15" hidden="false" customHeight="false" outlineLevel="0" collapsed="false">
      <c r="A3583" s="3" t="n">
        <v>2021</v>
      </c>
      <c r="B3583" s="3" t="n">
        <v>10</v>
      </c>
      <c r="C3583" s="3" t="n">
        <v>21</v>
      </c>
      <c r="D3583" s="3" t="s">
        <v>3587</v>
      </c>
      <c r="E3583" s="4" t="n">
        <v>3</v>
      </c>
    </row>
    <row r="3584" customFormat="false" ht="15" hidden="false" customHeight="false" outlineLevel="0" collapsed="false">
      <c r="A3584" s="3" t="n">
        <v>2021</v>
      </c>
      <c r="B3584" s="3" t="n">
        <v>10</v>
      </c>
      <c r="C3584" s="3" t="n">
        <v>22</v>
      </c>
      <c r="D3584" s="3" t="s">
        <v>3588</v>
      </c>
      <c r="E3584" s="4" t="n">
        <v>1</v>
      </c>
    </row>
    <row r="3585" customFormat="false" ht="15" hidden="false" customHeight="false" outlineLevel="0" collapsed="false">
      <c r="A3585" s="3" t="n">
        <v>2021</v>
      </c>
      <c r="B3585" s="3" t="n">
        <v>10</v>
      </c>
      <c r="C3585" s="3" t="n">
        <v>23</v>
      </c>
      <c r="D3585" s="3" t="s">
        <v>3589</v>
      </c>
      <c r="E3585" s="4" t="n">
        <v>3</v>
      </c>
    </row>
    <row r="3586" customFormat="false" ht="15" hidden="false" customHeight="false" outlineLevel="0" collapsed="false">
      <c r="A3586" s="3" t="n">
        <v>2021</v>
      </c>
      <c r="B3586" s="3" t="n">
        <v>10</v>
      </c>
      <c r="C3586" s="3" t="n">
        <v>24</v>
      </c>
      <c r="D3586" s="3" t="s">
        <v>3590</v>
      </c>
      <c r="E3586" s="4" t="n">
        <v>0</v>
      </c>
    </row>
    <row r="3587" customFormat="false" ht="15" hidden="false" customHeight="false" outlineLevel="0" collapsed="false">
      <c r="A3587" s="3" t="n">
        <v>2021</v>
      </c>
      <c r="B3587" s="3" t="n">
        <v>10</v>
      </c>
      <c r="C3587" s="3" t="n">
        <v>25</v>
      </c>
      <c r="D3587" s="3" t="s">
        <v>3591</v>
      </c>
      <c r="E3587" s="4" t="n">
        <v>0</v>
      </c>
    </row>
    <row r="3588" customFormat="false" ht="15" hidden="false" customHeight="false" outlineLevel="0" collapsed="false">
      <c r="A3588" s="3" t="n">
        <v>2021</v>
      </c>
      <c r="B3588" s="3" t="n">
        <v>10</v>
      </c>
      <c r="C3588" s="3" t="n">
        <v>26</v>
      </c>
      <c r="D3588" s="3" t="s">
        <v>3592</v>
      </c>
      <c r="E3588" s="4" t="n">
        <v>0</v>
      </c>
    </row>
    <row r="3589" customFormat="false" ht="15" hidden="false" customHeight="false" outlineLevel="0" collapsed="false">
      <c r="A3589" s="3" t="n">
        <v>2021</v>
      </c>
      <c r="B3589" s="3" t="n">
        <v>10</v>
      </c>
      <c r="C3589" s="3" t="n">
        <v>27</v>
      </c>
      <c r="D3589" s="3" t="s">
        <v>3593</v>
      </c>
      <c r="E3589" s="4" t="n">
        <v>0</v>
      </c>
    </row>
    <row r="3590" customFormat="false" ht="15" hidden="false" customHeight="false" outlineLevel="0" collapsed="false">
      <c r="A3590" s="3" t="n">
        <v>2021</v>
      </c>
      <c r="B3590" s="3" t="n">
        <v>10</v>
      </c>
      <c r="C3590" s="3" t="n">
        <v>28</v>
      </c>
      <c r="D3590" s="3" t="s">
        <v>3594</v>
      </c>
      <c r="E3590" s="4" t="n">
        <v>82</v>
      </c>
    </row>
    <row r="3591" customFormat="false" ht="15" hidden="false" customHeight="false" outlineLevel="0" collapsed="false">
      <c r="A3591" s="3" t="n">
        <v>2021</v>
      </c>
      <c r="B3591" s="3" t="n">
        <v>10</v>
      </c>
      <c r="C3591" s="3" t="n">
        <v>29</v>
      </c>
      <c r="D3591" s="3" t="s">
        <v>3595</v>
      </c>
      <c r="E3591" s="4" t="n">
        <v>9</v>
      </c>
    </row>
    <row r="3592" customFormat="false" ht="15" hidden="false" customHeight="false" outlineLevel="0" collapsed="false">
      <c r="A3592" s="3" t="n">
        <v>2021</v>
      </c>
      <c r="B3592" s="3" t="n">
        <v>10</v>
      </c>
      <c r="C3592" s="3" t="n">
        <v>30</v>
      </c>
      <c r="D3592" s="3" t="s">
        <v>3596</v>
      </c>
      <c r="E3592" s="4" t="n">
        <v>0</v>
      </c>
    </row>
    <row r="3593" customFormat="false" ht="15" hidden="false" customHeight="false" outlineLevel="0" collapsed="false">
      <c r="A3593" s="3" t="n">
        <v>2021</v>
      </c>
      <c r="B3593" s="3" t="n">
        <v>10</v>
      </c>
      <c r="C3593" s="3" t="n">
        <v>31</v>
      </c>
      <c r="D3593" s="3" t="s">
        <v>3597</v>
      </c>
      <c r="E3593" s="4" t="n">
        <v>0</v>
      </c>
    </row>
    <row r="3594" customFormat="false" ht="15" hidden="false" customHeight="false" outlineLevel="0" collapsed="false">
      <c r="A3594" s="3" t="n">
        <v>2021</v>
      </c>
      <c r="B3594" s="3" t="n">
        <v>11</v>
      </c>
      <c r="C3594" s="3" t="n">
        <v>1</v>
      </c>
      <c r="D3594" s="3" t="s">
        <v>3598</v>
      </c>
      <c r="E3594" s="4" t="n">
        <v>7</v>
      </c>
    </row>
    <row r="3595" customFormat="false" ht="15" hidden="false" customHeight="false" outlineLevel="0" collapsed="false">
      <c r="A3595" s="3" t="n">
        <v>2021</v>
      </c>
      <c r="B3595" s="3" t="n">
        <v>11</v>
      </c>
      <c r="C3595" s="3" t="n">
        <v>2</v>
      </c>
      <c r="D3595" s="3" t="s">
        <v>3599</v>
      </c>
      <c r="E3595" s="4" t="n">
        <v>27</v>
      </c>
    </row>
    <row r="3596" customFormat="false" ht="15" hidden="false" customHeight="false" outlineLevel="0" collapsed="false">
      <c r="A3596" s="3" t="n">
        <v>2021</v>
      </c>
      <c r="B3596" s="3" t="n">
        <v>11</v>
      </c>
      <c r="C3596" s="3" t="n">
        <v>3</v>
      </c>
      <c r="D3596" s="3" t="s">
        <v>3600</v>
      </c>
      <c r="E3596" s="4" t="n">
        <v>11</v>
      </c>
    </row>
    <row r="3597" customFormat="false" ht="15" hidden="false" customHeight="false" outlineLevel="0" collapsed="false">
      <c r="A3597" s="3" t="n">
        <v>2021</v>
      </c>
      <c r="B3597" s="3" t="n">
        <v>11</v>
      </c>
      <c r="C3597" s="3" t="n">
        <v>4</v>
      </c>
      <c r="D3597" s="3" t="s">
        <v>3601</v>
      </c>
      <c r="E3597" s="4" t="n">
        <v>18</v>
      </c>
    </row>
    <row r="3598" customFormat="false" ht="15" hidden="false" customHeight="false" outlineLevel="0" collapsed="false">
      <c r="A3598" s="3" t="n">
        <v>2021</v>
      </c>
      <c r="B3598" s="3" t="n">
        <v>11</v>
      </c>
      <c r="C3598" s="3" t="n">
        <v>5</v>
      </c>
      <c r="D3598" s="3" t="s">
        <v>3602</v>
      </c>
      <c r="E3598" s="4" t="n">
        <v>6</v>
      </c>
    </row>
    <row r="3599" customFormat="false" ht="15" hidden="false" customHeight="false" outlineLevel="0" collapsed="false">
      <c r="A3599" s="3" t="n">
        <v>2021</v>
      </c>
      <c r="B3599" s="3" t="n">
        <v>11</v>
      </c>
      <c r="C3599" s="3" t="n">
        <v>6</v>
      </c>
      <c r="D3599" s="3" t="s">
        <v>3603</v>
      </c>
      <c r="E3599" s="4" t="n">
        <v>15</v>
      </c>
    </row>
    <row r="3600" customFormat="false" ht="15" hidden="false" customHeight="false" outlineLevel="0" collapsed="false">
      <c r="A3600" s="3" t="n">
        <v>2021</v>
      </c>
      <c r="B3600" s="3" t="n">
        <v>11</v>
      </c>
      <c r="C3600" s="3" t="n">
        <v>7</v>
      </c>
      <c r="D3600" s="3" t="s">
        <v>3604</v>
      </c>
      <c r="E3600" s="4" t="n">
        <v>3</v>
      </c>
    </row>
    <row r="3601" customFormat="false" ht="15" hidden="false" customHeight="false" outlineLevel="0" collapsed="false">
      <c r="A3601" s="3" t="n">
        <v>2021</v>
      </c>
      <c r="B3601" s="3" t="n">
        <v>11</v>
      </c>
      <c r="C3601" s="3" t="n">
        <v>8</v>
      </c>
      <c r="D3601" s="3" t="s">
        <v>3605</v>
      </c>
      <c r="E3601" s="4" t="n">
        <v>0</v>
      </c>
    </row>
    <row r="3602" customFormat="false" ht="15" hidden="false" customHeight="false" outlineLevel="0" collapsed="false">
      <c r="A3602" s="3" t="n">
        <v>2021</v>
      </c>
      <c r="B3602" s="3" t="n">
        <v>11</v>
      </c>
      <c r="C3602" s="3" t="n">
        <v>9</v>
      </c>
      <c r="D3602" s="3" t="s">
        <v>3606</v>
      </c>
      <c r="E3602" s="4" t="n">
        <v>0</v>
      </c>
    </row>
    <row r="3603" customFormat="false" ht="15" hidden="false" customHeight="false" outlineLevel="0" collapsed="false">
      <c r="A3603" s="3" t="n">
        <v>2021</v>
      </c>
      <c r="B3603" s="3" t="n">
        <v>11</v>
      </c>
      <c r="C3603" s="3" t="n">
        <v>10</v>
      </c>
      <c r="D3603" s="3" t="s">
        <v>3607</v>
      </c>
      <c r="E3603" s="4" t="n">
        <v>0</v>
      </c>
    </row>
    <row r="3604" customFormat="false" ht="15" hidden="false" customHeight="false" outlineLevel="0" collapsed="false">
      <c r="A3604" s="3" t="n">
        <v>2021</v>
      </c>
      <c r="B3604" s="3" t="n">
        <v>11</v>
      </c>
      <c r="C3604" s="3" t="n">
        <v>11</v>
      </c>
      <c r="D3604" s="3" t="s">
        <v>3608</v>
      </c>
      <c r="E3604" s="4" t="n">
        <v>67</v>
      </c>
    </row>
    <row r="3605" customFormat="false" ht="15" hidden="false" customHeight="false" outlineLevel="0" collapsed="false">
      <c r="A3605" s="3" t="n">
        <v>2021</v>
      </c>
      <c r="B3605" s="3" t="n">
        <v>11</v>
      </c>
      <c r="C3605" s="3" t="n">
        <v>12</v>
      </c>
      <c r="D3605" s="3" t="s">
        <v>3609</v>
      </c>
      <c r="E3605" s="4" t="n">
        <v>0</v>
      </c>
    </row>
    <row r="3606" customFormat="false" ht="15" hidden="false" customHeight="false" outlineLevel="0" collapsed="false">
      <c r="A3606" s="3" t="n">
        <v>2021</v>
      </c>
      <c r="B3606" s="3" t="n">
        <v>11</v>
      </c>
      <c r="C3606" s="3" t="n">
        <v>13</v>
      </c>
      <c r="D3606" s="3" t="s">
        <v>3610</v>
      </c>
      <c r="E3606" s="4" t="n">
        <v>8</v>
      </c>
    </row>
    <row r="3607" customFormat="false" ht="15" hidden="false" customHeight="false" outlineLevel="0" collapsed="false">
      <c r="A3607" s="3" t="n">
        <v>2021</v>
      </c>
      <c r="B3607" s="3" t="n">
        <v>11</v>
      </c>
      <c r="C3607" s="3" t="n">
        <v>14</v>
      </c>
      <c r="D3607" s="3" t="s">
        <v>3611</v>
      </c>
      <c r="E3607" s="4" t="n">
        <v>0</v>
      </c>
    </row>
    <row r="3608" customFormat="false" ht="15" hidden="false" customHeight="false" outlineLevel="0" collapsed="false">
      <c r="A3608" s="3" t="n">
        <v>2021</v>
      </c>
      <c r="B3608" s="3" t="n">
        <v>11</v>
      </c>
      <c r="C3608" s="3" t="n">
        <v>15</v>
      </c>
      <c r="D3608" s="3" t="s">
        <v>3612</v>
      </c>
      <c r="E3608" s="4" t="n">
        <v>8</v>
      </c>
    </row>
    <row r="3609" customFormat="false" ht="15" hidden="false" customHeight="false" outlineLevel="0" collapsed="false">
      <c r="A3609" s="3" t="n">
        <v>2021</v>
      </c>
      <c r="B3609" s="3" t="n">
        <v>11</v>
      </c>
      <c r="C3609" s="3" t="n">
        <v>16</v>
      </c>
      <c r="D3609" s="3" t="s">
        <v>3613</v>
      </c>
      <c r="E3609" s="4" t="n">
        <v>1</v>
      </c>
    </row>
    <row r="3610" customFormat="false" ht="15" hidden="false" customHeight="false" outlineLevel="0" collapsed="false">
      <c r="A3610" s="3" t="n">
        <v>2021</v>
      </c>
      <c r="B3610" s="3" t="n">
        <v>11</v>
      </c>
      <c r="C3610" s="3" t="n">
        <v>17</v>
      </c>
      <c r="D3610" s="3" t="s">
        <v>3614</v>
      </c>
      <c r="E3610" s="4" t="n">
        <v>0</v>
      </c>
    </row>
    <row r="3611" customFormat="false" ht="15" hidden="false" customHeight="false" outlineLevel="0" collapsed="false">
      <c r="A3611" s="3" t="n">
        <v>2021</v>
      </c>
      <c r="B3611" s="3" t="n">
        <v>11</v>
      </c>
      <c r="C3611" s="3" t="n">
        <v>18</v>
      </c>
      <c r="D3611" s="3" t="s">
        <v>3615</v>
      </c>
      <c r="E3611" s="4" t="n">
        <v>4</v>
      </c>
    </row>
    <row r="3612" customFormat="false" ht="15" hidden="false" customHeight="false" outlineLevel="0" collapsed="false">
      <c r="A3612" s="3" t="n">
        <v>2021</v>
      </c>
      <c r="B3612" s="3" t="n">
        <v>11</v>
      </c>
      <c r="C3612" s="3" t="n">
        <v>19</v>
      </c>
      <c r="D3612" s="3" t="s">
        <v>3616</v>
      </c>
      <c r="E3612" s="4" t="n">
        <v>12</v>
      </c>
    </row>
    <row r="3613" customFormat="false" ht="15" hidden="false" customHeight="false" outlineLevel="0" collapsed="false">
      <c r="A3613" s="3" t="n">
        <v>2021</v>
      </c>
      <c r="B3613" s="3" t="n">
        <v>11</v>
      </c>
      <c r="C3613" s="3" t="n">
        <v>20</v>
      </c>
      <c r="D3613" s="3" t="s">
        <v>3617</v>
      </c>
      <c r="E3613" s="4" t="n">
        <v>21</v>
      </c>
    </row>
    <row r="3614" customFormat="false" ht="15" hidden="false" customHeight="false" outlineLevel="0" collapsed="false">
      <c r="A3614" s="3" t="n">
        <v>2021</v>
      </c>
      <c r="B3614" s="3" t="n">
        <v>11</v>
      </c>
      <c r="C3614" s="3" t="n">
        <v>21</v>
      </c>
      <c r="D3614" s="3" t="s">
        <v>3618</v>
      </c>
      <c r="E3614" s="4" t="n">
        <v>0</v>
      </c>
    </row>
    <row r="3615" customFormat="false" ht="15" hidden="false" customHeight="false" outlineLevel="0" collapsed="false">
      <c r="A3615" s="3" t="n">
        <v>2021</v>
      </c>
      <c r="B3615" s="3" t="n">
        <v>11</v>
      </c>
      <c r="C3615" s="3" t="n">
        <v>22</v>
      </c>
      <c r="D3615" s="3" t="s">
        <v>3619</v>
      </c>
      <c r="E3615" s="4" t="n">
        <v>0</v>
      </c>
    </row>
    <row r="3616" customFormat="false" ht="15" hidden="false" customHeight="false" outlineLevel="0" collapsed="false">
      <c r="A3616" s="3" t="n">
        <v>2021</v>
      </c>
      <c r="B3616" s="3" t="n">
        <v>11</v>
      </c>
      <c r="C3616" s="3" t="n">
        <v>23</v>
      </c>
      <c r="D3616" s="3" t="s">
        <v>3620</v>
      </c>
      <c r="E3616" s="4" t="n">
        <v>0</v>
      </c>
    </row>
    <row r="3617" customFormat="false" ht="15" hidden="false" customHeight="false" outlineLevel="0" collapsed="false">
      <c r="A3617" s="3" t="n">
        <v>2021</v>
      </c>
      <c r="B3617" s="3" t="n">
        <v>11</v>
      </c>
      <c r="C3617" s="3" t="n">
        <v>24</v>
      </c>
      <c r="D3617" s="3" t="s">
        <v>3621</v>
      </c>
      <c r="E3617" s="4" t="n">
        <v>24</v>
      </c>
    </row>
    <row r="3618" customFormat="false" ht="15" hidden="false" customHeight="false" outlineLevel="0" collapsed="false">
      <c r="A3618" s="3" t="n">
        <v>2021</v>
      </c>
      <c r="B3618" s="3" t="n">
        <v>11</v>
      </c>
      <c r="C3618" s="3" t="n">
        <v>25</v>
      </c>
      <c r="D3618" s="3" t="s">
        <v>3622</v>
      </c>
      <c r="E3618" s="4" t="n">
        <v>6</v>
      </c>
    </row>
    <row r="3619" customFormat="false" ht="15" hidden="false" customHeight="false" outlineLevel="0" collapsed="false">
      <c r="A3619" s="3" t="n">
        <v>2021</v>
      </c>
      <c r="B3619" s="3" t="n">
        <v>11</v>
      </c>
      <c r="C3619" s="3" t="n">
        <v>26</v>
      </c>
      <c r="D3619" s="3" t="s">
        <v>3623</v>
      </c>
      <c r="E3619" s="4" t="n">
        <v>0</v>
      </c>
    </row>
    <row r="3620" customFormat="false" ht="15" hidden="false" customHeight="false" outlineLevel="0" collapsed="false">
      <c r="A3620" s="3" t="n">
        <v>2021</v>
      </c>
      <c r="B3620" s="3" t="n">
        <v>11</v>
      </c>
      <c r="C3620" s="3" t="n">
        <v>27</v>
      </c>
      <c r="D3620" s="3" t="s">
        <v>3624</v>
      </c>
      <c r="E3620" s="4" t="n">
        <v>0</v>
      </c>
    </row>
    <row r="3621" customFormat="false" ht="15" hidden="false" customHeight="false" outlineLevel="0" collapsed="false">
      <c r="A3621" s="3" t="n">
        <v>2021</v>
      </c>
      <c r="B3621" s="3" t="n">
        <v>11</v>
      </c>
      <c r="C3621" s="3" t="n">
        <v>28</v>
      </c>
      <c r="D3621" s="3" t="s">
        <v>3625</v>
      </c>
      <c r="E3621" s="4" t="n">
        <v>12</v>
      </c>
    </row>
    <row r="3622" customFormat="false" ht="15" hidden="false" customHeight="false" outlineLevel="0" collapsed="false">
      <c r="A3622" s="3" t="n">
        <v>2021</v>
      </c>
      <c r="B3622" s="3" t="n">
        <v>11</v>
      </c>
      <c r="C3622" s="3" t="n">
        <v>29</v>
      </c>
      <c r="D3622" s="3" t="s">
        <v>3626</v>
      </c>
      <c r="E3622" s="4" t="n">
        <v>2</v>
      </c>
    </row>
    <row r="3623" customFormat="false" ht="15" hidden="false" customHeight="false" outlineLevel="0" collapsed="false">
      <c r="A3623" s="3" t="n">
        <v>2021</v>
      </c>
      <c r="B3623" s="3" t="n">
        <v>11</v>
      </c>
      <c r="C3623" s="3" t="n">
        <v>30</v>
      </c>
      <c r="D3623" s="3" t="s">
        <v>3627</v>
      </c>
      <c r="E3623" s="4" t="n">
        <v>0</v>
      </c>
    </row>
    <row r="3624" customFormat="false" ht="15" hidden="false" customHeight="false" outlineLevel="0" collapsed="false">
      <c r="A3624" s="3" t="n">
        <v>2021</v>
      </c>
      <c r="B3624" s="3" t="n">
        <v>12</v>
      </c>
      <c r="C3624" s="3" t="n">
        <v>1</v>
      </c>
      <c r="D3624" s="3" t="s">
        <v>3628</v>
      </c>
      <c r="E3624" s="4" t="n">
        <v>0</v>
      </c>
    </row>
    <row r="3625" customFormat="false" ht="15" hidden="false" customHeight="false" outlineLevel="0" collapsed="false">
      <c r="A3625" s="3" t="n">
        <v>2021</v>
      </c>
      <c r="B3625" s="3" t="n">
        <v>12</v>
      </c>
      <c r="C3625" s="3" t="n">
        <v>2</v>
      </c>
      <c r="D3625" s="3" t="s">
        <v>3629</v>
      </c>
      <c r="E3625" s="4" t="n">
        <v>0</v>
      </c>
    </row>
    <row r="3626" customFormat="false" ht="15" hidden="false" customHeight="false" outlineLevel="0" collapsed="false">
      <c r="A3626" s="3" t="n">
        <v>2021</v>
      </c>
      <c r="B3626" s="3" t="n">
        <v>12</v>
      </c>
      <c r="C3626" s="3" t="n">
        <v>3</v>
      </c>
      <c r="D3626" s="3" t="s">
        <v>3630</v>
      </c>
      <c r="E3626" s="4" t="n">
        <v>2</v>
      </c>
    </row>
    <row r="3627" customFormat="false" ht="15" hidden="false" customHeight="false" outlineLevel="0" collapsed="false">
      <c r="A3627" s="3" t="n">
        <v>2021</v>
      </c>
      <c r="B3627" s="3" t="n">
        <v>12</v>
      </c>
      <c r="C3627" s="3" t="n">
        <v>4</v>
      </c>
      <c r="D3627" s="3" t="s">
        <v>3631</v>
      </c>
      <c r="E3627" s="4" t="n">
        <v>3</v>
      </c>
    </row>
    <row r="3628" customFormat="false" ht="15" hidden="false" customHeight="false" outlineLevel="0" collapsed="false">
      <c r="A3628" s="3" t="n">
        <v>2021</v>
      </c>
      <c r="B3628" s="3" t="n">
        <v>12</v>
      </c>
      <c r="C3628" s="3" t="n">
        <v>5</v>
      </c>
      <c r="D3628" s="3" t="s">
        <v>3632</v>
      </c>
      <c r="E3628" s="4" t="n">
        <v>0</v>
      </c>
    </row>
    <row r="3629" customFormat="false" ht="15" hidden="false" customHeight="false" outlineLevel="0" collapsed="false">
      <c r="A3629" s="3" t="n">
        <v>2021</v>
      </c>
      <c r="B3629" s="3" t="n">
        <v>12</v>
      </c>
      <c r="C3629" s="3" t="n">
        <v>6</v>
      </c>
      <c r="D3629" s="3" t="s">
        <v>3633</v>
      </c>
      <c r="E3629" s="4" t="n">
        <v>8</v>
      </c>
    </row>
    <row r="3630" customFormat="false" ht="15" hidden="false" customHeight="false" outlineLevel="0" collapsed="false">
      <c r="A3630" s="3" t="n">
        <v>2021</v>
      </c>
      <c r="B3630" s="3" t="n">
        <v>12</v>
      </c>
      <c r="C3630" s="3" t="n">
        <v>7</v>
      </c>
      <c r="D3630" s="3" t="s">
        <v>3634</v>
      </c>
      <c r="E3630" s="4" t="n">
        <v>0</v>
      </c>
    </row>
    <row r="3631" customFormat="false" ht="15" hidden="false" customHeight="false" outlineLevel="0" collapsed="false">
      <c r="A3631" s="3" t="n">
        <v>2021</v>
      </c>
      <c r="B3631" s="3" t="n">
        <v>12</v>
      </c>
      <c r="C3631" s="3" t="n">
        <v>8</v>
      </c>
      <c r="D3631" s="3" t="s">
        <v>3635</v>
      </c>
      <c r="E3631" s="4" t="n">
        <v>0</v>
      </c>
    </row>
    <row r="3632" customFormat="false" ht="15" hidden="false" customHeight="false" outlineLevel="0" collapsed="false">
      <c r="A3632" s="3" t="n">
        <v>2021</v>
      </c>
      <c r="B3632" s="3" t="n">
        <v>12</v>
      </c>
      <c r="C3632" s="3" t="n">
        <v>9</v>
      </c>
      <c r="D3632" s="3" t="s">
        <v>3636</v>
      </c>
      <c r="E3632" s="4" t="n">
        <v>5</v>
      </c>
    </row>
    <row r="3633" customFormat="false" ht="15" hidden="false" customHeight="false" outlineLevel="0" collapsed="false">
      <c r="A3633" s="3" t="n">
        <v>2021</v>
      </c>
      <c r="B3633" s="3" t="n">
        <v>12</v>
      </c>
      <c r="C3633" s="3" t="n">
        <v>10</v>
      </c>
      <c r="D3633" s="3" t="s">
        <v>3637</v>
      </c>
      <c r="E3633" s="4" t="n">
        <v>0</v>
      </c>
    </row>
    <row r="3634" customFormat="false" ht="15" hidden="false" customHeight="false" outlineLevel="0" collapsed="false">
      <c r="A3634" s="3" t="n">
        <v>2021</v>
      </c>
      <c r="B3634" s="3" t="n">
        <v>12</v>
      </c>
      <c r="C3634" s="3" t="n">
        <v>11</v>
      </c>
      <c r="D3634" s="3" t="s">
        <v>3638</v>
      </c>
      <c r="E3634" s="4" t="n">
        <v>0</v>
      </c>
    </row>
    <row r="3635" customFormat="false" ht="15" hidden="false" customHeight="false" outlineLevel="0" collapsed="false">
      <c r="A3635" s="3" t="n">
        <v>2021</v>
      </c>
      <c r="B3635" s="3" t="n">
        <v>12</v>
      </c>
      <c r="C3635" s="3" t="n">
        <v>12</v>
      </c>
      <c r="D3635" s="3" t="s">
        <v>3639</v>
      </c>
      <c r="E3635" s="4" t="n">
        <v>0</v>
      </c>
    </row>
    <row r="3636" customFormat="false" ht="15" hidden="false" customHeight="false" outlineLevel="0" collapsed="false">
      <c r="A3636" s="3" t="n">
        <v>2021</v>
      </c>
      <c r="B3636" s="3" t="n">
        <v>12</v>
      </c>
      <c r="C3636" s="3" t="n">
        <v>13</v>
      </c>
      <c r="D3636" s="3" t="s">
        <v>3640</v>
      </c>
      <c r="E3636" s="4" t="n">
        <v>0</v>
      </c>
    </row>
    <row r="3637" customFormat="false" ht="15" hidden="false" customHeight="false" outlineLevel="0" collapsed="false">
      <c r="A3637" s="3" t="n">
        <v>2021</v>
      </c>
      <c r="B3637" s="3" t="n">
        <v>12</v>
      </c>
      <c r="C3637" s="3" t="n">
        <v>14</v>
      </c>
      <c r="D3637" s="3" t="s">
        <v>3641</v>
      </c>
      <c r="E3637" s="4" t="n">
        <v>16</v>
      </c>
    </row>
    <row r="3638" customFormat="false" ht="15" hidden="false" customHeight="false" outlineLevel="0" collapsed="false">
      <c r="A3638" s="3" t="n">
        <v>2021</v>
      </c>
      <c r="B3638" s="3" t="n">
        <v>12</v>
      </c>
      <c r="C3638" s="3" t="n">
        <v>15</v>
      </c>
      <c r="D3638" s="3" t="s">
        <v>3642</v>
      </c>
      <c r="E3638" s="4" t="n">
        <v>81</v>
      </c>
    </row>
    <row r="3639" customFormat="false" ht="15" hidden="false" customHeight="false" outlineLevel="0" collapsed="false">
      <c r="A3639" s="3" t="n">
        <v>2021</v>
      </c>
      <c r="B3639" s="3" t="n">
        <v>12</v>
      </c>
      <c r="C3639" s="3" t="n">
        <v>16</v>
      </c>
      <c r="D3639" s="3" t="s">
        <v>3643</v>
      </c>
      <c r="E3639" s="4" t="n">
        <v>21</v>
      </c>
    </row>
    <row r="3640" customFormat="false" ht="15" hidden="false" customHeight="false" outlineLevel="0" collapsed="false">
      <c r="A3640" s="3" t="n">
        <v>2021</v>
      </c>
      <c r="B3640" s="3" t="n">
        <v>12</v>
      </c>
      <c r="C3640" s="3" t="n">
        <v>17</v>
      </c>
      <c r="D3640" s="3" t="s">
        <v>3644</v>
      </c>
      <c r="E3640" s="4" t="n">
        <v>0</v>
      </c>
    </row>
    <row r="3641" customFormat="false" ht="15" hidden="false" customHeight="false" outlineLevel="0" collapsed="false">
      <c r="A3641" s="3" t="n">
        <v>2021</v>
      </c>
      <c r="B3641" s="3" t="n">
        <v>12</v>
      </c>
      <c r="C3641" s="3" t="n">
        <v>18</v>
      </c>
      <c r="D3641" s="3" t="s">
        <v>3645</v>
      </c>
      <c r="E3641" s="4" t="n">
        <v>0</v>
      </c>
    </row>
    <row r="3642" customFormat="false" ht="15" hidden="false" customHeight="false" outlineLevel="0" collapsed="false">
      <c r="A3642" s="3" t="n">
        <v>2021</v>
      </c>
      <c r="B3642" s="3" t="n">
        <v>12</v>
      </c>
      <c r="C3642" s="3" t="n">
        <v>19</v>
      </c>
      <c r="D3642" s="3" t="s">
        <v>3646</v>
      </c>
      <c r="E3642" s="4" t="n">
        <v>0</v>
      </c>
    </row>
    <row r="3643" customFormat="false" ht="15" hidden="false" customHeight="false" outlineLevel="0" collapsed="false">
      <c r="A3643" s="3" t="n">
        <v>2021</v>
      </c>
      <c r="B3643" s="3" t="n">
        <v>12</v>
      </c>
      <c r="C3643" s="3" t="n">
        <v>20</v>
      </c>
      <c r="D3643" s="3" t="s">
        <v>3647</v>
      </c>
      <c r="E3643" s="4" t="n">
        <v>0</v>
      </c>
    </row>
    <row r="3644" customFormat="false" ht="15" hidden="false" customHeight="false" outlineLevel="0" collapsed="false">
      <c r="A3644" s="3" t="n">
        <v>2021</v>
      </c>
      <c r="B3644" s="3" t="n">
        <v>12</v>
      </c>
      <c r="C3644" s="3" t="n">
        <v>21</v>
      </c>
      <c r="D3644" s="3" t="s">
        <v>3648</v>
      </c>
      <c r="E3644" s="4" t="n">
        <v>12</v>
      </c>
    </row>
    <row r="3645" customFormat="false" ht="15" hidden="false" customHeight="false" outlineLevel="0" collapsed="false">
      <c r="A3645" s="3" t="n">
        <v>2021</v>
      </c>
      <c r="B3645" s="3" t="n">
        <v>12</v>
      </c>
      <c r="C3645" s="3" t="n">
        <v>22</v>
      </c>
      <c r="D3645" s="3" t="s">
        <v>3649</v>
      </c>
      <c r="E3645" s="4" t="n">
        <v>0</v>
      </c>
    </row>
    <row r="3646" customFormat="false" ht="15" hidden="false" customHeight="false" outlineLevel="0" collapsed="false">
      <c r="A3646" s="3" t="n">
        <v>2021</v>
      </c>
      <c r="B3646" s="3" t="n">
        <v>12</v>
      </c>
      <c r="C3646" s="3" t="n">
        <v>23</v>
      </c>
      <c r="D3646" s="3" t="s">
        <v>3650</v>
      </c>
      <c r="E3646" s="4" t="n">
        <v>0</v>
      </c>
    </row>
    <row r="3647" customFormat="false" ht="15" hidden="false" customHeight="false" outlineLevel="0" collapsed="false">
      <c r="A3647" s="3" t="n">
        <v>2021</v>
      </c>
      <c r="B3647" s="3" t="n">
        <v>12</v>
      </c>
      <c r="C3647" s="3" t="n">
        <v>24</v>
      </c>
      <c r="D3647" s="3" t="s">
        <v>3651</v>
      </c>
      <c r="E3647" s="4" t="n">
        <v>4</v>
      </c>
    </row>
    <row r="3648" customFormat="false" ht="15" hidden="false" customHeight="false" outlineLevel="0" collapsed="false">
      <c r="A3648" s="3" t="n">
        <v>2021</v>
      </c>
      <c r="B3648" s="3" t="n">
        <v>12</v>
      </c>
      <c r="C3648" s="3" t="n">
        <v>25</v>
      </c>
      <c r="D3648" s="3" t="s">
        <v>3652</v>
      </c>
      <c r="E3648" s="4" t="n">
        <v>0</v>
      </c>
    </row>
    <row r="3649" customFormat="false" ht="15" hidden="false" customHeight="false" outlineLevel="0" collapsed="false">
      <c r="A3649" s="3" t="n">
        <v>2021</v>
      </c>
      <c r="B3649" s="3" t="n">
        <v>12</v>
      </c>
      <c r="C3649" s="3" t="n">
        <v>26</v>
      </c>
      <c r="D3649" s="3" t="s">
        <v>3653</v>
      </c>
      <c r="E3649" s="4" t="n">
        <v>0</v>
      </c>
    </row>
    <row r="3650" customFormat="false" ht="15" hidden="false" customHeight="false" outlineLevel="0" collapsed="false">
      <c r="A3650" s="3" t="n">
        <v>2021</v>
      </c>
      <c r="B3650" s="3" t="n">
        <v>12</v>
      </c>
      <c r="C3650" s="3" t="n">
        <v>27</v>
      </c>
      <c r="D3650" s="3" t="s">
        <v>3654</v>
      </c>
      <c r="E3650" s="4" t="n">
        <v>0</v>
      </c>
    </row>
    <row r="3651" customFormat="false" ht="15" hidden="false" customHeight="false" outlineLevel="0" collapsed="false">
      <c r="A3651" s="3" t="n">
        <v>2021</v>
      </c>
      <c r="B3651" s="3" t="n">
        <v>12</v>
      </c>
      <c r="C3651" s="3" t="n">
        <v>28</v>
      </c>
      <c r="D3651" s="3" t="s">
        <v>3655</v>
      </c>
      <c r="E3651" s="4" t="n">
        <v>0</v>
      </c>
    </row>
    <row r="3652" customFormat="false" ht="15" hidden="false" customHeight="false" outlineLevel="0" collapsed="false">
      <c r="A3652" s="3" t="n">
        <v>2021</v>
      </c>
      <c r="B3652" s="3" t="n">
        <v>12</v>
      </c>
      <c r="C3652" s="3" t="n">
        <v>29</v>
      </c>
      <c r="D3652" s="3" t="s">
        <v>3656</v>
      </c>
      <c r="E3652" s="4" t="n">
        <v>0</v>
      </c>
    </row>
    <row r="3653" customFormat="false" ht="15" hidden="false" customHeight="false" outlineLevel="0" collapsed="false">
      <c r="A3653" s="3" t="n">
        <v>2021</v>
      </c>
      <c r="B3653" s="3" t="n">
        <v>12</v>
      </c>
      <c r="C3653" s="3" t="n">
        <v>30</v>
      </c>
      <c r="D3653" s="3" t="s">
        <v>3657</v>
      </c>
      <c r="E3653" s="4" t="n">
        <v>0</v>
      </c>
    </row>
    <row r="3654" customFormat="false" ht="15" hidden="false" customHeight="false" outlineLevel="0" collapsed="false">
      <c r="A3654" s="3" t="n">
        <v>2021</v>
      </c>
      <c r="B3654" s="3" t="n">
        <v>12</v>
      </c>
      <c r="C3654" s="3" t="n">
        <v>31</v>
      </c>
      <c r="D3654" s="3" t="s">
        <v>3658</v>
      </c>
      <c r="E3654" s="4" t="n">
        <v>0</v>
      </c>
    </row>
    <row r="3655" customFormat="false" ht="15" hidden="false" customHeight="false" outlineLevel="0" collapsed="false">
      <c r="A3655" s="3" t="n">
        <v>2022</v>
      </c>
      <c r="B3655" s="3" t="n">
        <v>1</v>
      </c>
      <c r="C3655" s="3" t="n">
        <v>1</v>
      </c>
      <c r="D3655" s="3" t="s">
        <v>3659</v>
      </c>
      <c r="E3655" s="4" t="n">
        <v>15</v>
      </c>
    </row>
    <row r="3656" customFormat="false" ht="15" hidden="false" customHeight="false" outlineLevel="0" collapsed="false">
      <c r="A3656" s="3" t="n">
        <v>2022</v>
      </c>
      <c r="B3656" s="3" t="n">
        <v>1</v>
      </c>
      <c r="C3656" s="3" t="n">
        <v>2</v>
      </c>
      <c r="D3656" s="3" t="s">
        <v>3660</v>
      </c>
      <c r="E3656" s="4" t="n">
        <v>6</v>
      </c>
    </row>
    <row r="3657" customFormat="false" ht="15" hidden="false" customHeight="false" outlineLevel="0" collapsed="false">
      <c r="A3657" s="3" t="n">
        <v>2022</v>
      </c>
      <c r="B3657" s="3" t="n">
        <v>1</v>
      </c>
      <c r="C3657" s="3" t="n">
        <v>3</v>
      </c>
      <c r="D3657" s="3" t="s">
        <v>3661</v>
      </c>
      <c r="E3657" s="4" t="n">
        <v>32</v>
      </c>
    </row>
    <row r="3658" customFormat="false" ht="15" hidden="false" customHeight="false" outlineLevel="0" collapsed="false">
      <c r="A3658" s="3" t="n">
        <v>2022</v>
      </c>
      <c r="B3658" s="3" t="n">
        <v>1</v>
      </c>
      <c r="C3658" s="3" t="n">
        <v>4</v>
      </c>
      <c r="D3658" s="3" t="s">
        <v>3662</v>
      </c>
      <c r="E3658" s="4" t="n">
        <v>0</v>
      </c>
    </row>
    <row r="3659" customFormat="false" ht="15" hidden="false" customHeight="false" outlineLevel="0" collapsed="false">
      <c r="A3659" s="3" t="n">
        <v>2022</v>
      </c>
      <c r="B3659" s="3" t="n">
        <v>1</v>
      </c>
      <c r="C3659" s="3" t="n">
        <v>5</v>
      </c>
      <c r="D3659" s="3" t="s">
        <v>3663</v>
      </c>
      <c r="E3659" s="4" t="n">
        <v>0</v>
      </c>
    </row>
    <row r="3660" customFormat="false" ht="15" hidden="false" customHeight="false" outlineLevel="0" collapsed="false">
      <c r="A3660" s="3" t="n">
        <v>2022</v>
      </c>
      <c r="B3660" s="3" t="n">
        <v>1</v>
      </c>
      <c r="C3660" s="3" t="n">
        <v>6</v>
      </c>
      <c r="D3660" s="3" t="s">
        <v>3664</v>
      </c>
      <c r="E3660" s="4" t="n">
        <v>10</v>
      </c>
    </row>
    <row r="3661" customFormat="false" ht="15" hidden="false" customHeight="false" outlineLevel="0" collapsed="false">
      <c r="A3661" s="3" t="n">
        <v>2022</v>
      </c>
      <c r="B3661" s="3" t="n">
        <v>1</v>
      </c>
      <c r="C3661" s="3" t="n">
        <v>7</v>
      </c>
      <c r="D3661" s="3" t="s">
        <v>3665</v>
      </c>
      <c r="E3661" s="4" t="n">
        <v>12</v>
      </c>
    </row>
    <row r="3662" customFormat="false" ht="15" hidden="false" customHeight="false" outlineLevel="0" collapsed="false">
      <c r="A3662" s="3" t="n">
        <v>2022</v>
      </c>
      <c r="B3662" s="3" t="n">
        <v>1</v>
      </c>
      <c r="C3662" s="3" t="n">
        <v>8</v>
      </c>
      <c r="D3662" s="3" t="s">
        <v>3666</v>
      </c>
      <c r="E3662" s="4" t="n">
        <v>0</v>
      </c>
    </row>
    <row r="3663" customFormat="false" ht="15" hidden="false" customHeight="false" outlineLevel="0" collapsed="false">
      <c r="A3663" s="3" t="n">
        <v>2022</v>
      </c>
      <c r="B3663" s="3" t="n">
        <v>1</v>
      </c>
      <c r="C3663" s="3" t="n">
        <v>9</v>
      </c>
      <c r="D3663" s="3" t="s">
        <v>3667</v>
      </c>
      <c r="E3663" s="4" t="n">
        <v>0</v>
      </c>
    </row>
    <row r="3664" customFormat="false" ht="15" hidden="false" customHeight="false" outlineLevel="0" collapsed="false">
      <c r="A3664" s="3" t="n">
        <v>2022</v>
      </c>
      <c r="B3664" s="3" t="n">
        <v>1</v>
      </c>
      <c r="C3664" s="3" t="n">
        <v>10</v>
      </c>
      <c r="D3664" s="3" t="s">
        <v>3668</v>
      </c>
      <c r="E3664" s="4" t="n">
        <v>4</v>
      </c>
    </row>
    <row r="3665" customFormat="false" ht="15" hidden="false" customHeight="false" outlineLevel="0" collapsed="false">
      <c r="A3665" s="3" t="n">
        <v>2022</v>
      </c>
      <c r="B3665" s="3" t="n">
        <v>1</v>
      </c>
      <c r="C3665" s="3" t="n">
        <v>11</v>
      </c>
      <c r="D3665" s="3" t="s">
        <v>3669</v>
      </c>
      <c r="E3665" s="4" t="n">
        <v>0</v>
      </c>
    </row>
    <row r="3666" customFormat="false" ht="15" hidden="false" customHeight="false" outlineLevel="0" collapsed="false">
      <c r="A3666" s="3" t="n">
        <v>2022</v>
      </c>
      <c r="B3666" s="3" t="n">
        <v>1</v>
      </c>
      <c r="C3666" s="3" t="n">
        <v>12</v>
      </c>
      <c r="D3666" s="3" t="s">
        <v>3670</v>
      </c>
      <c r="E3666" s="4" t="n">
        <v>5</v>
      </c>
    </row>
    <row r="3667" customFormat="false" ht="15" hidden="false" customHeight="false" outlineLevel="0" collapsed="false">
      <c r="A3667" s="3" t="n">
        <v>2022</v>
      </c>
      <c r="B3667" s="3" t="n">
        <v>1</v>
      </c>
      <c r="C3667" s="3" t="n">
        <v>13</v>
      </c>
      <c r="D3667" s="3" t="s">
        <v>3671</v>
      </c>
      <c r="E3667" s="4" t="n">
        <v>2</v>
      </c>
    </row>
    <row r="3668" customFormat="false" ht="15" hidden="false" customHeight="false" outlineLevel="0" collapsed="false">
      <c r="A3668" s="3" t="n">
        <v>2022</v>
      </c>
      <c r="B3668" s="3" t="n">
        <v>1</v>
      </c>
      <c r="C3668" s="3" t="n">
        <v>14</v>
      </c>
      <c r="D3668" s="3" t="s">
        <v>3672</v>
      </c>
      <c r="E3668" s="4" t="n">
        <v>1</v>
      </c>
    </row>
    <row r="3669" customFormat="false" ht="15" hidden="false" customHeight="false" outlineLevel="0" collapsed="false">
      <c r="A3669" s="3" t="n">
        <v>2022</v>
      </c>
      <c r="B3669" s="3" t="n">
        <v>1</v>
      </c>
      <c r="C3669" s="3" t="n">
        <v>15</v>
      </c>
      <c r="D3669" s="3" t="s">
        <v>3673</v>
      </c>
      <c r="E3669" s="4" t="n">
        <v>20</v>
      </c>
    </row>
    <row r="3670" customFormat="false" ht="15" hidden="false" customHeight="false" outlineLevel="0" collapsed="false">
      <c r="A3670" s="3" t="n">
        <v>2022</v>
      </c>
      <c r="B3670" s="3" t="n">
        <v>1</v>
      </c>
      <c r="C3670" s="3" t="n">
        <v>16</v>
      </c>
      <c r="D3670" s="3" t="s">
        <v>3674</v>
      </c>
      <c r="E3670" s="4" t="n">
        <v>0</v>
      </c>
    </row>
    <row r="3671" customFormat="false" ht="15" hidden="false" customHeight="false" outlineLevel="0" collapsed="false">
      <c r="A3671" s="3" t="n">
        <v>2022</v>
      </c>
      <c r="B3671" s="3" t="n">
        <v>1</v>
      </c>
      <c r="C3671" s="3" t="n">
        <v>17</v>
      </c>
      <c r="D3671" s="3" t="s">
        <v>3675</v>
      </c>
      <c r="E3671" s="4" t="n">
        <v>1</v>
      </c>
    </row>
    <row r="3672" customFormat="false" ht="15" hidden="false" customHeight="false" outlineLevel="0" collapsed="false">
      <c r="A3672" s="3" t="n">
        <v>2022</v>
      </c>
      <c r="B3672" s="3" t="n">
        <v>1</v>
      </c>
      <c r="C3672" s="3" t="n">
        <v>18</v>
      </c>
      <c r="D3672" s="3" t="s">
        <v>3676</v>
      </c>
      <c r="E3672" s="4" t="n">
        <v>5</v>
      </c>
    </row>
    <row r="3673" customFormat="false" ht="15" hidden="false" customHeight="false" outlineLevel="0" collapsed="false">
      <c r="A3673" s="3" t="n">
        <v>2022</v>
      </c>
      <c r="B3673" s="3" t="n">
        <v>1</v>
      </c>
      <c r="C3673" s="3" t="n">
        <v>19</v>
      </c>
      <c r="D3673" s="3" t="s">
        <v>3677</v>
      </c>
      <c r="E3673" s="4" t="n">
        <v>0</v>
      </c>
    </row>
    <row r="3674" customFormat="false" ht="15" hidden="false" customHeight="false" outlineLevel="0" collapsed="false">
      <c r="A3674" s="3" t="n">
        <v>2022</v>
      </c>
      <c r="B3674" s="3" t="n">
        <v>1</v>
      </c>
      <c r="C3674" s="3" t="n">
        <v>20</v>
      </c>
      <c r="D3674" s="3" t="s">
        <v>3678</v>
      </c>
      <c r="E3674" s="4" t="n">
        <v>18</v>
      </c>
    </row>
    <row r="3675" customFormat="false" ht="15" hidden="false" customHeight="false" outlineLevel="0" collapsed="false">
      <c r="A3675" s="3" t="n">
        <v>2022</v>
      </c>
      <c r="B3675" s="3" t="n">
        <v>1</v>
      </c>
      <c r="C3675" s="3" t="n">
        <v>21</v>
      </c>
      <c r="D3675" s="3" t="s">
        <v>3679</v>
      </c>
      <c r="E3675" s="4" t="n">
        <v>0</v>
      </c>
    </row>
    <row r="3676" customFormat="false" ht="15" hidden="false" customHeight="false" outlineLevel="0" collapsed="false">
      <c r="A3676" s="3" t="n">
        <v>2022</v>
      </c>
      <c r="B3676" s="3" t="n">
        <v>1</v>
      </c>
      <c r="C3676" s="3" t="n">
        <v>22</v>
      </c>
      <c r="D3676" s="3" t="s">
        <v>3680</v>
      </c>
      <c r="E3676" s="4" t="n">
        <v>0</v>
      </c>
    </row>
    <row r="3677" customFormat="false" ht="15" hidden="false" customHeight="false" outlineLevel="0" collapsed="false">
      <c r="A3677" s="3" t="n">
        <v>2022</v>
      </c>
      <c r="B3677" s="3" t="n">
        <v>1</v>
      </c>
      <c r="C3677" s="3" t="n">
        <v>23</v>
      </c>
      <c r="D3677" s="3" t="s">
        <v>3681</v>
      </c>
      <c r="E3677" s="4" t="n">
        <v>1</v>
      </c>
    </row>
    <row r="3678" customFormat="false" ht="15" hidden="false" customHeight="false" outlineLevel="0" collapsed="false">
      <c r="A3678" s="3" t="n">
        <v>2022</v>
      </c>
      <c r="B3678" s="3" t="n">
        <v>1</v>
      </c>
      <c r="C3678" s="3" t="n">
        <v>24</v>
      </c>
      <c r="D3678" s="3" t="s">
        <v>3682</v>
      </c>
      <c r="E3678" s="4" t="n">
        <v>0</v>
      </c>
    </row>
    <row r="3679" customFormat="false" ht="15" hidden="false" customHeight="false" outlineLevel="0" collapsed="false">
      <c r="A3679" s="3" t="n">
        <v>2022</v>
      </c>
      <c r="B3679" s="3" t="n">
        <v>1</v>
      </c>
      <c r="C3679" s="3" t="n">
        <v>25</v>
      </c>
      <c r="D3679" s="3" t="s">
        <v>3683</v>
      </c>
      <c r="E3679" s="4" t="n">
        <v>0</v>
      </c>
    </row>
    <row r="3680" customFormat="false" ht="15" hidden="false" customHeight="false" outlineLevel="0" collapsed="false">
      <c r="A3680" s="3" t="n">
        <v>2022</v>
      </c>
      <c r="B3680" s="3" t="n">
        <v>1</v>
      </c>
      <c r="C3680" s="3" t="n">
        <v>26</v>
      </c>
      <c r="D3680" s="3" t="s">
        <v>3684</v>
      </c>
      <c r="E3680" s="4" t="n">
        <v>0</v>
      </c>
    </row>
    <row r="3681" customFormat="false" ht="15" hidden="false" customHeight="false" outlineLevel="0" collapsed="false">
      <c r="A3681" s="3" t="n">
        <v>2022</v>
      </c>
      <c r="B3681" s="3" t="n">
        <v>1</v>
      </c>
      <c r="C3681" s="3" t="n">
        <v>27</v>
      </c>
      <c r="D3681" s="3" t="s">
        <v>3685</v>
      </c>
      <c r="E3681" s="4" t="n">
        <v>0</v>
      </c>
    </row>
    <row r="3682" customFormat="false" ht="15" hidden="false" customHeight="false" outlineLevel="0" collapsed="false">
      <c r="A3682" s="3" t="n">
        <v>2022</v>
      </c>
      <c r="B3682" s="3" t="n">
        <v>1</v>
      </c>
      <c r="C3682" s="3" t="n">
        <v>28</v>
      </c>
      <c r="D3682" s="3" t="s">
        <v>3686</v>
      </c>
      <c r="E3682" s="4" t="n">
        <v>13</v>
      </c>
    </row>
    <row r="3683" customFormat="false" ht="15" hidden="false" customHeight="false" outlineLevel="0" collapsed="false">
      <c r="A3683" s="3" t="n">
        <v>2022</v>
      </c>
      <c r="B3683" s="3" t="n">
        <v>1</v>
      </c>
      <c r="C3683" s="3" t="n">
        <v>29</v>
      </c>
      <c r="D3683" s="3" t="s">
        <v>3687</v>
      </c>
      <c r="E3683" s="4" t="n">
        <v>0</v>
      </c>
    </row>
    <row r="3684" customFormat="false" ht="15" hidden="false" customHeight="false" outlineLevel="0" collapsed="false">
      <c r="A3684" s="3" t="n">
        <v>2022</v>
      </c>
      <c r="B3684" s="3" t="n">
        <v>1</v>
      </c>
      <c r="C3684" s="3" t="n">
        <v>30</v>
      </c>
      <c r="D3684" s="3" t="s">
        <v>3688</v>
      </c>
      <c r="E3684" s="4" t="n">
        <v>0</v>
      </c>
    </row>
    <row r="3685" customFormat="false" ht="15" hidden="false" customHeight="false" outlineLevel="0" collapsed="false">
      <c r="A3685" s="3" t="n">
        <v>2022</v>
      </c>
      <c r="B3685" s="3" t="n">
        <v>1</v>
      </c>
      <c r="C3685" s="3" t="n">
        <v>31</v>
      </c>
      <c r="D3685" s="3" t="s">
        <v>3689</v>
      </c>
      <c r="E3685" s="4" t="n">
        <v>0</v>
      </c>
    </row>
    <row r="3686" customFormat="false" ht="15" hidden="false" customHeight="false" outlineLevel="0" collapsed="false">
      <c r="A3686" s="3" t="n">
        <v>2022</v>
      </c>
      <c r="B3686" s="3" t="n">
        <v>2</v>
      </c>
      <c r="C3686" s="3" t="n">
        <v>1</v>
      </c>
      <c r="D3686" s="3" t="s">
        <v>3690</v>
      </c>
      <c r="E3686" s="4" t="n">
        <v>0</v>
      </c>
    </row>
    <row r="3687" customFormat="false" ht="15" hidden="false" customHeight="false" outlineLevel="0" collapsed="false">
      <c r="A3687" s="3" t="n">
        <v>2022</v>
      </c>
      <c r="B3687" s="3" t="n">
        <v>2</v>
      </c>
      <c r="C3687" s="3" t="n">
        <v>2</v>
      </c>
      <c r="D3687" s="3" t="s">
        <v>3691</v>
      </c>
      <c r="E3687" s="4" t="n">
        <v>0</v>
      </c>
    </row>
    <row r="3688" customFormat="false" ht="15" hidden="false" customHeight="false" outlineLevel="0" collapsed="false">
      <c r="A3688" s="3" t="n">
        <v>2022</v>
      </c>
      <c r="B3688" s="3" t="n">
        <v>2</v>
      </c>
      <c r="C3688" s="3" t="n">
        <v>3</v>
      </c>
      <c r="D3688" s="3" t="s">
        <v>3692</v>
      </c>
      <c r="E3688" s="4" t="n">
        <v>0</v>
      </c>
    </row>
    <row r="3689" customFormat="false" ht="15" hidden="false" customHeight="false" outlineLevel="0" collapsed="false">
      <c r="A3689" s="3" t="n">
        <v>2022</v>
      </c>
      <c r="B3689" s="3" t="n">
        <v>2</v>
      </c>
      <c r="C3689" s="3" t="n">
        <v>4</v>
      </c>
      <c r="D3689" s="3" t="s">
        <v>3693</v>
      </c>
      <c r="E3689" s="4" t="n">
        <v>0</v>
      </c>
    </row>
    <row r="3690" customFormat="false" ht="15" hidden="false" customHeight="false" outlineLevel="0" collapsed="false">
      <c r="A3690" s="3" t="n">
        <v>2022</v>
      </c>
      <c r="B3690" s="3" t="n">
        <v>2</v>
      </c>
      <c r="C3690" s="3" t="n">
        <v>5</v>
      </c>
      <c r="D3690" s="3" t="s">
        <v>3694</v>
      </c>
      <c r="E3690" s="4" t="n">
        <v>16</v>
      </c>
    </row>
    <row r="3691" customFormat="false" ht="15" hidden="false" customHeight="false" outlineLevel="0" collapsed="false">
      <c r="A3691" s="3" t="n">
        <v>2022</v>
      </c>
      <c r="B3691" s="3" t="n">
        <v>2</v>
      </c>
      <c r="C3691" s="3" t="n">
        <v>6</v>
      </c>
      <c r="D3691" s="3" t="s">
        <v>3695</v>
      </c>
      <c r="E3691" s="4" t="n">
        <v>8</v>
      </c>
    </row>
    <row r="3692" customFormat="false" ht="15" hidden="false" customHeight="false" outlineLevel="0" collapsed="false">
      <c r="A3692" s="3" t="n">
        <v>2022</v>
      </c>
      <c r="B3692" s="3" t="n">
        <v>2</v>
      </c>
      <c r="C3692" s="3" t="n">
        <v>7</v>
      </c>
      <c r="D3692" s="3" t="s">
        <v>3696</v>
      </c>
      <c r="E3692" s="4" t="n">
        <v>3</v>
      </c>
    </row>
    <row r="3693" customFormat="false" ht="15" hidden="false" customHeight="false" outlineLevel="0" collapsed="false">
      <c r="A3693" s="3" t="n">
        <v>2022</v>
      </c>
      <c r="B3693" s="3" t="n">
        <v>2</v>
      </c>
      <c r="C3693" s="3" t="n">
        <v>8</v>
      </c>
      <c r="D3693" s="3" t="s">
        <v>3697</v>
      </c>
      <c r="E3693" s="4" t="n">
        <v>0</v>
      </c>
    </row>
    <row r="3694" customFormat="false" ht="15" hidden="false" customHeight="false" outlineLevel="0" collapsed="false">
      <c r="A3694" s="3" t="n">
        <v>2022</v>
      </c>
      <c r="B3694" s="3" t="n">
        <v>2</v>
      </c>
      <c r="C3694" s="3" t="n">
        <v>9</v>
      </c>
      <c r="D3694" s="3" t="s">
        <v>3698</v>
      </c>
      <c r="E3694" s="4" t="n">
        <v>20</v>
      </c>
    </row>
    <row r="3695" customFormat="false" ht="15" hidden="false" customHeight="false" outlineLevel="0" collapsed="false">
      <c r="A3695" s="3" t="n">
        <v>2022</v>
      </c>
      <c r="B3695" s="3" t="n">
        <v>2</v>
      </c>
      <c r="C3695" s="3" t="n">
        <v>10</v>
      </c>
      <c r="D3695" s="3" t="s">
        <v>3699</v>
      </c>
      <c r="E3695" s="4" t="n">
        <v>3</v>
      </c>
    </row>
    <row r="3696" customFormat="false" ht="15" hidden="false" customHeight="false" outlineLevel="0" collapsed="false">
      <c r="A3696" s="3" t="n">
        <v>2022</v>
      </c>
      <c r="B3696" s="3" t="n">
        <v>2</v>
      </c>
      <c r="C3696" s="3" t="n">
        <v>11</v>
      </c>
      <c r="D3696" s="3" t="s">
        <v>3700</v>
      </c>
      <c r="E3696" s="4" t="n">
        <v>1</v>
      </c>
    </row>
    <row r="3697" customFormat="false" ht="15" hidden="false" customHeight="false" outlineLevel="0" collapsed="false">
      <c r="A3697" s="3" t="n">
        <v>2022</v>
      </c>
      <c r="B3697" s="3" t="n">
        <v>2</v>
      </c>
      <c r="C3697" s="3" t="n">
        <v>12</v>
      </c>
      <c r="D3697" s="3" t="s">
        <v>3701</v>
      </c>
      <c r="E3697" s="4" t="n">
        <v>1</v>
      </c>
    </row>
    <row r="3698" customFormat="false" ht="15" hidden="false" customHeight="false" outlineLevel="0" collapsed="false">
      <c r="A3698" s="3" t="n">
        <v>2022</v>
      </c>
      <c r="B3698" s="3" t="n">
        <v>2</v>
      </c>
      <c r="C3698" s="3" t="n">
        <v>13</v>
      </c>
      <c r="D3698" s="3" t="s">
        <v>3702</v>
      </c>
      <c r="E3698" s="4" t="n">
        <v>2</v>
      </c>
    </row>
    <row r="3699" customFormat="false" ht="15" hidden="false" customHeight="false" outlineLevel="0" collapsed="false">
      <c r="A3699" s="3" t="n">
        <v>2022</v>
      </c>
      <c r="B3699" s="3" t="n">
        <v>2</v>
      </c>
      <c r="C3699" s="3" t="n">
        <v>14</v>
      </c>
      <c r="D3699" s="3" t="s">
        <v>3703</v>
      </c>
      <c r="E3699" s="4" t="n">
        <v>5</v>
      </c>
    </row>
    <row r="3700" customFormat="false" ht="15" hidden="false" customHeight="false" outlineLevel="0" collapsed="false">
      <c r="A3700" s="3" t="n">
        <v>2022</v>
      </c>
      <c r="B3700" s="3" t="n">
        <v>2</v>
      </c>
      <c r="C3700" s="3" t="n">
        <v>15</v>
      </c>
      <c r="D3700" s="3" t="s">
        <v>3704</v>
      </c>
      <c r="E3700" s="4" t="n">
        <v>35</v>
      </c>
    </row>
    <row r="3701" customFormat="false" ht="15" hidden="false" customHeight="false" outlineLevel="0" collapsed="false">
      <c r="A3701" s="3" t="n">
        <v>2022</v>
      </c>
      <c r="B3701" s="3" t="n">
        <v>2</v>
      </c>
      <c r="C3701" s="3" t="n">
        <v>16</v>
      </c>
      <c r="D3701" s="3" t="s">
        <v>3705</v>
      </c>
      <c r="E3701" s="4" t="n">
        <v>0</v>
      </c>
    </row>
    <row r="3702" customFormat="false" ht="15" hidden="false" customHeight="false" outlineLevel="0" collapsed="false">
      <c r="A3702" s="3" t="n">
        <v>2022</v>
      </c>
      <c r="B3702" s="3" t="n">
        <v>2</v>
      </c>
      <c r="C3702" s="3" t="n">
        <v>17</v>
      </c>
      <c r="D3702" s="3" t="s">
        <v>3706</v>
      </c>
      <c r="E3702" s="4" t="n">
        <v>0</v>
      </c>
    </row>
    <row r="3703" customFormat="false" ht="15" hidden="false" customHeight="false" outlineLevel="0" collapsed="false">
      <c r="A3703" s="3" t="n">
        <v>2022</v>
      </c>
      <c r="B3703" s="3" t="n">
        <v>2</v>
      </c>
      <c r="C3703" s="3" t="n">
        <v>18</v>
      </c>
      <c r="D3703" s="3" t="s">
        <v>3707</v>
      </c>
      <c r="E3703" s="4" t="n">
        <v>0</v>
      </c>
    </row>
    <row r="3704" customFormat="false" ht="15" hidden="false" customHeight="false" outlineLevel="0" collapsed="false">
      <c r="A3704" s="3" t="n">
        <v>2022</v>
      </c>
      <c r="B3704" s="3" t="n">
        <v>2</v>
      </c>
      <c r="C3704" s="3" t="n">
        <v>19</v>
      </c>
      <c r="D3704" s="3" t="s">
        <v>3708</v>
      </c>
      <c r="E3704" s="4" t="n">
        <v>0</v>
      </c>
    </row>
    <row r="3705" customFormat="false" ht="15" hidden="false" customHeight="false" outlineLevel="0" collapsed="false">
      <c r="A3705" s="3" t="n">
        <v>2022</v>
      </c>
      <c r="B3705" s="3" t="n">
        <v>2</v>
      </c>
      <c r="C3705" s="3" t="n">
        <v>20</v>
      </c>
      <c r="D3705" s="3" t="s">
        <v>3709</v>
      </c>
      <c r="E3705" s="4" t="n">
        <v>3</v>
      </c>
    </row>
    <row r="3706" customFormat="false" ht="15" hidden="false" customHeight="false" outlineLevel="0" collapsed="false">
      <c r="A3706" s="3" t="n">
        <v>2022</v>
      </c>
      <c r="B3706" s="3" t="n">
        <v>2</v>
      </c>
      <c r="C3706" s="3" t="n">
        <v>21</v>
      </c>
      <c r="D3706" s="3" t="s">
        <v>3710</v>
      </c>
      <c r="E3706" s="4" t="n">
        <v>2</v>
      </c>
    </row>
    <row r="3707" customFormat="false" ht="15" hidden="false" customHeight="false" outlineLevel="0" collapsed="false">
      <c r="A3707" s="3" t="n">
        <v>2022</v>
      </c>
      <c r="B3707" s="3" t="n">
        <v>2</v>
      </c>
      <c r="C3707" s="3" t="n">
        <v>22</v>
      </c>
      <c r="D3707" s="3" t="s">
        <v>3711</v>
      </c>
      <c r="E3707" s="4" t="n">
        <v>0</v>
      </c>
    </row>
    <row r="3708" customFormat="false" ht="15" hidden="false" customHeight="false" outlineLevel="0" collapsed="false">
      <c r="A3708" s="3" t="n">
        <v>2022</v>
      </c>
      <c r="B3708" s="3" t="n">
        <v>2</v>
      </c>
      <c r="C3708" s="3" t="n">
        <v>23</v>
      </c>
      <c r="D3708" s="3" t="s">
        <v>3712</v>
      </c>
      <c r="E3708" s="4" t="n">
        <v>0</v>
      </c>
    </row>
    <row r="3709" customFormat="false" ht="15" hidden="false" customHeight="false" outlineLevel="0" collapsed="false">
      <c r="A3709" s="3" t="n">
        <v>2022</v>
      </c>
      <c r="B3709" s="3" t="n">
        <v>2</v>
      </c>
      <c r="C3709" s="3" t="n">
        <v>24</v>
      </c>
      <c r="D3709" s="3" t="s">
        <v>3713</v>
      </c>
      <c r="E3709" s="4" t="n">
        <v>0</v>
      </c>
    </row>
    <row r="3710" customFormat="false" ht="15" hidden="false" customHeight="false" outlineLevel="0" collapsed="false">
      <c r="A3710" s="3" t="n">
        <v>2022</v>
      </c>
      <c r="B3710" s="3" t="n">
        <v>2</v>
      </c>
      <c r="C3710" s="3" t="n">
        <v>25</v>
      </c>
      <c r="D3710" s="3" t="s">
        <v>3714</v>
      </c>
      <c r="E3710" s="4" t="n">
        <v>7</v>
      </c>
    </row>
    <row r="3711" customFormat="false" ht="15" hidden="false" customHeight="false" outlineLevel="0" collapsed="false">
      <c r="A3711" s="3" t="n">
        <v>2022</v>
      </c>
      <c r="B3711" s="3" t="n">
        <v>2</v>
      </c>
      <c r="C3711" s="3" t="n">
        <v>26</v>
      </c>
      <c r="D3711" s="3" t="s">
        <v>3715</v>
      </c>
      <c r="E3711" s="4" t="n">
        <v>0</v>
      </c>
    </row>
    <row r="3712" customFormat="false" ht="15" hidden="false" customHeight="false" outlineLevel="0" collapsed="false">
      <c r="A3712" s="3" t="n">
        <v>2022</v>
      </c>
      <c r="B3712" s="3" t="n">
        <v>2</v>
      </c>
      <c r="C3712" s="3" t="n">
        <v>27</v>
      </c>
      <c r="D3712" s="3" t="s">
        <v>3716</v>
      </c>
      <c r="E3712" s="4" t="n">
        <v>0</v>
      </c>
    </row>
    <row r="3713" customFormat="false" ht="15" hidden="false" customHeight="false" outlineLevel="0" collapsed="false">
      <c r="A3713" s="3" t="n">
        <v>2022</v>
      </c>
      <c r="B3713" s="3" t="n">
        <v>2</v>
      </c>
      <c r="C3713" s="3" t="n">
        <v>28</v>
      </c>
      <c r="D3713" s="3" t="s">
        <v>3717</v>
      </c>
      <c r="E3713" s="4" t="n">
        <v>0</v>
      </c>
    </row>
    <row r="3714" customFormat="false" ht="15" hidden="false" customHeight="false" outlineLevel="0" collapsed="false">
      <c r="A3714" s="3" t="n">
        <v>2022</v>
      </c>
      <c r="B3714" s="3" t="n">
        <v>3</v>
      </c>
      <c r="C3714" s="3" t="n">
        <v>1</v>
      </c>
      <c r="D3714" s="3" t="s">
        <v>3718</v>
      </c>
      <c r="E3714" s="4" t="n">
        <v>0</v>
      </c>
    </row>
    <row r="3715" customFormat="false" ht="15" hidden="false" customHeight="false" outlineLevel="0" collapsed="false">
      <c r="A3715" s="3" t="n">
        <v>2022</v>
      </c>
      <c r="B3715" s="3" t="n">
        <v>3</v>
      </c>
      <c r="C3715" s="3" t="n">
        <v>2</v>
      </c>
      <c r="D3715" s="3" t="s">
        <v>3719</v>
      </c>
      <c r="E3715" s="4" t="n">
        <v>0</v>
      </c>
    </row>
    <row r="3716" customFormat="false" ht="15" hidden="false" customHeight="false" outlineLevel="0" collapsed="false">
      <c r="A3716" s="3" t="n">
        <v>2022</v>
      </c>
      <c r="B3716" s="3" t="n">
        <v>3</v>
      </c>
      <c r="C3716" s="3" t="n">
        <v>3</v>
      </c>
      <c r="D3716" s="3" t="s">
        <v>3720</v>
      </c>
      <c r="E3716" s="4" t="n">
        <v>0</v>
      </c>
    </row>
    <row r="3717" customFormat="false" ht="15" hidden="false" customHeight="false" outlineLevel="0" collapsed="false">
      <c r="A3717" s="3" t="n">
        <v>2022</v>
      </c>
      <c r="B3717" s="3" t="n">
        <v>3</v>
      </c>
      <c r="C3717" s="3" t="n">
        <v>4</v>
      </c>
      <c r="D3717" s="3" t="s">
        <v>3721</v>
      </c>
      <c r="E3717" s="4" t="n">
        <v>0</v>
      </c>
    </row>
    <row r="3718" customFormat="false" ht="15" hidden="false" customHeight="false" outlineLevel="0" collapsed="false">
      <c r="A3718" s="3" t="n">
        <v>2022</v>
      </c>
      <c r="B3718" s="3" t="n">
        <v>3</v>
      </c>
      <c r="C3718" s="3" t="n">
        <v>5</v>
      </c>
      <c r="D3718" s="3" t="s">
        <v>3722</v>
      </c>
      <c r="E3718" s="4" t="n">
        <v>2</v>
      </c>
    </row>
    <row r="3719" customFormat="false" ht="15" hidden="false" customHeight="false" outlineLevel="0" collapsed="false">
      <c r="A3719" s="3" t="n">
        <v>2022</v>
      </c>
      <c r="B3719" s="3" t="n">
        <v>3</v>
      </c>
      <c r="C3719" s="3" t="n">
        <v>6</v>
      </c>
      <c r="D3719" s="3" t="s">
        <v>3723</v>
      </c>
      <c r="E3719" s="4" t="n">
        <v>20</v>
      </c>
    </row>
    <row r="3720" customFormat="false" ht="15" hidden="false" customHeight="false" outlineLevel="0" collapsed="false">
      <c r="A3720" s="3" t="n">
        <v>2022</v>
      </c>
      <c r="B3720" s="3" t="n">
        <v>3</v>
      </c>
      <c r="C3720" s="3" t="n">
        <v>7</v>
      </c>
      <c r="D3720" s="3" t="s">
        <v>3724</v>
      </c>
      <c r="E3720" s="4" t="n">
        <v>0</v>
      </c>
    </row>
    <row r="3721" customFormat="false" ht="15" hidden="false" customHeight="false" outlineLevel="0" collapsed="false">
      <c r="A3721" s="3" t="n">
        <v>2022</v>
      </c>
      <c r="B3721" s="3" t="n">
        <v>3</v>
      </c>
      <c r="C3721" s="3" t="n">
        <v>8</v>
      </c>
      <c r="D3721" s="3" t="s">
        <v>3725</v>
      </c>
      <c r="E3721" s="4" t="n">
        <v>1</v>
      </c>
    </row>
    <row r="3722" customFormat="false" ht="15" hidden="false" customHeight="false" outlineLevel="0" collapsed="false">
      <c r="A3722" s="3" t="n">
        <v>2022</v>
      </c>
      <c r="B3722" s="3" t="n">
        <v>3</v>
      </c>
      <c r="C3722" s="3" t="n">
        <v>9</v>
      </c>
      <c r="D3722" s="3" t="s">
        <v>3726</v>
      </c>
      <c r="E3722" s="4" t="n">
        <v>2</v>
      </c>
    </row>
    <row r="3723" customFormat="false" ht="15" hidden="false" customHeight="false" outlineLevel="0" collapsed="false">
      <c r="A3723" s="3" t="n">
        <v>2022</v>
      </c>
      <c r="B3723" s="3" t="n">
        <v>3</v>
      </c>
      <c r="C3723" s="3" t="n">
        <v>10</v>
      </c>
      <c r="D3723" s="3" t="s">
        <v>3727</v>
      </c>
      <c r="E3723" s="4" t="n">
        <v>1</v>
      </c>
    </row>
    <row r="3724" customFormat="false" ht="15" hidden="false" customHeight="false" outlineLevel="0" collapsed="false">
      <c r="A3724" s="3" t="n">
        <v>2022</v>
      </c>
      <c r="B3724" s="3" t="n">
        <v>3</v>
      </c>
      <c r="C3724" s="3" t="n">
        <v>11</v>
      </c>
      <c r="D3724" s="3" t="s">
        <v>3728</v>
      </c>
      <c r="E3724" s="4" t="n">
        <v>0</v>
      </c>
    </row>
    <row r="3725" customFormat="false" ht="15" hidden="false" customHeight="false" outlineLevel="0" collapsed="false">
      <c r="A3725" s="3" t="n">
        <v>2022</v>
      </c>
      <c r="B3725" s="3" t="n">
        <v>3</v>
      </c>
      <c r="C3725" s="3" t="n">
        <v>12</v>
      </c>
      <c r="D3725" s="3" t="s">
        <v>3729</v>
      </c>
      <c r="E3725" s="4" t="n">
        <v>0</v>
      </c>
    </row>
    <row r="3726" customFormat="false" ht="15" hidden="false" customHeight="false" outlineLevel="0" collapsed="false">
      <c r="A3726" s="3" t="n">
        <v>2022</v>
      </c>
      <c r="B3726" s="3" t="n">
        <v>3</v>
      </c>
      <c r="C3726" s="3" t="n">
        <v>13</v>
      </c>
      <c r="D3726" s="3" t="s">
        <v>3730</v>
      </c>
      <c r="E3726" s="4" t="n">
        <v>0</v>
      </c>
    </row>
    <row r="3727" customFormat="false" ht="15" hidden="false" customHeight="false" outlineLevel="0" collapsed="false">
      <c r="A3727" s="3" t="n">
        <v>2022</v>
      </c>
      <c r="B3727" s="3" t="n">
        <v>3</v>
      </c>
      <c r="C3727" s="3" t="n">
        <v>14</v>
      </c>
      <c r="D3727" s="3" t="s">
        <v>3731</v>
      </c>
      <c r="E3727" s="4" t="n">
        <v>0</v>
      </c>
    </row>
    <row r="3728" customFormat="false" ht="15" hidden="false" customHeight="false" outlineLevel="0" collapsed="false">
      <c r="A3728" s="3" t="n">
        <v>2022</v>
      </c>
      <c r="B3728" s="3" t="n">
        <v>3</v>
      </c>
      <c r="C3728" s="3" t="n">
        <v>15</v>
      </c>
      <c r="D3728" s="3" t="s">
        <v>3732</v>
      </c>
      <c r="E3728" s="4" t="n">
        <v>0</v>
      </c>
    </row>
    <row r="3729" customFormat="false" ht="15" hidden="false" customHeight="false" outlineLevel="0" collapsed="false">
      <c r="A3729" s="3" t="n">
        <v>2022</v>
      </c>
      <c r="B3729" s="3" t="n">
        <v>3</v>
      </c>
      <c r="C3729" s="3" t="n">
        <v>16</v>
      </c>
      <c r="D3729" s="3" t="s">
        <v>3733</v>
      </c>
      <c r="E3729" s="4" t="n">
        <v>2</v>
      </c>
    </row>
    <row r="3730" customFormat="false" ht="15" hidden="false" customHeight="false" outlineLevel="0" collapsed="false">
      <c r="A3730" s="3" t="n">
        <v>2022</v>
      </c>
      <c r="B3730" s="3" t="n">
        <v>3</v>
      </c>
      <c r="C3730" s="3" t="n">
        <v>17</v>
      </c>
      <c r="D3730" s="3" t="s">
        <v>3734</v>
      </c>
      <c r="E3730" s="4" t="n">
        <v>0</v>
      </c>
    </row>
    <row r="3731" customFormat="false" ht="15" hidden="false" customHeight="false" outlineLevel="0" collapsed="false">
      <c r="A3731" s="3" t="n">
        <v>2022</v>
      </c>
      <c r="B3731" s="3" t="n">
        <v>3</v>
      </c>
      <c r="C3731" s="3" t="n">
        <v>18</v>
      </c>
      <c r="D3731" s="3" t="s">
        <v>3735</v>
      </c>
      <c r="E3731" s="4" t="n">
        <v>4</v>
      </c>
    </row>
    <row r="3732" customFormat="false" ht="15" hidden="false" customHeight="false" outlineLevel="0" collapsed="false">
      <c r="A3732" s="3" t="n">
        <v>2022</v>
      </c>
      <c r="B3732" s="3" t="n">
        <v>3</v>
      </c>
      <c r="C3732" s="3" t="n">
        <v>19</v>
      </c>
      <c r="D3732" s="3" t="s">
        <v>3736</v>
      </c>
      <c r="E3732" s="4" t="n">
        <v>11</v>
      </c>
    </row>
    <row r="3733" customFormat="false" ht="15" hidden="false" customHeight="false" outlineLevel="0" collapsed="false">
      <c r="A3733" s="3" t="n">
        <v>2022</v>
      </c>
      <c r="B3733" s="3" t="n">
        <v>3</v>
      </c>
      <c r="C3733" s="3" t="n">
        <v>20</v>
      </c>
      <c r="D3733" s="3" t="s">
        <v>3737</v>
      </c>
      <c r="E3733" s="4" t="n">
        <v>0</v>
      </c>
    </row>
    <row r="3734" customFormat="false" ht="15" hidden="false" customHeight="false" outlineLevel="0" collapsed="false">
      <c r="A3734" s="3" t="n">
        <v>2022</v>
      </c>
      <c r="B3734" s="3" t="n">
        <v>3</v>
      </c>
      <c r="C3734" s="3" t="n">
        <v>21</v>
      </c>
      <c r="D3734" s="3" t="s">
        <v>3738</v>
      </c>
      <c r="E3734" s="4" t="n">
        <v>2</v>
      </c>
    </row>
    <row r="3735" customFormat="false" ht="15" hidden="false" customHeight="false" outlineLevel="0" collapsed="false">
      <c r="A3735" s="3" t="n">
        <v>2022</v>
      </c>
      <c r="B3735" s="3" t="n">
        <v>3</v>
      </c>
      <c r="C3735" s="3" t="n">
        <v>22</v>
      </c>
      <c r="D3735" s="3" t="s">
        <v>3739</v>
      </c>
      <c r="E3735" s="4" t="n">
        <v>21</v>
      </c>
    </row>
    <row r="3736" customFormat="false" ht="15" hidden="false" customHeight="false" outlineLevel="0" collapsed="false">
      <c r="A3736" s="3" t="n">
        <v>2022</v>
      </c>
      <c r="B3736" s="3" t="n">
        <v>3</v>
      </c>
      <c r="C3736" s="3" t="n">
        <v>23</v>
      </c>
      <c r="D3736" s="3" t="s">
        <v>3740</v>
      </c>
      <c r="E3736" s="4" t="n">
        <v>0</v>
      </c>
    </row>
    <row r="3737" customFormat="false" ht="15" hidden="false" customHeight="false" outlineLevel="0" collapsed="false">
      <c r="A3737" s="3" t="n">
        <v>2022</v>
      </c>
      <c r="B3737" s="3" t="n">
        <v>3</v>
      </c>
      <c r="C3737" s="3" t="n">
        <v>24</v>
      </c>
      <c r="D3737" s="3" t="s">
        <v>3741</v>
      </c>
      <c r="E3737" s="4" t="n">
        <v>0</v>
      </c>
    </row>
    <row r="3738" customFormat="false" ht="15" hidden="false" customHeight="false" outlineLevel="0" collapsed="false">
      <c r="A3738" s="3" t="n">
        <v>2022</v>
      </c>
      <c r="B3738" s="3" t="n">
        <v>3</v>
      </c>
      <c r="C3738" s="3" t="n">
        <v>25</v>
      </c>
      <c r="D3738" s="3" t="s">
        <v>3742</v>
      </c>
      <c r="E3738" s="4" t="n">
        <v>0</v>
      </c>
    </row>
    <row r="3739" customFormat="false" ht="15" hidden="false" customHeight="false" outlineLevel="0" collapsed="false">
      <c r="A3739" s="3" t="n">
        <v>2022</v>
      </c>
      <c r="B3739" s="3" t="n">
        <v>3</v>
      </c>
      <c r="C3739" s="3" t="n">
        <v>26</v>
      </c>
      <c r="D3739" s="3" t="s">
        <v>3743</v>
      </c>
      <c r="E3739" s="4" t="n">
        <v>38</v>
      </c>
    </row>
    <row r="3740" customFormat="false" ht="15" hidden="false" customHeight="false" outlineLevel="0" collapsed="false">
      <c r="A3740" s="3" t="n">
        <v>2022</v>
      </c>
      <c r="B3740" s="3" t="n">
        <v>3</v>
      </c>
      <c r="C3740" s="3" t="n">
        <v>27</v>
      </c>
      <c r="D3740" s="3" t="s">
        <v>3744</v>
      </c>
      <c r="E3740" s="4" t="n">
        <v>0</v>
      </c>
    </row>
    <row r="3741" customFormat="false" ht="15" hidden="false" customHeight="false" outlineLevel="0" collapsed="false">
      <c r="A3741" s="3" t="n">
        <v>2022</v>
      </c>
      <c r="B3741" s="3" t="n">
        <v>3</v>
      </c>
      <c r="C3741" s="3" t="n">
        <v>28</v>
      </c>
      <c r="D3741" s="3" t="s">
        <v>3745</v>
      </c>
      <c r="E3741" s="4" t="n">
        <v>0</v>
      </c>
    </row>
    <row r="3742" customFormat="false" ht="15" hidden="false" customHeight="false" outlineLevel="0" collapsed="false">
      <c r="A3742" s="3" t="n">
        <v>2022</v>
      </c>
      <c r="B3742" s="3" t="n">
        <v>3</v>
      </c>
      <c r="C3742" s="3" t="n">
        <v>29</v>
      </c>
      <c r="D3742" s="3" t="s">
        <v>3746</v>
      </c>
      <c r="E3742" s="4" t="n">
        <v>0</v>
      </c>
    </row>
    <row r="3743" customFormat="false" ht="15" hidden="false" customHeight="false" outlineLevel="0" collapsed="false">
      <c r="A3743" s="3" t="n">
        <v>2022</v>
      </c>
      <c r="B3743" s="3" t="n">
        <v>3</v>
      </c>
      <c r="C3743" s="3" t="n">
        <v>30</v>
      </c>
      <c r="D3743" s="3" t="s">
        <v>3747</v>
      </c>
      <c r="E3743" s="4" t="n">
        <v>0</v>
      </c>
    </row>
    <row r="3744" customFormat="false" ht="15" hidden="false" customHeight="false" outlineLevel="0" collapsed="false">
      <c r="A3744" s="3" t="n">
        <v>2022</v>
      </c>
      <c r="B3744" s="3" t="n">
        <v>3</v>
      </c>
      <c r="C3744" s="3" t="n">
        <v>31</v>
      </c>
      <c r="D3744" s="3" t="s">
        <v>3748</v>
      </c>
      <c r="E3744" s="4" t="n">
        <v>0</v>
      </c>
    </row>
    <row r="3745" customFormat="false" ht="15" hidden="false" customHeight="false" outlineLevel="0" collapsed="false">
      <c r="A3745" s="3" t="n">
        <v>2022</v>
      </c>
      <c r="B3745" s="3" t="n">
        <v>4</v>
      </c>
      <c r="C3745" s="3" t="n">
        <v>1</v>
      </c>
      <c r="D3745" s="3" t="s">
        <v>3749</v>
      </c>
      <c r="E3745" s="4" t="n">
        <v>9</v>
      </c>
    </row>
    <row r="3746" customFormat="false" ht="15" hidden="false" customHeight="false" outlineLevel="0" collapsed="false">
      <c r="A3746" s="3" t="n">
        <v>2022</v>
      </c>
      <c r="B3746" s="3" t="n">
        <v>4</v>
      </c>
      <c r="C3746" s="3" t="n">
        <v>2</v>
      </c>
      <c r="D3746" s="3" t="s">
        <v>3750</v>
      </c>
      <c r="E3746" s="4" t="n">
        <v>39</v>
      </c>
    </row>
    <row r="3747" customFormat="false" ht="15" hidden="false" customHeight="false" outlineLevel="0" collapsed="false">
      <c r="A3747" s="3" t="n">
        <v>2022</v>
      </c>
      <c r="B3747" s="3" t="n">
        <v>4</v>
      </c>
      <c r="C3747" s="3" t="n">
        <v>3</v>
      </c>
      <c r="D3747" s="3" t="s">
        <v>3751</v>
      </c>
      <c r="E3747" s="4" t="n">
        <v>0</v>
      </c>
    </row>
    <row r="3748" customFormat="false" ht="15" hidden="false" customHeight="false" outlineLevel="0" collapsed="false">
      <c r="A3748" s="3" t="n">
        <v>2022</v>
      </c>
      <c r="B3748" s="3" t="n">
        <v>4</v>
      </c>
      <c r="C3748" s="3" t="n">
        <v>4</v>
      </c>
      <c r="D3748" s="3" t="s">
        <v>3752</v>
      </c>
      <c r="E3748" s="4" t="n">
        <v>0</v>
      </c>
    </row>
    <row r="3749" customFormat="false" ht="15" hidden="false" customHeight="false" outlineLevel="0" collapsed="false">
      <c r="A3749" s="3" t="n">
        <v>2022</v>
      </c>
      <c r="B3749" s="3" t="n">
        <v>4</v>
      </c>
      <c r="C3749" s="3" t="n">
        <v>5</v>
      </c>
      <c r="D3749" s="3" t="s">
        <v>3753</v>
      </c>
      <c r="E3749" s="4" t="n">
        <v>2</v>
      </c>
    </row>
    <row r="3750" customFormat="false" ht="15" hidden="false" customHeight="false" outlineLevel="0" collapsed="false">
      <c r="A3750" s="3" t="n">
        <v>2022</v>
      </c>
      <c r="B3750" s="3" t="n">
        <v>4</v>
      </c>
      <c r="C3750" s="3" t="n">
        <v>6</v>
      </c>
      <c r="D3750" s="3" t="s">
        <v>3754</v>
      </c>
      <c r="E3750" s="4" t="n">
        <v>5</v>
      </c>
    </row>
    <row r="3751" customFormat="false" ht="15" hidden="false" customHeight="false" outlineLevel="0" collapsed="false">
      <c r="A3751" s="3" t="n">
        <v>2022</v>
      </c>
      <c r="B3751" s="3" t="n">
        <v>4</v>
      </c>
      <c r="C3751" s="3" t="n">
        <v>7</v>
      </c>
      <c r="D3751" s="3" t="s">
        <v>3755</v>
      </c>
      <c r="E3751" s="4" t="n">
        <v>11</v>
      </c>
    </row>
    <row r="3752" customFormat="false" ht="15" hidden="false" customHeight="false" outlineLevel="0" collapsed="false">
      <c r="A3752" s="3" t="n">
        <v>2022</v>
      </c>
      <c r="B3752" s="3" t="n">
        <v>4</v>
      </c>
      <c r="C3752" s="3" t="n">
        <v>8</v>
      </c>
      <c r="D3752" s="3" t="s">
        <v>3756</v>
      </c>
      <c r="E3752" s="4" t="n">
        <v>58</v>
      </c>
    </row>
    <row r="3753" customFormat="false" ht="15" hidden="false" customHeight="false" outlineLevel="0" collapsed="false">
      <c r="A3753" s="3" t="n">
        <v>2022</v>
      </c>
      <c r="B3753" s="3" t="n">
        <v>4</v>
      </c>
      <c r="C3753" s="3" t="n">
        <v>9</v>
      </c>
      <c r="D3753" s="3" t="s">
        <v>3757</v>
      </c>
      <c r="E3753" s="4" t="n">
        <v>19</v>
      </c>
    </row>
    <row r="3754" customFormat="false" ht="15" hidden="false" customHeight="false" outlineLevel="0" collapsed="false">
      <c r="A3754" s="3" t="n">
        <v>2022</v>
      </c>
      <c r="B3754" s="3" t="n">
        <v>4</v>
      </c>
      <c r="C3754" s="3" t="n">
        <v>10</v>
      </c>
      <c r="D3754" s="3" t="s">
        <v>3758</v>
      </c>
      <c r="E3754" s="4" t="n">
        <v>6</v>
      </c>
    </row>
    <row r="3755" customFormat="false" ht="15" hidden="false" customHeight="false" outlineLevel="0" collapsed="false">
      <c r="A3755" s="3" t="n">
        <v>2022</v>
      </c>
      <c r="B3755" s="3" t="n">
        <v>4</v>
      </c>
      <c r="C3755" s="3" t="n">
        <v>11</v>
      </c>
      <c r="D3755" s="3" t="s">
        <v>3759</v>
      </c>
      <c r="E3755" s="4" t="n">
        <v>0</v>
      </c>
    </row>
    <row r="3756" customFormat="false" ht="15" hidden="false" customHeight="false" outlineLevel="0" collapsed="false">
      <c r="A3756" s="3" t="n">
        <v>2022</v>
      </c>
      <c r="B3756" s="3" t="n">
        <v>4</v>
      </c>
      <c r="C3756" s="3" t="n">
        <v>12</v>
      </c>
      <c r="D3756" s="3" t="s">
        <v>3760</v>
      </c>
      <c r="E3756" s="4" t="n">
        <v>5</v>
      </c>
    </row>
    <row r="3757" customFormat="false" ht="15" hidden="false" customHeight="false" outlineLevel="0" collapsed="false">
      <c r="A3757" s="3" t="n">
        <v>2022</v>
      </c>
      <c r="B3757" s="3" t="n">
        <v>4</v>
      </c>
      <c r="C3757" s="3" t="n">
        <v>13</v>
      </c>
      <c r="D3757" s="3" t="s">
        <v>3761</v>
      </c>
      <c r="E3757" s="4" t="n">
        <v>3</v>
      </c>
    </row>
    <row r="3758" customFormat="false" ht="15" hidden="false" customHeight="false" outlineLevel="0" collapsed="false">
      <c r="A3758" s="3" t="n">
        <v>2022</v>
      </c>
      <c r="B3758" s="3" t="n">
        <v>4</v>
      </c>
      <c r="C3758" s="3" t="n">
        <v>14</v>
      </c>
      <c r="D3758" s="3" t="s">
        <v>3762</v>
      </c>
      <c r="E3758" s="4" t="n">
        <v>7</v>
      </c>
    </row>
    <row r="3759" customFormat="false" ht="15" hidden="false" customHeight="false" outlineLevel="0" collapsed="false">
      <c r="A3759" s="3" t="n">
        <v>2022</v>
      </c>
      <c r="B3759" s="3" t="n">
        <v>4</v>
      </c>
      <c r="C3759" s="3" t="n">
        <v>15</v>
      </c>
      <c r="D3759" s="3" t="s">
        <v>3763</v>
      </c>
      <c r="E3759" s="4" t="n">
        <v>0</v>
      </c>
    </row>
    <row r="3760" customFormat="false" ht="15" hidden="false" customHeight="false" outlineLevel="0" collapsed="false">
      <c r="A3760" s="3" t="n">
        <v>2022</v>
      </c>
      <c r="B3760" s="3" t="n">
        <v>4</v>
      </c>
      <c r="C3760" s="3" t="n">
        <v>16</v>
      </c>
      <c r="D3760" s="3" t="s">
        <v>3764</v>
      </c>
      <c r="E3760" s="4" t="n">
        <v>19</v>
      </c>
    </row>
    <row r="3761" customFormat="false" ht="15" hidden="false" customHeight="false" outlineLevel="0" collapsed="false">
      <c r="A3761" s="3" t="n">
        <v>2022</v>
      </c>
      <c r="B3761" s="3" t="n">
        <v>4</v>
      </c>
      <c r="C3761" s="3" t="n">
        <v>17</v>
      </c>
      <c r="D3761" s="3" t="s">
        <v>3765</v>
      </c>
      <c r="E3761" s="4" t="n">
        <v>13</v>
      </c>
    </row>
    <row r="3762" customFormat="false" ht="15" hidden="false" customHeight="false" outlineLevel="0" collapsed="false">
      <c r="A3762" s="3" t="n">
        <v>2022</v>
      </c>
      <c r="B3762" s="3" t="n">
        <v>4</v>
      </c>
      <c r="C3762" s="3" t="n">
        <v>18</v>
      </c>
      <c r="D3762" s="3" t="s">
        <v>3766</v>
      </c>
      <c r="E3762" s="4" t="n">
        <v>61</v>
      </c>
    </row>
    <row r="3763" customFormat="false" ht="15" hidden="false" customHeight="false" outlineLevel="0" collapsed="false">
      <c r="A3763" s="3" t="n">
        <v>2022</v>
      </c>
      <c r="B3763" s="3" t="n">
        <v>4</v>
      </c>
      <c r="C3763" s="3" t="n">
        <v>19</v>
      </c>
      <c r="D3763" s="3" t="s">
        <v>3767</v>
      </c>
      <c r="E3763" s="4" t="n">
        <v>16</v>
      </c>
    </row>
    <row r="3764" customFormat="false" ht="15" hidden="false" customHeight="false" outlineLevel="0" collapsed="false">
      <c r="A3764" s="3" t="n">
        <v>2022</v>
      </c>
      <c r="B3764" s="3" t="n">
        <v>4</v>
      </c>
      <c r="C3764" s="3" t="n">
        <v>20</v>
      </c>
      <c r="D3764" s="3" t="s">
        <v>3768</v>
      </c>
      <c r="E3764" s="4" t="n">
        <v>0</v>
      </c>
    </row>
    <row r="3765" customFormat="false" ht="15" hidden="false" customHeight="false" outlineLevel="0" collapsed="false">
      <c r="A3765" s="3" t="n">
        <v>2022</v>
      </c>
      <c r="B3765" s="3" t="n">
        <v>4</v>
      </c>
      <c r="C3765" s="3" t="n">
        <v>21</v>
      </c>
      <c r="D3765" s="3" t="s">
        <v>3769</v>
      </c>
      <c r="E3765" s="4" t="n">
        <v>0</v>
      </c>
    </row>
    <row r="3766" customFormat="false" ht="15" hidden="false" customHeight="false" outlineLevel="0" collapsed="false">
      <c r="A3766" s="3" t="n">
        <v>2022</v>
      </c>
      <c r="B3766" s="3" t="n">
        <v>4</v>
      </c>
      <c r="C3766" s="3" t="n">
        <v>22</v>
      </c>
      <c r="D3766" s="3" t="s">
        <v>3770</v>
      </c>
      <c r="E3766" s="4" t="n">
        <v>4</v>
      </c>
    </row>
    <row r="3767" customFormat="false" ht="15" hidden="false" customHeight="false" outlineLevel="0" collapsed="false">
      <c r="A3767" s="3" t="n">
        <v>2022</v>
      </c>
      <c r="B3767" s="3" t="n">
        <v>4</v>
      </c>
      <c r="C3767" s="3" t="n">
        <v>23</v>
      </c>
      <c r="D3767" s="3" t="s">
        <v>3771</v>
      </c>
      <c r="E3767" s="4" t="n">
        <v>0</v>
      </c>
    </row>
    <row r="3768" customFormat="false" ht="15" hidden="false" customHeight="false" outlineLevel="0" collapsed="false">
      <c r="A3768" s="3" t="n">
        <v>2022</v>
      </c>
      <c r="B3768" s="3" t="n">
        <v>4</v>
      </c>
      <c r="C3768" s="3" t="n">
        <v>24</v>
      </c>
      <c r="D3768" s="3" t="s">
        <v>3772</v>
      </c>
      <c r="E3768" s="4" t="n">
        <v>2</v>
      </c>
    </row>
    <row r="3769" customFormat="false" ht="15" hidden="false" customHeight="false" outlineLevel="0" collapsed="false">
      <c r="A3769" s="3" t="n">
        <v>2022</v>
      </c>
      <c r="B3769" s="3" t="n">
        <v>4</v>
      </c>
      <c r="C3769" s="3" t="n">
        <v>25</v>
      </c>
      <c r="D3769" s="3" t="s">
        <v>3773</v>
      </c>
      <c r="E3769" s="4" t="n">
        <v>0</v>
      </c>
    </row>
    <row r="3770" customFormat="false" ht="15" hidden="false" customHeight="false" outlineLevel="0" collapsed="false">
      <c r="A3770" s="3" t="n">
        <v>2022</v>
      </c>
      <c r="B3770" s="3" t="n">
        <v>4</v>
      </c>
      <c r="C3770" s="3" t="n">
        <v>26</v>
      </c>
      <c r="D3770" s="3" t="s">
        <v>3774</v>
      </c>
      <c r="E3770" s="4" t="n">
        <v>15</v>
      </c>
    </row>
    <row r="3771" customFormat="false" ht="15" hidden="false" customHeight="false" outlineLevel="0" collapsed="false">
      <c r="A3771" s="3" t="n">
        <v>2022</v>
      </c>
      <c r="B3771" s="3" t="n">
        <v>4</v>
      </c>
      <c r="C3771" s="3" t="n">
        <v>27</v>
      </c>
      <c r="D3771" s="3" t="s">
        <v>3775</v>
      </c>
      <c r="E3771" s="4" t="n">
        <v>7</v>
      </c>
    </row>
    <row r="3772" customFormat="false" ht="15" hidden="false" customHeight="false" outlineLevel="0" collapsed="false">
      <c r="A3772" s="3" t="n">
        <v>2022</v>
      </c>
      <c r="B3772" s="3" t="n">
        <v>4</v>
      </c>
      <c r="C3772" s="3" t="n">
        <v>28</v>
      </c>
      <c r="D3772" s="3" t="s">
        <v>3776</v>
      </c>
      <c r="E3772" s="4" t="n">
        <v>0</v>
      </c>
    </row>
    <row r="3773" customFormat="false" ht="15" hidden="false" customHeight="false" outlineLevel="0" collapsed="false">
      <c r="A3773" s="3" t="n">
        <v>2022</v>
      </c>
      <c r="B3773" s="3" t="n">
        <v>4</v>
      </c>
      <c r="C3773" s="3" t="n">
        <v>29</v>
      </c>
      <c r="D3773" s="3" t="s">
        <v>3777</v>
      </c>
      <c r="E3773" s="4" t="n">
        <v>0</v>
      </c>
    </row>
    <row r="3774" customFormat="false" ht="15" hidden="false" customHeight="false" outlineLevel="0" collapsed="false">
      <c r="A3774" s="3" t="n">
        <v>2022</v>
      </c>
      <c r="B3774" s="3" t="n">
        <v>4</v>
      </c>
      <c r="C3774" s="3" t="n">
        <v>30</v>
      </c>
      <c r="D3774" s="3" t="s">
        <v>3778</v>
      </c>
      <c r="E3774" s="4" t="n">
        <v>0</v>
      </c>
    </row>
    <row r="3775" customFormat="false" ht="15" hidden="false" customHeight="false" outlineLevel="0" collapsed="false">
      <c r="A3775" s="3" t="n">
        <v>2022</v>
      </c>
      <c r="B3775" s="3" t="n">
        <v>5</v>
      </c>
      <c r="C3775" s="3" t="n">
        <v>1</v>
      </c>
      <c r="D3775" s="3" t="s">
        <v>3779</v>
      </c>
      <c r="E3775" s="4" t="n">
        <v>19</v>
      </c>
    </row>
    <row r="3776" customFormat="false" ht="15" hidden="false" customHeight="false" outlineLevel="0" collapsed="false">
      <c r="A3776" s="3" t="n">
        <v>2022</v>
      </c>
      <c r="B3776" s="3" t="n">
        <v>5</v>
      </c>
      <c r="C3776" s="3" t="n">
        <v>2</v>
      </c>
      <c r="D3776" s="3" t="s">
        <v>3780</v>
      </c>
      <c r="E3776" s="4" t="n">
        <v>10</v>
      </c>
    </row>
    <row r="3777" customFormat="false" ht="15" hidden="false" customHeight="false" outlineLevel="0" collapsed="false">
      <c r="A3777" s="3" t="n">
        <v>2022</v>
      </c>
      <c r="B3777" s="3" t="n">
        <v>5</v>
      </c>
      <c r="C3777" s="3" t="n">
        <v>3</v>
      </c>
      <c r="D3777" s="3" t="s">
        <v>3781</v>
      </c>
      <c r="E3777" s="4" t="n">
        <v>23</v>
      </c>
    </row>
    <row r="3778" customFormat="false" ht="15" hidden="false" customHeight="false" outlineLevel="0" collapsed="false">
      <c r="A3778" s="3" t="n">
        <v>2022</v>
      </c>
      <c r="B3778" s="3" t="n">
        <v>5</v>
      </c>
      <c r="C3778" s="3" t="n">
        <v>4</v>
      </c>
      <c r="D3778" s="3" t="s">
        <v>3782</v>
      </c>
      <c r="E3778" s="4" t="n">
        <v>4</v>
      </c>
    </row>
    <row r="3779" customFormat="false" ht="15" hidden="false" customHeight="false" outlineLevel="0" collapsed="false">
      <c r="A3779" s="3" t="n">
        <v>2022</v>
      </c>
      <c r="B3779" s="3" t="n">
        <v>5</v>
      </c>
      <c r="C3779" s="3" t="n">
        <v>5</v>
      </c>
      <c r="D3779" s="3" t="s">
        <v>3783</v>
      </c>
      <c r="E3779" s="4" t="n">
        <v>1</v>
      </c>
    </row>
    <row r="3780" customFormat="false" ht="15" hidden="false" customHeight="false" outlineLevel="0" collapsed="false">
      <c r="A3780" s="3" t="n">
        <v>2022</v>
      </c>
      <c r="B3780" s="3" t="n">
        <v>5</v>
      </c>
      <c r="C3780" s="3" t="n">
        <v>6</v>
      </c>
      <c r="D3780" s="3" t="s">
        <v>3784</v>
      </c>
      <c r="E3780" s="4" t="n">
        <v>8</v>
      </c>
    </row>
    <row r="3781" customFormat="false" ht="15" hidden="false" customHeight="false" outlineLevel="0" collapsed="false">
      <c r="A3781" s="3" t="n">
        <v>2022</v>
      </c>
      <c r="B3781" s="3" t="n">
        <v>5</v>
      </c>
      <c r="C3781" s="3" t="n">
        <v>7</v>
      </c>
      <c r="D3781" s="3" t="s">
        <v>3785</v>
      </c>
      <c r="E3781" s="4" t="n">
        <v>2</v>
      </c>
    </row>
    <row r="3782" customFormat="false" ht="15" hidden="false" customHeight="false" outlineLevel="0" collapsed="false">
      <c r="A3782" s="3" t="n">
        <v>2022</v>
      </c>
      <c r="B3782" s="3" t="n">
        <v>5</v>
      </c>
      <c r="C3782" s="3" t="n">
        <v>8</v>
      </c>
      <c r="D3782" s="3" t="s">
        <v>3786</v>
      </c>
      <c r="E3782" s="4" t="n">
        <v>8</v>
      </c>
    </row>
    <row r="3783" customFormat="false" ht="15" hidden="false" customHeight="false" outlineLevel="0" collapsed="false">
      <c r="A3783" s="3" t="n">
        <v>2022</v>
      </c>
      <c r="B3783" s="3" t="n">
        <v>5</v>
      </c>
      <c r="C3783" s="3" t="n">
        <v>9</v>
      </c>
      <c r="D3783" s="3" t="s">
        <v>3787</v>
      </c>
      <c r="E3783" s="4" t="n">
        <v>9</v>
      </c>
    </row>
    <row r="3784" customFormat="false" ht="15" hidden="false" customHeight="false" outlineLevel="0" collapsed="false">
      <c r="A3784" s="3" t="n">
        <v>2022</v>
      </c>
      <c r="B3784" s="3" t="n">
        <v>5</v>
      </c>
      <c r="C3784" s="3" t="n">
        <v>10</v>
      </c>
      <c r="D3784" s="3" t="s">
        <v>3788</v>
      </c>
      <c r="E3784" s="4" t="n">
        <v>0</v>
      </c>
    </row>
    <row r="3785" customFormat="false" ht="15" hidden="false" customHeight="false" outlineLevel="0" collapsed="false">
      <c r="A3785" s="3" t="n">
        <v>2022</v>
      </c>
      <c r="B3785" s="3" t="n">
        <v>5</v>
      </c>
      <c r="C3785" s="3" t="n">
        <v>11</v>
      </c>
      <c r="D3785" s="3" t="s">
        <v>3789</v>
      </c>
      <c r="E3785" s="4" t="n">
        <v>0</v>
      </c>
    </row>
    <row r="3786" customFormat="false" ht="15" hidden="false" customHeight="false" outlineLevel="0" collapsed="false">
      <c r="A3786" s="3" t="n">
        <v>2022</v>
      </c>
      <c r="B3786" s="3" t="n">
        <v>5</v>
      </c>
      <c r="C3786" s="3" t="n">
        <v>12</v>
      </c>
      <c r="D3786" s="3" t="s">
        <v>3790</v>
      </c>
      <c r="E3786" s="4" t="n">
        <v>8</v>
      </c>
    </row>
    <row r="3787" customFormat="false" ht="15" hidden="false" customHeight="false" outlineLevel="0" collapsed="false">
      <c r="A3787" s="3" t="n">
        <v>2022</v>
      </c>
      <c r="B3787" s="3" t="n">
        <v>5</v>
      </c>
      <c r="C3787" s="3" t="n">
        <v>13</v>
      </c>
      <c r="D3787" s="3" t="s">
        <v>3791</v>
      </c>
      <c r="E3787" s="4" t="n">
        <v>7</v>
      </c>
    </row>
    <row r="3788" customFormat="false" ht="15" hidden="false" customHeight="false" outlineLevel="0" collapsed="false">
      <c r="A3788" s="3" t="n">
        <v>2022</v>
      </c>
      <c r="B3788" s="3" t="n">
        <v>5</v>
      </c>
      <c r="C3788" s="3" t="n">
        <v>14</v>
      </c>
      <c r="D3788" s="3" t="s">
        <v>3792</v>
      </c>
      <c r="E3788" s="4" t="n">
        <v>16</v>
      </c>
    </row>
    <row r="3789" customFormat="false" ht="15" hidden="false" customHeight="false" outlineLevel="0" collapsed="false">
      <c r="A3789" s="3" t="n">
        <v>2022</v>
      </c>
      <c r="B3789" s="3" t="n">
        <v>5</v>
      </c>
      <c r="C3789" s="3" t="n">
        <v>15</v>
      </c>
      <c r="D3789" s="3" t="s">
        <v>3793</v>
      </c>
      <c r="E3789" s="4" t="n">
        <v>0</v>
      </c>
    </row>
    <row r="3790" customFormat="false" ht="15" hidden="false" customHeight="false" outlineLevel="0" collapsed="false">
      <c r="A3790" s="3" t="n">
        <v>2022</v>
      </c>
      <c r="B3790" s="3" t="n">
        <v>5</v>
      </c>
      <c r="C3790" s="3" t="n">
        <v>16</v>
      </c>
      <c r="D3790" s="3" t="s">
        <v>3794</v>
      </c>
      <c r="E3790" s="4" t="n">
        <v>0</v>
      </c>
    </row>
    <row r="3791" customFormat="false" ht="15" hidden="false" customHeight="false" outlineLevel="0" collapsed="false">
      <c r="A3791" s="3" t="n">
        <v>2022</v>
      </c>
      <c r="B3791" s="3" t="n">
        <v>5</v>
      </c>
      <c r="C3791" s="3" t="n">
        <v>17</v>
      </c>
      <c r="D3791" s="3" t="s">
        <v>3795</v>
      </c>
      <c r="E3791" s="4" t="n">
        <v>26</v>
      </c>
    </row>
    <row r="3792" customFormat="false" ht="15" hidden="false" customHeight="false" outlineLevel="0" collapsed="false">
      <c r="A3792" s="3" t="n">
        <v>2022</v>
      </c>
      <c r="B3792" s="3" t="n">
        <v>5</v>
      </c>
      <c r="C3792" s="3" t="n">
        <v>18</v>
      </c>
      <c r="D3792" s="3" t="s">
        <v>3796</v>
      </c>
      <c r="E3792" s="4" t="n">
        <v>19</v>
      </c>
    </row>
    <row r="3793" customFormat="false" ht="15" hidden="false" customHeight="false" outlineLevel="0" collapsed="false">
      <c r="A3793" s="3" t="n">
        <v>2022</v>
      </c>
      <c r="B3793" s="3" t="n">
        <v>5</v>
      </c>
      <c r="C3793" s="3" t="n">
        <v>19</v>
      </c>
      <c r="D3793" s="3" t="s">
        <v>3797</v>
      </c>
      <c r="E3793" s="4" t="n">
        <v>0</v>
      </c>
    </row>
    <row r="3794" customFormat="false" ht="15" hidden="false" customHeight="false" outlineLevel="0" collapsed="false">
      <c r="A3794" s="3" t="n">
        <v>2022</v>
      </c>
      <c r="B3794" s="3" t="n">
        <v>5</v>
      </c>
      <c r="C3794" s="3" t="n">
        <v>20</v>
      </c>
      <c r="D3794" s="3" t="s">
        <v>3798</v>
      </c>
      <c r="E3794" s="4" t="n">
        <v>0</v>
      </c>
    </row>
    <row r="3795" customFormat="false" ht="15" hidden="false" customHeight="false" outlineLevel="0" collapsed="false">
      <c r="A3795" s="3" t="n">
        <v>2022</v>
      </c>
      <c r="B3795" s="3" t="n">
        <v>5</v>
      </c>
      <c r="C3795" s="3" t="n">
        <v>21</v>
      </c>
      <c r="D3795" s="3" t="s">
        <v>3799</v>
      </c>
      <c r="E3795" s="4" t="n">
        <v>20</v>
      </c>
    </row>
    <row r="3796" customFormat="false" ht="15" hidden="false" customHeight="false" outlineLevel="0" collapsed="false">
      <c r="A3796" s="3" t="n">
        <v>2022</v>
      </c>
      <c r="B3796" s="3" t="n">
        <v>5</v>
      </c>
      <c r="C3796" s="3" t="n">
        <v>22</v>
      </c>
      <c r="D3796" s="3" t="s">
        <v>3800</v>
      </c>
      <c r="E3796" s="4" t="n">
        <v>0</v>
      </c>
    </row>
    <row r="3797" customFormat="false" ht="15" hidden="false" customHeight="false" outlineLevel="0" collapsed="false">
      <c r="A3797" s="3" t="n">
        <v>2022</v>
      </c>
      <c r="B3797" s="3" t="n">
        <v>5</v>
      </c>
      <c r="C3797" s="3" t="n">
        <v>23</v>
      </c>
      <c r="D3797" s="3" t="s">
        <v>3801</v>
      </c>
      <c r="E3797" s="4" t="n">
        <v>0</v>
      </c>
    </row>
    <row r="3798" customFormat="false" ht="15" hidden="false" customHeight="false" outlineLevel="0" collapsed="false">
      <c r="A3798" s="3" t="n">
        <v>2022</v>
      </c>
      <c r="B3798" s="3" t="n">
        <v>5</v>
      </c>
      <c r="C3798" s="3" t="n">
        <v>24</v>
      </c>
      <c r="D3798" s="3" t="s">
        <v>3802</v>
      </c>
      <c r="E3798" s="4" t="n">
        <v>0</v>
      </c>
    </row>
    <row r="3799" customFormat="false" ht="15" hidden="false" customHeight="false" outlineLevel="0" collapsed="false">
      <c r="A3799" s="3" t="n">
        <v>2022</v>
      </c>
      <c r="B3799" s="3" t="n">
        <v>5</v>
      </c>
      <c r="C3799" s="3" t="n">
        <v>25</v>
      </c>
      <c r="D3799" s="3" t="s">
        <v>3803</v>
      </c>
      <c r="E3799" s="4" t="n">
        <v>0</v>
      </c>
    </row>
    <row r="3800" customFormat="false" ht="15" hidden="false" customHeight="false" outlineLevel="0" collapsed="false">
      <c r="A3800" s="3" t="n">
        <v>2022</v>
      </c>
      <c r="B3800" s="3" t="n">
        <v>5</v>
      </c>
      <c r="C3800" s="3" t="n">
        <v>26</v>
      </c>
      <c r="D3800" s="3" t="s">
        <v>3804</v>
      </c>
      <c r="E3800" s="4" t="n">
        <v>12</v>
      </c>
    </row>
    <row r="3801" customFormat="false" ht="15" hidden="false" customHeight="false" outlineLevel="0" collapsed="false">
      <c r="A3801" s="3" t="n">
        <v>2022</v>
      </c>
      <c r="B3801" s="3" t="n">
        <v>5</v>
      </c>
      <c r="C3801" s="3" t="n">
        <v>27</v>
      </c>
      <c r="D3801" s="3" t="s">
        <v>3805</v>
      </c>
      <c r="E3801" s="4" t="n">
        <v>0</v>
      </c>
    </row>
    <row r="3802" customFormat="false" ht="15" hidden="false" customHeight="false" outlineLevel="0" collapsed="false">
      <c r="A3802" s="3" t="n">
        <v>2022</v>
      </c>
      <c r="B3802" s="3" t="n">
        <v>5</v>
      </c>
      <c r="C3802" s="3" t="n">
        <v>28</v>
      </c>
      <c r="D3802" s="3" t="s">
        <v>3806</v>
      </c>
      <c r="E3802" s="4" t="n">
        <v>9</v>
      </c>
    </row>
    <row r="3803" customFormat="false" ht="15" hidden="false" customHeight="false" outlineLevel="0" collapsed="false">
      <c r="A3803" s="3" t="n">
        <v>2022</v>
      </c>
      <c r="B3803" s="3" t="n">
        <v>5</v>
      </c>
      <c r="C3803" s="3" t="n">
        <v>29</v>
      </c>
      <c r="D3803" s="3" t="s">
        <v>3807</v>
      </c>
      <c r="E3803" s="4" t="n">
        <v>0</v>
      </c>
    </row>
    <row r="3804" customFormat="false" ht="15" hidden="false" customHeight="false" outlineLevel="0" collapsed="false">
      <c r="A3804" s="3" t="n">
        <v>2022</v>
      </c>
      <c r="B3804" s="3" t="n">
        <v>5</v>
      </c>
      <c r="C3804" s="3" t="n">
        <v>30</v>
      </c>
      <c r="D3804" s="3" t="s">
        <v>3808</v>
      </c>
      <c r="E3804" s="4" t="n">
        <v>0</v>
      </c>
    </row>
    <row r="3805" customFormat="false" ht="15" hidden="false" customHeight="false" outlineLevel="0" collapsed="false">
      <c r="A3805" s="3" t="n">
        <v>2022</v>
      </c>
      <c r="B3805" s="3" t="n">
        <v>5</v>
      </c>
      <c r="C3805" s="3" t="n">
        <v>31</v>
      </c>
      <c r="D3805" s="3" t="s">
        <v>3809</v>
      </c>
      <c r="E3805" s="4" t="n">
        <v>0</v>
      </c>
    </row>
    <row r="3806" customFormat="false" ht="15" hidden="false" customHeight="false" outlineLevel="0" collapsed="false">
      <c r="A3806" s="3" t="n">
        <v>2022</v>
      </c>
      <c r="B3806" s="3" t="n">
        <v>6</v>
      </c>
      <c r="C3806" s="3" t="n">
        <v>1</v>
      </c>
      <c r="D3806" s="3" t="s">
        <v>3810</v>
      </c>
      <c r="E3806" s="4" t="n">
        <v>0</v>
      </c>
    </row>
    <row r="3807" customFormat="false" ht="15" hidden="false" customHeight="false" outlineLevel="0" collapsed="false">
      <c r="A3807" s="3" t="n">
        <v>2022</v>
      </c>
      <c r="B3807" s="3" t="n">
        <v>6</v>
      </c>
      <c r="C3807" s="3" t="n">
        <v>2</v>
      </c>
      <c r="D3807" s="3" t="s">
        <v>3811</v>
      </c>
      <c r="E3807" s="4" t="n">
        <v>0</v>
      </c>
    </row>
    <row r="3808" customFormat="false" ht="15" hidden="false" customHeight="false" outlineLevel="0" collapsed="false">
      <c r="A3808" s="3" t="n">
        <v>2022</v>
      </c>
      <c r="B3808" s="3" t="n">
        <v>6</v>
      </c>
      <c r="C3808" s="3" t="n">
        <v>3</v>
      </c>
      <c r="D3808" s="3" t="s">
        <v>3812</v>
      </c>
      <c r="E3808" s="4" t="n">
        <v>22</v>
      </c>
    </row>
    <row r="3809" customFormat="false" ht="15" hidden="false" customHeight="false" outlineLevel="0" collapsed="false">
      <c r="A3809" s="3" t="n">
        <v>2022</v>
      </c>
      <c r="B3809" s="3" t="n">
        <v>6</v>
      </c>
      <c r="C3809" s="3" t="n">
        <v>4</v>
      </c>
      <c r="D3809" s="3" t="s">
        <v>3813</v>
      </c>
      <c r="E3809" s="4" t="n">
        <v>1</v>
      </c>
    </row>
    <row r="3810" customFormat="false" ht="15" hidden="false" customHeight="false" outlineLevel="0" collapsed="false">
      <c r="A3810" s="3" t="n">
        <v>2022</v>
      </c>
      <c r="B3810" s="3" t="n">
        <v>6</v>
      </c>
      <c r="C3810" s="3" t="n">
        <v>5</v>
      </c>
      <c r="D3810" s="3" t="s">
        <v>3814</v>
      </c>
      <c r="E3810" s="4" t="n">
        <v>3</v>
      </c>
    </row>
    <row r="3811" customFormat="false" ht="15" hidden="false" customHeight="false" outlineLevel="0" collapsed="false">
      <c r="A3811" s="3" t="n">
        <v>2022</v>
      </c>
      <c r="B3811" s="3" t="n">
        <v>6</v>
      </c>
      <c r="C3811" s="3" t="n">
        <v>6</v>
      </c>
      <c r="D3811" s="3" t="s">
        <v>3815</v>
      </c>
      <c r="E3811" s="4" t="n">
        <v>91</v>
      </c>
    </row>
    <row r="3812" customFormat="false" ht="15" hidden="false" customHeight="false" outlineLevel="0" collapsed="false">
      <c r="A3812" s="3" t="n">
        <v>2022</v>
      </c>
      <c r="B3812" s="3" t="n">
        <v>6</v>
      </c>
      <c r="C3812" s="3" t="n">
        <v>7</v>
      </c>
      <c r="D3812" s="3" t="s">
        <v>3816</v>
      </c>
      <c r="E3812" s="4" t="n">
        <v>0</v>
      </c>
    </row>
    <row r="3813" customFormat="false" ht="15" hidden="false" customHeight="false" outlineLevel="0" collapsed="false">
      <c r="A3813" s="3" t="n">
        <v>2022</v>
      </c>
      <c r="B3813" s="3" t="n">
        <v>6</v>
      </c>
      <c r="C3813" s="3" t="n">
        <v>8</v>
      </c>
      <c r="D3813" s="3" t="s">
        <v>3817</v>
      </c>
      <c r="E3813" s="4" t="n">
        <v>1</v>
      </c>
    </row>
    <row r="3814" customFormat="false" ht="15" hidden="false" customHeight="false" outlineLevel="0" collapsed="false">
      <c r="A3814" s="3" t="n">
        <v>2022</v>
      </c>
      <c r="B3814" s="3" t="n">
        <v>6</v>
      </c>
      <c r="C3814" s="3" t="n">
        <v>9</v>
      </c>
      <c r="D3814" s="3" t="s">
        <v>3818</v>
      </c>
      <c r="E3814" s="4" t="n">
        <v>7</v>
      </c>
    </row>
    <row r="3815" customFormat="false" ht="15" hidden="false" customHeight="false" outlineLevel="0" collapsed="false">
      <c r="A3815" s="3" t="n">
        <v>2022</v>
      </c>
      <c r="B3815" s="3" t="n">
        <v>6</v>
      </c>
      <c r="C3815" s="3" t="n">
        <v>10</v>
      </c>
      <c r="D3815" s="3" t="s">
        <v>3819</v>
      </c>
      <c r="E3815" s="4" t="n">
        <v>10</v>
      </c>
    </row>
    <row r="3816" customFormat="false" ht="15" hidden="false" customHeight="false" outlineLevel="0" collapsed="false">
      <c r="A3816" s="3" t="n">
        <v>2022</v>
      </c>
      <c r="B3816" s="3" t="n">
        <v>6</v>
      </c>
      <c r="C3816" s="3" t="n">
        <v>11</v>
      </c>
      <c r="D3816" s="3" t="s">
        <v>3820</v>
      </c>
      <c r="E3816" s="4" t="n">
        <v>0</v>
      </c>
    </row>
    <row r="3817" customFormat="false" ht="15" hidden="false" customHeight="false" outlineLevel="0" collapsed="false">
      <c r="A3817" s="3" t="n">
        <v>2022</v>
      </c>
      <c r="B3817" s="3" t="n">
        <v>6</v>
      </c>
      <c r="C3817" s="3" t="n">
        <v>12</v>
      </c>
      <c r="D3817" s="3" t="s">
        <v>3821</v>
      </c>
      <c r="E3817" s="4" t="n">
        <v>6</v>
      </c>
    </row>
    <row r="3818" customFormat="false" ht="15" hidden="false" customHeight="false" outlineLevel="0" collapsed="false">
      <c r="A3818" s="3" t="n">
        <v>2022</v>
      </c>
      <c r="B3818" s="3" t="n">
        <v>6</v>
      </c>
      <c r="C3818" s="3" t="n">
        <v>13</v>
      </c>
      <c r="D3818" s="3" t="s">
        <v>3822</v>
      </c>
      <c r="E3818" s="4" t="n">
        <v>20</v>
      </c>
    </row>
    <row r="3819" customFormat="false" ht="15" hidden="false" customHeight="false" outlineLevel="0" collapsed="false">
      <c r="A3819" s="3" t="n">
        <v>2022</v>
      </c>
      <c r="B3819" s="3" t="n">
        <v>6</v>
      </c>
      <c r="C3819" s="3" t="n">
        <v>14</v>
      </c>
      <c r="D3819" s="3" t="s">
        <v>3823</v>
      </c>
      <c r="E3819" s="4" t="n">
        <v>13</v>
      </c>
    </row>
    <row r="3820" customFormat="false" ht="15" hidden="false" customHeight="false" outlineLevel="0" collapsed="false">
      <c r="A3820" s="3" t="n">
        <v>2022</v>
      </c>
      <c r="B3820" s="3" t="n">
        <v>6</v>
      </c>
      <c r="C3820" s="3" t="n">
        <v>15</v>
      </c>
      <c r="D3820" s="3" t="s">
        <v>3824</v>
      </c>
      <c r="E3820" s="4" t="n">
        <v>0</v>
      </c>
    </row>
    <row r="3821" customFormat="false" ht="15" hidden="false" customHeight="false" outlineLevel="0" collapsed="false">
      <c r="A3821" s="3" t="n">
        <v>2022</v>
      </c>
      <c r="B3821" s="3" t="n">
        <v>6</v>
      </c>
      <c r="C3821" s="3" t="n">
        <v>16</v>
      </c>
      <c r="D3821" s="3" t="s">
        <v>3825</v>
      </c>
      <c r="E3821" s="4" t="n">
        <v>0</v>
      </c>
    </row>
    <row r="3822" customFormat="false" ht="15" hidden="false" customHeight="false" outlineLevel="0" collapsed="false">
      <c r="A3822" s="3" t="n">
        <v>2022</v>
      </c>
      <c r="B3822" s="3" t="n">
        <v>6</v>
      </c>
      <c r="C3822" s="3" t="n">
        <v>17</v>
      </c>
      <c r="D3822" s="3" t="s">
        <v>3826</v>
      </c>
      <c r="E3822" s="4" t="n">
        <v>23</v>
      </c>
    </row>
    <row r="3823" customFormat="false" ht="15" hidden="false" customHeight="false" outlineLevel="0" collapsed="false">
      <c r="A3823" s="3" t="n">
        <v>2022</v>
      </c>
      <c r="B3823" s="3" t="n">
        <v>6</v>
      </c>
      <c r="C3823" s="3" t="n">
        <v>18</v>
      </c>
      <c r="D3823" s="3" t="s">
        <v>3827</v>
      </c>
      <c r="E3823" s="4" t="n">
        <v>14</v>
      </c>
    </row>
    <row r="3824" customFormat="false" ht="15" hidden="false" customHeight="false" outlineLevel="0" collapsed="false">
      <c r="A3824" s="3" t="n">
        <v>2022</v>
      </c>
      <c r="B3824" s="3" t="n">
        <v>6</v>
      </c>
      <c r="C3824" s="3" t="n">
        <v>19</v>
      </c>
      <c r="D3824" s="3" t="s">
        <v>3828</v>
      </c>
      <c r="E3824" s="4" t="n">
        <v>0</v>
      </c>
    </row>
    <row r="3825" customFormat="false" ht="15" hidden="false" customHeight="false" outlineLevel="0" collapsed="false">
      <c r="A3825" s="3" t="n">
        <v>2022</v>
      </c>
      <c r="B3825" s="3" t="n">
        <v>6</v>
      </c>
      <c r="C3825" s="3" t="n">
        <v>20</v>
      </c>
      <c r="D3825" s="3" t="s">
        <v>3829</v>
      </c>
      <c r="E3825" s="4" t="n">
        <v>0</v>
      </c>
    </row>
    <row r="3826" customFormat="false" ht="15" hidden="false" customHeight="false" outlineLevel="0" collapsed="false">
      <c r="A3826" s="3" t="n">
        <v>2022</v>
      </c>
      <c r="B3826" s="3" t="n">
        <v>6</v>
      </c>
      <c r="C3826" s="3" t="n">
        <v>21</v>
      </c>
      <c r="D3826" s="3" t="s">
        <v>3830</v>
      </c>
      <c r="E3826" s="4" t="n">
        <v>10</v>
      </c>
    </row>
    <row r="3827" customFormat="false" ht="15" hidden="false" customHeight="false" outlineLevel="0" collapsed="false">
      <c r="A3827" s="3" t="n">
        <v>2022</v>
      </c>
      <c r="B3827" s="3" t="n">
        <v>6</v>
      </c>
      <c r="C3827" s="3" t="n">
        <v>22</v>
      </c>
      <c r="D3827" s="3" t="s">
        <v>3831</v>
      </c>
      <c r="E3827" s="4" t="n">
        <v>0</v>
      </c>
    </row>
    <row r="3828" customFormat="false" ht="15" hidden="false" customHeight="false" outlineLevel="0" collapsed="false">
      <c r="A3828" s="3" t="n">
        <v>2022</v>
      </c>
      <c r="B3828" s="3" t="n">
        <v>6</v>
      </c>
      <c r="C3828" s="3" t="n">
        <v>23</v>
      </c>
      <c r="D3828" s="3" t="s">
        <v>3832</v>
      </c>
      <c r="E3828" s="4" t="n">
        <v>10</v>
      </c>
    </row>
    <row r="3829" customFormat="false" ht="15" hidden="false" customHeight="false" outlineLevel="0" collapsed="false">
      <c r="A3829" s="3" t="n">
        <v>2022</v>
      </c>
      <c r="B3829" s="3" t="n">
        <v>6</v>
      </c>
      <c r="C3829" s="3" t="n">
        <v>24</v>
      </c>
      <c r="D3829" s="3" t="s">
        <v>3833</v>
      </c>
      <c r="E3829" s="4" t="n">
        <v>5</v>
      </c>
    </row>
    <row r="3830" customFormat="false" ht="15" hidden="false" customHeight="false" outlineLevel="0" collapsed="false">
      <c r="A3830" s="3" t="n">
        <v>2022</v>
      </c>
      <c r="B3830" s="3" t="n">
        <v>6</v>
      </c>
      <c r="C3830" s="3" t="n">
        <v>25</v>
      </c>
      <c r="D3830" s="3" t="s">
        <v>3834</v>
      </c>
      <c r="E3830" s="4" t="n">
        <v>9</v>
      </c>
    </row>
    <row r="3831" customFormat="false" ht="15" hidden="false" customHeight="false" outlineLevel="0" collapsed="false">
      <c r="A3831" s="3" t="n">
        <v>2022</v>
      </c>
      <c r="B3831" s="3" t="n">
        <v>6</v>
      </c>
      <c r="C3831" s="3" t="n">
        <v>26</v>
      </c>
      <c r="D3831" s="3" t="s">
        <v>3835</v>
      </c>
      <c r="E3831" s="4" t="n">
        <v>13</v>
      </c>
    </row>
    <row r="3832" customFormat="false" ht="15" hidden="false" customHeight="false" outlineLevel="0" collapsed="false">
      <c r="A3832" s="3" t="n">
        <v>2022</v>
      </c>
      <c r="B3832" s="3" t="n">
        <v>6</v>
      </c>
      <c r="C3832" s="3" t="n">
        <v>27</v>
      </c>
      <c r="D3832" s="3" t="s">
        <v>3836</v>
      </c>
      <c r="E3832" s="4" t="n">
        <v>0</v>
      </c>
    </row>
    <row r="3833" customFormat="false" ht="15" hidden="false" customHeight="false" outlineLevel="0" collapsed="false">
      <c r="A3833" s="3" t="n">
        <v>2022</v>
      </c>
      <c r="B3833" s="3" t="n">
        <v>6</v>
      </c>
      <c r="C3833" s="3" t="n">
        <v>28</v>
      </c>
      <c r="D3833" s="3" t="s">
        <v>3837</v>
      </c>
      <c r="E3833" s="4" t="n">
        <v>0</v>
      </c>
    </row>
    <row r="3834" customFormat="false" ht="15" hidden="false" customHeight="false" outlineLevel="0" collapsed="false">
      <c r="A3834" s="3" t="n">
        <v>2022</v>
      </c>
      <c r="B3834" s="3" t="n">
        <v>6</v>
      </c>
      <c r="C3834" s="3" t="n">
        <v>29</v>
      </c>
      <c r="D3834" s="3" t="s">
        <v>3838</v>
      </c>
      <c r="E3834" s="4" t="n">
        <v>32</v>
      </c>
    </row>
    <row r="3835" customFormat="false" ht="15" hidden="false" customHeight="false" outlineLevel="0" collapsed="false">
      <c r="A3835" s="3" t="n">
        <v>2022</v>
      </c>
      <c r="B3835" s="3" t="n">
        <v>6</v>
      </c>
      <c r="C3835" s="3" t="n">
        <v>30</v>
      </c>
      <c r="D3835" s="3" t="s">
        <v>3839</v>
      </c>
      <c r="E3835" s="4" t="n">
        <v>3</v>
      </c>
    </row>
    <row r="3836" customFormat="false" ht="15" hidden="false" customHeight="false" outlineLevel="0" collapsed="false">
      <c r="A3836" s="3" t="n">
        <v>2022</v>
      </c>
      <c r="B3836" s="3" t="n">
        <v>7</v>
      </c>
      <c r="C3836" s="3" t="n">
        <v>1</v>
      </c>
      <c r="D3836" s="3" t="s">
        <v>3840</v>
      </c>
      <c r="E3836" s="4" t="n">
        <v>0</v>
      </c>
    </row>
    <row r="3837" customFormat="false" ht="15" hidden="false" customHeight="false" outlineLevel="0" collapsed="false">
      <c r="A3837" s="3" t="n">
        <v>2022</v>
      </c>
      <c r="B3837" s="3" t="n">
        <v>7</v>
      </c>
      <c r="C3837" s="3" t="n">
        <v>2</v>
      </c>
      <c r="D3837" s="3" t="s">
        <v>3841</v>
      </c>
      <c r="E3837" s="4" t="n">
        <v>0</v>
      </c>
    </row>
    <row r="3838" customFormat="false" ht="15" hidden="false" customHeight="false" outlineLevel="0" collapsed="false">
      <c r="A3838" s="3" t="n">
        <v>2022</v>
      </c>
      <c r="B3838" s="3" t="n">
        <v>7</v>
      </c>
      <c r="C3838" s="3" t="n">
        <v>3</v>
      </c>
      <c r="D3838" s="3" t="s">
        <v>3842</v>
      </c>
      <c r="E3838" s="4" t="n">
        <v>5</v>
      </c>
    </row>
    <row r="3839" customFormat="false" ht="15" hidden="false" customHeight="false" outlineLevel="0" collapsed="false">
      <c r="A3839" s="3" t="n">
        <v>2022</v>
      </c>
      <c r="B3839" s="3" t="n">
        <v>7</v>
      </c>
      <c r="C3839" s="3" t="n">
        <v>4</v>
      </c>
      <c r="D3839" s="3" t="s">
        <v>3843</v>
      </c>
      <c r="E3839" s="4" t="n">
        <v>3</v>
      </c>
    </row>
    <row r="3840" customFormat="false" ht="15" hidden="false" customHeight="false" outlineLevel="0" collapsed="false">
      <c r="A3840" s="3" t="n">
        <v>2022</v>
      </c>
      <c r="B3840" s="3" t="n">
        <v>7</v>
      </c>
      <c r="C3840" s="3" t="n">
        <v>5</v>
      </c>
      <c r="D3840" s="3" t="s">
        <v>3844</v>
      </c>
      <c r="E3840" s="4" t="n">
        <v>0</v>
      </c>
    </row>
    <row r="3841" customFormat="false" ht="15" hidden="false" customHeight="false" outlineLevel="0" collapsed="false">
      <c r="A3841" s="3" t="n">
        <v>2022</v>
      </c>
      <c r="B3841" s="3" t="n">
        <v>7</v>
      </c>
      <c r="C3841" s="3" t="n">
        <v>6</v>
      </c>
      <c r="D3841" s="3" t="s">
        <v>3845</v>
      </c>
      <c r="E3841" s="4" t="n">
        <v>2</v>
      </c>
    </row>
    <row r="3842" customFormat="false" ht="15" hidden="false" customHeight="false" outlineLevel="0" collapsed="false">
      <c r="A3842" s="3" t="n">
        <v>2022</v>
      </c>
      <c r="B3842" s="3" t="n">
        <v>7</v>
      </c>
      <c r="C3842" s="3" t="n">
        <v>7</v>
      </c>
      <c r="D3842" s="3" t="s">
        <v>3846</v>
      </c>
      <c r="E3842" s="4" t="n">
        <v>0</v>
      </c>
    </row>
    <row r="3843" customFormat="false" ht="15" hidden="false" customHeight="false" outlineLevel="0" collapsed="false">
      <c r="A3843" s="3" t="n">
        <v>2022</v>
      </c>
      <c r="B3843" s="3" t="n">
        <v>7</v>
      </c>
      <c r="C3843" s="3" t="n">
        <v>8</v>
      </c>
      <c r="D3843" s="3" t="s">
        <v>3847</v>
      </c>
      <c r="E3843" s="4" t="n">
        <v>0</v>
      </c>
    </row>
    <row r="3844" customFormat="false" ht="15" hidden="false" customHeight="false" outlineLevel="0" collapsed="false">
      <c r="A3844" s="3" t="n">
        <v>2022</v>
      </c>
      <c r="B3844" s="3" t="n">
        <v>7</v>
      </c>
      <c r="C3844" s="3" t="n">
        <v>9</v>
      </c>
      <c r="D3844" s="3" t="s">
        <v>3848</v>
      </c>
      <c r="E3844" s="4" t="n">
        <v>6</v>
      </c>
    </row>
    <row r="3845" customFormat="false" ht="15" hidden="false" customHeight="false" outlineLevel="0" collapsed="false">
      <c r="A3845" s="3" t="n">
        <v>2022</v>
      </c>
      <c r="B3845" s="3" t="n">
        <v>7</v>
      </c>
      <c r="C3845" s="3" t="n">
        <v>10</v>
      </c>
      <c r="D3845" s="3" t="s">
        <v>3849</v>
      </c>
      <c r="E3845" s="4" t="n">
        <v>0</v>
      </c>
    </row>
    <row r="3846" customFormat="false" ht="15" hidden="false" customHeight="false" outlineLevel="0" collapsed="false">
      <c r="A3846" s="3" t="n">
        <v>2022</v>
      </c>
      <c r="B3846" s="3" t="n">
        <v>7</v>
      </c>
      <c r="C3846" s="3" t="n">
        <v>11</v>
      </c>
      <c r="D3846" s="3" t="s">
        <v>3850</v>
      </c>
      <c r="E3846" s="4" t="n">
        <v>0</v>
      </c>
    </row>
    <row r="3847" customFormat="false" ht="15" hidden="false" customHeight="false" outlineLevel="0" collapsed="false">
      <c r="A3847" s="3" t="n">
        <v>2022</v>
      </c>
      <c r="B3847" s="3" t="n">
        <v>7</v>
      </c>
      <c r="C3847" s="3" t="n">
        <v>12</v>
      </c>
      <c r="D3847" s="3" t="s">
        <v>3851</v>
      </c>
      <c r="E3847" s="4" t="n">
        <v>11</v>
      </c>
    </row>
    <row r="3848" customFormat="false" ht="15" hidden="false" customHeight="false" outlineLevel="0" collapsed="false">
      <c r="A3848" s="3" t="n">
        <v>2022</v>
      </c>
      <c r="B3848" s="3" t="n">
        <v>7</v>
      </c>
      <c r="C3848" s="3" t="n">
        <v>13</v>
      </c>
      <c r="D3848" s="3" t="s">
        <v>3852</v>
      </c>
      <c r="E3848" s="4" t="n">
        <v>53</v>
      </c>
    </row>
    <row r="3849" customFormat="false" ht="15" hidden="false" customHeight="false" outlineLevel="0" collapsed="false">
      <c r="A3849" s="3" t="n">
        <v>2022</v>
      </c>
      <c r="B3849" s="3" t="n">
        <v>7</v>
      </c>
      <c r="C3849" s="3" t="n">
        <v>14</v>
      </c>
      <c r="D3849" s="3" t="s">
        <v>3853</v>
      </c>
      <c r="E3849" s="4" t="n">
        <v>30</v>
      </c>
    </row>
    <row r="3850" customFormat="false" ht="15" hidden="false" customHeight="false" outlineLevel="0" collapsed="false">
      <c r="A3850" s="3" t="n">
        <v>2022</v>
      </c>
      <c r="B3850" s="3" t="n">
        <v>7</v>
      </c>
      <c r="C3850" s="3" t="n">
        <v>15</v>
      </c>
      <c r="D3850" s="3" t="s">
        <v>3854</v>
      </c>
      <c r="E3850" s="4" t="n">
        <v>0</v>
      </c>
    </row>
    <row r="3851" customFormat="false" ht="15" hidden="false" customHeight="false" outlineLevel="0" collapsed="false">
      <c r="A3851" s="3" t="n">
        <v>2022</v>
      </c>
      <c r="B3851" s="3" t="n">
        <v>7</v>
      </c>
      <c r="C3851" s="3" t="n">
        <v>16</v>
      </c>
      <c r="D3851" s="3" t="s">
        <v>3855</v>
      </c>
      <c r="E3851" s="4" t="n">
        <v>22</v>
      </c>
    </row>
    <row r="3852" customFormat="false" ht="15" hidden="false" customHeight="false" outlineLevel="0" collapsed="false">
      <c r="A3852" s="3" t="n">
        <v>2022</v>
      </c>
      <c r="B3852" s="3" t="n">
        <v>7</v>
      </c>
      <c r="C3852" s="3" t="n">
        <v>17</v>
      </c>
      <c r="D3852" s="3" t="s">
        <v>3856</v>
      </c>
      <c r="E3852" s="4" t="n">
        <v>4</v>
      </c>
    </row>
    <row r="3853" customFormat="false" ht="15" hidden="false" customHeight="false" outlineLevel="0" collapsed="false">
      <c r="A3853" s="3" t="n">
        <v>2022</v>
      </c>
      <c r="B3853" s="3" t="n">
        <v>7</v>
      </c>
      <c r="C3853" s="3" t="n">
        <v>18</v>
      </c>
      <c r="D3853" s="3" t="s">
        <v>3857</v>
      </c>
      <c r="E3853" s="4" t="n">
        <v>0</v>
      </c>
    </row>
    <row r="3854" customFormat="false" ht="15" hidden="false" customHeight="false" outlineLevel="0" collapsed="false">
      <c r="A3854" s="3" t="n">
        <v>2022</v>
      </c>
      <c r="B3854" s="3" t="n">
        <v>7</v>
      </c>
      <c r="C3854" s="3" t="n">
        <v>19</v>
      </c>
      <c r="D3854" s="3" t="s">
        <v>3858</v>
      </c>
      <c r="E3854" s="4" t="n">
        <v>0</v>
      </c>
    </row>
    <row r="3855" customFormat="false" ht="15" hidden="false" customHeight="false" outlineLevel="0" collapsed="false">
      <c r="A3855" s="3" t="n">
        <v>2022</v>
      </c>
      <c r="B3855" s="3" t="n">
        <v>7</v>
      </c>
      <c r="C3855" s="3" t="n">
        <v>20</v>
      </c>
      <c r="D3855" s="3" t="s">
        <v>3859</v>
      </c>
      <c r="E3855" s="4" t="n">
        <v>0</v>
      </c>
    </row>
    <row r="3856" customFormat="false" ht="15" hidden="false" customHeight="false" outlineLevel="0" collapsed="false">
      <c r="A3856" s="3" t="n">
        <v>2022</v>
      </c>
      <c r="B3856" s="3" t="n">
        <v>7</v>
      </c>
      <c r="C3856" s="3" t="n">
        <v>21</v>
      </c>
      <c r="D3856" s="3" t="s">
        <v>3860</v>
      </c>
      <c r="E3856" s="4" t="n">
        <v>21</v>
      </c>
    </row>
    <row r="3857" customFormat="false" ht="15" hidden="false" customHeight="false" outlineLevel="0" collapsed="false">
      <c r="A3857" s="3" t="n">
        <v>2022</v>
      </c>
      <c r="B3857" s="3" t="n">
        <v>7</v>
      </c>
      <c r="C3857" s="3" t="n">
        <v>22</v>
      </c>
      <c r="D3857" s="3" t="s">
        <v>3861</v>
      </c>
      <c r="E3857" s="4" t="n">
        <v>0</v>
      </c>
    </row>
    <row r="3858" customFormat="false" ht="15" hidden="false" customHeight="false" outlineLevel="0" collapsed="false">
      <c r="A3858" s="3" t="n">
        <v>2022</v>
      </c>
      <c r="B3858" s="3" t="n">
        <v>7</v>
      </c>
      <c r="C3858" s="3" t="n">
        <v>23</v>
      </c>
      <c r="D3858" s="3" t="s">
        <v>3862</v>
      </c>
      <c r="E3858" s="4" t="n">
        <v>0</v>
      </c>
    </row>
    <row r="3859" customFormat="false" ht="15" hidden="false" customHeight="false" outlineLevel="0" collapsed="false">
      <c r="A3859" s="3" t="n">
        <v>2022</v>
      </c>
      <c r="B3859" s="3" t="n">
        <v>7</v>
      </c>
      <c r="C3859" s="3" t="n">
        <v>24</v>
      </c>
      <c r="D3859" s="3" t="s">
        <v>3863</v>
      </c>
      <c r="E3859" s="4" t="n">
        <v>13</v>
      </c>
    </row>
    <row r="3860" customFormat="false" ht="15" hidden="false" customHeight="false" outlineLevel="0" collapsed="false">
      <c r="A3860" s="3" t="n">
        <v>2022</v>
      </c>
      <c r="B3860" s="3" t="n">
        <v>7</v>
      </c>
      <c r="C3860" s="3" t="n">
        <v>25</v>
      </c>
      <c r="D3860" s="3" t="s">
        <v>3864</v>
      </c>
      <c r="E3860" s="4" t="n">
        <v>20</v>
      </c>
    </row>
    <row r="3861" customFormat="false" ht="15" hidden="false" customHeight="false" outlineLevel="0" collapsed="false">
      <c r="A3861" s="3" t="n">
        <v>2022</v>
      </c>
      <c r="B3861" s="3" t="n">
        <v>7</v>
      </c>
      <c r="C3861" s="3" t="n">
        <v>26</v>
      </c>
      <c r="D3861" s="3" t="s">
        <v>3865</v>
      </c>
      <c r="E3861" s="4" t="n">
        <v>2</v>
      </c>
    </row>
    <row r="3862" customFormat="false" ht="15" hidden="false" customHeight="false" outlineLevel="0" collapsed="false">
      <c r="A3862" s="3" t="n">
        <v>2022</v>
      </c>
      <c r="B3862" s="3" t="n">
        <v>7</v>
      </c>
      <c r="C3862" s="3" t="n">
        <v>27</v>
      </c>
      <c r="D3862" s="3" t="s">
        <v>3866</v>
      </c>
      <c r="E3862" s="4" t="n">
        <v>75</v>
      </c>
    </row>
    <row r="3863" customFormat="false" ht="15" hidden="false" customHeight="false" outlineLevel="0" collapsed="false">
      <c r="A3863" s="3" t="n">
        <v>2022</v>
      </c>
      <c r="B3863" s="3" t="n">
        <v>7</v>
      </c>
      <c r="C3863" s="3" t="n">
        <v>28</v>
      </c>
      <c r="D3863" s="3" t="s">
        <v>3867</v>
      </c>
      <c r="E3863" s="4" t="n">
        <v>0</v>
      </c>
    </row>
    <row r="3864" customFormat="false" ht="15" hidden="false" customHeight="false" outlineLevel="0" collapsed="false">
      <c r="A3864" s="3" t="n">
        <v>2022</v>
      </c>
      <c r="B3864" s="3" t="n">
        <v>7</v>
      </c>
      <c r="C3864" s="3" t="n">
        <v>29</v>
      </c>
      <c r="D3864" s="3" t="s">
        <v>3868</v>
      </c>
      <c r="E3864" s="4" t="n">
        <v>1</v>
      </c>
    </row>
    <row r="3865" customFormat="false" ht="15" hidden="false" customHeight="false" outlineLevel="0" collapsed="false">
      <c r="A3865" s="3" t="n">
        <v>2022</v>
      </c>
      <c r="B3865" s="3" t="n">
        <v>7</v>
      </c>
      <c r="C3865" s="3" t="n">
        <v>30</v>
      </c>
      <c r="D3865" s="3" t="s">
        <v>3869</v>
      </c>
      <c r="E3865" s="4" t="n">
        <v>2</v>
      </c>
    </row>
    <row r="3866" customFormat="false" ht="15" hidden="false" customHeight="false" outlineLevel="0" collapsed="false">
      <c r="A3866" s="3" t="n">
        <v>2022</v>
      </c>
      <c r="B3866" s="3" t="n">
        <v>7</v>
      </c>
      <c r="C3866" s="3" t="n">
        <v>31</v>
      </c>
      <c r="D3866" s="3" t="s">
        <v>3870</v>
      </c>
      <c r="E3866" s="4" t="n">
        <v>2</v>
      </c>
    </row>
    <row r="3867" customFormat="false" ht="15" hidden="false" customHeight="false" outlineLevel="0" collapsed="false">
      <c r="A3867" s="3" t="n">
        <v>2022</v>
      </c>
      <c r="B3867" s="3" t="n">
        <v>8</v>
      </c>
      <c r="C3867" s="3" t="n">
        <v>1</v>
      </c>
      <c r="D3867" s="3" t="s">
        <v>3871</v>
      </c>
      <c r="E3867" s="4" t="n">
        <v>0</v>
      </c>
    </row>
    <row r="3868" customFormat="false" ht="15" hidden="false" customHeight="false" outlineLevel="0" collapsed="false">
      <c r="A3868" s="3" t="n">
        <v>2022</v>
      </c>
      <c r="B3868" s="3" t="n">
        <v>8</v>
      </c>
      <c r="C3868" s="3" t="n">
        <v>2</v>
      </c>
      <c r="D3868" s="3" t="s">
        <v>3872</v>
      </c>
      <c r="E3868" s="4" t="n">
        <v>12</v>
      </c>
    </row>
    <row r="3869" customFormat="false" ht="15" hidden="false" customHeight="false" outlineLevel="0" collapsed="false">
      <c r="A3869" s="3" t="n">
        <v>2022</v>
      </c>
      <c r="B3869" s="3" t="n">
        <v>8</v>
      </c>
      <c r="C3869" s="3" t="n">
        <v>3</v>
      </c>
      <c r="D3869" s="3" t="s">
        <v>3873</v>
      </c>
      <c r="E3869" s="4" t="n">
        <v>1</v>
      </c>
    </row>
    <row r="3870" customFormat="false" ht="15" hidden="false" customHeight="false" outlineLevel="0" collapsed="false">
      <c r="A3870" s="3" t="n">
        <v>2022</v>
      </c>
      <c r="B3870" s="3" t="n">
        <v>8</v>
      </c>
      <c r="C3870" s="3" t="n">
        <v>4</v>
      </c>
      <c r="D3870" s="3" t="s">
        <v>3874</v>
      </c>
      <c r="E3870" s="4" t="n">
        <v>6</v>
      </c>
    </row>
    <row r="3871" customFormat="false" ht="15" hidden="false" customHeight="false" outlineLevel="0" collapsed="false">
      <c r="A3871" s="3" t="n">
        <v>2022</v>
      </c>
      <c r="B3871" s="3" t="n">
        <v>8</v>
      </c>
      <c r="C3871" s="3" t="n">
        <v>5</v>
      </c>
      <c r="D3871" s="3" t="s">
        <v>3875</v>
      </c>
      <c r="E3871" s="4" t="n">
        <v>36</v>
      </c>
    </row>
    <row r="3872" customFormat="false" ht="15" hidden="false" customHeight="false" outlineLevel="0" collapsed="false">
      <c r="A3872" s="3" t="n">
        <v>2022</v>
      </c>
      <c r="B3872" s="3" t="n">
        <v>8</v>
      </c>
      <c r="C3872" s="3" t="n">
        <v>6</v>
      </c>
      <c r="D3872" s="3" t="s">
        <v>3876</v>
      </c>
      <c r="E3872" s="4" t="n">
        <v>0</v>
      </c>
    </row>
    <row r="3873" customFormat="false" ht="15" hidden="false" customHeight="false" outlineLevel="0" collapsed="false">
      <c r="A3873" s="3" t="n">
        <v>2022</v>
      </c>
      <c r="B3873" s="3" t="n">
        <v>8</v>
      </c>
      <c r="C3873" s="3" t="n">
        <v>7</v>
      </c>
      <c r="D3873" s="3" t="s">
        <v>3877</v>
      </c>
      <c r="E3873" s="4" t="n">
        <v>0</v>
      </c>
    </row>
    <row r="3874" customFormat="false" ht="15" hidden="false" customHeight="false" outlineLevel="0" collapsed="false">
      <c r="A3874" s="3" t="n">
        <v>2022</v>
      </c>
      <c r="B3874" s="3" t="n">
        <v>8</v>
      </c>
      <c r="C3874" s="3" t="n">
        <v>8</v>
      </c>
      <c r="D3874" s="3" t="s">
        <v>3878</v>
      </c>
      <c r="E3874" s="4" t="n">
        <v>0</v>
      </c>
    </row>
    <row r="3875" customFormat="false" ht="15" hidden="false" customHeight="false" outlineLevel="0" collapsed="false">
      <c r="A3875" s="3" t="n">
        <v>2022</v>
      </c>
      <c r="B3875" s="3" t="n">
        <v>8</v>
      </c>
      <c r="C3875" s="3" t="n">
        <v>9</v>
      </c>
      <c r="D3875" s="3" t="s">
        <v>3879</v>
      </c>
      <c r="E3875" s="4" t="n">
        <v>0</v>
      </c>
    </row>
    <row r="3876" customFormat="false" ht="15" hidden="false" customHeight="false" outlineLevel="0" collapsed="false">
      <c r="A3876" s="3" t="n">
        <v>2022</v>
      </c>
      <c r="B3876" s="3" t="n">
        <v>8</v>
      </c>
      <c r="C3876" s="3" t="n">
        <v>10</v>
      </c>
      <c r="D3876" s="3" t="s">
        <v>3880</v>
      </c>
      <c r="E3876" s="4" t="n">
        <v>0</v>
      </c>
    </row>
    <row r="3877" customFormat="false" ht="15" hidden="false" customHeight="false" outlineLevel="0" collapsed="false">
      <c r="A3877" s="3" t="n">
        <v>2022</v>
      </c>
      <c r="B3877" s="3" t="n">
        <v>8</v>
      </c>
      <c r="C3877" s="3" t="n">
        <v>11</v>
      </c>
      <c r="D3877" s="3" t="s">
        <v>3881</v>
      </c>
      <c r="E3877" s="4" t="n">
        <v>2</v>
      </c>
    </row>
    <row r="3878" customFormat="false" ht="15" hidden="false" customHeight="false" outlineLevel="0" collapsed="false">
      <c r="A3878" s="3" t="n">
        <v>2022</v>
      </c>
      <c r="B3878" s="3" t="n">
        <v>8</v>
      </c>
      <c r="C3878" s="3" t="n">
        <v>12</v>
      </c>
      <c r="D3878" s="3" t="s">
        <v>3882</v>
      </c>
      <c r="E3878" s="4" t="n">
        <v>0</v>
      </c>
    </row>
    <row r="3879" customFormat="false" ht="15" hidden="false" customHeight="false" outlineLevel="0" collapsed="false">
      <c r="A3879" s="3" t="n">
        <v>2022</v>
      </c>
      <c r="B3879" s="3" t="n">
        <v>8</v>
      </c>
      <c r="C3879" s="3" t="n">
        <v>13</v>
      </c>
      <c r="D3879" s="3" t="s">
        <v>3883</v>
      </c>
      <c r="E3879" s="4" t="n">
        <v>18</v>
      </c>
    </row>
    <row r="3880" customFormat="false" ht="15" hidden="false" customHeight="false" outlineLevel="0" collapsed="false">
      <c r="A3880" s="3" t="n">
        <v>2022</v>
      </c>
      <c r="B3880" s="3" t="n">
        <v>8</v>
      </c>
      <c r="C3880" s="3" t="n">
        <v>14</v>
      </c>
      <c r="D3880" s="3" t="s">
        <v>3884</v>
      </c>
      <c r="E3880" s="4" t="n">
        <v>30</v>
      </c>
    </row>
    <row r="3881" customFormat="false" ht="15" hidden="false" customHeight="false" outlineLevel="0" collapsed="false">
      <c r="A3881" s="3" t="n">
        <v>2022</v>
      </c>
      <c r="B3881" s="3" t="n">
        <v>8</v>
      </c>
      <c r="C3881" s="3" t="n">
        <v>15</v>
      </c>
      <c r="D3881" s="3" t="s">
        <v>3885</v>
      </c>
      <c r="E3881" s="4" t="n">
        <v>0</v>
      </c>
    </row>
    <row r="3882" customFormat="false" ht="15" hidden="false" customHeight="false" outlineLevel="0" collapsed="false">
      <c r="A3882" s="3" t="n">
        <v>2022</v>
      </c>
      <c r="B3882" s="3" t="n">
        <v>8</v>
      </c>
      <c r="C3882" s="3" t="n">
        <v>16</v>
      </c>
      <c r="D3882" s="3" t="s">
        <v>3886</v>
      </c>
      <c r="E3882" s="4" t="n">
        <v>0</v>
      </c>
    </row>
    <row r="3883" customFormat="false" ht="15" hidden="false" customHeight="false" outlineLevel="0" collapsed="false">
      <c r="A3883" s="3" t="n">
        <v>2022</v>
      </c>
      <c r="B3883" s="3" t="n">
        <v>8</v>
      </c>
      <c r="C3883" s="3" t="n">
        <v>17</v>
      </c>
      <c r="D3883" s="3" t="s">
        <v>3887</v>
      </c>
      <c r="E3883" s="4" t="n">
        <v>0</v>
      </c>
    </row>
    <row r="3884" customFormat="false" ht="15" hidden="false" customHeight="false" outlineLevel="0" collapsed="false">
      <c r="A3884" s="3" t="n">
        <v>2022</v>
      </c>
      <c r="B3884" s="3" t="n">
        <v>8</v>
      </c>
      <c r="C3884" s="3" t="n">
        <v>18</v>
      </c>
      <c r="D3884" s="3" t="s">
        <v>3888</v>
      </c>
      <c r="E3884" s="4" t="n">
        <v>0</v>
      </c>
    </row>
    <row r="3885" customFormat="false" ht="15" hidden="false" customHeight="false" outlineLevel="0" collapsed="false">
      <c r="A3885" s="3" t="n">
        <v>2022</v>
      </c>
      <c r="B3885" s="3" t="n">
        <v>8</v>
      </c>
      <c r="C3885" s="3" t="n">
        <v>19</v>
      </c>
      <c r="D3885" s="3" t="s">
        <v>3889</v>
      </c>
      <c r="E3885" s="4" t="n">
        <v>1</v>
      </c>
    </row>
    <row r="3886" customFormat="false" ht="15" hidden="false" customHeight="false" outlineLevel="0" collapsed="false">
      <c r="A3886" s="3" t="n">
        <v>2022</v>
      </c>
      <c r="B3886" s="3" t="n">
        <v>8</v>
      </c>
      <c r="C3886" s="3" t="n">
        <v>20</v>
      </c>
      <c r="D3886" s="3" t="s">
        <v>3890</v>
      </c>
      <c r="E3886" s="4" t="n">
        <v>2</v>
      </c>
    </row>
    <row r="3887" customFormat="false" ht="15" hidden="false" customHeight="false" outlineLevel="0" collapsed="false">
      <c r="A3887" s="3" t="n">
        <v>2022</v>
      </c>
      <c r="B3887" s="3" t="n">
        <v>8</v>
      </c>
      <c r="C3887" s="3" t="n">
        <v>21</v>
      </c>
      <c r="D3887" s="3" t="s">
        <v>3891</v>
      </c>
      <c r="E3887" s="4" t="n">
        <v>75</v>
      </c>
    </row>
    <row r="3888" customFormat="false" ht="15" hidden="false" customHeight="false" outlineLevel="0" collapsed="false">
      <c r="A3888" s="3" t="n">
        <v>2022</v>
      </c>
      <c r="B3888" s="3" t="n">
        <v>8</v>
      </c>
      <c r="C3888" s="3" t="n">
        <v>22</v>
      </c>
      <c r="D3888" s="3" t="s">
        <v>3892</v>
      </c>
      <c r="E3888" s="4" t="n">
        <v>40</v>
      </c>
    </row>
    <row r="3889" customFormat="false" ht="15" hidden="false" customHeight="false" outlineLevel="0" collapsed="false">
      <c r="A3889" s="3" t="n">
        <v>2022</v>
      </c>
      <c r="B3889" s="3" t="n">
        <v>8</v>
      </c>
      <c r="C3889" s="3" t="n">
        <v>23</v>
      </c>
      <c r="D3889" s="3" t="s">
        <v>3893</v>
      </c>
      <c r="E3889" s="4" t="n">
        <v>0</v>
      </c>
    </row>
    <row r="3890" customFormat="false" ht="15" hidden="false" customHeight="false" outlineLevel="0" collapsed="false">
      <c r="A3890" s="3" t="n">
        <v>2022</v>
      </c>
      <c r="B3890" s="3" t="n">
        <v>8</v>
      </c>
      <c r="C3890" s="3" t="n">
        <v>24</v>
      </c>
      <c r="D3890" s="3" t="s">
        <v>3894</v>
      </c>
      <c r="E3890" s="4" t="n">
        <v>11</v>
      </c>
    </row>
    <row r="3891" customFormat="false" ht="15" hidden="false" customHeight="false" outlineLevel="0" collapsed="false">
      <c r="A3891" s="3" t="n">
        <v>2022</v>
      </c>
      <c r="B3891" s="3" t="n">
        <v>8</v>
      </c>
      <c r="C3891" s="3" t="n">
        <v>25</v>
      </c>
      <c r="D3891" s="3" t="s">
        <v>3895</v>
      </c>
      <c r="E3891" s="4" t="n">
        <v>2</v>
      </c>
    </row>
    <row r="3892" customFormat="false" ht="15" hidden="false" customHeight="false" outlineLevel="0" collapsed="false">
      <c r="A3892" s="3" t="n">
        <v>2022</v>
      </c>
      <c r="B3892" s="3" t="n">
        <v>8</v>
      </c>
      <c r="C3892" s="3" t="n">
        <v>26</v>
      </c>
      <c r="D3892" s="3" t="s">
        <v>3896</v>
      </c>
      <c r="E3892" s="4" t="n">
        <v>0</v>
      </c>
    </row>
    <row r="3893" customFormat="false" ht="15" hidden="false" customHeight="false" outlineLevel="0" collapsed="false">
      <c r="A3893" s="3" t="n">
        <v>2022</v>
      </c>
      <c r="B3893" s="3" t="n">
        <v>8</v>
      </c>
      <c r="C3893" s="3" t="n">
        <v>27</v>
      </c>
      <c r="D3893" s="3" t="s">
        <v>3897</v>
      </c>
      <c r="E3893" s="4" t="n">
        <v>37</v>
      </c>
    </row>
    <row r="3894" customFormat="false" ht="15" hidden="false" customHeight="false" outlineLevel="0" collapsed="false">
      <c r="A3894" s="3" t="n">
        <v>2022</v>
      </c>
      <c r="B3894" s="3" t="n">
        <v>8</v>
      </c>
      <c r="C3894" s="3" t="n">
        <v>28</v>
      </c>
      <c r="D3894" s="3" t="s">
        <v>3898</v>
      </c>
      <c r="E3894" s="4" t="n">
        <v>20</v>
      </c>
    </row>
    <row r="3895" customFormat="false" ht="15" hidden="false" customHeight="false" outlineLevel="0" collapsed="false">
      <c r="A3895" s="3" t="n">
        <v>2022</v>
      </c>
      <c r="B3895" s="3" t="n">
        <v>8</v>
      </c>
      <c r="C3895" s="3" t="n">
        <v>29</v>
      </c>
      <c r="D3895" s="3" t="s">
        <v>3899</v>
      </c>
      <c r="E3895" s="4" t="n">
        <v>0</v>
      </c>
    </row>
    <row r="3896" customFormat="false" ht="15" hidden="false" customHeight="false" outlineLevel="0" collapsed="false">
      <c r="A3896" s="3" t="n">
        <v>2022</v>
      </c>
      <c r="B3896" s="3" t="n">
        <v>8</v>
      </c>
      <c r="C3896" s="3" t="n">
        <v>30</v>
      </c>
      <c r="D3896" s="3" t="s">
        <v>3900</v>
      </c>
      <c r="E3896" s="4" t="n">
        <v>3</v>
      </c>
    </row>
    <row r="3897" customFormat="false" ht="15" hidden="false" customHeight="false" outlineLevel="0" collapsed="false">
      <c r="A3897" s="3" t="n">
        <v>2022</v>
      </c>
      <c r="B3897" s="3" t="n">
        <v>8</v>
      </c>
      <c r="C3897" s="3" t="n">
        <v>31</v>
      </c>
      <c r="D3897" s="3" t="s">
        <v>3901</v>
      </c>
      <c r="E3897" s="4" t="n">
        <v>58</v>
      </c>
    </row>
    <row r="3898" customFormat="false" ht="15" hidden="false" customHeight="false" outlineLevel="0" collapsed="false">
      <c r="A3898" s="3" t="n">
        <v>2022</v>
      </c>
      <c r="B3898" s="3" t="n">
        <v>9</v>
      </c>
      <c r="C3898" s="3" t="n">
        <v>1</v>
      </c>
      <c r="D3898" s="3" t="s">
        <v>3902</v>
      </c>
      <c r="E3898" s="4" t="n">
        <v>2</v>
      </c>
    </row>
    <row r="3899" customFormat="false" ht="15" hidden="false" customHeight="false" outlineLevel="0" collapsed="false">
      <c r="A3899" s="3" t="n">
        <v>2022</v>
      </c>
      <c r="B3899" s="3" t="n">
        <v>9</v>
      </c>
      <c r="C3899" s="3" t="n">
        <v>2</v>
      </c>
      <c r="D3899" s="3" t="s">
        <v>3903</v>
      </c>
      <c r="E3899" s="4" t="n">
        <v>67</v>
      </c>
    </row>
    <row r="3900" customFormat="false" ht="15" hidden="false" customHeight="false" outlineLevel="0" collapsed="false">
      <c r="A3900" s="3" t="n">
        <v>2022</v>
      </c>
      <c r="B3900" s="3" t="n">
        <v>9</v>
      </c>
      <c r="C3900" s="3" t="n">
        <v>3</v>
      </c>
      <c r="D3900" s="3" t="s">
        <v>3904</v>
      </c>
      <c r="E3900" s="4" t="n">
        <v>3</v>
      </c>
    </row>
    <row r="3901" customFormat="false" ht="15" hidden="false" customHeight="false" outlineLevel="0" collapsed="false">
      <c r="A3901" s="3" t="n">
        <v>2022</v>
      </c>
      <c r="B3901" s="3" t="n">
        <v>9</v>
      </c>
      <c r="C3901" s="3" t="n">
        <v>4</v>
      </c>
      <c r="D3901" s="3" t="s">
        <v>3905</v>
      </c>
      <c r="E3901" s="4" t="n">
        <v>0</v>
      </c>
    </row>
    <row r="3902" customFormat="false" ht="15" hidden="false" customHeight="false" outlineLevel="0" collapsed="false">
      <c r="A3902" s="3" t="n">
        <v>2022</v>
      </c>
      <c r="B3902" s="3" t="n">
        <v>9</v>
      </c>
      <c r="C3902" s="3" t="n">
        <v>5</v>
      </c>
      <c r="D3902" s="3" t="s">
        <v>3906</v>
      </c>
      <c r="E3902" s="4" t="n">
        <v>1</v>
      </c>
    </row>
    <row r="3903" customFormat="false" ht="15" hidden="false" customHeight="false" outlineLevel="0" collapsed="false">
      <c r="A3903" s="3" t="n">
        <v>2022</v>
      </c>
      <c r="B3903" s="3" t="n">
        <v>9</v>
      </c>
      <c r="C3903" s="3" t="n">
        <v>6</v>
      </c>
      <c r="D3903" s="3" t="s">
        <v>3907</v>
      </c>
      <c r="E3903" s="4" t="n">
        <v>1</v>
      </c>
    </row>
    <row r="3904" customFormat="false" ht="15" hidden="false" customHeight="false" outlineLevel="0" collapsed="false">
      <c r="A3904" s="3" t="n">
        <v>2022</v>
      </c>
      <c r="B3904" s="3" t="n">
        <v>9</v>
      </c>
      <c r="C3904" s="3" t="n">
        <v>7</v>
      </c>
      <c r="D3904" s="3" t="s">
        <v>3908</v>
      </c>
      <c r="E3904" s="4" t="n">
        <v>0</v>
      </c>
    </row>
    <row r="3905" customFormat="false" ht="15" hidden="false" customHeight="false" outlineLevel="0" collapsed="false">
      <c r="A3905" s="3" t="n">
        <v>2022</v>
      </c>
      <c r="B3905" s="3" t="n">
        <v>9</v>
      </c>
      <c r="C3905" s="3" t="n">
        <v>8</v>
      </c>
      <c r="D3905" s="3" t="s">
        <v>3909</v>
      </c>
      <c r="E3905" s="4" t="n">
        <v>8</v>
      </c>
    </row>
    <row r="3906" customFormat="false" ht="15" hidden="false" customHeight="false" outlineLevel="0" collapsed="false">
      <c r="A3906" s="3" t="n">
        <v>2022</v>
      </c>
      <c r="B3906" s="3" t="n">
        <v>9</v>
      </c>
      <c r="C3906" s="3" t="n">
        <v>9</v>
      </c>
      <c r="D3906" s="3" t="s">
        <v>3910</v>
      </c>
      <c r="E3906" s="4" t="n">
        <v>2</v>
      </c>
    </row>
    <row r="3907" customFormat="false" ht="15" hidden="false" customHeight="false" outlineLevel="0" collapsed="false">
      <c r="A3907" s="3" t="n">
        <v>2022</v>
      </c>
      <c r="B3907" s="3" t="n">
        <v>9</v>
      </c>
      <c r="C3907" s="3" t="n">
        <v>10</v>
      </c>
      <c r="D3907" s="3" t="s">
        <v>3911</v>
      </c>
      <c r="E3907" s="4" t="n">
        <v>1</v>
      </c>
    </row>
    <row r="3908" customFormat="false" ht="15" hidden="false" customHeight="false" outlineLevel="0" collapsed="false">
      <c r="A3908" s="3" t="n">
        <v>2022</v>
      </c>
      <c r="B3908" s="3" t="n">
        <v>9</v>
      </c>
      <c r="C3908" s="3" t="n">
        <v>11</v>
      </c>
      <c r="D3908" s="3" t="s">
        <v>3912</v>
      </c>
      <c r="E3908" s="4" t="n">
        <v>28</v>
      </c>
    </row>
    <row r="3909" customFormat="false" ht="15" hidden="false" customHeight="false" outlineLevel="0" collapsed="false">
      <c r="A3909" s="3" t="n">
        <v>2022</v>
      </c>
      <c r="B3909" s="3" t="n">
        <v>9</v>
      </c>
      <c r="C3909" s="3" t="n">
        <v>12</v>
      </c>
      <c r="D3909" s="3" t="s">
        <v>3913</v>
      </c>
      <c r="E3909" s="4" t="n">
        <v>2</v>
      </c>
    </row>
    <row r="3910" customFormat="false" ht="15" hidden="false" customHeight="false" outlineLevel="0" collapsed="false">
      <c r="A3910" s="3" t="n">
        <v>2022</v>
      </c>
      <c r="B3910" s="3" t="n">
        <v>9</v>
      </c>
      <c r="C3910" s="3" t="n">
        <v>13</v>
      </c>
      <c r="D3910" s="3" t="s">
        <v>3914</v>
      </c>
      <c r="E3910" s="4" t="n">
        <v>31</v>
      </c>
    </row>
    <row r="3911" customFormat="false" ht="15" hidden="false" customHeight="false" outlineLevel="0" collapsed="false">
      <c r="A3911" s="3" t="n">
        <v>2022</v>
      </c>
      <c r="B3911" s="3" t="n">
        <v>9</v>
      </c>
      <c r="C3911" s="3" t="n">
        <v>14</v>
      </c>
      <c r="D3911" s="3" t="s">
        <v>3915</v>
      </c>
      <c r="E3911" s="4" t="n">
        <v>10</v>
      </c>
    </row>
    <row r="3912" customFormat="false" ht="15" hidden="false" customHeight="false" outlineLevel="0" collapsed="false">
      <c r="A3912" s="3" t="n">
        <v>2022</v>
      </c>
      <c r="B3912" s="3" t="n">
        <v>9</v>
      </c>
      <c r="C3912" s="3" t="n">
        <v>15</v>
      </c>
      <c r="D3912" s="3" t="s">
        <v>3916</v>
      </c>
      <c r="E3912" s="4" t="n">
        <v>0</v>
      </c>
    </row>
    <row r="3913" customFormat="false" ht="15" hidden="false" customHeight="false" outlineLevel="0" collapsed="false">
      <c r="A3913" s="3" t="n">
        <v>2022</v>
      </c>
      <c r="B3913" s="3" t="n">
        <v>9</v>
      </c>
      <c r="C3913" s="3" t="n">
        <v>16</v>
      </c>
      <c r="D3913" s="3" t="s">
        <v>3917</v>
      </c>
      <c r="E3913" s="4" t="n">
        <v>2</v>
      </c>
    </row>
    <row r="3914" customFormat="false" ht="15" hidden="false" customHeight="false" outlineLevel="0" collapsed="false">
      <c r="A3914" s="3" t="n">
        <v>2022</v>
      </c>
      <c r="B3914" s="3" t="n">
        <v>9</v>
      </c>
      <c r="C3914" s="3" t="n">
        <v>17</v>
      </c>
      <c r="D3914" s="3" t="s">
        <v>3918</v>
      </c>
      <c r="E3914" s="4" t="n">
        <v>3</v>
      </c>
    </row>
    <row r="3915" customFormat="false" ht="15" hidden="false" customHeight="false" outlineLevel="0" collapsed="false">
      <c r="A3915" s="3" t="n">
        <v>2022</v>
      </c>
      <c r="B3915" s="3" t="n">
        <v>9</v>
      </c>
      <c r="C3915" s="3" t="n">
        <v>18</v>
      </c>
      <c r="D3915" s="3" t="s">
        <v>3919</v>
      </c>
      <c r="E3915" s="4" t="n">
        <v>29</v>
      </c>
    </row>
    <row r="3916" customFormat="false" ht="15" hidden="false" customHeight="false" outlineLevel="0" collapsed="false">
      <c r="A3916" s="3" t="n">
        <v>2022</v>
      </c>
      <c r="B3916" s="3" t="n">
        <v>9</v>
      </c>
      <c r="C3916" s="3" t="n">
        <v>19</v>
      </c>
      <c r="D3916" s="3" t="s">
        <v>3920</v>
      </c>
      <c r="E3916" s="4" t="n">
        <v>12</v>
      </c>
    </row>
    <row r="3917" customFormat="false" ht="15" hidden="false" customHeight="false" outlineLevel="0" collapsed="false">
      <c r="A3917" s="3" t="n">
        <v>2022</v>
      </c>
      <c r="B3917" s="3" t="n">
        <v>9</v>
      </c>
      <c r="C3917" s="3" t="n">
        <v>20</v>
      </c>
      <c r="D3917" s="3" t="s">
        <v>3921</v>
      </c>
      <c r="E3917" s="4" t="n">
        <v>2</v>
      </c>
    </row>
    <row r="3918" customFormat="false" ht="15" hidden="false" customHeight="false" outlineLevel="0" collapsed="false">
      <c r="A3918" s="3" t="n">
        <v>2022</v>
      </c>
      <c r="B3918" s="3" t="n">
        <v>9</v>
      </c>
      <c r="C3918" s="3" t="n">
        <v>21</v>
      </c>
      <c r="D3918" s="3" t="s">
        <v>3922</v>
      </c>
      <c r="E3918" s="4" t="n">
        <v>1</v>
      </c>
    </row>
    <row r="3919" customFormat="false" ht="15" hidden="false" customHeight="false" outlineLevel="0" collapsed="false">
      <c r="A3919" s="3" t="n">
        <v>2022</v>
      </c>
      <c r="B3919" s="3" t="n">
        <v>9</v>
      </c>
      <c r="C3919" s="3" t="n">
        <v>22</v>
      </c>
      <c r="D3919" s="3" t="s">
        <v>3923</v>
      </c>
      <c r="E3919" s="4" t="n">
        <v>0</v>
      </c>
    </row>
    <row r="3920" customFormat="false" ht="15" hidden="false" customHeight="false" outlineLevel="0" collapsed="false">
      <c r="A3920" s="3" t="n">
        <v>2022</v>
      </c>
      <c r="B3920" s="3" t="n">
        <v>9</v>
      </c>
      <c r="C3920" s="3" t="n">
        <v>23</v>
      </c>
      <c r="D3920" s="3" t="s">
        <v>3924</v>
      </c>
      <c r="E3920" s="4" t="n">
        <v>7</v>
      </c>
    </row>
    <row r="3921" customFormat="false" ht="15" hidden="false" customHeight="false" outlineLevel="0" collapsed="false">
      <c r="A3921" s="3" t="n">
        <v>2022</v>
      </c>
      <c r="B3921" s="3" t="n">
        <v>9</v>
      </c>
      <c r="C3921" s="3" t="n">
        <v>24</v>
      </c>
      <c r="D3921" s="3" t="s">
        <v>3925</v>
      </c>
      <c r="E3921" s="4" t="n">
        <v>0</v>
      </c>
    </row>
    <row r="3922" customFormat="false" ht="15" hidden="false" customHeight="false" outlineLevel="0" collapsed="false">
      <c r="A3922" s="3" t="n">
        <v>2022</v>
      </c>
      <c r="B3922" s="3" t="n">
        <v>9</v>
      </c>
      <c r="C3922" s="3" t="n">
        <v>25</v>
      </c>
      <c r="D3922" s="3" t="s">
        <v>3926</v>
      </c>
      <c r="E3922" s="4" t="n">
        <v>1</v>
      </c>
    </row>
    <row r="3923" customFormat="false" ht="15" hidden="false" customHeight="false" outlineLevel="0" collapsed="false">
      <c r="A3923" s="3" t="n">
        <v>2022</v>
      </c>
      <c r="B3923" s="3" t="n">
        <v>9</v>
      </c>
      <c r="C3923" s="3" t="n">
        <v>26</v>
      </c>
      <c r="D3923" s="3" t="s">
        <v>3927</v>
      </c>
      <c r="E3923" s="4" t="n">
        <v>1</v>
      </c>
    </row>
    <row r="3924" customFormat="false" ht="15" hidden="false" customHeight="false" outlineLevel="0" collapsed="false">
      <c r="A3924" s="3" t="n">
        <v>2022</v>
      </c>
      <c r="B3924" s="3" t="n">
        <v>9</v>
      </c>
      <c r="C3924" s="3" t="n">
        <v>27</v>
      </c>
      <c r="D3924" s="3" t="s">
        <v>3928</v>
      </c>
      <c r="E3924" s="4" t="n">
        <v>59</v>
      </c>
    </row>
    <row r="3925" customFormat="false" ht="15" hidden="false" customHeight="false" outlineLevel="0" collapsed="false">
      <c r="A3925" s="3" t="n">
        <v>2022</v>
      </c>
      <c r="B3925" s="3" t="n">
        <v>9</v>
      </c>
      <c r="C3925" s="3" t="n">
        <v>28</v>
      </c>
      <c r="D3925" s="3" t="s">
        <v>3929</v>
      </c>
      <c r="E3925" s="4" t="n">
        <v>0</v>
      </c>
    </row>
    <row r="3926" customFormat="false" ht="15" hidden="false" customHeight="false" outlineLevel="0" collapsed="false">
      <c r="A3926" s="3" t="n">
        <v>2022</v>
      </c>
      <c r="B3926" s="3" t="n">
        <v>9</v>
      </c>
      <c r="C3926" s="3" t="n">
        <v>29</v>
      </c>
      <c r="D3926" s="3" t="s">
        <v>3930</v>
      </c>
      <c r="E3926" s="4" t="n">
        <v>2</v>
      </c>
    </row>
    <row r="3927" customFormat="false" ht="15" hidden="false" customHeight="false" outlineLevel="0" collapsed="false">
      <c r="A3927" s="3" t="n">
        <v>2022</v>
      </c>
      <c r="B3927" s="3" t="n">
        <v>9</v>
      </c>
      <c r="C3927" s="3" t="n">
        <v>30</v>
      </c>
      <c r="D3927" s="3" t="s">
        <v>3931</v>
      </c>
      <c r="E3927" s="4" t="n">
        <v>0</v>
      </c>
    </row>
    <row r="3928" customFormat="false" ht="15" hidden="false" customHeight="false" outlineLevel="0" collapsed="false">
      <c r="A3928" s="3" t="n">
        <v>2022</v>
      </c>
      <c r="B3928" s="3" t="n">
        <v>10</v>
      </c>
      <c r="C3928" s="3" t="n">
        <v>1</v>
      </c>
      <c r="D3928" s="3" t="s">
        <v>3932</v>
      </c>
      <c r="E3928" s="4" t="n">
        <v>3</v>
      </c>
    </row>
    <row r="3929" customFormat="false" ht="15" hidden="false" customHeight="false" outlineLevel="0" collapsed="false">
      <c r="A3929" s="3" t="n">
        <v>2022</v>
      </c>
      <c r="B3929" s="3" t="n">
        <v>10</v>
      </c>
      <c r="C3929" s="3" t="n">
        <v>2</v>
      </c>
      <c r="D3929" s="3" t="s">
        <v>3933</v>
      </c>
      <c r="E3929" s="4" t="n">
        <v>33</v>
      </c>
    </row>
    <row r="3930" customFormat="false" ht="15" hidden="false" customHeight="false" outlineLevel="0" collapsed="false">
      <c r="A3930" s="3" t="n">
        <v>2022</v>
      </c>
      <c r="B3930" s="3" t="n">
        <v>10</v>
      </c>
      <c r="C3930" s="3" t="n">
        <v>3</v>
      </c>
      <c r="D3930" s="3" t="s">
        <v>3934</v>
      </c>
      <c r="E3930" s="4" t="n">
        <v>35</v>
      </c>
    </row>
    <row r="3931" customFormat="false" ht="15" hidden="false" customHeight="false" outlineLevel="0" collapsed="false">
      <c r="A3931" s="3" t="n">
        <v>2022</v>
      </c>
      <c r="B3931" s="3" t="n">
        <v>10</v>
      </c>
      <c r="C3931" s="3" t="n">
        <v>4</v>
      </c>
      <c r="D3931" s="3" t="s">
        <v>3935</v>
      </c>
      <c r="E3931" s="4" t="n">
        <v>14</v>
      </c>
    </row>
    <row r="3932" customFormat="false" ht="15" hidden="false" customHeight="false" outlineLevel="0" collapsed="false">
      <c r="A3932" s="3" t="n">
        <v>2022</v>
      </c>
      <c r="B3932" s="3" t="n">
        <v>10</v>
      </c>
      <c r="C3932" s="3" t="n">
        <v>5</v>
      </c>
      <c r="D3932" s="3" t="s">
        <v>3936</v>
      </c>
      <c r="E3932" s="4" t="n">
        <v>20</v>
      </c>
    </row>
    <row r="3933" customFormat="false" ht="15" hidden="false" customHeight="false" outlineLevel="0" collapsed="false">
      <c r="A3933" s="3" t="n">
        <v>2022</v>
      </c>
      <c r="B3933" s="3" t="n">
        <v>10</v>
      </c>
      <c r="C3933" s="3" t="n">
        <v>6</v>
      </c>
      <c r="D3933" s="3" t="s">
        <v>3937</v>
      </c>
      <c r="E3933" s="4" t="n">
        <v>8</v>
      </c>
    </row>
    <row r="3934" customFormat="false" ht="15" hidden="false" customHeight="false" outlineLevel="0" collapsed="false">
      <c r="A3934" s="3" t="n">
        <v>2022</v>
      </c>
      <c r="B3934" s="3" t="n">
        <v>10</v>
      </c>
      <c r="C3934" s="3" t="n">
        <v>7</v>
      </c>
      <c r="D3934" s="3" t="s">
        <v>3938</v>
      </c>
      <c r="E3934" s="4" t="n">
        <v>91</v>
      </c>
    </row>
    <row r="3935" customFormat="false" ht="15" hidden="false" customHeight="false" outlineLevel="0" collapsed="false">
      <c r="A3935" s="3" t="n">
        <v>2022</v>
      </c>
      <c r="B3935" s="3" t="n">
        <v>10</v>
      </c>
      <c r="C3935" s="3" t="n">
        <v>8</v>
      </c>
      <c r="D3935" s="3" t="s">
        <v>3939</v>
      </c>
      <c r="E3935" s="4" t="n">
        <v>22</v>
      </c>
    </row>
    <row r="3936" customFormat="false" ht="15" hidden="false" customHeight="false" outlineLevel="0" collapsed="false">
      <c r="A3936" s="3" t="n">
        <v>2022</v>
      </c>
      <c r="B3936" s="3" t="n">
        <v>10</v>
      </c>
      <c r="C3936" s="3" t="n">
        <v>9</v>
      </c>
      <c r="D3936" s="3" t="s">
        <v>3940</v>
      </c>
      <c r="E3936" s="4" t="n">
        <v>7</v>
      </c>
    </row>
    <row r="3937" customFormat="false" ht="15" hidden="false" customHeight="false" outlineLevel="0" collapsed="false">
      <c r="A3937" s="3" t="n">
        <v>2022</v>
      </c>
      <c r="B3937" s="3" t="n">
        <v>10</v>
      </c>
      <c r="C3937" s="3" t="n">
        <v>10</v>
      </c>
      <c r="D3937" s="3" t="s">
        <v>3941</v>
      </c>
      <c r="E3937" s="4" t="n">
        <v>11</v>
      </c>
    </row>
    <row r="3938" customFormat="false" ht="15" hidden="false" customHeight="false" outlineLevel="0" collapsed="false">
      <c r="A3938" s="3" t="n">
        <v>2022</v>
      </c>
      <c r="B3938" s="3" t="n">
        <v>10</v>
      </c>
      <c r="C3938" s="3" t="n">
        <v>11</v>
      </c>
      <c r="D3938" s="3" t="s">
        <v>3942</v>
      </c>
      <c r="E3938" s="4" t="n">
        <v>17</v>
      </c>
    </row>
    <row r="3939" customFormat="false" ht="15" hidden="false" customHeight="false" outlineLevel="0" collapsed="false">
      <c r="A3939" s="3" t="n">
        <v>2022</v>
      </c>
      <c r="B3939" s="3" t="n">
        <v>10</v>
      </c>
      <c r="C3939" s="3" t="n">
        <v>12</v>
      </c>
      <c r="D3939" s="3" t="s">
        <v>3943</v>
      </c>
      <c r="E3939" s="4" t="n">
        <v>0</v>
      </c>
    </row>
    <row r="3940" customFormat="false" ht="15" hidden="false" customHeight="false" outlineLevel="0" collapsed="false">
      <c r="A3940" s="3" t="n">
        <v>2022</v>
      </c>
      <c r="B3940" s="3" t="n">
        <v>10</v>
      </c>
      <c r="C3940" s="3" t="n">
        <v>13</v>
      </c>
      <c r="D3940" s="3" t="s">
        <v>3944</v>
      </c>
      <c r="E3940" s="4" t="n">
        <v>8</v>
      </c>
    </row>
    <row r="3941" customFormat="false" ht="15" hidden="false" customHeight="false" outlineLevel="0" collapsed="false">
      <c r="A3941" s="3" t="n">
        <v>2022</v>
      </c>
      <c r="B3941" s="3" t="n">
        <v>10</v>
      </c>
      <c r="C3941" s="3" t="n">
        <v>14</v>
      </c>
      <c r="D3941" s="3" t="s">
        <v>3945</v>
      </c>
      <c r="E3941" s="4" t="n">
        <v>0</v>
      </c>
    </row>
    <row r="3942" customFormat="false" ht="15" hidden="false" customHeight="false" outlineLevel="0" collapsed="false">
      <c r="A3942" s="3" t="n">
        <v>2022</v>
      </c>
      <c r="B3942" s="3" t="n">
        <v>10</v>
      </c>
      <c r="C3942" s="3" t="n">
        <v>15</v>
      </c>
      <c r="D3942" s="3" t="s">
        <v>3946</v>
      </c>
      <c r="E3942" s="4" t="n">
        <v>1</v>
      </c>
    </row>
    <row r="3943" customFormat="false" ht="15" hidden="false" customHeight="false" outlineLevel="0" collapsed="false">
      <c r="A3943" s="3" t="n">
        <v>2022</v>
      </c>
      <c r="B3943" s="3" t="n">
        <v>10</v>
      </c>
      <c r="C3943" s="3" t="n">
        <v>16</v>
      </c>
      <c r="D3943" s="3" t="s">
        <v>3947</v>
      </c>
      <c r="E3943" s="4" t="n">
        <v>5</v>
      </c>
    </row>
    <row r="3944" customFormat="false" ht="15" hidden="false" customHeight="false" outlineLevel="0" collapsed="false">
      <c r="A3944" s="3" t="n">
        <v>2022</v>
      </c>
      <c r="B3944" s="3" t="n">
        <v>10</v>
      </c>
      <c r="C3944" s="3" t="n">
        <v>17</v>
      </c>
      <c r="D3944" s="3" t="s">
        <v>3948</v>
      </c>
      <c r="E3944" s="4" t="n">
        <v>5</v>
      </c>
    </row>
    <row r="3945" customFormat="false" ht="15" hidden="false" customHeight="false" outlineLevel="0" collapsed="false">
      <c r="A3945" s="3" t="n">
        <v>2022</v>
      </c>
      <c r="B3945" s="3" t="n">
        <v>10</v>
      </c>
      <c r="C3945" s="3" t="n">
        <v>18</v>
      </c>
      <c r="D3945" s="3" t="s">
        <v>3949</v>
      </c>
      <c r="E3945" s="4" t="n">
        <v>47</v>
      </c>
    </row>
    <row r="3946" customFormat="false" ht="15" hidden="false" customHeight="false" outlineLevel="0" collapsed="false">
      <c r="A3946" s="3" t="n">
        <v>2022</v>
      </c>
      <c r="B3946" s="3" t="n">
        <v>10</v>
      </c>
      <c r="C3946" s="3" t="n">
        <v>19</v>
      </c>
      <c r="D3946" s="3" t="s">
        <v>3950</v>
      </c>
      <c r="E3946" s="4" t="n">
        <v>0</v>
      </c>
    </row>
    <row r="3947" customFormat="false" ht="15" hidden="false" customHeight="false" outlineLevel="0" collapsed="false">
      <c r="A3947" s="3" t="n">
        <v>2022</v>
      </c>
      <c r="B3947" s="3" t="n">
        <v>10</v>
      </c>
      <c r="C3947" s="3" t="n">
        <v>20</v>
      </c>
      <c r="D3947" s="3" t="s">
        <v>3951</v>
      </c>
      <c r="E3947" s="4" t="n">
        <v>4</v>
      </c>
    </row>
    <row r="3948" customFormat="false" ht="15" hidden="false" customHeight="false" outlineLevel="0" collapsed="false">
      <c r="A3948" s="3" t="n">
        <v>2022</v>
      </c>
      <c r="B3948" s="3" t="n">
        <v>10</v>
      </c>
      <c r="C3948" s="3" t="n">
        <v>21</v>
      </c>
      <c r="D3948" s="3" t="s">
        <v>3952</v>
      </c>
      <c r="E3948" s="4" t="n">
        <v>3</v>
      </c>
    </row>
    <row r="3949" customFormat="false" ht="15" hidden="false" customHeight="false" outlineLevel="0" collapsed="false">
      <c r="A3949" s="3" t="n">
        <v>2022</v>
      </c>
      <c r="B3949" s="3" t="n">
        <v>10</v>
      </c>
      <c r="C3949" s="3" t="n">
        <v>22</v>
      </c>
      <c r="D3949" s="3" t="s">
        <v>3953</v>
      </c>
      <c r="E3949" s="4" t="n">
        <v>19</v>
      </c>
    </row>
    <row r="3950" customFormat="false" ht="15" hidden="false" customHeight="false" outlineLevel="0" collapsed="false">
      <c r="A3950" s="3" t="n">
        <v>2022</v>
      </c>
      <c r="B3950" s="3" t="n">
        <v>10</v>
      </c>
      <c r="C3950" s="3" t="n">
        <v>23</v>
      </c>
      <c r="D3950" s="3" t="s">
        <v>3954</v>
      </c>
      <c r="E3950" s="4" t="n">
        <v>6</v>
      </c>
    </row>
    <row r="3951" customFormat="false" ht="15" hidden="false" customHeight="false" outlineLevel="0" collapsed="false">
      <c r="A3951" s="3" t="n">
        <v>2022</v>
      </c>
      <c r="B3951" s="3" t="n">
        <v>10</v>
      </c>
      <c r="C3951" s="3" t="n">
        <v>24</v>
      </c>
      <c r="D3951" s="3" t="s">
        <v>3955</v>
      </c>
      <c r="E3951" s="4" t="n">
        <v>27</v>
      </c>
    </row>
    <row r="3952" customFormat="false" ht="15" hidden="false" customHeight="false" outlineLevel="0" collapsed="false">
      <c r="A3952" s="3" t="n">
        <v>2022</v>
      </c>
      <c r="B3952" s="3" t="n">
        <v>10</v>
      </c>
      <c r="C3952" s="3" t="n">
        <v>25</v>
      </c>
      <c r="D3952" s="3" t="s">
        <v>3956</v>
      </c>
      <c r="E3952" s="4" t="n">
        <v>7</v>
      </c>
    </row>
    <row r="3953" customFormat="false" ht="15" hidden="false" customHeight="false" outlineLevel="0" collapsed="false">
      <c r="A3953" s="3" t="n">
        <v>2022</v>
      </c>
      <c r="B3953" s="3" t="n">
        <v>10</v>
      </c>
      <c r="C3953" s="3" t="n">
        <v>26</v>
      </c>
      <c r="D3953" s="3" t="s">
        <v>3957</v>
      </c>
      <c r="E3953" s="4" t="n">
        <v>8</v>
      </c>
    </row>
    <row r="3954" customFormat="false" ht="15" hidden="false" customHeight="false" outlineLevel="0" collapsed="false">
      <c r="A3954" s="3" t="n">
        <v>2022</v>
      </c>
      <c r="B3954" s="3" t="n">
        <v>10</v>
      </c>
      <c r="C3954" s="3" t="n">
        <v>27</v>
      </c>
      <c r="D3954" s="3" t="s">
        <v>3958</v>
      </c>
      <c r="E3954" s="4" t="n">
        <v>7</v>
      </c>
    </row>
    <row r="3955" customFormat="false" ht="15" hidden="false" customHeight="false" outlineLevel="0" collapsed="false">
      <c r="A3955" s="3" t="n">
        <v>2022</v>
      </c>
      <c r="B3955" s="3" t="n">
        <v>10</v>
      </c>
      <c r="C3955" s="3" t="n">
        <v>28</v>
      </c>
      <c r="D3955" s="3" t="s">
        <v>3959</v>
      </c>
      <c r="E3955" s="4" t="n">
        <v>2</v>
      </c>
    </row>
    <row r="3956" customFormat="false" ht="15" hidden="false" customHeight="false" outlineLevel="0" collapsed="false">
      <c r="A3956" s="3" t="n">
        <v>2022</v>
      </c>
      <c r="B3956" s="3" t="n">
        <v>10</v>
      </c>
      <c r="C3956" s="3" t="n">
        <v>29</v>
      </c>
      <c r="D3956" s="3" t="s">
        <v>3960</v>
      </c>
      <c r="E3956" s="4" t="n">
        <v>11</v>
      </c>
    </row>
    <row r="3957" customFormat="false" ht="15" hidden="false" customHeight="false" outlineLevel="0" collapsed="false">
      <c r="A3957" s="3" t="n">
        <v>2022</v>
      </c>
      <c r="B3957" s="3" t="n">
        <v>10</v>
      </c>
      <c r="C3957" s="3" t="n">
        <v>30</v>
      </c>
      <c r="D3957" s="3" t="s">
        <v>3961</v>
      </c>
      <c r="E3957" s="4" t="n">
        <v>1</v>
      </c>
    </row>
    <row r="3958" customFormat="false" ht="15" hidden="false" customHeight="false" outlineLevel="0" collapsed="false">
      <c r="A3958" s="3" t="n">
        <v>2022</v>
      </c>
      <c r="B3958" s="3" t="n">
        <v>10</v>
      </c>
      <c r="C3958" s="3" t="n">
        <v>31</v>
      </c>
      <c r="D3958" s="3" t="s">
        <v>3962</v>
      </c>
      <c r="E3958" s="4" t="n">
        <v>1</v>
      </c>
    </row>
    <row r="3959" customFormat="false" ht="15" hidden="false" customHeight="false" outlineLevel="0" collapsed="false">
      <c r="A3959" s="3" t="n">
        <v>2022</v>
      </c>
      <c r="B3959" s="3" t="n">
        <v>11</v>
      </c>
      <c r="C3959" s="3" t="n">
        <v>1</v>
      </c>
      <c r="D3959" s="3" t="s">
        <v>3963</v>
      </c>
      <c r="E3959" s="4" t="n">
        <v>18</v>
      </c>
    </row>
    <row r="3960" customFormat="false" ht="15" hidden="false" customHeight="false" outlineLevel="0" collapsed="false">
      <c r="A3960" s="3" t="n">
        <v>2022</v>
      </c>
      <c r="B3960" s="3" t="n">
        <v>11</v>
      </c>
      <c r="C3960" s="3" t="n">
        <v>2</v>
      </c>
      <c r="D3960" s="3" t="s">
        <v>3964</v>
      </c>
      <c r="E3960" s="4" t="n">
        <v>29</v>
      </c>
    </row>
    <row r="3961" customFormat="false" ht="15" hidden="false" customHeight="false" outlineLevel="0" collapsed="false">
      <c r="A3961" s="3" t="n">
        <v>2022</v>
      </c>
      <c r="B3961" s="3" t="n">
        <v>11</v>
      </c>
      <c r="C3961" s="3" t="n">
        <v>3</v>
      </c>
      <c r="D3961" s="3" t="s">
        <v>3965</v>
      </c>
      <c r="E3961" s="4" t="n">
        <v>1</v>
      </c>
    </row>
    <row r="3962" customFormat="false" ht="15" hidden="false" customHeight="false" outlineLevel="0" collapsed="false">
      <c r="A3962" s="3" t="n">
        <v>2022</v>
      </c>
      <c r="B3962" s="3" t="n">
        <v>11</v>
      </c>
      <c r="C3962" s="3" t="n">
        <v>4</v>
      </c>
      <c r="D3962" s="3" t="s">
        <v>3966</v>
      </c>
      <c r="E3962" s="4" t="n">
        <v>7</v>
      </c>
    </row>
    <row r="3963" customFormat="false" ht="15" hidden="false" customHeight="false" outlineLevel="0" collapsed="false">
      <c r="A3963" s="3" t="n">
        <v>2022</v>
      </c>
      <c r="B3963" s="3" t="n">
        <v>11</v>
      </c>
      <c r="C3963" s="3" t="n">
        <v>5</v>
      </c>
      <c r="D3963" s="3" t="s">
        <v>3967</v>
      </c>
      <c r="E3963" s="4" t="n">
        <v>0</v>
      </c>
    </row>
    <row r="3964" customFormat="false" ht="15" hidden="false" customHeight="false" outlineLevel="0" collapsed="false">
      <c r="A3964" s="3" t="n">
        <v>2022</v>
      </c>
      <c r="B3964" s="3" t="n">
        <v>11</v>
      </c>
      <c r="C3964" s="3" t="n">
        <v>6</v>
      </c>
      <c r="D3964" s="3" t="s">
        <v>3968</v>
      </c>
      <c r="E3964" s="4" t="n">
        <v>32</v>
      </c>
    </row>
    <row r="3965" customFormat="false" ht="15" hidden="false" customHeight="false" outlineLevel="0" collapsed="false">
      <c r="A3965" s="3" t="n">
        <v>2022</v>
      </c>
      <c r="B3965" s="3" t="n">
        <v>11</v>
      </c>
      <c r="C3965" s="3" t="n">
        <v>7</v>
      </c>
      <c r="D3965" s="3" t="s">
        <v>3969</v>
      </c>
      <c r="E3965" s="4" t="n">
        <v>14</v>
      </c>
    </row>
    <row r="3966" customFormat="false" ht="15" hidden="false" customHeight="false" outlineLevel="0" collapsed="false">
      <c r="A3966" s="3" t="n">
        <v>2022</v>
      </c>
      <c r="B3966" s="3" t="n">
        <v>11</v>
      </c>
      <c r="C3966" s="3" t="n">
        <v>8</v>
      </c>
      <c r="D3966" s="3" t="s">
        <v>3970</v>
      </c>
      <c r="E3966" s="4" t="n">
        <v>24</v>
      </c>
    </row>
    <row r="3967" customFormat="false" ht="15" hidden="false" customHeight="false" outlineLevel="0" collapsed="false">
      <c r="A3967" s="3" t="n">
        <v>2022</v>
      </c>
      <c r="B3967" s="3" t="n">
        <v>11</v>
      </c>
      <c r="C3967" s="3" t="n">
        <v>9</v>
      </c>
      <c r="D3967" s="3" t="s">
        <v>3971</v>
      </c>
      <c r="E3967" s="4" t="n">
        <v>8</v>
      </c>
    </row>
    <row r="3968" customFormat="false" ht="15" hidden="false" customHeight="false" outlineLevel="0" collapsed="false">
      <c r="A3968" s="3" t="n">
        <v>2022</v>
      </c>
      <c r="B3968" s="3" t="n">
        <v>11</v>
      </c>
      <c r="C3968" s="3" t="n">
        <v>10</v>
      </c>
      <c r="D3968" s="3" t="s">
        <v>3972</v>
      </c>
      <c r="E3968" s="4" t="n">
        <v>2</v>
      </c>
    </row>
    <row r="3969" customFormat="false" ht="15" hidden="false" customHeight="false" outlineLevel="0" collapsed="false">
      <c r="A3969" s="3" t="n">
        <v>2022</v>
      </c>
      <c r="B3969" s="3" t="n">
        <v>11</v>
      </c>
      <c r="C3969" s="3" t="n">
        <v>11</v>
      </c>
      <c r="D3969" s="3" t="s">
        <v>3973</v>
      </c>
      <c r="E3969" s="4" t="n">
        <v>6</v>
      </c>
    </row>
    <row r="3970" customFormat="false" ht="15" hidden="false" customHeight="false" outlineLevel="0" collapsed="false">
      <c r="A3970" s="3" t="n">
        <v>2022</v>
      </c>
      <c r="B3970" s="3" t="n">
        <v>11</v>
      </c>
      <c r="C3970" s="3" t="n">
        <v>12</v>
      </c>
      <c r="D3970" s="3" t="s">
        <v>3974</v>
      </c>
      <c r="E3970" s="4" t="n">
        <v>3</v>
      </c>
    </row>
    <row r="3971" customFormat="false" ht="15" hidden="false" customHeight="false" outlineLevel="0" collapsed="false">
      <c r="A3971" s="3" t="n">
        <v>2022</v>
      </c>
      <c r="B3971" s="3" t="n">
        <v>11</v>
      </c>
      <c r="C3971" s="3" t="n">
        <v>13</v>
      </c>
      <c r="D3971" s="3" t="s">
        <v>3975</v>
      </c>
      <c r="E3971" s="4" t="n">
        <v>0</v>
      </c>
    </row>
    <row r="3972" customFormat="false" ht="15" hidden="false" customHeight="false" outlineLevel="0" collapsed="false">
      <c r="A3972" s="3" t="n">
        <v>2022</v>
      </c>
      <c r="B3972" s="3" t="n">
        <v>11</v>
      </c>
      <c r="C3972" s="3" t="n">
        <v>14</v>
      </c>
      <c r="D3972" s="3" t="s">
        <v>3976</v>
      </c>
      <c r="E3972" s="4" t="n">
        <v>17</v>
      </c>
    </row>
    <row r="3973" customFormat="false" ht="15" hidden="false" customHeight="false" outlineLevel="0" collapsed="false">
      <c r="A3973" s="3" t="n">
        <v>2022</v>
      </c>
      <c r="B3973" s="3" t="n">
        <v>11</v>
      </c>
      <c r="C3973" s="3" t="n">
        <v>15</v>
      </c>
      <c r="D3973" s="3" t="s">
        <v>3977</v>
      </c>
      <c r="E3973" s="4" t="n">
        <v>14</v>
      </c>
    </row>
    <row r="3974" customFormat="false" ht="15" hidden="false" customHeight="false" outlineLevel="0" collapsed="false">
      <c r="A3974" s="3" t="n">
        <v>2022</v>
      </c>
      <c r="B3974" s="3" t="n">
        <v>11</v>
      </c>
      <c r="C3974" s="3" t="n">
        <v>16</v>
      </c>
      <c r="D3974" s="3" t="s">
        <v>3978</v>
      </c>
      <c r="E3974" s="4" t="n">
        <v>4</v>
      </c>
    </row>
    <row r="3975" customFormat="false" ht="15" hidden="false" customHeight="false" outlineLevel="0" collapsed="false">
      <c r="A3975" s="3" t="n">
        <v>2022</v>
      </c>
      <c r="B3975" s="3" t="n">
        <v>11</v>
      </c>
      <c r="C3975" s="3" t="n">
        <v>17</v>
      </c>
      <c r="D3975" s="3" t="s">
        <v>3979</v>
      </c>
      <c r="E3975" s="4" t="n">
        <v>0</v>
      </c>
    </row>
    <row r="3976" customFormat="false" ht="15" hidden="false" customHeight="false" outlineLevel="0" collapsed="false">
      <c r="A3976" s="3" t="n">
        <v>2022</v>
      </c>
      <c r="B3976" s="3" t="n">
        <v>11</v>
      </c>
      <c r="C3976" s="3" t="n">
        <v>18</v>
      </c>
      <c r="D3976" s="3" t="s">
        <v>3980</v>
      </c>
      <c r="E3976" s="4" t="n">
        <v>12</v>
      </c>
    </row>
    <row r="3977" customFormat="false" ht="15" hidden="false" customHeight="false" outlineLevel="0" collapsed="false">
      <c r="A3977" s="3" t="n">
        <v>2022</v>
      </c>
      <c r="B3977" s="3" t="n">
        <v>11</v>
      </c>
      <c r="C3977" s="3" t="n">
        <v>19</v>
      </c>
      <c r="D3977" s="3" t="s">
        <v>3981</v>
      </c>
      <c r="E3977" s="4" t="n">
        <v>6</v>
      </c>
    </row>
    <row r="3978" customFormat="false" ht="15" hidden="false" customHeight="false" outlineLevel="0" collapsed="false">
      <c r="A3978" s="3" t="n">
        <v>2022</v>
      </c>
      <c r="B3978" s="3" t="n">
        <v>11</v>
      </c>
      <c r="C3978" s="3" t="n">
        <v>20</v>
      </c>
      <c r="D3978" s="3" t="s">
        <v>3982</v>
      </c>
      <c r="E3978" s="4" t="n">
        <v>7</v>
      </c>
    </row>
    <row r="3979" customFormat="false" ht="15" hidden="false" customHeight="false" outlineLevel="0" collapsed="false">
      <c r="A3979" s="3" t="n">
        <v>2022</v>
      </c>
      <c r="B3979" s="3" t="n">
        <v>11</v>
      </c>
      <c r="C3979" s="3" t="n">
        <v>21</v>
      </c>
      <c r="D3979" s="3" t="s">
        <v>3983</v>
      </c>
      <c r="E3979" s="4" t="n">
        <v>13</v>
      </c>
    </row>
    <row r="3980" customFormat="false" ht="15" hidden="false" customHeight="false" outlineLevel="0" collapsed="false">
      <c r="A3980" s="3" t="n">
        <v>2022</v>
      </c>
      <c r="B3980" s="3" t="n">
        <v>11</v>
      </c>
      <c r="C3980" s="3" t="n">
        <v>22</v>
      </c>
      <c r="D3980" s="3" t="s">
        <v>3984</v>
      </c>
      <c r="E3980" s="4" t="n">
        <v>2</v>
      </c>
    </row>
    <row r="3981" customFormat="false" ht="15" hidden="false" customHeight="false" outlineLevel="0" collapsed="false">
      <c r="A3981" s="3" t="n">
        <v>2022</v>
      </c>
      <c r="B3981" s="3" t="n">
        <v>11</v>
      </c>
      <c r="C3981" s="3" t="n">
        <v>23</v>
      </c>
      <c r="D3981" s="3" t="s">
        <v>3985</v>
      </c>
      <c r="E3981" s="4" t="n">
        <v>0</v>
      </c>
    </row>
    <row r="3982" customFormat="false" ht="15" hidden="false" customHeight="false" outlineLevel="0" collapsed="false">
      <c r="A3982" s="3" t="n">
        <v>2022</v>
      </c>
      <c r="B3982" s="3" t="n">
        <v>11</v>
      </c>
      <c r="C3982" s="3" t="n">
        <v>24</v>
      </c>
      <c r="D3982" s="3" t="s">
        <v>3986</v>
      </c>
      <c r="E3982" s="4" t="n">
        <v>7</v>
      </c>
    </row>
    <row r="3983" customFormat="false" ht="15" hidden="false" customHeight="false" outlineLevel="0" collapsed="false">
      <c r="A3983" s="3" t="n">
        <v>2022</v>
      </c>
      <c r="B3983" s="3" t="n">
        <v>11</v>
      </c>
      <c r="C3983" s="3" t="n">
        <v>25</v>
      </c>
      <c r="D3983" s="3" t="s">
        <v>3987</v>
      </c>
      <c r="E3983" s="4" t="n">
        <v>0</v>
      </c>
    </row>
    <row r="3984" customFormat="false" ht="15" hidden="false" customHeight="false" outlineLevel="0" collapsed="false">
      <c r="A3984" s="3" t="n">
        <v>2022</v>
      </c>
      <c r="B3984" s="3" t="n">
        <v>11</v>
      </c>
      <c r="C3984" s="3" t="n">
        <v>26</v>
      </c>
      <c r="D3984" s="3" t="s">
        <v>3988</v>
      </c>
      <c r="E3984" s="4" t="n">
        <v>3</v>
      </c>
    </row>
    <row r="3985" customFormat="false" ht="15" hidden="false" customHeight="false" outlineLevel="0" collapsed="false">
      <c r="A3985" s="3" t="n">
        <v>2022</v>
      </c>
      <c r="B3985" s="3" t="n">
        <v>11</v>
      </c>
      <c r="C3985" s="3" t="n">
        <v>27</v>
      </c>
      <c r="D3985" s="3" t="s">
        <v>3989</v>
      </c>
      <c r="E3985" s="4" t="n">
        <v>1</v>
      </c>
    </row>
    <row r="3986" customFormat="false" ht="15" hidden="false" customHeight="false" outlineLevel="0" collapsed="false">
      <c r="A3986" s="3" t="n">
        <v>2022</v>
      </c>
      <c r="B3986" s="3" t="n">
        <v>11</v>
      </c>
      <c r="C3986" s="3" t="n">
        <v>28</v>
      </c>
      <c r="D3986" s="3" t="s">
        <v>3990</v>
      </c>
      <c r="E3986" s="4" t="n">
        <v>0</v>
      </c>
    </row>
    <row r="3987" customFormat="false" ht="15" hidden="false" customHeight="false" outlineLevel="0" collapsed="false">
      <c r="A3987" s="3" t="n">
        <v>2022</v>
      </c>
      <c r="B3987" s="3" t="n">
        <v>11</v>
      </c>
      <c r="C3987" s="3" t="n">
        <v>29</v>
      </c>
      <c r="D3987" s="3" t="s">
        <v>3991</v>
      </c>
      <c r="E3987" s="4" t="n">
        <v>0</v>
      </c>
    </row>
    <row r="3988" customFormat="false" ht="15" hidden="false" customHeight="false" outlineLevel="0" collapsed="false">
      <c r="A3988" s="3" t="n">
        <v>2022</v>
      </c>
      <c r="B3988" s="3" t="n">
        <v>11</v>
      </c>
      <c r="C3988" s="3" t="n">
        <v>30</v>
      </c>
      <c r="D3988" s="3" t="s">
        <v>3992</v>
      </c>
      <c r="E3988" s="4" t="n">
        <v>7</v>
      </c>
    </row>
    <row r="3989" customFormat="false" ht="15" hidden="false" customHeight="false" outlineLevel="0" collapsed="false">
      <c r="A3989" s="3" t="n">
        <v>2022</v>
      </c>
      <c r="B3989" s="3" t="n">
        <v>12</v>
      </c>
      <c r="C3989" s="3" t="n">
        <v>1</v>
      </c>
      <c r="D3989" s="3" t="s">
        <v>3993</v>
      </c>
      <c r="E3989" s="4" t="n">
        <v>10</v>
      </c>
    </row>
    <row r="3990" customFormat="false" ht="15" hidden="false" customHeight="false" outlineLevel="0" collapsed="false">
      <c r="A3990" s="3" t="n">
        <v>2022</v>
      </c>
      <c r="B3990" s="3" t="n">
        <v>12</v>
      </c>
      <c r="C3990" s="3" t="n">
        <v>2</v>
      </c>
      <c r="D3990" s="3" t="s">
        <v>3994</v>
      </c>
      <c r="E3990" s="4" t="n">
        <v>6</v>
      </c>
    </row>
    <row r="3991" customFormat="false" ht="15" hidden="false" customHeight="false" outlineLevel="0" collapsed="false">
      <c r="A3991" s="3" t="n">
        <v>2022</v>
      </c>
      <c r="B3991" s="3" t="n">
        <v>12</v>
      </c>
      <c r="C3991" s="3" t="n">
        <v>3</v>
      </c>
      <c r="D3991" s="3" t="s">
        <v>3995</v>
      </c>
      <c r="E3991" s="4" t="n">
        <v>21</v>
      </c>
    </row>
    <row r="3992" customFormat="false" ht="15" hidden="false" customHeight="false" outlineLevel="0" collapsed="false">
      <c r="A3992" s="3" t="n">
        <v>2022</v>
      </c>
      <c r="B3992" s="3" t="n">
        <v>12</v>
      </c>
      <c r="C3992" s="3" t="n">
        <v>4</v>
      </c>
      <c r="D3992" s="3" t="s">
        <v>3996</v>
      </c>
      <c r="E3992" s="4" t="n">
        <v>2</v>
      </c>
    </row>
    <row r="3993" customFormat="false" ht="15" hidden="false" customHeight="false" outlineLevel="0" collapsed="false">
      <c r="A3993" s="3" t="n">
        <v>2022</v>
      </c>
      <c r="B3993" s="3" t="n">
        <v>12</v>
      </c>
      <c r="C3993" s="3" t="n">
        <v>5</v>
      </c>
      <c r="D3993" s="3" t="s">
        <v>3997</v>
      </c>
      <c r="E3993" s="4" t="n">
        <v>3</v>
      </c>
    </row>
    <row r="3994" customFormat="false" ht="15" hidden="false" customHeight="false" outlineLevel="0" collapsed="false">
      <c r="A3994" s="3" t="n">
        <v>2022</v>
      </c>
      <c r="B3994" s="3" t="n">
        <v>12</v>
      </c>
      <c r="C3994" s="3" t="n">
        <v>6</v>
      </c>
      <c r="D3994" s="3" t="s">
        <v>3998</v>
      </c>
      <c r="E3994" s="4" t="n">
        <v>0</v>
      </c>
    </row>
    <row r="3995" customFormat="false" ht="15" hidden="false" customHeight="false" outlineLevel="0" collapsed="false">
      <c r="A3995" s="3" t="n">
        <v>2022</v>
      </c>
      <c r="B3995" s="3" t="n">
        <v>12</v>
      </c>
      <c r="C3995" s="3" t="n">
        <v>7</v>
      </c>
      <c r="D3995" s="3" t="s">
        <v>3999</v>
      </c>
      <c r="E3995" s="4" t="n">
        <v>0</v>
      </c>
    </row>
    <row r="3996" customFormat="false" ht="15" hidden="false" customHeight="false" outlineLevel="0" collapsed="false">
      <c r="A3996" s="3" t="n">
        <v>2022</v>
      </c>
      <c r="B3996" s="3" t="n">
        <v>12</v>
      </c>
      <c r="C3996" s="3" t="n">
        <v>8</v>
      </c>
      <c r="D3996" s="3" t="s">
        <v>4000</v>
      </c>
      <c r="E3996" s="4" t="n">
        <v>1</v>
      </c>
    </row>
    <row r="3997" customFormat="false" ht="15" hidden="false" customHeight="false" outlineLevel="0" collapsed="false">
      <c r="A3997" s="3" t="n">
        <v>2022</v>
      </c>
      <c r="B3997" s="3" t="n">
        <v>12</v>
      </c>
      <c r="C3997" s="3" t="n">
        <v>9</v>
      </c>
      <c r="D3997" s="3" t="s">
        <v>4001</v>
      </c>
      <c r="E3997" s="4" t="n">
        <v>23</v>
      </c>
    </row>
    <row r="3998" customFormat="false" ht="15" hidden="false" customHeight="false" outlineLevel="0" collapsed="false">
      <c r="A3998" s="3" t="n">
        <v>2022</v>
      </c>
      <c r="B3998" s="3" t="n">
        <v>12</v>
      </c>
      <c r="C3998" s="3" t="n">
        <v>10</v>
      </c>
      <c r="D3998" s="3" t="s">
        <v>4002</v>
      </c>
      <c r="E3998" s="4" t="n">
        <v>20</v>
      </c>
    </row>
    <row r="3999" customFormat="false" ht="15" hidden="false" customHeight="false" outlineLevel="0" collapsed="false">
      <c r="A3999" s="3" t="n">
        <v>2022</v>
      </c>
      <c r="B3999" s="3" t="n">
        <v>12</v>
      </c>
      <c r="C3999" s="3" t="n">
        <v>11</v>
      </c>
      <c r="D3999" s="3" t="s">
        <v>4003</v>
      </c>
      <c r="E3999" s="4" t="n">
        <v>2</v>
      </c>
    </row>
    <row r="4000" customFormat="false" ht="15" hidden="false" customHeight="false" outlineLevel="0" collapsed="false">
      <c r="A4000" s="3" t="n">
        <v>2022</v>
      </c>
      <c r="B4000" s="3" t="n">
        <v>12</v>
      </c>
      <c r="C4000" s="3" t="n">
        <v>12</v>
      </c>
      <c r="D4000" s="3" t="s">
        <v>4004</v>
      </c>
      <c r="E4000" s="4" t="n">
        <v>0</v>
      </c>
    </row>
    <row r="4001" customFormat="false" ht="15" hidden="false" customHeight="false" outlineLevel="0" collapsed="false">
      <c r="A4001" s="3" t="n">
        <v>2022</v>
      </c>
      <c r="B4001" s="3" t="n">
        <v>12</v>
      </c>
      <c r="C4001" s="3" t="n">
        <v>13</v>
      </c>
      <c r="D4001" s="3" t="s">
        <v>4005</v>
      </c>
      <c r="E4001" s="4" t="n">
        <v>14</v>
      </c>
    </row>
    <row r="4002" customFormat="false" ht="15" hidden="false" customHeight="false" outlineLevel="0" collapsed="false">
      <c r="A4002" s="3" t="n">
        <v>2022</v>
      </c>
      <c r="B4002" s="3" t="n">
        <v>12</v>
      </c>
      <c r="C4002" s="3" t="n">
        <v>14</v>
      </c>
      <c r="D4002" s="3" t="s">
        <v>4006</v>
      </c>
      <c r="E4002" s="4" t="n">
        <v>1</v>
      </c>
    </row>
    <row r="4003" customFormat="false" ht="15" hidden="false" customHeight="false" outlineLevel="0" collapsed="false">
      <c r="A4003" s="3" t="n">
        <v>2022</v>
      </c>
      <c r="B4003" s="3" t="n">
        <v>12</v>
      </c>
      <c r="C4003" s="3" t="n">
        <v>15</v>
      </c>
      <c r="D4003" s="3" t="s">
        <v>4007</v>
      </c>
      <c r="E4003" s="4" t="n">
        <v>4</v>
      </c>
    </row>
    <row r="4004" customFormat="false" ht="15" hidden="false" customHeight="false" outlineLevel="0" collapsed="false">
      <c r="A4004" s="3" t="n">
        <v>2022</v>
      </c>
      <c r="B4004" s="3" t="n">
        <v>12</v>
      </c>
      <c r="C4004" s="3" t="n">
        <v>16</v>
      </c>
      <c r="D4004" s="3" t="s">
        <v>4008</v>
      </c>
      <c r="E4004" s="4" t="n">
        <v>14</v>
      </c>
    </row>
    <row r="4005" customFormat="false" ht="15" hidden="false" customHeight="false" outlineLevel="0" collapsed="false">
      <c r="A4005" s="3" t="n">
        <v>2022</v>
      </c>
      <c r="B4005" s="3" t="n">
        <v>12</v>
      </c>
      <c r="C4005" s="3" t="n">
        <v>17</v>
      </c>
      <c r="D4005" s="3" t="s">
        <v>4009</v>
      </c>
      <c r="E4005" s="4" t="n">
        <v>0</v>
      </c>
    </row>
    <row r="4006" customFormat="false" ht="15" hidden="false" customHeight="false" outlineLevel="0" collapsed="false">
      <c r="A4006" s="3" t="n">
        <v>2022</v>
      </c>
      <c r="B4006" s="3" t="n">
        <v>12</v>
      </c>
      <c r="C4006" s="3" t="n">
        <v>18</v>
      </c>
      <c r="D4006" s="3" t="s">
        <v>4010</v>
      </c>
      <c r="E4006" s="4" t="n">
        <v>0</v>
      </c>
    </row>
    <row r="4007" customFormat="false" ht="15" hidden="false" customHeight="false" outlineLevel="0" collapsed="false">
      <c r="A4007" s="3" t="n">
        <v>2022</v>
      </c>
      <c r="B4007" s="3" t="n">
        <v>12</v>
      </c>
      <c r="C4007" s="3" t="n">
        <v>19</v>
      </c>
      <c r="D4007" s="3" t="s">
        <v>4011</v>
      </c>
      <c r="E4007" s="4" t="n">
        <v>0</v>
      </c>
    </row>
    <row r="4008" customFormat="false" ht="15" hidden="false" customHeight="false" outlineLevel="0" collapsed="false">
      <c r="A4008" s="3" t="n">
        <v>2022</v>
      </c>
      <c r="B4008" s="3" t="n">
        <v>12</v>
      </c>
      <c r="C4008" s="3" t="n">
        <v>20</v>
      </c>
      <c r="D4008" s="3" t="s">
        <v>4012</v>
      </c>
      <c r="E4008" s="4" t="n">
        <v>8</v>
      </c>
    </row>
    <row r="4009" customFormat="false" ht="15" hidden="false" customHeight="false" outlineLevel="0" collapsed="false">
      <c r="A4009" s="3" t="n">
        <v>2022</v>
      </c>
      <c r="B4009" s="3" t="n">
        <v>12</v>
      </c>
      <c r="C4009" s="3" t="n">
        <v>21</v>
      </c>
      <c r="D4009" s="3" t="s">
        <v>4013</v>
      </c>
      <c r="E4009" s="4" t="n">
        <v>2</v>
      </c>
    </row>
    <row r="4010" customFormat="false" ht="15" hidden="false" customHeight="false" outlineLevel="0" collapsed="false">
      <c r="A4010" s="3" t="n">
        <v>2022</v>
      </c>
      <c r="B4010" s="3" t="n">
        <v>12</v>
      </c>
      <c r="C4010" s="3" t="n">
        <v>22</v>
      </c>
      <c r="D4010" s="3" t="s">
        <v>4014</v>
      </c>
      <c r="E4010" s="4" t="n">
        <v>15</v>
      </c>
    </row>
    <row r="4011" customFormat="false" ht="15" hidden="false" customHeight="false" outlineLevel="0" collapsed="false">
      <c r="A4011" s="3" t="n">
        <v>2022</v>
      </c>
      <c r="B4011" s="3" t="n">
        <v>12</v>
      </c>
      <c r="C4011" s="3" t="n">
        <v>23</v>
      </c>
      <c r="D4011" s="3" t="s">
        <v>4015</v>
      </c>
      <c r="E4011" s="4" t="n">
        <v>65</v>
      </c>
    </row>
    <row r="4012" customFormat="false" ht="15" hidden="false" customHeight="false" outlineLevel="0" collapsed="false">
      <c r="A4012" s="3" t="n">
        <v>2022</v>
      </c>
      <c r="B4012" s="3" t="n">
        <v>12</v>
      </c>
      <c r="C4012" s="3" t="n">
        <v>24</v>
      </c>
      <c r="D4012" s="3" t="s">
        <v>4016</v>
      </c>
      <c r="E4012" s="4" t="n">
        <v>4</v>
      </c>
    </row>
    <row r="4013" customFormat="false" ht="15" hidden="false" customHeight="false" outlineLevel="0" collapsed="false">
      <c r="A4013" s="3" t="n">
        <v>2022</v>
      </c>
      <c r="B4013" s="3" t="n">
        <v>12</v>
      </c>
      <c r="C4013" s="3" t="n">
        <v>25</v>
      </c>
      <c r="D4013" s="3" t="s">
        <v>4017</v>
      </c>
      <c r="E4013" s="4" t="n">
        <v>0</v>
      </c>
    </row>
    <row r="4014" customFormat="false" ht="15" hidden="false" customHeight="false" outlineLevel="0" collapsed="false">
      <c r="A4014" s="3" t="n">
        <v>2022</v>
      </c>
      <c r="B4014" s="3" t="n">
        <v>12</v>
      </c>
      <c r="C4014" s="3" t="n">
        <v>26</v>
      </c>
      <c r="D4014" s="3" t="s">
        <v>4018</v>
      </c>
      <c r="E4014" s="4" t="n">
        <v>0</v>
      </c>
    </row>
    <row r="4015" customFormat="false" ht="15" hidden="false" customHeight="false" outlineLevel="0" collapsed="false">
      <c r="A4015" s="3" t="n">
        <v>2022</v>
      </c>
      <c r="B4015" s="3" t="n">
        <v>12</v>
      </c>
      <c r="C4015" s="3" t="n">
        <v>27</v>
      </c>
      <c r="D4015" s="3" t="s">
        <v>4019</v>
      </c>
      <c r="E4015" s="4" t="n">
        <v>0</v>
      </c>
    </row>
    <row r="4016" customFormat="false" ht="15" hidden="false" customHeight="false" outlineLevel="0" collapsed="false">
      <c r="A4016" s="3" t="n">
        <v>2022</v>
      </c>
      <c r="B4016" s="3" t="n">
        <v>12</v>
      </c>
      <c r="C4016" s="3" t="n">
        <v>28</v>
      </c>
      <c r="D4016" s="3" t="s">
        <v>4020</v>
      </c>
      <c r="E4016" s="4" t="n">
        <v>0</v>
      </c>
    </row>
    <row r="4017" customFormat="false" ht="15" hidden="false" customHeight="false" outlineLevel="0" collapsed="false">
      <c r="A4017" s="3" t="n">
        <v>2022</v>
      </c>
      <c r="B4017" s="3" t="n">
        <v>12</v>
      </c>
      <c r="C4017" s="3" t="n">
        <v>29</v>
      </c>
      <c r="D4017" s="3" t="s">
        <v>4021</v>
      </c>
      <c r="E4017" s="4" t="n">
        <v>0</v>
      </c>
    </row>
    <row r="4018" customFormat="false" ht="15" hidden="false" customHeight="false" outlineLevel="0" collapsed="false">
      <c r="A4018" s="3" t="n">
        <v>2022</v>
      </c>
      <c r="B4018" s="3" t="n">
        <v>12</v>
      </c>
      <c r="C4018" s="3" t="n">
        <v>30</v>
      </c>
      <c r="D4018" s="3" t="s">
        <v>4022</v>
      </c>
      <c r="E4018" s="4" t="n">
        <v>0</v>
      </c>
    </row>
    <row r="4019" customFormat="false" ht="15" hidden="false" customHeight="false" outlineLevel="0" collapsed="false">
      <c r="A4019" s="3" t="n">
        <v>2022</v>
      </c>
      <c r="B4019" s="3" t="n">
        <v>12</v>
      </c>
      <c r="C4019" s="3" t="n">
        <v>31</v>
      </c>
      <c r="D4019" s="3" t="s">
        <v>4023</v>
      </c>
      <c r="E4019" s="4" t="n">
        <v>0</v>
      </c>
    </row>
    <row r="4020" customFormat="false" ht="15" hidden="false" customHeight="false" outlineLevel="0" collapsed="false">
      <c r="A4020" s="3" t="n">
        <v>2023</v>
      </c>
      <c r="B4020" s="3" t="n">
        <v>1</v>
      </c>
      <c r="C4020" s="3" t="n">
        <v>1</v>
      </c>
      <c r="D4020" s="3" t="s">
        <v>4024</v>
      </c>
      <c r="E4020" s="4" t="n">
        <v>0</v>
      </c>
    </row>
    <row r="4021" customFormat="false" ht="15" hidden="false" customHeight="false" outlineLevel="0" collapsed="false">
      <c r="A4021" s="3" t="n">
        <v>2023</v>
      </c>
      <c r="B4021" s="3" t="n">
        <v>1</v>
      </c>
      <c r="C4021" s="3" t="n">
        <v>2</v>
      </c>
      <c r="D4021" s="3" t="s">
        <v>4025</v>
      </c>
      <c r="E4021" s="4" t="n">
        <v>0</v>
      </c>
    </row>
    <row r="4022" customFormat="false" ht="15" hidden="false" customHeight="false" outlineLevel="0" collapsed="false">
      <c r="A4022" s="3" t="n">
        <v>2023</v>
      </c>
      <c r="B4022" s="3" t="n">
        <v>1</v>
      </c>
      <c r="C4022" s="3" t="n">
        <v>3</v>
      </c>
      <c r="D4022" s="3" t="s">
        <v>4026</v>
      </c>
      <c r="E4022" s="4" t="n">
        <v>0</v>
      </c>
    </row>
    <row r="4023" customFormat="false" ht="15" hidden="false" customHeight="false" outlineLevel="0" collapsed="false">
      <c r="A4023" s="3" t="n">
        <v>2023</v>
      </c>
      <c r="B4023" s="3" t="n">
        <v>1</v>
      </c>
      <c r="C4023" s="3" t="n">
        <v>4</v>
      </c>
      <c r="D4023" s="3" t="s">
        <v>4027</v>
      </c>
      <c r="E4023" s="4" t="n">
        <v>0</v>
      </c>
    </row>
    <row r="4024" customFormat="false" ht="15" hidden="false" customHeight="false" outlineLevel="0" collapsed="false">
      <c r="A4024" s="3" t="n">
        <v>2023</v>
      </c>
      <c r="B4024" s="3" t="n">
        <v>1</v>
      </c>
      <c r="C4024" s="3" t="n">
        <v>5</v>
      </c>
      <c r="D4024" s="3" t="s">
        <v>4028</v>
      </c>
      <c r="E4024" s="4" t="n">
        <v>8</v>
      </c>
    </row>
    <row r="4025" customFormat="false" ht="15" hidden="false" customHeight="false" outlineLevel="0" collapsed="false">
      <c r="A4025" s="3" t="n">
        <v>2023</v>
      </c>
      <c r="B4025" s="3" t="n">
        <v>1</v>
      </c>
      <c r="C4025" s="3" t="n">
        <v>6</v>
      </c>
      <c r="D4025" s="3" t="s">
        <v>4029</v>
      </c>
      <c r="E4025" s="4" t="n">
        <v>2</v>
      </c>
    </row>
    <row r="4026" customFormat="false" ht="15" hidden="false" customHeight="false" outlineLevel="0" collapsed="false">
      <c r="A4026" s="3" t="n">
        <v>2023</v>
      </c>
      <c r="B4026" s="3" t="n">
        <v>1</v>
      </c>
      <c r="C4026" s="3" t="n">
        <v>7</v>
      </c>
      <c r="D4026" s="3" t="s">
        <v>4030</v>
      </c>
      <c r="E4026" s="4" t="n">
        <v>1</v>
      </c>
    </row>
    <row r="4027" customFormat="false" ht="15" hidden="false" customHeight="false" outlineLevel="0" collapsed="false">
      <c r="A4027" s="3" t="n">
        <v>2023</v>
      </c>
      <c r="B4027" s="3" t="n">
        <v>1</v>
      </c>
      <c r="C4027" s="3" t="n">
        <v>8</v>
      </c>
      <c r="D4027" s="3" t="s">
        <v>4031</v>
      </c>
      <c r="E4027" s="4" t="n">
        <v>1</v>
      </c>
    </row>
    <row r="4028" customFormat="false" ht="15" hidden="false" customHeight="false" outlineLevel="0" collapsed="false">
      <c r="A4028" s="3" t="n">
        <v>2023</v>
      </c>
      <c r="B4028" s="3" t="n">
        <v>1</v>
      </c>
      <c r="C4028" s="3" t="n">
        <v>9</v>
      </c>
      <c r="D4028" s="3" t="s">
        <v>4032</v>
      </c>
      <c r="E4028" s="4" t="n">
        <v>6</v>
      </c>
    </row>
    <row r="4029" customFormat="false" ht="15" hidden="false" customHeight="false" outlineLevel="0" collapsed="false">
      <c r="A4029" s="3" t="n">
        <v>2023</v>
      </c>
      <c r="B4029" s="3" t="n">
        <v>1</v>
      </c>
      <c r="C4029" s="3" t="n">
        <v>10</v>
      </c>
      <c r="D4029" s="3" t="s">
        <v>4033</v>
      </c>
      <c r="E4029" s="4" t="n">
        <v>3</v>
      </c>
    </row>
    <row r="4030" customFormat="false" ht="15" hidden="false" customHeight="false" outlineLevel="0" collapsed="false">
      <c r="A4030" s="3" t="n">
        <v>2023</v>
      </c>
      <c r="B4030" s="3" t="n">
        <v>1</v>
      </c>
      <c r="C4030" s="3" t="n">
        <v>11</v>
      </c>
      <c r="D4030" s="3" t="s">
        <v>4034</v>
      </c>
      <c r="E4030" s="4" t="n">
        <v>0</v>
      </c>
    </row>
    <row r="4031" customFormat="false" ht="15" hidden="false" customHeight="false" outlineLevel="0" collapsed="false">
      <c r="A4031" s="3" t="n">
        <v>2023</v>
      </c>
      <c r="B4031" s="3" t="n">
        <v>1</v>
      </c>
      <c r="C4031" s="3" t="n">
        <v>12</v>
      </c>
      <c r="D4031" s="3" t="s">
        <v>4035</v>
      </c>
      <c r="E4031" s="4" t="n">
        <v>36</v>
      </c>
    </row>
    <row r="4032" customFormat="false" ht="15" hidden="false" customHeight="false" outlineLevel="0" collapsed="false">
      <c r="A4032" s="3" t="n">
        <v>2023</v>
      </c>
      <c r="B4032" s="3" t="n">
        <v>1</v>
      </c>
      <c r="C4032" s="3" t="n">
        <v>13</v>
      </c>
      <c r="D4032" s="3" t="s">
        <v>4036</v>
      </c>
      <c r="E4032" s="4" t="n">
        <v>11</v>
      </c>
    </row>
    <row r="4033" customFormat="false" ht="15" hidden="false" customHeight="false" outlineLevel="0" collapsed="false">
      <c r="A4033" s="3" t="n">
        <v>2023</v>
      </c>
      <c r="B4033" s="3" t="n">
        <v>1</v>
      </c>
      <c r="C4033" s="3" t="n">
        <v>14</v>
      </c>
      <c r="D4033" s="3" t="s">
        <v>4037</v>
      </c>
      <c r="E4033" s="4" t="n">
        <v>4</v>
      </c>
    </row>
    <row r="4034" customFormat="false" ht="15" hidden="false" customHeight="false" outlineLevel="0" collapsed="false">
      <c r="A4034" s="3" t="n">
        <v>2023</v>
      </c>
      <c r="B4034" s="3" t="n">
        <v>1</v>
      </c>
      <c r="C4034" s="3" t="n">
        <v>15</v>
      </c>
      <c r="D4034" s="3" t="s">
        <v>4038</v>
      </c>
      <c r="E4034" s="4" t="n">
        <v>0</v>
      </c>
    </row>
    <row r="4035" customFormat="false" ht="15" hidden="false" customHeight="false" outlineLevel="0" collapsed="false">
      <c r="A4035" s="3" t="n">
        <v>2023</v>
      </c>
      <c r="B4035" s="3" t="n">
        <v>1</v>
      </c>
      <c r="C4035" s="3" t="n">
        <v>16</v>
      </c>
      <c r="D4035" s="3" t="s">
        <v>4039</v>
      </c>
      <c r="E4035" s="4" t="n">
        <v>0</v>
      </c>
    </row>
    <row r="4036" customFormat="false" ht="15" hidden="false" customHeight="false" outlineLevel="0" collapsed="false">
      <c r="A4036" s="3" t="n">
        <v>2023</v>
      </c>
      <c r="B4036" s="3" t="n">
        <v>1</v>
      </c>
      <c r="C4036" s="3" t="n">
        <v>17</v>
      </c>
      <c r="D4036" s="3" t="s">
        <v>4040</v>
      </c>
      <c r="E4036" s="4" t="n">
        <v>0</v>
      </c>
    </row>
    <row r="4037" customFormat="false" ht="15" hidden="false" customHeight="false" outlineLevel="0" collapsed="false">
      <c r="A4037" s="3" t="n">
        <v>2023</v>
      </c>
      <c r="B4037" s="3" t="n">
        <v>1</v>
      </c>
      <c r="C4037" s="3" t="n">
        <v>18</v>
      </c>
      <c r="D4037" s="3" t="s">
        <v>4041</v>
      </c>
      <c r="E4037" s="4" t="n">
        <v>0</v>
      </c>
    </row>
    <row r="4038" customFormat="false" ht="15" hidden="false" customHeight="false" outlineLevel="0" collapsed="false">
      <c r="A4038" s="3" t="n">
        <v>2023</v>
      </c>
      <c r="B4038" s="3" t="n">
        <v>1</v>
      </c>
      <c r="C4038" s="3" t="n">
        <v>19</v>
      </c>
      <c r="D4038" s="3" t="s">
        <v>4042</v>
      </c>
      <c r="E4038" s="4" t="n">
        <v>22</v>
      </c>
    </row>
    <row r="4039" customFormat="false" ht="15" hidden="false" customHeight="false" outlineLevel="0" collapsed="false">
      <c r="A4039" s="3" t="n">
        <v>2023</v>
      </c>
      <c r="B4039" s="3" t="n">
        <v>1</v>
      </c>
      <c r="C4039" s="3" t="n">
        <v>20</v>
      </c>
      <c r="D4039" s="3" t="s">
        <v>4043</v>
      </c>
      <c r="E4039" s="4" t="n">
        <v>5</v>
      </c>
    </row>
    <row r="4040" customFormat="false" ht="15" hidden="false" customHeight="false" outlineLevel="0" collapsed="false">
      <c r="A4040" s="3" t="n">
        <v>2023</v>
      </c>
      <c r="B4040" s="3" t="n">
        <v>1</v>
      </c>
      <c r="C4040" s="3" t="n">
        <v>21</v>
      </c>
      <c r="D4040" s="3" t="s">
        <v>4044</v>
      </c>
      <c r="E4040" s="4" t="n">
        <v>6</v>
      </c>
    </row>
    <row r="4041" customFormat="false" ht="15" hidden="false" customHeight="false" outlineLevel="0" collapsed="false">
      <c r="A4041" s="3" t="n">
        <v>2023</v>
      </c>
      <c r="B4041" s="3" t="n">
        <v>1</v>
      </c>
      <c r="C4041" s="3" t="n">
        <v>22</v>
      </c>
      <c r="D4041" s="3" t="s">
        <v>4045</v>
      </c>
      <c r="E4041" s="4" t="n">
        <v>0</v>
      </c>
    </row>
    <row r="4042" customFormat="false" ht="15" hidden="false" customHeight="false" outlineLevel="0" collapsed="false">
      <c r="A4042" s="3" t="n">
        <v>2023</v>
      </c>
      <c r="B4042" s="3" t="n">
        <v>1</v>
      </c>
      <c r="C4042" s="3" t="n">
        <v>23</v>
      </c>
      <c r="D4042" s="3" t="s">
        <v>4046</v>
      </c>
      <c r="E4042" s="4" t="n">
        <v>20</v>
      </c>
    </row>
    <row r="4043" customFormat="false" ht="15" hidden="false" customHeight="false" outlineLevel="0" collapsed="false">
      <c r="A4043" s="3" t="n">
        <v>2023</v>
      </c>
      <c r="B4043" s="3" t="n">
        <v>1</v>
      </c>
      <c r="C4043" s="3" t="n">
        <v>24</v>
      </c>
      <c r="D4043" s="3" t="s">
        <v>4047</v>
      </c>
      <c r="E4043" s="4" t="n">
        <v>30</v>
      </c>
    </row>
    <row r="4044" customFormat="false" ht="15" hidden="false" customHeight="false" outlineLevel="0" collapsed="false">
      <c r="A4044" s="3" t="n">
        <v>2023</v>
      </c>
      <c r="B4044" s="3" t="n">
        <v>1</v>
      </c>
      <c r="C4044" s="3" t="n">
        <v>25</v>
      </c>
      <c r="D4044" s="3" t="s">
        <v>4048</v>
      </c>
      <c r="E4044" s="4" t="n">
        <v>12</v>
      </c>
    </row>
    <row r="4045" customFormat="false" ht="15" hidden="false" customHeight="false" outlineLevel="0" collapsed="false">
      <c r="A4045" s="3" t="n">
        <v>2023</v>
      </c>
      <c r="B4045" s="3" t="n">
        <v>1</v>
      </c>
      <c r="C4045" s="3" t="n">
        <v>26</v>
      </c>
      <c r="D4045" s="3" t="s">
        <v>4049</v>
      </c>
      <c r="E4045" s="4" t="n">
        <v>3</v>
      </c>
    </row>
    <row r="4046" customFormat="false" ht="15" hidden="false" customHeight="false" outlineLevel="0" collapsed="false">
      <c r="A4046" s="3" t="n">
        <v>2023</v>
      </c>
      <c r="B4046" s="3" t="n">
        <v>1</v>
      </c>
      <c r="C4046" s="3" t="n">
        <v>27</v>
      </c>
      <c r="D4046" s="3" t="s">
        <v>4050</v>
      </c>
      <c r="E4046" s="4" t="n">
        <v>15</v>
      </c>
    </row>
    <row r="4047" customFormat="false" ht="15" hidden="false" customHeight="false" outlineLevel="0" collapsed="false">
      <c r="A4047" s="3" t="n">
        <v>2023</v>
      </c>
      <c r="B4047" s="3" t="n">
        <v>1</v>
      </c>
      <c r="C4047" s="3" t="n">
        <v>28</v>
      </c>
      <c r="D4047" s="3" t="s">
        <v>4051</v>
      </c>
      <c r="E4047" s="4" t="n">
        <v>20</v>
      </c>
    </row>
    <row r="4048" customFormat="false" ht="15" hidden="false" customHeight="false" outlineLevel="0" collapsed="false">
      <c r="A4048" s="3" t="n">
        <v>2023</v>
      </c>
      <c r="B4048" s="3" t="n">
        <v>1</v>
      </c>
      <c r="C4048" s="3" t="n">
        <v>29</v>
      </c>
      <c r="D4048" s="3" t="s">
        <v>4052</v>
      </c>
      <c r="E4048" s="4" t="n">
        <v>7</v>
      </c>
    </row>
    <row r="4049" customFormat="false" ht="15" hidden="false" customHeight="false" outlineLevel="0" collapsed="false">
      <c r="A4049" s="3" t="n">
        <v>2023</v>
      </c>
      <c r="B4049" s="3" t="n">
        <v>1</v>
      </c>
      <c r="C4049" s="3" t="n">
        <v>30</v>
      </c>
      <c r="D4049" s="3" t="s">
        <v>4053</v>
      </c>
      <c r="E4049" s="4" t="n">
        <v>8</v>
      </c>
    </row>
    <row r="4050" customFormat="false" ht="15" hidden="false" customHeight="false" outlineLevel="0" collapsed="false">
      <c r="A4050" s="3" t="n">
        <v>2023</v>
      </c>
      <c r="B4050" s="3" t="n">
        <v>1</v>
      </c>
      <c r="C4050" s="3" t="n">
        <v>31</v>
      </c>
      <c r="D4050" s="3" t="s">
        <v>4054</v>
      </c>
      <c r="E4050" s="4" t="n">
        <v>38</v>
      </c>
    </row>
    <row r="4051" customFormat="false" ht="15" hidden="false" customHeight="false" outlineLevel="0" collapsed="false">
      <c r="A4051" s="3" t="n">
        <v>2023</v>
      </c>
      <c r="B4051" s="3" t="n">
        <v>2</v>
      </c>
      <c r="C4051" s="3" t="n">
        <v>1</v>
      </c>
      <c r="D4051" s="3" t="s">
        <v>4055</v>
      </c>
      <c r="E4051" s="4" t="n">
        <v>12</v>
      </c>
    </row>
    <row r="4052" customFormat="false" ht="15" hidden="false" customHeight="false" outlineLevel="0" collapsed="false">
      <c r="A4052" s="3" t="n">
        <v>2023</v>
      </c>
      <c r="B4052" s="3" t="n">
        <v>2</v>
      </c>
      <c r="C4052" s="3" t="n">
        <v>2</v>
      </c>
      <c r="D4052" s="3" t="s">
        <v>4056</v>
      </c>
      <c r="E4052" s="4" t="n">
        <v>16</v>
      </c>
    </row>
    <row r="4053" customFormat="false" ht="15" hidden="false" customHeight="false" outlineLevel="0" collapsed="false">
      <c r="A4053" s="3" t="n">
        <v>2023</v>
      </c>
      <c r="B4053" s="3" t="n">
        <v>2</v>
      </c>
      <c r="C4053" s="3" t="n">
        <v>3</v>
      </c>
      <c r="D4053" s="3" t="s">
        <v>4057</v>
      </c>
      <c r="E4053" s="4" t="n">
        <v>27</v>
      </c>
    </row>
    <row r="4054" customFormat="false" ht="15" hidden="false" customHeight="false" outlineLevel="0" collapsed="false">
      <c r="A4054" s="3" t="n">
        <v>2023</v>
      </c>
      <c r="B4054" s="3" t="n">
        <v>2</v>
      </c>
      <c r="C4054" s="3" t="n">
        <v>4</v>
      </c>
      <c r="D4054" s="3" t="s">
        <v>4058</v>
      </c>
      <c r="E4054" s="4" t="n">
        <v>3</v>
      </c>
    </row>
    <row r="4055" customFormat="false" ht="15" hidden="false" customHeight="false" outlineLevel="0" collapsed="false">
      <c r="A4055" s="3" t="n">
        <v>2023</v>
      </c>
      <c r="B4055" s="3" t="n">
        <v>2</v>
      </c>
      <c r="C4055" s="3" t="n">
        <v>5</v>
      </c>
      <c r="D4055" s="3" t="s">
        <v>4059</v>
      </c>
      <c r="E4055" s="4" t="n">
        <v>0</v>
      </c>
    </row>
    <row r="4056" customFormat="false" ht="15" hidden="false" customHeight="false" outlineLevel="0" collapsed="false">
      <c r="A4056" s="3" t="n">
        <v>2023</v>
      </c>
      <c r="B4056" s="3" t="n">
        <v>2</v>
      </c>
      <c r="C4056" s="3" t="n">
        <v>6</v>
      </c>
      <c r="D4056" s="3" t="s">
        <v>4060</v>
      </c>
      <c r="E4056" s="4" t="n">
        <v>0</v>
      </c>
    </row>
    <row r="4057" customFormat="false" ht="15" hidden="false" customHeight="false" outlineLevel="0" collapsed="false">
      <c r="A4057" s="3" t="n">
        <v>2023</v>
      </c>
      <c r="B4057" s="3" t="n">
        <v>2</v>
      </c>
      <c r="C4057" s="3" t="n">
        <v>7</v>
      </c>
      <c r="D4057" s="3" t="s">
        <v>4061</v>
      </c>
      <c r="E4057" s="4" t="n">
        <v>0</v>
      </c>
    </row>
    <row r="4058" customFormat="false" ht="15" hidden="false" customHeight="false" outlineLevel="0" collapsed="false">
      <c r="A4058" s="3" t="n">
        <v>2023</v>
      </c>
      <c r="B4058" s="3" t="n">
        <v>2</v>
      </c>
      <c r="C4058" s="3" t="n">
        <v>8</v>
      </c>
      <c r="D4058" s="3" t="s">
        <v>4062</v>
      </c>
      <c r="E4058" s="4" t="n">
        <v>0</v>
      </c>
    </row>
    <row r="4059" customFormat="false" ht="15" hidden="false" customHeight="false" outlineLevel="0" collapsed="false">
      <c r="A4059" s="3" t="n">
        <v>2023</v>
      </c>
      <c r="B4059" s="3" t="n">
        <v>2</v>
      </c>
      <c r="C4059" s="3" t="n">
        <v>9</v>
      </c>
      <c r="D4059" s="3" t="s">
        <v>4063</v>
      </c>
      <c r="E4059" s="4" t="n">
        <v>0</v>
      </c>
    </row>
    <row r="4060" customFormat="false" ht="15" hidden="false" customHeight="false" outlineLevel="0" collapsed="false">
      <c r="A4060" s="3" t="n">
        <v>2023</v>
      </c>
      <c r="B4060" s="3" t="n">
        <v>2</v>
      </c>
      <c r="C4060" s="3" t="n">
        <v>10</v>
      </c>
      <c r="D4060" s="3" t="s">
        <v>4064</v>
      </c>
      <c r="E4060" s="4" t="n">
        <v>0</v>
      </c>
    </row>
    <row r="4061" customFormat="false" ht="15" hidden="false" customHeight="false" outlineLevel="0" collapsed="false">
      <c r="A4061" s="3" t="n">
        <v>2023</v>
      </c>
      <c r="B4061" s="3" t="n">
        <v>2</v>
      </c>
      <c r="C4061" s="3" t="n">
        <v>11</v>
      </c>
      <c r="D4061" s="3" t="s">
        <v>4065</v>
      </c>
      <c r="E4061" s="4" t="n">
        <v>0</v>
      </c>
    </row>
    <row r="4062" customFormat="false" ht="15" hidden="false" customHeight="false" outlineLevel="0" collapsed="false">
      <c r="A4062" s="3" t="n">
        <v>2023</v>
      </c>
      <c r="B4062" s="3" t="n">
        <v>2</v>
      </c>
      <c r="C4062" s="3" t="n">
        <v>12</v>
      </c>
      <c r="D4062" s="3" t="s">
        <v>4066</v>
      </c>
      <c r="E4062" s="4" t="n">
        <v>0</v>
      </c>
    </row>
    <row r="4063" customFormat="false" ht="15" hidden="false" customHeight="false" outlineLevel="0" collapsed="false">
      <c r="A4063" s="3" t="n">
        <v>2023</v>
      </c>
      <c r="B4063" s="3" t="n">
        <v>2</v>
      </c>
      <c r="C4063" s="3" t="n">
        <v>13</v>
      </c>
      <c r="D4063" s="3" t="s">
        <v>4067</v>
      </c>
      <c r="E4063" s="4" t="n">
        <v>35</v>
      </c>
    </row>
    <row r="4064" customFormat="false" ht="15" hidden="false" customHeight="false" outlineLevel="0" collapsed="false">
      <c r="A4064" s="3" t="n">
        <v>2023</v>
      </c>
      <c r="B4064" s="3" t="n">
        <v>2</v>
      </c>
      <c r="C4064" s="3" t="n">
        <v>14</v>
      </c>
      <c r="D4064" s="3" t="s">
        <v>4068</v>
      </c>
      <c r="E4064" s="4" t="n">
        <v>12</v>
      </c>
    </row>
    <row r="4065" customFormat="false" ht="15" hidden="false" customHeight="false" outlineLevel="0" collapsed="false">
      <c r="A4065" s="3" t="n">
        <v>2023</v>
      </c>
      <c r="B4065" s="3" t="n">
        <v>2</v>
      </c>
      <c r="C4065" s="3" t="n">
        <v>15</v>
      </c>
      <c r="D4065" s="3" t="s">
        <v>4069</v>
      </c>
      <c r="E4065" s="4" t="n">
        <v>0</v>
      </c>
    </row>
    <row r="4066" customFormat="false" ht="15" hidden="false" customHeight="false" outlineLevel="0" collapsed="false">
      <c r="A4066" s="3" t="n">
        <v>2023</v>
      </c>
      <c r="B4066" s="3" t="n">
        <v>2</v>
      </c>
      <c r="C4066" s="3" t="n">
        <v>16</v>
      </c>
      <c r="D4066" s="3" t="s">
        <v>4070</v>
      </c>
      <c r="E4066" s="4" t="n">
        <v>0</v>
      </c>
    </row>
    <row r="4067" customFormat="false" ht="15" hidden="false" customHeight="false" outlineLevel="0" collapsed="false">
      <c r="A4067" s="3" t="n">
        <v>2023</v>
      </c>
      <c r="B4067" s="3" t="n">
        <v>2</v>
      </c>
      <c r="C4067" s="3" t="n">
        <v>17</v>
      </c>
      <c r="D4067" s="3" t="s">
        <v>4071</v>
      </c>
      <c r="E4067" s="4" t="n">
        <v>0</v>
      </c>
    </row>
    <row r="4068" customFormat="false" ht="15" hidden="false" customHeight="false" outlineLevel="0" collapsed="false">
      <c r="A4068" s="3" t="n">
        <v>2023</v>
      </c>
      <c r="B4068" s="3" t="n">
        <v>2</v>
      </c>
      <c r="C4068" s="3" t="n">
        <v>18</v>
      </c>
      <c r="D4068" s="3" t="s">
        <v>4072</v>
      </c>
      <c r="E4068" s="4" t="n">
        <v>0</v>
      </c>
    </row>
    <row r="4069" customFormat="false" ht="15" hidden="false" customHeight="false" outlineLevel="0" collapsed="false">
      <c r="A4069" s="3" t="n">
        <v>2023</v>
      </c>
      <c r="B4069" s="3" t="n">
        <v>2</v>
      </c>
      <c r="C4069" s="3" t="n">
        <v>19</v>
      </c>
      <c r="D4069" s="3" t="s">
        <v>4073</v>
      </c>
      <c r="E4069" s="4" t="n">
        <v>0</v>
      </c>
    </row>
    <row r="4070" customFormat="false" ht="15" hidden="false" customHeight="false" outlineLevel="0" collapsed="false">
      <c r="A4070" s="3" t="n">
        <v>2023</v>
      </c>
      <c r="B4070" s="3" t="n">
        <v>2</v>
      </c>
      <c r="C4070" s="3" t="n">
        <v>20</v>
      </c>
      <c r="D4070" s="3" t="s">
        <v>4074</v>
      </c>
      <c r="E4070" s="4" t="n">
        <v>0</v>
      </c>
    </row>
    <row r="4071" customFormat="false" ht="15" hidden="false" customHeight="false" outlineLevel="0" collapsed="false">
      <c r="A4071" s="3" t="n">
        <v>2023</v>
      </c>
      <c r="B4071" s="3" t="n">
        <v>2</v>
      </c>
      <c r="C4071" s="3" t="n">
        <v>21</v>
      </c>
      <c r="D4071" s="3" t="s">
        <v>4075</v>
      </c>
      <c r="E4071" s="4" t="n">
        <v>0</v>
      </c>
    </row>
    <row r="4072" customFormat="false" ht="15" hidden="false" customHeight="false" outlineLevel="0" collapsed="false">
      <c r="A4072" s="3" t="n">
        <v>2023</v>
      </c>
      <c r="B4072" s="3" t="n">
        <v>2</v>
      </c>
      <c r="C4072" s="3" t="n">
        <v>22</v>
      </c>
      <c r="D4072" s="3" t="s">
        <v>4076</v>
      </c>
      <c r="E4072" s="4" t="n">
        <v>0</v>
      </c>
    </row>
    <row r="4073" customFormat="false" ht="15" hidden="false" customHeight="false" outlineLevel="0" collapsed="false">
      <c r="A4073" s="3" t="n">
        <v>2023</v>
      </c>
      <c r="B4073" s="3" t="n">
        <v>2</v>
      </c>
      <c r="C4073" s="3" t="n">
        <v>23</v>
      </c>
      <c r="D4073" s="3" t="s">
        <v>4077</v>
      </c>
      <c r="E4073" s="4" t="n">
        <v>0</v>
      </c>
    </row>
    <row r="4074" customFormat="false" ht="15" hidden="false" customHeight="false" outlineLevel="0" collapsed="false">
      <c r="A4074" s="3" t="n">
        <v>2023</v>
      </c>
      <c r="B4074" s="3" t="n">
        <v>2</v>
      </c>
      <c r="C4074" s="3" t="n">
        <v>24</v>
      </c>
      <c r="D4074" s="3" t="s">
        <v>4078</v>
      </c>
      <c r="E4074" s="4" t="n">
        <v>0</v>
      </c>
    </row>
    <row r="4075" customFormat="false" ht="15" hidden="false" customHeight="false" outlineLevel="0" collapsed="false">
      <c r="A4075" s="3" t="n">
        <v>2023</v>
      </c>
      <c r="B4075" s="3" t="n">
        <v>2</v>
      </c>
      <c r="C4075" s="3" t="n">
        <v>25</v>
      </c>
      <c r="D4075" s="3" t="s">
        <v>4079</v>
      </c>
      <c r="E4075" s="4" t="n">
        <v>1</v>
      </c>
    </row>
    <row r="4076" customFormat="false" ht="15" hidden="false" customHeight="false" outlineLevel="0" collapsed="false">
      <c r="A4076" s="3" t="n">
        <v>2023</v>
      </c>
      <c r="B4076" s="3" t="n">
        <v>2</v>
      </c>
      <c r="C4076" s="3" t="n">
        <v>26</v>
      </c>
      <c r="D4076" s="3" t="s">
        <v>4080</v>
      </c>
      <c r="E4076" s="4" t="n">
        <v>64</v>
      </c>
    </row>
    <row r="4077" customFormat="false" ht="15" hidden="false" customHeight="false" outlineLevel="0" collapsed="false">
      <c r="A4077" s="3" t="n">
        <v>2023</v>
      </c>
      <c r="B4077" s="3" t="n">
        <v>2</v>
      </c>
      <c r="C4077" s="3" t="n">
        <v>27</v>
      </c>
      <c r="D4077" s="3" t="s">
        <v>4081</v>
      </c>
      <c r="E4077" s="4" t="n">
        <v>2</v>
      </c>
    </row>
    <row r="4078" customFormat="false" ht="15" hidden="false" customHeight="false" outlineLevel="0" collapsed="false">
      <c r="A4078" s="3" t="n">
        <v>2023</v>
      </c>
      <c r="B4078" s="3" t="n">
        <v>2</v>
      </c>
      <c r="C4078" s="3" t="n">
        <v>28</v>
      </c>
      <c r="D4078" s="3" t="s">
        <v>4082</v>
      </c>
      <c r="E4078" s="4" t="n">
        <v>13</v>
      </c>
    </row>
    <row r="4079" customFormat="false" ht="15" hidden="false" customHeight="false" outlineLevel="0" collapsed="false">
      <c r="A4079" s="3" t="n">
        <v>2023</v>
      </c>
      <c r="B4079" s="3" t="n">
        <v>3</v>
      </c>
      <c r="C4079" s="3" t="n">
        <v>1</v>
      </c>
      <c r="D4079" s="3" t="s">
        <v>4083</v>
      </c>
      <c r="E4079" s="4" t="n">
        <v>11</v>
      </c>
    </row>
    <row r="4080" customFormat="false" ht="15" hidden="false" customHeight="false" outlineLevel="0" collapsed="false">
      <c r="A4080" s="3" t="n">
        <v>2023</v>
      </c>
      <c r="B4080" s="3" t="n">
        <v>3</v>
      </c>
      <c r="C4080" s="3" t="n">
        <v>2</v>
      </c>
      <c r="D4080" s="3" t="s">
        <v>4084</v>
      </c>
      <c r="E4080" s="4" t="n">
        <v>1</v>
      </c>
    </row>
    <row r="4081" customFormat="false" ht="15" hidden="false" customHeight="false" outlineLevel="0" collapsed="false">
      <c r="A4081" s="3" t="n">
        <v>2023</v>
      </c>
      <c r="B4081" s="3" t="n">
        <v>3</v>
      </c>
      <c r="C4081" s="3" t="n">
        <v>3</v>
      </c>
      <c r="D4081" s="3" t="s">
        <v>4085</v>
      </c>
      <c r="E4081" s="4" t="n">
        <v>1</v>
      </c>
    </row>
    <row r="4082" customFormat="false" ht="15" hidden="false" customHeight="false" outlineLevel="0" collapsed="false">
      <c r="A4082" s="3" t="n">
        <v>2023</v>
      </c>
      <c r="B4082" s="3" t="n">
        <v>3</v>
      </c>
      <c r="C4082" s="3" t="n">
        <v>4</v>
      </c>
      <c r="D4082" s="3" t="s">
        <v>4086</v>
      </c>
      <c r="E4082" s="4" t="n">
        <v>6</v>
      </c>
    </row>
    <row r="4083" customFormat="false" ht="15" hidden="false" customHeight="false" outlineLevel="0" collapsed="false">
      <c r="A4083" s="3" t="n">
        <v>2023</v>
      </c>
      <c r="B4083" s="3" t="n">
        <v>3</v>
      </c>
      <c r="C4083" s="3" t="n">
        <v>5</v>
      </c>
      <c r="D4083" s="3" t="s">
        <v>4087</v>
      </c>
      <c r="E4083" s="4" t="n">
        <v>9</v>
      </c>
    </row>
    <row r="4084" customFormat="false" ht="15" hidden="false" customHeight="false" outlineLevel="0" collapsed="false">
      <c r="A4084" s="3" t="n">
        <v>2023</v>
      </c>
      <c r="B4084" s="3" t="n">
        <v>3</v>
      </c>
      <c r="C4084" s="3" t="n">
        <v>6</v>
      </c>
      <c r="D4084" s="3" t="s">
        <v>4088</v>
      </c>
      <c r="E4084" s="4" t="n">
        <v>4</v>
      </c>
    </row>
    <row r="4085" customFormat="false" ht="15" hidden="false" customHeight="false" outlineLevel="0" collapsed="false">
      <c r="A4085" s="3" t="n">
        <v>2023</v>
      </c>
      <c r="B4085" s="3" t="n">
        <v>3</v>
      </c>
      <c r="C4085" s="3" t="n">
        <v>7</v>
      </c>
      <c r="D4085" s="3" t="s">
        <v>4089</v>
      </c>
      <c r="E4085" s="4" t="n">
        <v>5</v>
      </c>
    </row>
    <row r="4086" customFormat="false" ht="15" hidden="false" customHeight="false" outlineLevel="0" collapsed="false">
      <c r="A4086" s="3" t="n">
        <v>2023</v>
      </c>
      <c r="B4086" s="3" t="n">
        <v>3</v>
      </c>
      <c r="C4086" s="3" t="n">
        <v>8</v>
      </c>
      <c r="D4086" s="3" t="s">
        <v>4090</v>
      </c>
      <c r="E4086" s="4"/>
    </row>
    <row r="4087" customFormat="false" ht="15" hidden="false" customHeight="false" outlineLevel="0" collapsed="false">
      <c r="A4087" s="3" t="n">
        <v>2023</v>
      </c>
      <c r="B4087" s="3" t="n">
        <v>3</v>
      </c>
      <c r="C4087" s="3" t="n">
        <v>9</v>
      </c>
      <c r="D4087" s="3" t="s">
        <v>4091</v>
      </c>
      <c r="E4087" s="4" t="n">
        <v>20</v>
      </c>
    </row>
    <row r="4088" customFormat="false" ht="15" hidden="false" customHeight="false" outlineLevel="0" collapsed="false">
      <c r="A4088" s="3" t="n">
        <v>2023</v>
      </c>
      <c r="B4088" s="3" t="n">
        <v>3</v>
      </c>
      <c r="C4088" s="3" t="n">
        <v>10</v>
      </c>
      <c r="D4088" s="3" t="s">
        <v>4092</v>
      </c>
      <c r="E4088" s="4"/>
    </row>
    <row r="4089" customFormat="false" ht="15" hidden="false" customHeight="false" outlineLevel="0" collapsed="false">
      <c r="A4089" s="3" t="n">
        <v>2023</v>
      </c>
      <c r="B4089" s="3" t="n">
        <v>3</v>
      </c>
      <c r="C4089" s="3" t="n">
        <v>11</v>
      </c>
      <c r="D4089" s="3" t="s">
        <v>4093</v>
      </c>
      <c r="E4089" s="4" t="n">
        <v>5</v>
      </c>
    </row>
    <row r="4090" customFormat="false" ht="15" hidden="false" customHeight="false" outlineLevel="0" collapsed="false">
      <c r="A4090" s="3" t="n">
        <v>2023</v>
      </c>
      <c r="B4090" s="3" t="n">
        <v>3</v>
      </c>
      <c r="C4090" s="3" t="n">
        <v>12</v>
      </c>
      <c r="D4090" s="3" t="s">
        <v>4094</v>
      </c>
      <c r="E4090" s="4" t="n">
        <v>2</v>
      </c>
    </row>
    <row r="4091" customFormat="false" ht="15" hidden="false" customHeight="false" outlineLevel="0" collapsed="false">
      <c r="A4091" s="3" t="n">
        <v>2023</v>
      </c>
      <c r="B4091" s="3" t="n">
        <v>3</v>
      </c>
      <c r="C4091" s="3" t="n">
        <v>13</v>
      </c>
      <c r="D4091" s="3" t="s">
        <v>4095</v>
      </c>
      <c r="E4091" s="4" t="n">
        <v>16</v>
      </c>
    </row>
    <row r="4092" customFormat="false" ht="15" hidden="false" customHeight="false" outlineLevel="0" collapsed="false">
      <c r="A4092" s="3" t="n">
        <v>2023</v>
      </c>
      <c r="B4092" s="3" t="n">
        <v>3</v>
      </c>
      <c r="C4092" s="3" t="n">
        <v>14</v>
      </c>
      <c r="D4092" s="3" t="s">
        <v>4096</v>
      </c>
      <c r="E4092" s="4" t="n">
        <v>23</v>
      </c>
    </row>
    <row r="4093" customFormat="false" ht="15" hidden="false" customHeight="false" outlineLevel="0" collapsed="false">
      <c r="A4093" s="3" t="n">
        <v>2023</v>
      </c>
      <c r="B4093" s="3" t="n">
        <v>3</v>
      </c>
      <c r="C4093" s="3" t="n">
        <v>15</v>
      </c>
      <c r="D4093" s="3" t="s">
        <v>4097</v>
      </c>
      <c r="E4093" s="4"/>
    </row>
    <row r="4094" customFormat="false" ht="15" hidden="false" customHeight="false" outlineLevel="0" collapsed="false">
      <c r="A4094" s="3" t="n">
        <v>2023</v>
      </c>
      <c r="B4094" s="3" t="n">
        <v>3</v>
      </c>
      <c r="C4094" s="3" t="n">
        <v>16</v>
      </c>
      <c r="D4094" s="3" t="s">
        <v>4098</v>
      </c>
      <c r="E4094" s="4" t="n">
        <v>9</v>
      </c>
    </row>
    <row r="4095" customFormat="false" ht="15" hidden="false" customHeight="false" outlineLevel="0" collapsed="false">
      <c r="A4095" s="3" t="n">
        <v>2023</v>
      </c>
      <c r="B4095" s="3" t="n">
        <v>3</v>
      </c>
      <c r="C4095" s="3" t="n">
        <v>17</v>
      </c>
      <c r="D4095" s="3" t="s">
        <v>4099</v>
      </c>
      <c r="E4095" s="4" t="n">
        <v>7</v>
      </c>
    </row>
    <row r="4096" customFormat="false" ht="15" hidden="false" customHeight="false" outlineLevel="0" collapsed="false">
      <c r="A4096" s="3" t="n">
        <v>2023</v>
      </c>
      <c r="B4096" s="3" t="n">
        <v>3</v>
      </c>
      <c r="C4096" s="3" t="n">
        <v>18</v>
      </c>
      <c r="D4096" s="3" t="s">
        <v>4100</v>
      </c>
      <c r="E4096" s="4" t="n">
        <v>1</v>
      </c>
    </row>
    <row r="4097" customFormat="false" ht="15" hidden="false" customHeight="false" outlineLevel="0" collapsed="false">
      <c r="A4097" s="3" t="n">
        <v>2023</v>
      </c>
      <c r="B4097" s="3" t="n">
        <v>3</v>
      </c>
      <c r="C4097" s="3" t="n">
        <v>19</v>
      </c>
      <c r="D4097" s="3" t="s">
        <v>4101</v>
      </c>
      <c r="E4097" s="4"/>
    </row>
    <row r="4098" customFormat="false" ht="15" hidden="false" customHeight="false" outlineLevel="0" collapsed="false">
      <c r="A4098" s="3" t="n">
        <v>2023</v>
      </c>
      <c r="B4098" s="3" t="n">
        <v>3</v>
      </c>
      <c r="C4098" s="3" t="n">
        <v>20</v>
      </c>
      <c r="D4098" s="3" t="s">
        <v>4102</v>
      </c>
      <c r="E4098" s="4" t="n">
        <v>2</v>
      </c>
    </row>
    <row r="4099" customFormat="false" ht="15" hidden="false" customHeight="false" outlineLevel="0" collapsed="false">
      <c r="A4099" s="3" t="n">
        <v>2023</v>
      </c>
      <c r="B4099" s="3" t="n">
        <v>3</v>
      </c>
      <c r="C4099" s="3" t="n">
        <v>21</v>
      </c>
      <c r="D4099" s="3" t="s">
        <v>4103</v>
      </c>
      <c r="E4099" s="4" t="n">
        <v>1</v>
      </c>
    </row>
    <row r="4100" customFormat="false" ht="15" hidden="false" customHeight="false" outlineLevel="0" collapsed="false">
      <c r="A4100" s="3" t="n">
        <v>2023</v>
      </c>
      <c r="B4100" s="3" t="n">
        <v>3</v>
      </c>
      <c r="C4100" s="3" t="n">
        <v>22</v>
      </c>
      <c r="D4100" s="3" t="s">
        <v>4104</v>
      </c>
      <c r="E4100" s="4"/>
    </row>
    <row r="4101" customFormat="false" ht="15" hidden="false" customHeight="false" outlineLevel="0" collapsed="false">
      <c r="A4101" s="3" t="n">
        <v>2023</v>
      </c>
      <c r="B4101" s="3" t="n">
        <v>3</v>
      </c>
      <c r="C4101" s="3" t="n">
        <v>23</v>
      </c>
      <c r="D4101" s="3" t="s">
        <v>4105</v>
      </c>
      <c r="E4101" s="4"/>
    </row>
    <row r="4102" customFormat="false" ht="15" hidden="false" customHeight="false" outlineLevel="0" collapsed="false">
      <c r="A4102" s="3" t="n">
        <v>2023</v>
      </c>
      <c r="B4102" s="3" t="n">
        <v>3</v>
      </c>
      <c r="C4102" s="3" t="n">
        <v>24</v>
      </c>
      <c r="D4102" s="3" t="s">
        <v>4106</v>
      </c>
      <c r="E4102" s="4" t="n">
        <v>52</v>
      </c>
    </row>
    <row r="4103" customFormat="false" ht="15" hidden="false" customHeight="false" outlineLevel="0" collapsed="false">
      <c r="A4103" s="3" t="n">
        <v>2023</v>
      </c>
      <c r="B4103" s="3" t="n">
        <v>3</v>
      </c>
      <c r="C4103" s="3" t="n">
        <v>25</v>
      </c>
      <c r="D4103" s="3" t="s">
        <v>4107</v>
      </c>
      <c r="E4103" s="4" t="n">
        <v>14</v>
      </c>
    </row>
    <row r="4104" customFormat="false" ht="15" hidden="false" customHeight="false" outlineLevel="0" collapsed="false">
      <c r="A4104" s="3" t="n">
        <v>2023</v>
      </c>
      <c r="B4104" s="3" t="n">
        <v>3</v>
      </c>
      <c r="C4104" s="3" t="n">
        <v>26</v>
      </c>
      <c r="D4104" s="3" t="s">
        <v>4108</v>
      </c>
      <c r="E4104" s="4" t="n">
        <v>1</v>
      </c>
    </row>
    <row r="4105" customFormat="false" ht="15" hidden="false" customHeight="false" outlineLevel="0" collapsed="false">
      <c r="A4105" s="3" t="n">
        <v>2023</v>
      </c>
      <c r="B4105" s="3" t="n">
        <v>3</v>
      </c>
      <c r="C4105" s="3" t="n">
        <v>27</v>
      </c>
      <c r="D4105" s="3" t="s">
        <v>4109</v>
      </c>
      <c r="E4105" s="4"/>
    </row>
    <row r="4106" customFormat="false" ht="15" hidden="false" customHeight="false" outlineLevel="0" collapsed="false">
      <c r="A4106" s="3" t="n">
        <v>2023</v>
      </c>
      <c r="B4106" s="3" t="n">
        <v>3</v>
      </c>
      <c r="C4106" s="3" t="n">
        <v>28</v>
      </c>
      <c r="D4106" s="3" t="s">
        <v>4110</v>
      </c>
      <c r="E4106" s="4" t="n">
        <v>12</v>
      </c>
    </row>
    <row r="4107" customFormat="false" ht="15" hidden="false" customHeight="false" outlineLevel="0" collapsed="false">
      <c r="A4107" s="3" t="n">
        <v>2023</v>
      </c>
      <c r="B4107" s="3" t="n">
        <v>3</v>
      </c>
      <c r="C4107" s="3" t="n">
        <v>29</v>
      </c>
      <c r="D4107" s="3" t="s">
        <v>4111</v>
      </c>
      <c r="E4107" s="4" t="n">
        <v>7</v>
      </c>
    </row>
    <row r="4108" customFormat="false" ht="15" hidden="false" customHeight="false" outlineLevel="0" collapsed="false">
      <c r="A4108" s="3" t="n">
        <v>2023</v>
      </c>
      <c r="B4108" s="3" t="n">
        <v>3</v>
      </c>
      <c r="C4108" s="3" t="n">
        <v>30</v>
      </c>
      <c r="D4108" s="3" t="s">
        <v>4112</v>
      </c>
      <c r="E4108" s="4"/>
    </row>
    <row r="4109" customFormat="false" ht="15" hidden="false" customHeight="false" outlineLevel="0" collapsed="false">
      <c r="A4109" s="3" t="n">
        <v>2023</v>
      </c>
      <c r="B4109" s="3" t="n">
        <v>3</v>
      </c>
      <c r="C4109" s="3" t="n">
        <v>31</v>
      </c>
      <c r="D4109" s="3" t="s">
        <v>4113</v>
      </c>
      <c r="E4109" s="4" t="n">
        <v>100</v>
      </c>
    </row>
    <row r="4110" customFormat="false" ht="15" hidden="false" customHeight="false" outlineLevel="0" collapsed="false">
      <c r="A4110" s="3" t="n">
        <v>2023</v>
      </c>
      <c r="B4110" s="3" t="n">
        <v>4</v>
      </c>
      <c r="C4110" s="3" t="n">
        <v>1</v>
      </c>
      <c r="D4110" s="3" t="s">
        <v>4114</v>
      </c>
      <c r="E4110" s="4" t="n">
        <v>4</v>
      </c>
    </row>
    <row r="4111" customFormat="false" ht="15" hidden="false" customHeight="false" outlineLevel="0" collapsed="false">
      <c r="A4111" s="3" t="n">
        <v>2023</v>
      </c>
      <c r="B4111" s="3" t="n">
        <v>4</v>
      </c>
      <c r="C4111" s="3" t="n">
        <v>2</v>
      </c>
      <c r="D4111" s="3" t="s">
        <v>4115</v>
      </c>
      <c r="E4111" s="4" t="n">
        <v>0</v>
      </c>
    </row>
    <row r="4112" customFormat="false" ht="15" hidden="false" customHeight="false" outlineLevel="0" collapsed="false">
      <c r="A4112" s="3" t="n">
        <v>2023</v>
      </c>
      <c r="B4112" s="3" t="n">
        <v>4</v>
      </c>
      <c r="C4112" s="3" t="n">
        <v>3</v>
      </c>
      <c r="D4112" s="3" t="s">
        <v>4116</v>
      </c>
      <c r="E4112" s="4" t="n">
        <v>0</v>
      </c>
    </row>
    <row r="4113" customFormat="false" ht="15" hidden="false" customHeight="false" outlineLevel="0" collapsed="false">
      <c r="A4113" s="3" t="n">
        <v>2023</v>
      </c>
      <c r="B4113" s="3" t="n">
        <v>4</v>
      </c>
      <c r="C4113" s="3" t="n">
        <v>4</v>
      </c>
      <c r="D4113" s="3" t="s">
        <v>4117</v>
      </c>
      <c r="E4113" s="4" t="n">
        <v>1</v>
      </c>
    </row>
    <row r="4114" customFormat="false" ht="15" hidden="false" customHeight="false" outlineLevel="0" collapsed="false">
      <c r="A4114" s="3" t="n">
        <v>2023</v>
      </c>
      <c r="B4114" s="3" t="n">
        <v>4</v>
      </c>
      <c r="C4114" s="3" t="n">
        <v>5</v>
      </c>
      <c r="D4114" s="3" t="s">
        <v>4118</v>
      </c>
      <c r="E4114" s="4" t="n">
        <v>0</v>
      </c>
    </row>
    <row r="4115" customFormat="false" ht="15" hidden="false" customHeight="false" outlineLevel="0" collapsed="false">
      <c r="A4115" s="3" t="n">
        <v>2023</v>
      </c>
      <c r="B4115" s="3" t="n">
        <v>4</v>
      </c>
      <c r="C4115" s="3" t="n">
        <v>6</v>
      </c>
      <c r="D4115" s="3" t="s">
        <v>4119</v>
      </c>
      <c r="E4115" s="4" t="n">
        <v>19</v>
      </c>
    </row>
    <row r="4116" customFormat="false" ht="15" hidden="false" customHeight="false" outlineLevel="0" collapsed="false">
      <c r="A4116" s="3" t="n">
        <v>2023</v>
      </c>
      <c r="B4116" s="3" t="n">
        <v>4</v>
      </c>
      <c r="C4116" s="3" t="n">
        <v>7</v>
      </c>
      <c r="D4116" s="3" t="s">
        <v>4120</v>
      </c>
      <c r="E4116" s="4" t="n">
        <v>14</v>
      </c>
    </row>
    <row r="4117" customFormat="false" ht="15" hidden="false" customHeight="false" outlineLevel="0" collapsed="false">
      <c r="A4117" s="3" t="n">
        <v>2023</v>
      </c>
      <c r="B4117" s="3" t="n">
        <v>4</v>
      </c>
      <c r="C4117" s="3" t="n">
        <v>8</v>
      </c>
      <c r="D4117" s="3" t="s">
        <v>4121</v>
      </c>
      <c r="E4117" s="4" t="n">
        <v>11</v>
      </c>
    </row>
    <row r="4118" customFormat="false" ht="15" hidden="false" customHeight="false" outlineLevel="0" collapsed="false">
      <c r="A4118" s="3" t="n">
        <v>2023</v>
      </c>
      <c r="B4118" s="3" t="n">
        <v>4</v>
      </c>
      <c r="C4118" s="3" t="n">
        <v>9</v>
      </c>
      <c r="D4118" s="3" t="s">
        <v>4122</v>
      </c>
      <c r="E4118" s="4" t="n">
        <v>0</v>
      </c>
    </row>
    <row r="4119" customFormat="false" ht="15" hidden="false" customHeight="false" outlineLevel="0" collapsed="false">
      <c r="A4119" s="3" t="n">
        <v>2023</v>
      </c>
      <c r="B4119" s="3" t="n">
        <v>4</v>
      </c>
      <c r="C4119" s="3" t="n">
        <v>10</v>
      </c>
      <c r="D4119" s="3" t="s">
        <v>4123</v>
      </c>
      <c r="E4119" s="4" t="n">
        <v>0</v>
      </c>
    </row>
    <row r="4120" customFormat="false" ht="15" hidden="false" customHeight="false" outlineLevel="0" collapsed="false">
      <c r="A4120" s="3" t="n">
        <v>2023</v>
      </c>
      <c r="B4120" s="3" t="n">
        <v>4</v>
      </c>
      <c r="C4120" s="3" t="n">
        <v>11</v>
      </c>
      <c r="D4120" s="3" t="s">
        <v>4124</v>
      </c>
      <c r="E4120" s="4" t="n">
        <v>0</v>
      </c>
    </row>
    <row r="4121" customFormat="false" ht="15" hidden="false" customHeight="false" outlineLevel="0" collapsed="false">
      <c r="A4121" s="3" t="n">
        <v>2023</v>
      </c>
      <c r="B4121" s="3" t="n">
        <v>4</v>
      </c>
      <c r="C4121" s="3" t="n">
        <v>12</v>
      </c>
      <c r="D4121" s="3" t="s">
        <v>4125</v>
      </c>
      <c r="E4121" s="4" t="n">
        <v>0</v>
      </c>
    </row>
    <row r="4122" customFormat="false" ht="15" hidden="false" customHeight="false" outlineLevel="0" collapsed="false">
      <c r="A4122" s="3" t="n">
        <v>2023</v>
      </c>
      <c r="B4122" s="3" t="n">
        <v>4</v>
      </c>
      <c r="C4122" s="3" t="n">
        <v>13</v>
      </c>
      <c r="D4122" s="3" t="s">
        <v>4126</v>
      </c>
      <c r="E4122" s="4" t="n">
        <v>0</v>
      </c>
    </row>
    <row r="4123" customFormat="false" ht="15" hidden="false" customHeight="false" outlineLevel="0" collapsed="false">
      <c r="A4123" s="3" t="n">
        <v>2023</v>
      </c>
      <c r="B4123" s="3" t="n">
        <v>4</v>
      </c>
      <c r="C4123" s="3" t="n">
        <v>14</v>
      </c>
      <c r="D4123" s="3" t="s">
        <v>4127</v>
      </c>
      <c r="E4123" s="4" t="n">
        <v>0</v>
      </c>
    </row>
    <row r="4124" customFormat="false" ht="15" hidden="false" customHeight="false" outlineLevel="0" collapsed="false">
      <c r="A4124" s="3" t="n">
        <v>2023</v>
      </c>
      <c r="B4124" s="3" t="n">
        <v>4</v>
      </c>
      <c r="C4124" s="3" t="n">
        <v>15</v>
      </c>
      <c r="D4124" s="3" t="s">
        <v>4128</v>
      </c>
      <c r="E4124" s="4" t="n">
        <v>0</v>
      </c>
    </row>
    <row r="4125" customFormat="false" ht="15" hidden="false" customHeight="false" outlineLevel="0" collapsed="false">
      <c r="A4125" s="3" t="n">
        <v>2023</v>
      </c>
      <c r="B4125" s="3" t="n">
        <v>4</v>
      </c>
      <c r="C4125" s="3" t="n">
        <v>16</v>
      </c>
      <c r="D4125" s="3" t="s">
        <v>4129</v>
      </c>
      <c r="E4125" s="4" t="n">
        <v>0</v>
      </c>
    </row>
    <row r="4126" customFormat="false" ht="15" hidden="false" customHeight="false" outlineLevel="0" collapsed="false">
      <c r="A4126" s="3" t="n">
        <v>2023</v>
      </c>
      <c r="B4126" s="3" t="n">
        <v>4</v>
      </c>
      <c r="C4126" s="3" t="n">
        <v>17</v>
      </c>
      <c r="D4126" s="3" t="s">
        <v>4130</v>
      </c>
      <c r="E4126" s="4" t="n">
        <v>0</v>
      </c>
    </row>
    <row r="4127" customFormat="false" ht="15" hidden="false" customHeight="false" outlineLevel="0" collapsed="false">
      <c r="A4127" s="3" t="n">
        <v>2023</v>
      </c>
      <c r="B4127" s="3" t="n">
        <v>4</v>
      </c>
      <c r="C4127" s="3" t="n">
        <v>18</v>
      </c>
      <c r="D4127" s="3" t="s">
        <v>4131</v>
      </c>
      <c r="E4127" s="4" t="n">
        <v>3</v>
      </c>
    </row>
    <row r="4128" customFormat="false" ht="15" hidden="false" customHeight="false" outlineLevel="0" collapsed="false">
      <c r="A4128" s="3" t="n">
        <v>2023</v>
      </c>
      <c r="B4128" s="3" t="n">
        <v>4</v>
      </c>
      <c r="C4128" s="3" t="n">
        <v>19</v>
      </c>
      <c r="D4128" s="3" t="s">
        <v>4132</v>
      </c>
      <c r="E4128" s="4" t="n">
        <v>0</v>
      </c>
    </row>
    <row r="4129" customFormat="false" ht="15" hidden="false" customHeight="false" outlineLevel="0" collapsed="false">
      <c r="A4129" s="3" t="n">
        <v>2023</v>
      </c>
      <c r="B4129" s="3" t="n">
        <v>4</v>
      </c>
      <c r="C4129" s="3" t="n">
        <v>20</v>
      </c>
      <c r="D4129" s="3" t="s">
        <v>4133</v>
      </c>
      <c r="E4129" s="4" t="n">
        <v>5</v>
      </c>
    </row>
    <row r="4130" customFormat="false" ht="15" hidden="false" customHeight="false" outlineLevel="0" collapsed="false">
      <c r="A4130" s="3" t="n">
        <v>2023</v>
      </c>
      <c r="B4130" s="3" t="n">
        <v>4</v>
      </c>
      <c r="C4130" s="3" t="n">
        <v>21</v>
      </c>
      <c r="D4130" s="3" t="s">
        <v>4134</v>
      </c>
      <c r="E4130" s="4" t="n">
        <v>0</v>
      </c>
    </row>
    <row r="4131" customFormat="false" ht="15" hidden="false" customHeight="false" outlineLevel="0" collapsed="false">
      <c r="A4131" s="3" t="n">
        <v>2023</v>
      </c>
      <c r="B4131" s="3" t="n">
        <v>4</v>
      </c>
      <c r="C4131" s="3" t="n">
        <v>22</v>
      </c>
      <c r="D4131" s="3" t="s">
        <v>4135</v>
      </c>
      <c r="E4131" s="4" t="n">
        <v>19</v>
      </c>
    </row>
    <row r="4132" customFormat="false" ht="15" hidden="false" customHeight="false" outlineLevel="0" collapsed="false">
      <c r="A4132" s="3" t="n">
        <v>2023</v>
      </c>
      <c r="B4132" s="3" t="n">
        <v>4</v>
      </c>
      <c r="C4132" s="3" t="n">
        <v>23</v>
      </c>
      <c r="D4132" s="3" t="s">
        <v>4136</v>
      </c>
      <c r="E4132" s="4" t="n">
        <v>53</v>
      </c>
    </row>
    <row r="4133" customFormat="false" ht="15" hidden="false" customHeight="false" outlineLevel="0" collapsed="false">
      <c r="A4133" s="3" t="n">
        <v>2023</v>
      </c>
      <c r="B4133" s="3" t="n">
        <v>4</v>
      </c>
      <c r="C4133" s="3" t="n">
        <v>24</v>
      </c>
      <c r="D4133" s="3" t="s">
        <v>4137</v>
      </c>
      <c r="E4133" s="4" t="n">
        <v>1</v>
      </c>
    </row>
    <row r="4134" customFormat="false" ht="15" hidden="false" customHeight="false" outlineLevel="0" collapsed="false">
      <c r="A4134" s="3" t="n">
        <v>2023</v>
      </c>
      <c r="B4134" s="3" t="n">
        <v>4</v>
      </c>
      <c r="C4134" s="3" t="n">
        <v>25</v>
      </c>
      <c r="D4134" s="3" t="s">
        <v>4138</v>
      </c>
      <c r="E4134" s="4" t="n">
        <v>6</v>
      </c>
    </row>
    <row r="4135" customFormat="false" ht="15" hidden="false" customHeight="false" outlineLevel="0" collapsed="false">
      <c r="A4135" s="3" t="n">
        <v>2023</v>
      </c>
      <c r="B4135" s="3" t="n">
        <v>4</v>
      </c>
      <c r="C4135" s="3" t="n">
        <v>26</v>
      </c>
      <c r="D4135" s="3" t="s">
        <v>4139</v>
      </c>
      <c r="E4135" s="4" t="n">
        <v>1</v>
      </c>
    </row>
    <row r="4136" customFormat="false" ht="15" hidden="false" customHeight="false" outlineLevel="0" collapsed="false">
      <c r="A4136" s="3" t="n">
        <v>2023</v>
      </c>
      <c r="B4136" s="3" t="n">
        <v>4</v>
      </c>
      <c r="C4136" s="3" t="n">
        <v>27</v>
      </c>
      <c r="D4136" s="3" t="s">
        <v>4140</v>
      </c>
      <c r="E4136" s="4" t="n">
        <v>4</v>
      </c>
    </row>
    <row r="4137" customFormat="false" ht="15" hidden="false" customHeight="false" outlineLevel="0" collapsed="false">
      <c r="A4137" s="3" t="n">
        <v>2023</v>
      </c>
      <c r="B4137" s="3" t="n">
        <v>4</v>
      </c>
      <c r="C4137" s="3" t="n">
        <v>28</v>
      </c>
      <c r="D4137" s="3" t="s">
        <v>4141</v>
      </c>
      <c r="E4137" s="4" t="n">
        <v>0</v>
      </c>
    </row>
    <row r="4138" customFormat="false" ht="15" hidden="false" customHeight="false" outlineLevel="0" collapsed="false">
      <c r="A4138" s="3" t="n">
        <v>2023</v>
      </c>
      <c r="B4138" s="3" t="n">
        <v>4</v>
      </c>
      <c r="C4138" s="3" t="n">
        <v>29</v>
      </c>
      <c r="D4138" s="3" t="s">
        <v>4142</v>
      </c>
      <c r="E4138" s="4" t="n">
        <v>43</v>
      </c>
    </row>
    <row r="4139" customFormat="false" ht="15" hidden="false" customHeight="false" outlineLevel="0" collapsed="false">
      <c r="A4139" s="3" t="n">
        <v>2023</v>
      </c>
      <c r="B4139" s="3" t="n">
        <v>4</v>
      </c>
      <c r="C4139" s="3" t="n">
        <v>30</v>
      </c>
      <c r="D4139" s="3" t="s">
        <v>4143</v>
      </c>
      <c r="E4139" s="4" t="n">
        <v>5</v>
      </c>
    </row>
    <row r="4140" customFormat="false" ht="15" hidden="false" customHeight="false" outlineLevel="0" collapsed="false">
      <c r="A4140" s="3" t="n">
        <v>2023</v>
      </c>
      <c r="B4140" s="3" t="n">
        <v>5</v>
      </c>
      <c r="C4140" s="3" t="n">
        <v>1</v>
      </c>
      <c r="D4140" s="3" t="s">
        <v>4144</v>
      </c>
      <c r="E4140" s="4" t="n">
        <v>72</v>
      </c>
    </row>
    <row r="4141" customFormat="false" ht="15" hidden="false" customHeight="false" outlineLevel="0" collapsed="false">
      <c r="A4141" s="3" t="n">
        <v>2023</v>
      </c>
      <c r="B4141" s="3" t="n">
        <v>5</v>
      </c>
      <c r="C4141" s="3" t="n">
        <v>2</v>
      </c>
      <c r="D4141" s="3" t="s">
        <v>4145</v>
      </c>
      <c r="E4141" s="4" t="n">
        <v>0</v>
      </c>
    </row>
    <row r="4142" customFormat="false" ht="15" hidden="false" customHeight="false" outlineLevel="0" collapsed="false">
      <c r="A4142" s="3" t="n">
        <v>2023</v>
      </c>
      <c r="B4142" s="3" t="n">
        <v>5</v>
      </c>
      <c r="C4142" s="3" t="n">
        <v>3</v>
      </c>
      <c r="D4142" s="3" t="s">
        <v>4146</v>
      </c>
      <c r="E4142" s="4" t="n">
        <v>0</v>
      </c>
    </row>
    <row r="4143" customFormat="false" ht="15" hidden="false" customHeight="false" outlineLevel="0" collapsed="false">
      <c r="A4143" s="3" t="n">
        <v>2023</v>
      </c>
      <c r="B4143" s="3" t="n">
        <v>5</v>
      </c>
      <c r="C4143" s="3" t="n">
        <v>4</v>
      </c>
      <c r="D4143" s="3" t="s">
        <v>4147</v>
      </c>
      <c r="E4143" s="4" t="n">
        <v>46</v>
      </c>
    </row>
    <row r="4144" customFormat="false" ht="15" hidden="false" customHeight="false" outlineLevel="0" collapsed="false">
      <c r="A4144" s="3" t="n">
        <v>2023</v>
      </c>
      <c r="B4144" s="3" t="n">
        <v>5</v>
      </c>
      <c r="C4144" s="3" t="n">
        <v>5</v>
      </c>
      <c r="D4144" s="3" t="s">
        <v>4148</v>
      </c>
      <c r="E4144" s="4" t="n">
        <v>1</v>
      </c>
    </row>
    <row r="4145" customFormat="false" ht="15" hidden="false" customHeight="false" outlineLevel="0" collapsed="false">
      <c r="A4145" s="3" t="n">
        <v>2023</v>
      </c>
      <c r="B4145" s="3" t="n">
        <v>5</v>
      </c>
      <c r="C4145" s="3" t="n">
        <v>6</v>
      </c>
      <c r="D4145" s="3" t="s">
        <v>4149</v>
      </c>
      <c r="E4145" s="4" t="n">
        <v>0</v>
      </c>
    </row>
    <row r="4146" customFormat="false" ht="15" hidden="false" customHeight="false" outlineLevel="0" collapsed="false">
      <c r="A4146" s="3" t="n">
        <v>2023</v>
      </c>
      <c r="B4146" s="3" t="n">
        <v>5</v>
      </c>
      <c r="C4146" s="3" t="n">
        <v>7</v>
      </c>
      <c r="D4146" s="3" t="s">
        <v>4150</v>
      </c>
      <c r="E4146" s="4" t="n">
        <v>28</v>
      </c>
    </row>
    <row r="4147" customFormat="false" ht="15" hidden="false" customHeight="false" outlineLevel="0" collapsed="false">
      <c r="A4147" s="3" t="n">
        <v>2023</v>
      </c>
      <c r="B4147" s="3" t="n">
        <v>5</v>
      </c>
      <c r="C4147" s="3" t="n">
        <v>8</v>
      </c>
      <c r="D4147" s="3" t="s">
        <v>4151</v>
      </c>
      <c r="E4147" s="4" t="n">
        <v>1</v>
      </c>
    </row>
    <row r="4148" customFormat="false" ht="15" hidden="false" customHeight="false" outlineLevel="0" collapsed="false">
      <c r="A4148" s="3" t="n">
        <v>2023</v>
      </c>
      <c r="B4148" s="3" t="n">
        <v>5</v>
      </c>
      <c r="C4148" s="3" t="n">
        <v>9</v>
      </c>
      <c r="D4148" s="3" t="s">
        <v>4152</v>
      </c>
      <c r="E4148" s="4" t="n">
        <v>17</v>
      </c>
    </row>
    <row r="4149" customFormat="false" ht="15" hidden="false" customHeight="false" outlineLevel="0" collapsed="false">
      <c r="A4149" s="3" t="n">
        <v>2023</v>
      </c>
      <c r="B4149" s="3" t="n">
        <v>5</v>
      </c>
      <c r="C4149" s="3" t="n">
        <v>10</v>
      </c>
      <c r="D4149" s="3" t="s">
        <v>4153</v>
      </c>
      <c r="E4149" s="4" t="n">
        <v>12</v>
      </c>
    </row>
    <row r="4150" customFormat="false" ht="15" hidden="false" customHeight="false" outlineLevel="0" collapsed="false">
      <c r="A4150" s="3" t="n">
        <v>2023</v>
      </c>
      <c r="B4150" s="3" t="n">
        <v>5</v>
      </c>
      <c r="C4150" s="3" t="n">
        <v>11</v>
      </c>
      <c r="D4150" s="3" t="s">
        <v>4154</v>
      </c>
      <c r="E4150" s="4" t="n">
        <v>0</v>
      </c>
    </row>
    <row r="4151" customFormat="false" ht="15" hidden="false" customHeight="false" outlineLevel="0" collapsed="false">
      <c r="A4151" s="3" t="n">
        <v>2023</v>
      </c>
      <c r="B4151" s="3" t="n">
        <v>5</v>
      </c>
      <c r="C4151" s="3" t="n">
        <v>12</v>
      </c>
      <c r="D4151" s="3" t="s">
        <v>4155</v>
      </c>
      <c r="E4151" s="4" t="n">
        <v>0</v>
      </c>
    </row>
    <row r="4152" customFormat="false" ht="15" hidden="false" customHeight="false" outlineLevel="0" collapsed="false">
      <c r="A4152" s="3" t="n">
        <v>2023</v>
      </c>
      <c r="B4152" s="3" t="n">
        <v>5</v>
      </c>
      <c r="C4152" s="3" t="n">
        <v>13</v>
      </c>
      <c r="D4152" s="3" t="s">
        <v>4156</v>
      </c>
      <c r="E4152" s="4" t="n">
        <v>39</v>
      </c>
    </row>
    <row r="4153" customFormat="false" ht="15" hidden="false" customHeight="false" outlineLevel="0" collapsed="false">
      <c r="A4153" s="3" t="n">
        <v>2023</v>
      </c>
      <c r="B4153" s="3" t="n">
        <v>5</v>
      </c>
      <c r="C4153" s="3" t="n">
        <v>14</v>
      </c>
      <c r="D4153" s="3" t="s">
        <v>4157</v>
      </c>
      <c r="E4153" s="4" t="n">
        <v>8</v>
      </c>
    </row>
    <row r="4154" customFormat="false" ht="15" hidden="false" customHeight="false" outlineLevel="0" collapsed="false">
      <c r="A4154" s="3" t="n">
        <v>2023</v>
      </c>
      <c r="B4154" s="3" t="n">
        <v>5</v>
      </c>
      <c r="C4154" s="3" t="n">
        <v>15</v>
      </c>
      <c r="D4154" s="3" t="s">
        <v>4158</v>
      </c>
      <c r="E4154" s="4" t="n">
        <v>0</v>
      </c>
    </row>
    <row r="4155" customFormat="false" ht="15" hidden="false" customHeight="false" outlineLevel="0" collapsed="false">
      <c r="A4155" s="3" t="n">
        <v>2023</v>
      </c>
      <c r="B4155" s="3" t="n">
        <v>5</v>
      </c>
      <c r="C4155" s="3" t="n">
        <v>16</v>
      </c>
      <c r="D4155" s="3" t="s">
        <v>4159</v>
      </c>
      <c r="E4155" s="4" t="n">
        <v>0</v>
      </c>
    </row>
    <row r="4156" customFormat="false" ht="15" hidden="false" customHeight="false" outlineLevel="0" collapsed="false">
      <c r="A4156" s="3" t="n">
        <v>2023</v>
      </c>
      <c r="B4156" s="3" t="n">
        <v>5</v>
      </c>
      <c r="C4156" s="3" t="n">
        <v>17</v>
      </c>
      <c r="D4156" s="3" t="s">
        <v>4160</v>
      </c>
      <c r="E4156" s="4" t="n">
        <v>0</v>
      </c>
    </row>
    <row r="4157" customFormat="false" ht="15" hidden="false" customHeight="false" outlineLevel="0" collapsed="false">
      <c r="A4157" s="3" t="n">
        <v>2023</v>
      </c>
      <c r="B4157" s="3" t="n">
        <v>5</v>
      </c>
      <c r="C4157" s="3" t="n">
        <v>18</v>
      </c>
      <c r="D4157" s="3" t="s">
        <v>4161</v>
      </c>
      <c r="E4157" s="4" t="n">
        <v>0</v>
      </c>
    </row>
    <row r="4158" customFormat="false" ht="15" hidden="false" customHeight="false" outlineLevel="0" collapsed="false">
      <c r="A4158" s="3" t="n">
        <v>2023</v>
      </c>
      <c r="B4158" s="3" t="n">
        <v>5</v>
      </c>
      <c r="C4158" s="3" t="n">
        <v>19</v>
      </c>
      <c r="D4158" s="3" t="s">
        <v>4162</v>
      </c>
      <c r="E4158" s="4" t="n">
        <v>0</v>
      </c>
    </row>
    <row r="4159" customFormat="false" ht="15" hidden="false" customHeight="false" outlineLevel="0" collapsed="false">
      <c r="A4159" s="3" t="n">
        <v>2023</v>
      </c>
      <c r="B4159" s="3" t="n">
        <v>5</v>
      </c>
      <c r="C4159" s="3" t="n">
        <v>20</v>
      </c>
      <c r="D4159" s="3" t="s">
        <v>4163</v>
      </c>
      <c r="E4159" s="4" t="n">
        <v>10</v>
      </c>
    </row>
    <row r="4160" customFormat="false" ht="15" hidden="false" customHeight="false" outlineLevel="0" collapsed="false">
      <c r="A4160" s="3" t="n">
        <v>2023</v>
      </c>
      <c r="B4160" s="3" t="n">
        <v>5</v>
      </c>
      <c r="C4160" s="3" t="n">
        <v>21</v>
      </c>
      <c r="D4160" s="3" t="s">
        <v>4164</v>
      </c>
      <c r="E4160" s="4" t="n">
        <v>3</v>
      </c>
    </row>
    <row r="4161" customFormat="false" ht="15" hidden="false" customHeight="false" outlineLevel="0" collapsed="false">
      <c r="A4161" s="3" t="n">
        <v>2023</v>
      </c>
      <c r="B4161" s="3" t="n">
        <v>5</v>
      </c>
      <c r="C4161" s="3" t="n">
        <v>22</v>
      </c>
      <c r="D4161" s="3" t="s">
        <v>4165</v>
      </c>
      <c r="E4161" s="4" t="n">
        <v>1</v>
      </c>
    </row>
    <row r="4162" customFormat="false" ht="15" hidden="false" customHeight="false" outlineLevel="0" collapsed="false">
      <c r="A4162" s="3" t="n">
        <v>2023</v>
      </c>
      <c r="B4162" s="3" t="n">
        <v>5</v>
      </c>
      <c r="C4162" s="3" t="n">
        <v>23</v>
      </c>
      <c r="D4162" s="3" t="s">
        <v>4166</v>
      </c>
      <c r="E4162" s="4" t="n">
        <v>0</v>
      </c>
    </row>
    <row r="4163" customFormat="false" ht="15" hidden="false" customHeight="false" outlineLevel="0" collapsed="false">
      <c r="A4163" s="3" t="n">
        <v>2023</v>
      </c>
      <c r="B4163" s="3" t="n">
        <v>5</v>
      </c>
      <c r="C4163" s="3" t="n">
        <v>24</v>
      </c>
      <c r="D4163" s="3" t="s">
        <v>4167</v>
      </c>
      <c r="E4163" s="4" t="n">
        <v>13</v>
      </c>
    </row>
    <row r="4164" customFormat="false" ht="15" hidden="false" customHeight="false" outlineLevel="0" collapsed="false">
      <c r="A4164" s="3" t="n">
        <v>2023</v>
      </c>
      <c r="B4164" s="3" t="n">
        <v>5</v>
      </c>
      <c r="C4164" s="3" t="n">
        <v>25</v>
      </c>
      <c r="D4164" s="3" t="s">
        <v>4168</v>
      </c>
      <c r="E4164" s="4" t="n">
        <v>0</v>
      </c>
    </row>
    <row r="4165" customFormat="false" ht="15" hidden="false" customHeight="false" outlineLevel="0" collapsed="false">
      <c r="A4165" s="3" t="n">
        <v>2023</v>
      </c>
      <c r="B4165" s="3" t="n">
        <v>5</v>
      </c>
      <c r="C4165" s="3" t="n">
        <v>26</v>
      </c>
      <c r="D4165" s="3" t="s">
        <v>4169</v>
      </c>
      <c r="E4165" s="4" t="n">
        <v>0</v>
      </c>
    </row>
    <row r="4166" customFormat="false" ht="15" hidden="false" customHeight="false" outlineLevel="0" collapsed="false">
      <c r="A4166" s="3" t="n">
        <v>2023</v>
      </c>
      <c r="B4166" s="3" t="n">
        <v>5</v>
      </c>
      <c r="C4166" s="3" t="n">
        <v>27</v>
      </c>
      <c r="D4166" s="3" t="s">
        <v>4170</v>
      </c>
      <c r="E4166" s="4" t="n">
        <v>3</v>
      </c>
    </row>
    <row r="4167" customFormat="false" ht="15" hidden="false" customHeight="false" outlineLevel="0" collapsed="false">
      <c r="A4167" s="3" t="n">
        <v>2023</v>
      </c>
      <c r="B4167" s="3" t="n">
        <v>5</v>
      </c>
      <c r="C4167" s="3" t="n">
        <v>28</v>
      </c>
      <c r="D4167" s="3" t="s">
        <v>4171</v>
      </c>
      <c r="E4167" s="4" t="n">
        <v>41</v>
      </c>
    </row>
    <row r="4168" customFormat="false" ht="15" hidden="false" customHeight="false" outlineLevel="0" collapsed="false">
      <c r="A4168" s="3" t="n">
        <v>2023</v>
      </c>
      <c r="B4168" s="3" t="n">
        <v>5</v>
      </c>
      <c r="C4168" s="3" t="n">
        <v>29</v>
      </c>
      <c r="D4168" s="3" t="s">
        <v>4172</v>
      </c>
      <c r="E4168" s="4" t="n">
        <v>0</v>
      </c>
    </row>
    <row r="4169" customFormat="false" ht="15" hidden="false" customHeight="false" outlineLevel="0" collapsed="false">
      <c r="A4169" s="3" t="n">
        <v>2023</v>
      </c>
      <c r="B4169" s="3" t="n">
        <v>5</v>
      </c>
      <c r="C4169" s="3" t="n">
        <v>30</v>
      </c>
      <c r="D4169" s="3" t="s">
        <v>4173</v>
      </c>
      <c r="E4169" s="4" t="n">
        <v>0</v>
      </c>
    </row>
    <row r="4170" customFormat="false" ht="15" hidden="false" customHeight="false" outlineLevel="0" collapsed="false">
      <c r="A4170" s="3" t="n">
        <v>2023</v>
      </c>
      <c r="B4170" s="3" t="n">
        <v>5</v>
      </c>
      <c r="C4170" s="3" t="n">
        <v>31</v>
      </c>
      <c r="D4170" s="3" t="s">
        <v>4174</v>
      </c>
      <c r="E4170" s="4" t="n">
        <v>38</v>
      </c>
    </row>
    <row r="4171" customFormat="false" ht="15" hidden="false" customHeight="false" outlineLevel="0" collapsed="false">
      <c r="A4171" s="3" t="n">
        <v>2023</v>
      </c>
      <c r="B4171" s="3" t="n">
        <v>6</v>
      </c>
      <c r="C4171" s="3" t="n">
        <v>1</v>
      </c>
      <c r="D4171" s="3" t="s">
        <v>4175</v>
      </c>
      <c r="E4171" s="4" t="n">
        <v>4</v>
      </c>
    </row>
    <row r="4172" customFormat="false" ht="15" hidden="false" customHeight="false" outlineLevel="0" collapsed="false">
      <c r="A4172" s="3" t="n">
        <v>2023</v>
      </c>
      <c r="B4172" s="3" t="n">
        <v>6</v>
      </c>
      <c r="C4172" s="3" t="n">
        <v>2</v>
      </c>
      <c r="D4172" s="3" t="s">
        <v>4176</v>
      </c>
      <c r="E4172" s="4" t="n">
        <v>0</v>
      </c>
    </row>
    <row r="4173" customFormat="false" ht="15" hidden="false" customHeight="false" outlineLevel="0" collapsed="false">
      <c r="A4173" s="3" t="n">
        <v>2023</v>
      </c>
      <c r="B4173" s="3" t="n">
        <v>6</v>
      </c>
      <c r="C4173" s="3" t="n">
        <v>3</v>
      </c>
      <c r="D4173" s="3" t="s">
        <v>4177</v>
      </c>
      <c r="E4173" s="4" t="n">
        <v>2</v>
      </c>
    </row>
    <row r="4174" customFormat="false" ht="15" hidden="false" customHeight="false" outlineLevel="0" collapsed="false">
      <c r="A4174" s="3" t="n">
        <v>2023</v>
      </c>
      <c r="B4174" s="3" t="n">
        <v>6</v>
      </c>
      <c r="C4174" s="3" t="n">
        <v>4</v>
      </c>
      <c r="D4174" s="3" t="s">
        <v>4178</v>
      </c>
      <c r="E4174" s="4" t="n">
        <v>0</v>
      </c>
    </row>
    <row r="4175" customFormat="false" ht="15" hidden="false" customHeight="false" outlineLevel="0" collapsed="false">
      <c r="A4175" s="3" t="n">
        <v>2023</v>
      </c>
      <c r="B4175" s="3" t="n">
        <v>6</v>
      </c>
      <c r="C4175" s="3" t="n">
        <v>5</v>
      </c>
      <c r="D4175" s="3" t="s">
        <v>4179</v>
      </c>
      <c r="E4175" s="4" t="n">
        <v>4</v>
      </c>
    </row>
    <row r="4176" customFormat="false" ht="15" hidden="false" customHeight="false" outlineLevel="0" collapsed="false">
      <c r="A4176" s="3" t="n">
        <v>2023</v>
      </c>
      <c r="B4176" s="3" t="n">
        <v>6</v>
      </c>
      <c r="C4176" s="3" t="n">
        <v>6</v>
      </c>
      <c r="D4176" s="3" t="s">
        <v>4180</v>
      </c>
      <c r="E4176" s="4" t="n">
        <v>0</v>
      </c>
    </row>
    <row r="4177" customFormat="false" ht="15" hidden="false" customHeight="false" outlineLevel="0" collapsed="false">
      <c r="A4177" s="3" t="n">
        <v>2023</v>
      </c>
      <c r="B4177" s="3" t="n">
        <v>6</v>
      </c>
      <c r="C4177" s="3" t="n">
        <v>7</v>
      </c>
      <c r="D4177" s="3" t="s">
        <v>4181</v>
      </c>
      <c r="E4177" s="4" t="n">
        <v>5</v>
      </c>
    </row>
    <row r="4178" customFormat="false" ht="15" hidden="false" customHeight="false" outlineLevel="0" collapsed="false">
      <c r="A4178" s="3" t="n">
        <v>2023</v>
      </c>
      <c r="B4178" s="3" t="n">
        <v>6</v>
      </c>
      <c r="C4178" s="3" t="n">
        <v>8</v>
      </c>
      <c r="D4178" s="3" t="s">
        <v>4182</v>
      </c>
      <c r="E4178" s="4" t="n">
        <v>1</v>
      </c>
    </row>
    <row r="4179" customFormat="false" ht="15" hidden="false" customHeight="false" outlineLevel="0" collapsed="false">
      <c r="A4179" s="3" t="n">
        <v>2023</v>
      </c>
      <c r="B4179" s="3" t="n">
        <v>6</v>
      </c>
      <c r="C4179" s="3" t="n">
        <v>9</v>
      </c>
      <c r="D4179" s="3" t="s">
        <v>4183</v>
      </c>
      <c r="E4179" s="4" t="n">
        <v>80</v>
      </c>
    </row>
    <row r="4180" customFormat="false" ht="15" hidden="false" customHeight="false" outlineLevel="0" collapsed="false">
      <c r="A4180" s="3" t="n">
        <v>2023</v>
      </c>
      <c r="B4180" s="3" t="n">
        <v>6</v>
      </c>
      <c r="C4180" s="3" t="n">
        <v>10</v>
      </c>
      <c r="D4180" s="3" t="s">
        <v>4184</v>
      </c>
      <c r="E4180" s="4" t="n">
        <v>0</v>
      </c>
    </row>
    <row r="4181" customFormat="false" ht="15" hidden="false" customHeight="false" outlineLevel="0" collapsed="false">
      <c r="A4181" s="3" t="n">
        <v>2023</v>
      </c>
      <c r="B4181" s="3" t="n">
        <v>6</v>
      </c>
      <c r="C4181" s="3" t="n">
        <v>11</v>
      </c>
      <c r="D4181" s="3" t="s">
        <v>4185</v>
      </c>
      <c r="E4181" s="4" t="n">
        <v>0</v>
      </c>
    </row>
    <row r="4182" customFormat="false" ht="15" hidden="false" customHeight="false" outlineLevel="0" collapsed="false">
      <c r="A4182" s="3" t="n">
        <v>2023</v>
      </c>
      <c r="B4182" s="3" t="n">
        <v>6</v>
      </c>
      <c r="C4182" s="3" t="n">
        <v>12</v>
      </c>
      <c r="D4182" s="3" t="s">
        <v>4186</v>
      </c>
      <c r="E4182" s="4" t="n">
        <v>15</v>
      </c>
    </row>
    <row r="4183" customFormat="false" ht="15" hidden="false" customHeight="false" outlineLevel="0" collapsed="false">
      <c r="A4183" s="3" t="n">
        <v>2023</v>
      </c>
      <c r="B4183" s="3" t="n">
        <v>6</v>
      </c>
      <c r="C4183" s="3" t="n">
        <v>13</v>
      </c>
      <c r="D4183" s="3" t="s">
        <v>4187</v>
      </c>
      <c r="E4183" s="4" t="n">
        <v>0</v>
      </c>
    </row>
    <row r="4184" customFormat="false" ht="15" hidden="false" customHeight="false" outlineLevel="0" collapsed="false">
      <c r="A4184" s="3" t="n">
        <v>2023</v>
      </c>
      <c r="B4184" s="3" t="n">
        <v>6</v>
      </c>
      <c r="C4184" s="3" t="n">
        <v>14</v>
      </c>
      <c r="D4184" s="3" t="s">
        <v>4188</v>
      </c>
      <c r="E4184" s="4" t="n">
        <v>0</v>
      </c>
    </row>
    <row r="4185" customFormat="false" ht="15" hidden="false" customHeight="false" outlineLevel="0" collapsed="false">
      <c r="A4185" s="3" t="n">
        <v>2023</v>
      </c>
      <c r="B4185" s="3" t="n">
        <v>6</v>
      </c>
      <c r="C4185" s="3" t="n">
        <v>15</v>
      </c>
      <c r="D4185" s="3" t="s">
        <v>4189</v>
      </c>
      <c r="E4185" s="4" t="n">
        <v>1</v>
      </c>
    </row>
    <row r="4186" customFormat="false" ht="15" hidden="false" customHeight="false" outlineLevel="0" collapsed="false">
      <c r="A4186" s="3" t="n">
        <v>2023</v>
      </c>
      <c r="B4186" s="3" t="n">
        <v>6</v>
      </c>
      <c r="C4186" s="3" t="n">
        <v>16</v>
      </c>
      <c r="D4186" s="3" t="s">
        <v>4190</v>
      </c>
      <c r="E4186" s="4" t="n">
        <v>27</v>
      </c>
    </row>
    <row r="4187" customFormat="false" ht="15" hidden="false" customHeight="false" outlineLevel="0" collapsed="false">
      <c r="A4187" s="3" t="n">
        <v>2023</v>
      </c>
      <c r="B4187" s="3" t="n">
        <v>6</v>
      </c>
      <c r="C4187" s="3" t="n">
        <v>17</v>
      </c>
      <c r="D4187" s="3" t="s">
        <v>4191</v>
      </c>
      <c r="E4187" s="4" t="n">
        <v>0</v>
      </c>
    </row>
    <row r="4188" customFormat="false" ht="15" hidden="false" customHeight="false" outlineLevel="0" collapsed="false">
      <c r="A4188" s="3" t="n">
        <v>2023</v>
      </c>
      <c r="B4188" s="3" t="n">
        <v>6</v>
      </c>
      <c r="C4188" s="3" t="n">
        <v>18</v>
      </c>
      <c r="D4188" s="3" t="s">
        <v>4192</v>
      </c>
      <c r="E4188" s="4" t="n">
        <v>0</v>
      </c>
    </row>
    <row r="4189" customFormat="false" ht="15" hidden="false" customHeight="false" outlineLevel="0" collapsed="false">
      <c r="A4189" s="3" t="n">
        <v>2023</v>
      </c>
      <c r="B4189" s="3" t="n">
        <v>6</v>
      </c>
      <c r="C4189" s="3" t="n">
        <v>19</v>
      </c>
      <c r="D4189" s="3" t="s">
        <v>4193</v>
      </c>
      <c r="E4189" s="4" t="n">
        <v>0</v>
      </c>
    </row>
    <row r="4190" customFormat="false" ht="15" hidden="false" customHeight="false" outlineLevel="0" collapsed="false">
      <c r="A4190" s="3" t="n">
        <v>2023</v>
      </c>
      <c r="B4190" s="3" t="n">
        <v>6</v>
      </c>
      <c r="C4190" s="3" t="n">
        <v>20</v>
      </c>
      <c r="D4190" s="3" t="s">
        <v>4194</v>
      </c>
      <c r="E4190" s="4" t="n">
        <v>2</v>
      </c>
    </row>
    <row r="4191" customFormat="false" ht="15" hidden="false" customHeight="false" outlineLevel="0" collapsed="false">
      <c r="A4191" s="3" t="n">
        <v>2023</v>
      </c>
      <c r="B4191" s="3" t="n">
        <v>6</v>
      </c>
      <c r="C4191" s="3" t="n">
        <v>21</v>
      </c>
      <c r="D4191" s="3" t="s">
        <v>4195</v>
      </c>
      <c r="E4191" s="4" t="n">
        <v>0</v>
      </c>
    </row>
    <row r="4192" customFormat="false" ht="15" hidden="false" customHeight="false" outlineLevel="0" collapsed="false">
      <c r="A4192" s="3" t="n">
        <v>2023</v>
      </c>
      <c r="B4192" s="3" t="n">
        <v>6</v>
      </c>
      <c r="C4192" s="3" t="n">
        <v>22</v>
      </c>
      <c r="D4192" s="3" t="s">
        <v>4196</v>
      </c>
      <c r="E4192" s="4" t="n">
        <v>6</v>
      </c>
    </row>
    <row r="4193" customFormat="false" ht="15" hidden="false" customHeight="false" outlineLevel="0" collapsed="false">
      <c r="A4193" s="3" t="n">
        <v>2023</v>
      </c>
      <c r="B4193" s="3" t="n">
        <v>6</v>
      </c>
      <c r="C4193" s="3" t="n">
        <v>23</v>
      </c>
      <c r="D4193" s="3" t="s">
        <v>4197</v>
      </c>
      <c r="E4193" s="4" t="n">
        <v>34</v>
      </c>
    </row>
    <row r="4194" customFormat="false" ht="15" hidden="false" customHeight="false" outlineLevel="0" collapsed="false">
      <c r="A4194" s="3" t="n">
        <v>2023</v>
      </c>
      <c r="B4194" s="3" t="n">
        <v>6</v>
      </c>
      <c r="C4194" s="3" t="n">
        <v>24</v>
      </c>
      <c r="D4194" s="3" t="s">
        <v>4198</v>
      </c>
      <c r="E4194" s="4" t="n">
        <v>0</v>
      </c>
    </row>
    <row r="4195" customFormat="false" ht="15" hidden="false" customHeight="false" outlineLevel="0" collapsed="false">
      <c r="A4195" s="3" t="n">
        <v>2023</v>
      </c>
      <c r="B4195" s="3" t="n">
        <v>6</v>
      </c>
      <c r="C4195" s="3" t="n">
        <v>25</v>
      </c>
      <c r="D4195" s="3" t="s">
        <v>4199</v>
      </c>
      <c r="E4195" s="4" t="n">
        <v>0</v>
      </c>
    </row>
    <row r="4196" customFormat="false" ht="15" hidden="false" customHeight="false" outlineLevel="0" collapsed="false">
      <c r="A4196" s="3" t="n">
        <v>2023</v>
      </c>
      <c r="B4196" s="3" t="n">
        <v>6</v>
      </c>
      <c r="C4196" s="3" t="n">
        <v>26</v>
      </c>
      <c r="D4196" s="3" t="s">
        <v>4200</v>
      </c>
      <c r="E4196" s="4" t="n">
        <v>19</v>
      </c>
    </row>
    <row r="4197" customFormat="false" ht="15" hidden="false" customHeight="false" outlineLevel="0" collapsed="false">
      <c r="A4197" s="3" t="n">
        <v>2023</v>
      </c>
      <c r="B4197" s="3" t="n">
        <v>6</v>
      </c>
      <c r="C4197" s="3" t="n">
        <v>27</v>
      </c>
      <c r="D4197" s="3" t="s">
        <v>4201</v>
      </c>
      <c r="E4197" s="4" t="n">
        <v>0</v>
      </c>
    </row>
    <row r="4198" customFormat="false" ht="15" hidden="false" customHeight="false" outlineLevel="0" collapsed="false">
      <c r="A4198" s="3" t="n">
        <v>2023</v>
      </c>
      <c r="B4198" s="3" t="n">
        <v>6</v>
      </c>
      <c r="C4198" s="3" t="n">
        <v>28</v>
      </c>
      <c r="D4198" s="3" t="s">
        <v>4202</v>
      </c>
      <c r="E4198" s="4" t="n">
        <v>63</v>
      </c>
    </row>
    <row r="4199" customFormat="false" ht="15" hidden="false" customHeight="false" outlineLevel="0" collapsed="false">
      <c r="A4199" s="3" t="n">
        <v>2023</v>
      </c>
      <c r="B4199" s="3" t="n">
        <v>6</v>
      </c>
      <c r="C4199" s="3" t="n">
        <v>29</v>
      </c>
      <c r="D4199" s="3" t="s">
        <v>4203</v>
      </c>
      <c r="E4199" s="4" t="n">
        <v>0</v>
      </c>
    </row>
    <row r="4200" customFormat="false" ht="15" hidden="false" customHeight="false" outlineLevel="0" collapsed="false">
      <c r="A4200" s="3" t="n">
        <v>2023</v>
      </c>
      <c r="B4200" s="3" t="n">
        <v>6</v>
      </c>
      <c r="C4200" s="3" t="n">
        <v>30</v>
      </c>
      <c r="D4200" s="3" t="s">
        <v>4204</v>
      </c>
      <c r="E4200" s="4" t="n">
        <v>0</v>
      </c>
    </row>
    <row r="4201" customFormat="false" ht="15" hidden="false" customHeight="false" outlineLevel="0" collapsed="false">
      <c r="A4201" s="3" t="n">
        <v>2023</v>
      </c>
      <c r="B4201" s="3" t="n">
        <v>7</v>
      </c>
      <c r="C4201" s="3" t="n">
        <v>1</v>
      </c>
      <c r="D4201" s="3" t="s">
        <v>4205</v>
      </c>
      <c r="E4201" s="4" t="n">
        <v>20</v>
      </c>
    </row>
    <row r="4202" customFormat="false" ht="15" hidden="false" customHeight="false" outlineLevel="0" collapsed="false">
      <c r="A4202" s="3" t="n">
        <v>2023</v>
      </c>
      <c r="B4202" s="3" t="n">
        <v>7</v>
      </c>
      <c r="C4202" s="3" t="n">
        <v>2</v>
      </c>
      <c r="D4202" s="3" t="s">
        <v>4206</v>
      </c>
      <c r="E4202" s="4" t="n">
        <v>85</v>
      </c>
    </row>
    <row r="4203" customFormat="false" ht="15" hidden="false" customHeight="false" outlineLevel="0" collapsed="false">
      <c r="A4203" s="3" t="n">
        <v>2023</v>
      </c>
      <c r="B4203" s="3" t="n">
        <v>7</v>
      </c>
      <c r="C4203" s="3" t="n">
        <v>3</v>
      </c>
      <c r="D4203" s="3" t="s">
        <v>4207</v>
      </c>
      <c r="E4203" s="4" t="n">
        <v>1</v>
      </c>
    </row>
    <row r="4204" customFormat="false" ht="15" hidden="false" customHeight="false" outlineLevel="0" collapsed="false">
      <c r="A4204" s="3" t="n">
        <v>2023</v>
      </c>
      <c r="B4204" s="3" t="n">
        <v>7</v>
      </c>
      <c r="C4204" s="3" t="n">
        <v>4</v>
      </c>
      <c r="D4204" s="3" t="s">
        <v>4208</v>
      </c>
      <c r="E4204" s="4" t="n">
        <v>0</v>
      </c>
    </row>
    <row r="4205" customFormat="false" ht="15" hidden="false" customHeight="false" outlineLevel="0" collapsed="false">
      <c r="A4205" s="3" t="n">
        <v>2023</v>
      </c>
      <c r="B4205" s="3" t="n">
        <v>7</v>
      </c>
      <c r="C4205" s="3" t="n">
        <v>5</v>
      </c>
      <c r="D4205" s="3" t="s">
        <v>4209</v>
      </c>
      <c r="E4205" s="4" t="n">
        <v>39</v>
      </c>
    </row>
    <row r="4206" customFormat="false" ht="15" hidden="false" customHeight="false" outlineLevel="0" collapsed="false">
      <c r="A4206" s="3" t="n">
        <v>2023</v>
      </c>
      <c r="B4206" s="3" t="n">
        <v>7</v>
      </c>
      <c r="C4206" s="3" t="n">
        <v>6</v>
      </c>
      <c r="D4206" s="3" t="s">
        <v>4210</v>
      </c>
      <c r="E4206" s="4" t="n">
        <v>19</v>
      </c>
    </row>
    <row r="4207" customFormat="false" ht="15" hidden="false" customHeight="false" outlineLevel="0" collapsed="false">
      <c r="A4207" s="3" t="n">
        <v>2023</v>
      </c>
      <c r="B4207" s="3" t="n">
        <v>7</v>
      </c>
      <c r="C4207" s="3" t="n">
        <v>7</v>
      </c>
      <c r="D4207" s="3" t="s">
        <v>4211</v>
      </c>
      <c r="E4207" s="4" t="n">
        <v>11</v>
      </c>
    </row>
    <row r="4208" customFormat="false" ht="15" hidden="false" customHeight="false" outlineLevel="0" collapsed="false">
      <c r="A4208" s="3" t="n">
        <v>2023</v>
      </c>
      <c r="B4208" s="3" t="n">
        <v>7</v>
      </c>
      <c r="C4208" s="3" t="n">
        <v>8</v>
      </c>
      <c r="D4208" s="3" t="s">
        <v>4212</v>
      </c>
      <c r="E4208" s="4" t="n">
        <v>0</v>
      </c>
    </row>
    <row r="4209" customFormat="false" ht="15" hidden="false" customHeight="false" outlineLevel="0" collapsed="false">
      <c r="A4209" s="3" t="n">
        <v>2023</v>
      </c>
      <c r="B4209" s="3" t="n">
        <v>7</v>
      </c>
      <c r="C4209" s="3" t="n">
        <v>9</v>
      </c>
      <c r="D4209" s="3" t="s">
        <v>4213</v>
      </c>
      <c r="E4209" s="4" t="n">
        <v>0</v>
      </c>
    </row>
    <row r="4210" customFormat="false" ht="15" hidden="false" customHeight="false" outlineLevel="0" collapsed="false">
      <c r="A4210" s="3" t="n">
        <v>2023</v>
      </c>
      <c r="B4210" s="3" t="n">
        <v>7</v>
      </c>
      <c r="C4210" s="3" t="n">
        <v>10</v>
      </c>
      <c r="D4210" s="3" t="s">
        <v>4214</v>
      </c>
      <c r="E4210" s="4" t="n">
        <v>14</v>
      </c>
    </row>
    <row r="4211" customFormat="false" ht="15" hidden="false" customHeight="false" outlineLevel="0" collapsed="false">
      <c r="A4211" s="3" t="n">
        <v>2023</v>
      </c>
      <c r="B4211" s="3" t="n">
        <v>7</v>
      </c>
      <c r="C4211" s="3" t="n">
        <v>11</v>
      </c>
      <c r="D4211" s="3" t="s">
        <v>4215</v>
      </c>
      <c r="E4211" s="4" t="n">
        <v>55</v>
      </c>
    </row>
    <row r="4212" customFormat="false" ht="15" hidden="false" customHeight="false" outlineLevel="0" collapsed="false">
      <c r="A4212" s="3" t="n">
        <v>2023</v>
      </c>
      <c r="B4212" s="3" t="n">
        <v>7</v>
      </c>
      <c r="C4212" s="3" t="n">
        <v>12</v>
      </c>
      <c r="D4212" s="3" t="s">
        <v>4216</v>
      </c>
      <c r="E4212" s="4" t="n">
        <v>0</v>
      </c>
    </row>
    <row r="4213" customFormat="false" ht="15" hidden="false" customHeight="false" outlineLevel="0" collapsed="false">
      <c r="A4213" s="3" t="n">
        <v>2023</v>
      </c>
      <c r="B4213" s="3" t="n">
        <v>7</v>
      </c>
      <c r="C4213" s="3" t="n">
        <v>13</v>
      </c>
      <c r="D4213" s="3" t="s">
        <v>4217</v>
      </c>
      <c r="E4213" s="4" t="n">
        <v>0</v>
      </c>
    </row>
    <row r="4214" customFormat="false" ht="15" hidden="false" customHeight="false" outlineLevel="0" collapsed="false">
      <c r="A4214" s="3" t="n">
        <v>2023</v>
      </c>
      <c r="B4214" s="3" t="n">
        <v>7</v>
      </c>
      <c r="C4214" s="3" t="n">
        <v>14</v>
      </c>
      <c r="D4214" s="3" t="s">
        <v>4218</v>
      </c>
      <c r="E4214" s="4" t="n">
        <v>0</v>
      </c>
    </row>
    <row r="4215" customFormat="false" ht="15" hidden="false" customHeight="false" outlineLevel="0" collapsed="false">
      <c r="A4215" s="3" t="n">
        <v>2023</v>
      </c>
      <c r="B4215" s="3" t="n">
        <v>7</v>
      </c>
      <c r="C4215" s="3" t="n">
        <v>15</v>
      </c>
      <c r="D4215" s="3" t="s">
        <v>4219</v>
      </c>
      <c r="E4215" s="4" t="n">
        <v>3</v>
      </c>
    </row>
    <row r="4216" customFormat="false" ht="15" hidden="false" customHeight="false" outlineLevel="0" collapsed="false">
      <c r="A4216" s="3" t="n">
        <v>2023</v>
      </c>
      <c r="B4216" s="3" t="n">
        <v>7</v>
      </c>
      <c r="C4216" s="3" t="n">
        <v>16</v>
      </c>
      <c r="D4216" s="3" t="s">
        <v>4220</v>
      </c>
      <c r="E4216" s="4" t="n">
        <v>0</v>
      </c>
    </row>
    <row r="4217" customFormat="false" ht="15" hidden="false" customHeight="false" outlineLevel="0" collapsed="false">
      <c r="A4217" s="3" t="n">
        <v>2023</v>
      </c>
      <c r="B4217" s="3" t="n">
        <v>7</v>
      </c>
      <c r="C4217" s="3" t="n">
        <v>17</v>
      </c>
      <c r="D4217" s="3" t="s">
        <v>4221</v>
      </c>
      <c r="E4217" s="4" t="n">
        <v>0</v>
      </c>
    </row>
    <row r="4218" customFormat="false" ht="15" hidden="false" customHeight="false" outlineLevel="0" collapsed="false">
      <c r="A4218" s="3" t="n">
        <v>2023</v>
      </c>
      <c r="B4218" s="3" t="n">
        <v>7</v>
      </c>
      <c r="C4218" s="3" t="n">
        <v>18</v>
      </c>
      <c r="D4218" s="3" t="s">
        <v>4222</v>
      </c>
      <c r="E4218" s="4" t="n">
        <v>0</v>
      </c>
    </row>
    <row r="4219" customFormat="false" ht="15" hidden="false" customHeight="false" outlineLevel="0" collapsed="false">
      <c r="A4219" s="3" t="n">
        <v>2023</v>
      </c>
      <c r="B4219" s="3" t="n">
        <v>7</v>
      </c>
      <c r="C4219" s="3" t="n">
        <v>19</v>
      </c>
      <c r="D4219" s="3" t="s">
        <v>4223</v>
      </c>
      <c r="E4219" s="4" t="n">
        <v>0</v>
      </c>
    </row>
    <row r="4220" customFormat="false" ht="15" hidden="false" customHeight="false" outlineLevel="0" collapsed="false">
      <c r="A4220" s="3" t="n">
        <v>2023</v>
      </c>
      <c r="B4220" s="3" t="n">
        <v>7</v>
      </c>
      <c r="C4220" s="3" t="n">
        <v>20</v>
      </c>
      <c r="D4220" s="3" t="s">
        <v>4224</v>
      </c>
      <c r="E4220" s="4" t="n">
        <v>99</v>
      </c>
    </row>
    <row r="4221" customFormat="false" ht="15" hidden="false" customHeight="false" outlineLevel="0" collapsed="false">
      <c r="A4221" s="3" t="n">
        <v>2023</v>
      </c>
      <c r="B4221" s="3" t="n">
        <v>7</v>
      </c>
      <c r="C4221" s="3" t="n">
        <v>21</v>
      </c>
      <c r="D4221" s="3" t="s">
        <v>4225</v>
      </c>
      <c r="E4221" s="4" t="n">
        <v>59</v>
      </c>
    </row>
    <row r="4222" customFormat="false" ht="15" hidden="false" customHeight="false" outlineLevel="0" collapsed="false">
      <c r="A4222" s="3" t="n">
        <v>2023</v>
      </c>
      <c r="B4222" s="3" t="n">
        <v>7</v>
      </c>
      <c r="C4222" s="3" t="n">
        <v>22</v>
      </c>
      <c r="D4222" s="3" t="s">
        <v>4226</v>
      </c>
      <c r="E4222" s="4" t="n">
        <v>0</v>
      </c>
    </row>
    <row r="4223" customFormat="false" ht="15" hidden="false" customHeight="false" outlineLevel="0" collapsed="false">
      <c r="A4223" s="3" t="n">
        <v>2023</v>
      </c>
      <c r="B4223" s="3" t="n">
        <v>7</v>
      </c>
      <c r="C4223" s="3" t="n">
        <v>23</v>
      </c>
      <c r="D4223" s="3" t="s">
        <v>4227</v>
      </c>
      <c r="E4223" s="4" t="n">
        <v>0</v>
      </c>
    </row>
    <row r="4224" customFormat="false" ht="15" hidden="false" customHeight="false" outlineLevel="0" collapsed="false">
      <c r="A4224" s="3" t="n">
        <v>2023</v>
      </c>
      <c r="B4224" s="3" t="n">
        <v>7</v>
      </c>
      <c r="C4224" s="3" t="n">
        <v>24</v>
      </c>
      <c r="D4224" s="3" t="s">
        <v>4228</v>
      </c>
      <c r="E4224" s="4" t="n">
        <v>0</v>
      </c>
    </row>
    <row r="4225" customFormat="false" ht="15" hidden="false" customHeight="false" outlineLevel="0" collapsed="false">
      <c r="A4225" s="3" t="n">
        <v>2023</v>
      </c>
      <c r="B4225" s="3" t="n">
        <v>7</v>
      </c>
      <c r="C4225" s="3" t="n">
        <v>25</v>
      </c>
      <c r="D4225" s="3" t="s">
        <v>4229</v>
      </c>
      <c r="E4225" s="4" t="n">
        <v>0</v>
      </c>
    </row>
    <row r="4226" customFormat="false" ht="15" hidden="false" customHeight="false" outlineLevel="0" collapsed="false">
      <c r="A4226" s="3" t="n">
        <v>2023</v>
      </c>
      <c r="B4226" s="3" t="n">
        <v>7</v>
      </c>
      <c r="C4226" s="3" t="n">
        <v>26</v>
      </c>
      <c r="D4226" s="3" t="s">
        <v>4230</v>
      </c>
      <c r="E4226" s="4" t="n">
        <v>0</v>
      </c>
    </row>
    <row r="4227" customFormat="false" ht="15" hidden="false" customHeight="false" outlineLevel="0" collapsed="false">
      <c r="A4227" s="3" t="n">
        <v>2023</v>
      </c>
      <c r="B4227" s="3" t="n">
        <v>7</v>
      </c>
      <c r="C4227" s="3" t="n">
        <v>27</v>
      </c>
      <c r="D4227" s="3" t="s">
        <v>4231</v>
      </c>
      <c r="E4227" s="4" t="n">
        <v>0</v>
      </c>
    </row>
    <row r="4228" customFormat="false" ht="15" hidden="false" customHeight="false" outlineLevel="0" collapsed="false">
      <c r="A4228" s="3" t="n">
        <v>2023</v>
      </c>
      <c r="B4228" s="3" t="n">
        <v>7</v>
      </c>
      <c r="C4228" s="3" t="n">
        <v>28</v>
      </c>
      <c r="D4228" s="3" t="s">
        <v>4232</v>
      </c>
      <c r="E4228" s="4" t="n">
        <v>0</v>
      </c>
    </row>
    <row r="4229" customFormat="false" ht="15" hidden="false" customHeight="false" outlineLevel="0" collapsed="false">
      <c r="A4229" s="3" t="n">
        <v>2023</v>
      </c>
      <c r="B4229" s="3" t="n">
        <v>7</v>
      </c>
      <c r="C4229" s="3" t="n">
        <v>29</v>
      </c>
      <c r="D4229" s="3" t="s">
        <v>4233</v>
      </c>
      <c r="E4229" s="4" t="n">
        <v>0</v>
      </c>
    </row>
    <row r="4230" customFormat="false" ht="15" hidden="false" customHeight="false" outlineLevel="0" collapsed="false">
      <c r="A4230" s="3" t="n">
        <v>2023</v>
      </c>
      <c r="B4230" s="3" t="n">
        <v>7</v>
      </c>
      <c r="C4230" s="3" t="n">
        <v>30</v>
      </c>
      <c r="D4230" s="3" t="s">
        <v>4234</v>
      </c>
      <c r="E4230" s="4" t="n">
        <v>0</v>
      </c>
    </row>
    <row r="4231" customFormat="false" ht="15" hidden="false" customHeight="false" outlineLevel="0" collapsed="false">
      <c r="A4231" s="3" t="n">
        <v>2023</v>
      </c>
      <c r="B4231" s="3" t="n">
        <v>7</v>
      </c>
      <c r="C4231" s="3" t="n">
        <v>31</v>
      </c>
      <c r="D4231" s="3" t="s">
        <v>4235</v>
      </c>
      <c r="E4231" s="4" t="n">
        <v>0</v>
      </c>
    </row>
    <row r="4232" customFormat="false" ht="15" hidden="false" customHeight="false" outlineLevel="0" collapsed="false">
      <c r="A4232" s="3" t="n">
        <v>2023</v>
      </c>
      <c r="B4232" s="3" t="n">
        <v>8</v>
      </c>
      <c r="C4232" s="3" t="n">
        <v>1</v>
      </c>
      <c r="D4232" s="3" t="s">
        <v>4236</v>
      </c>
      <c r="E4232" s="4" t="n">
        <v>0</v>
      </c>
    </row>
    <row r="4233" customFormat="false" ht="15" hidden="false" customHeight="false" outlineLevel="0" collapsed="false">
      <c r="A4233" s="3" t="n">
        <v>2023</v>
      </c>
      <c r="B4233" s="3" t="n">
        <v>8</v>
      </c>
      <c r="C4233" s="3" t="n">
        <v>2</v>
      </c>
      <c r="D4233" s="3" t="s">
        <v>4237</v>
      </c>
      <c r="E4233" s="4" t="n">
        <v>34</v>
      </c>
    </row>
    <row r="4234" customFormat="false" ht="15" hidden="false" customHeight="false" outlineLevel="0" collapsed="false">
      <c r="A4234" s="3" t="n">
        <v>2023</v>
      </c>
      <c r="B4234" s="3" t="n">
        <v>8</v>
      </c>
      <c r="C4234" s="3" t="n">
        <v>3</v>
      </c>
      <c r="D4234" s="3" t="s">
        <v>4238</v>
      </c>
      <c r="E4234" s="4" t="n">
        <v>2</v>
      </c>
    </row>
    <row r="4235" customFormat="false" ht="15" hidden="false" customHeight="false" outlineLevel="0" collapsed="false">
      <c r="A4235" s="3" t="n">
        <v>2023</v>
      </c>
      <c r="B4235" s="3" t="n">
        <v>8</v>
      </c>
      <c r="C4235" s="3" t="n">
        <v>4</v>
      </c>
      <c r="D4235" s="3" t="s">
        <v>4239</v>
      </c>
      <c r="E4235" s="4" t="n">
        <v>0</v>
      </c>
    </row>
    <row r="4236" customFormat="false" ht="15" hidden="false" customHeight="false" outlineLevel="0" collapsed="false">
      <c r="A4236" s="3" t="n">
        <v>2023</v>
      </c>
      <c r="B4236" s="3" t="n">
        <v>8</v>
      </c>
      <c r="C4236" s="3" t="n">
        <v>5</v>
      </c>
      <c r="D4236" s="3" t="s">
        <v>4240</v>
      </c>
      <c r="E4236" s="4" t="n">
        <v>0</v>
      </c>
    </row>
    <row r="4237" customFormat="false" ht="15" hidden="false" customHeight="false" outlineLevel="0" collapsed="false">
      <c r="A4237" s="3" t="n">
        <v>2023</v>
      </c>
      <c r="B4237" s="3" t="n">
        <v>8</v>
      </c>
      <c r="C4237" s="3" t="n">
        <v>6</v>
      </c>
      <c r="D4237" s="3" t="s">
        <v>4241</v>
      </c>
      <c r="E4237" s="4" t="n">
        <v>0</v>
      </c>
    </row>
    <row r="4238" customFormat="false" ht="15" hidden="false" customHeight="false" outlineLevel="0" collapsed="false">
      <c r="A4238" s="3" t="n">
        <v>2023</v>
      </c>
      <c r="B4238" s="3" t="n">
        <v>8</v>
      </c>
      <c r="C4238" s="3" t="n">
        <v>7</v>
      </c>
      <c r="D4238" s="3" t="s">
        <v>4242</v>
      </c>
      <c r="E4238" s="4" t="n">
        <v>15</v>
      </c>
    </row>
    <row r="4239" customFormat="false" ht="15" hidden="false" customHeight="false" outlineLevel="0" collapsed="false">
      <c r="A4239" s="3" t="n">
        <v>2023</v>
      </c>
      <c r="B4239" s="3" t="n">
        <v>8</v>
      </c>
      <c r="C4239" s="3" t="n">
        <v>8</v>
      </c>
      <c r="D4239" s="3" t="s">
        <v>4243</v>
      </c>
      <c r="E4239" s="4" t="n">
        <v>5</v>
      </c>
    </row>
    <row r="4240" customFormat="false" ht="15" hidden="false" customHeight="false" outlineLevel="0" collapsed="false">
      <c r="A4240" s="3" t="n">
        <v>2023</v>
      </c>
      <c r="B4240" s="3" t="n">
        <v>8</v>
      </c>
      <c r="C4240" s="3" t="n">
        <v>9</v>
      </c>
      <c r="D4240" s="3" t="s">
        <v>4244</v>
      </c>
      <c r="E4240" s="4" t="n">
        <v>0</v>
      </c>
    </row>
    <row r="4241" customFormat="false" ht="15" hidden="false" customHeight="false" outlineLevel="0" collapsed="false">
      <c r="A4241" s="3" t="n">
        <v>2023</v>
      </c>
      <c r="B4241" s="3" t="n">
        <v>8</v>
      </c>
      <c r="C4241" s="3" t="n">
        <v>10</v>
      </c>
      <c r="D4241" s="3" t="s">
        <v>4245</v>
      </c>
      <c r="E4241" s="4" t="n">
        <v>0</v>
      </c>
    </row>
    <row r="4242" customFormat="false" ht="15" hidden="false" customHeight="false" outlineLevel="0" collapsed="false">
      <c r="A4242" s="3" t="n">
        <v>2023</v>
      </c>
      <c r="B4242" s="3" t="n">
        <v>8</v>
      </c>
      <c r="C4242" s="3" t="n">
        <v>11</v>
      </c>
      <c r="D4242" s="3" t="s">
        <v>4246</v>
      </c>
      <c r="E4242" s="4" t="n">
        <v>0</v>
      </c>
    </row>
    <row r="4243" customFormat="false" ht="15" hidden="false" customHeight="false" outlineLevel="0" collapsed="false">
      <c r="A4243" s="3" t="n">
        <v>2023</v>
      </c>
      <c r="B4243" s="3" t="n">
        <v>8</v>
      </c>
      <c r="C4243" s="3" t="n">
        <v>12</v>
      </c>
      <c r="D4243" s="3" t="s">
        <v>4247</v>
      </c>
      <c r="E4243" s="4" t="n">
        <v>0</v>
      </c>
    </row>
    <row r="4244" customFormat="false" ht="15" hidden="false" customHeight="false" outlineLevel="0" collapsed="false">
      <c r="A4244" s="3" t="n">
        <v>2023</v>
      </c>
      <c r="B4244" s="3" t="n">
        <v>8</v>
      </c>
      <c r="C4244" s="3" t="n">
        <v>13</v>
      </c>
      <c r="D4244" s="3" t="s">
        <v>4248</v>
      </c>
      <c r="E4244" s="4" t="n">
        <v>0</v>
      </c>
    </row>
    <row r="4245" customFormat="false" ht="15" hidden="false" customHeight="false" outlineLevel="0" collapsed="false">
      <c r="A4245" s="3" t="n">
        <v>2023</v>
      </c>
      <c r="B4245" s="3" t="n">
        <v>8</v>
      </c>
      <c r="C4245" s="3" t="n">
        <v>14</v>
      </c>
      <c r="D4245" s="3" t="s">
        <v>4249</v>
      </c>
      <c r="E4245" s="4" t="n">
        <v>0</v>
      </c>
    </row>
    <row r="4246" customFormat="false" ht="15" hidden="false" customHeight="false" outlineLevel="0" collapsed="false">
      <c r="A4246" s="3" t="n">
        <v>2023</v>
      </c>
      <c r="B4246" s="3" t="n">
        <v>8</v>
      </c>
      <c r="C4246" s="3" t="n">
        <v>15</v>
      </c>
      <c r="D4246" s="3" t="s">
        <v>4250</v>
      </c>
      <c r="E4246" s="4" t="n">
        <v>0</v>
      </c>
    </row>
    <row r="4247" customFormat="false" ht="15" hidden="false" customHeight="false" outlineLevel="0" collapsed="false">
      <c r="A4247" s="3" t="n">
        <v>2023</v>
      </c>
      <c r="B4247" s="3" t="n">
        <v>8</v>
      </c>
      <c r="C4247" s="3" t="n">
        <v>16</v>
      </c>
      <c r="D4247" s="3" t="s">
        <v>4251</v>
      </c>
      <c r="E4247" s="4" t="n">
        <v>0</v>
      </c>
    </row>
    <row r="4248" customFormat="false" ht="15" hidden="false" customHeight="false" outlineLevel="0" collapsed="false">
      <c r="A4248" s="3" t="n">
        <v>2023</v>
      </c>
      <c r="B4248" s="3" t="n">
        <v>8</v>
      </c>
      <c r="C4248" s="3" t="n">
        <v>17</v>
      </c>
      <c r="D4248" s="3" t="s">
        <v>4252</v>
      </c>
      <c r="E4248" s="4" t="n">
        <v>0</v>
      </c>
    </row>
    <row r="4249" customFormat="false" ht="15" hidden="false" customHeight="false" outlineLevel="0" collapsed="false">
      <c r="A4249" s="3" t="n">
        <v>2023</v>
      </c>
      <c r="B4249" s="3" t="n">
        <v>8</v>
      </c>
      <c r="C4249" s="3" t="n">
        <v>18</v>
      </c>
      <c r="D4249" s="3" t="s">
        <v>4253</v>
      </c>
      <c r="E4249" s="4" t="n">
        <v>1</v>
      </c>
    </row>
    <row r="4250" customFormat="false" ht="15" hidden="false" customHeight="false" outlineLevel="0" collapsed="false">
      <c r="A4250" s="3" t="n">
        <v>2023</v>
      </c>
      <c r="B4250" s="3" t="n">
        <v>8</v>
      </c>
      <c r="C4250" s="3" t="n">
        <v>19</v>
      </c>
      <c r="D4250" s="3" t="s">
        <v>4254</v>
      </c>
      <c r="E4250" s="4" t="n">
        <v>9</v>
      </c>
    </row>
    <row r="4251" customFormat="false" ht="15" hidden="false" customHeight="false" outlineLevel="0" collapsed="false">
      <c r="A4251" s="3" t="n">
        <v>2023</v>
      </c>
      <c r="B4251" s="3" t="n">
        <v>8</v>
      </c>
      <c r="C4251" s="3" t="n">
        <v>20</v>
      </c>
      <c r="D4251" s="3" t="s">
        <v>4255</v>
      </c>
      <c r="E4251" s="4" t="n">
        <v>0</v>
      </c>
    </row>
    <row r="4252" customFormat="false" ht="15" hidden="false" customHeight="false" outlineLevel="0" collapsed="false">
      <c r="A4252" s="3" t="n">
        <v>2023</v>
      </c>
      <c r="B4252" s="3" t="n">
        <v>8</v>
      </c>
      <c r="C4252" s="3" t="n">
        <v>21</v>
      </c>
      <c r="D4252" s="3" t="s">
        <v>4256</v>
      </c>
      <c r="E4252" s="4" t="n">
        <v>0</v>
      </c>
    </row>
    <row r="4253" customFormat="false" ht="15" hidden="false" customHeight="false" outlineLevel="0" collapsed="false">
      <c r="A4253" s="3" t="n">
        <v>2023</v>
      </c>
      <c r="B4253" s="3" t="n">
        <v>8</v>
      </c>
      <c r="C4253" s="3" t="n">
        <v>22</v>
      </c>
      <c r="D4253" s="3" t="s">
        <v>4257</v>
      </c>
      <c r="E4253" s="4" t="n">
        <v>0</v>
      </c>
    </row>
    <row r="4254" customFormat="false" ht="15" hidden="false" customHeight="false" outlineLevel="0" collapsed="false">
      <c r="A4254" s="3" t="n">
        <v>2023</v>
      </c>
      <c r="B4254" s="3" t="n">
        <v>8</v>
      </c>
      <c r="C4254" s="3" t="n">
        <v>23</v>
      </c>
      <c r="D4254" s="3" t="s">
        <v>4258</v>
      </c>
      <c r="E4254" s="4" t="n">
        <v>0</v>
      </c>
    </row>
    <row r="4255" customFormat="false" ht="15" hidden="false" customHeight="false" outlineLevel="0" collapsed="false">
      <c r="A4255" s="3" t="n">
        <v>2023</v>
      </c>
      <c r="B4255" s="3" t="n">
        <v>8</v>
      </c>
      <c r="C4255" s="3" t="n">
        <v>24</v>
      </c>
      <c r="D4255" s="3" t="s">
        <v>4259</v>
      </c>
      <c r="E4255" s="4" t="n">
        <v>51</v>
      </c>
    </row>
    <row r="4256" customFormat="false" ht="15" hidden="false" customHeight="false" outlineLevel="0" collapsed="false">
      <c r="A4256" s="3" t="n">
        <v>2023</v>
      </c>
      <c r="B4256" s="3" t="n">
        <v>8</v>
      </c>
      <c r="C4256" s="3" t="n">
        <v>25</v>
      </c>
      <c r="D4256" s="3" t="s">
        <v>4260</v>
      </c>
      <c r="E4256" s="4" t="n">
        <v>17</v>
      </c>
    </row>
    <row r="4257" customFormat="false" ht="15" hidden="false" customHeight="false" outlineLevel="0" collapsed="false">
      <c r="A4257" s="3" t="n">
        <v>2023</v>
      </c>
      <c r="B4257" s="3" t="n">
        <v>8</v>
      </c>
      <c r="C4257" s="3" t="n">
        <v>26</v>
      </c>
      <c r="D4257" s="3" t="s">
        <v>4261</v>
      </c>
      <c r="E4257" s="4" t="n">
        <v>27</v>
      </c>
    </row>
    <row r="4258" customFormat="false" ht="15" hidden="false" customHeight="false" outlineLevel="0" collapsed="false">
      <c r="A4258" s="3" t="n">
        <v>2023</v>
      </c>
      <c r="B4258" s="3" t="n">
        <v>8</v>
      </c>
      <c r="C4258" s="3" t="n">
        <v>27</v>
      </c>
      <c r="D4258" s="3" t="s">
        <v>4262</v>
      </c>
      <c r="E4258" s="4" t="n">
        <v>0</v>
      </c>
    </row>
    <row r="4259" customFormat="false" ht="15" hidden="false" customHeight="false" outlineLevel="0" collapsed="false">
      <c r="A4259" s="3" t="n">
        <v>2023</v>
      </c>
      <c r="B4259" s="3" t="n">
        <v>8</v>
      </c>
      <c r="C4259" s="3" t="n">
        <v>28</v>
      </c>
      <c r="D4259" s="3" t="s">
        <v>4263</v>
      </c>
      <c r="E4259" s="4" t="n">
        <v>0</v>
      </c>
    </row>
    <row r="4260" customFormat="false" ht="15" hidden="false" customHeight="false" outlineLevel="0" collapsed="false">
      <c r="A4260" s="3" t="n">
        <v>2023</v>
      </c>
      <c r="B4260" s="3" t="n">
        <v>8</v>
      </c>
      <c r="C4260" s="3" t="n">
        <v>29</v>
      </c>
      <c r="D4260" s="3" t="s">
        <v>4264</v>
      </c>
      <c r="E4260" s="4" t="n">
        <v>3</v>
      </c>
    </row>
    <row r="4261" customFormat="false" ht="15" hidden="false" customHeight="false" outlineLevel="0" collapsed="false">
      <c r="A4261" s="3" t="n">
        <v>2023</v>
      </c>
      <c r="B4261" s="3" t="n">
        <v>8</v>
      </c>
      <c r="C4261" s="3" t="n">
        <v>30</v>
      </c>
      <c r="D4261" s="3" t="s">
        <v>4265</v>
      </c>
      <c r="E4261" s="4" t="n">
        <v>0</v>
      </c>
    </row>
    <row r="4262" customFormat="false" ht="15" hidden="false" customHeight="false" outlineLevel="0" collapsed="false">
      <c r="A4262" s="3" t="n">
        <v>2023</v>
      </c>
      <c r="B4262" s="3" t="n">
        <v>8</v>
      </c>
      <c r="C4262" s="3" t="n">
        <v>31</v>
      </c>
      <c r="D4262" s="3" t="s">
        <v>4266</v>
      </c>
      <c r="E4262" s="4" t="n">
        <v>0</v>
      </c>
    </row>
    <row r="4263" customFormat="false" ht="15" hidden="false" customHeight="false" outlineLevel="0" collapsed="false">
      <c r="A4263" s="3" t="n">
        <v>2023</v>
      </c>
      <c r="B4263" s="3" t="n">
        <v>9</v>
      </c>
      <c r="C4263" s="3" t="n">
        <v>1</v>
      </c>
      <c r="D4263" s="3" t="s">
        <v>4267</v>
      </c>
      <c r="E4263" s="4" t="n">
        <v>43</v>
      </c>
    </row>
    <row r="4264" customFormat="false" ht="15" hidden="false" customHeight="false" outlineLevel="0" collapsed="false">
      <c r="A4264" s="3" t="n">
        <v>2023</v>
      </c>
      <c r="B4264" s="3" t="n">
        <v>9</v>
      </c>
      <c r="C4264" s="3" t="n">
        <v>2</v>
      </c>
      <c r="D4264" s="3" t="s">
        <v>4268</v>
      </c>
      <c r="E4264" s="4" t="n">
        <v>0</v>
      </c>
    </row>
    <row r="4265" customFormat="false" ht="15" hidden="false" customHeight="false" outlineLevel="0" collapsed="false">
      <c r="A4265" s="3" t="n">
        <v>2023</v>
      </c>
      <c r="B4265" s="3" t="n">
        <v>9</v>
      </c>
      <c r="C4265" s="3" t="n">
        <v>3</v>
      </c>
      <c r="D4265" s="3" t="s">
        <v>4269</v>
      </c>
      <c r="E4265" s="4" t="n">
        <v>0</v>
      </c>
    </row>
    <row r="4266" customFormat="false" ht="15" hidden="false" customHeight="false" outlineLevel="0" collapsed="false">
      <c r="A4266" s="3" t="n">
        <v>2023</v>
      </c>
      <c r="B4266" s="3" t="n">
        <v>9</v>
      </c>
      <c r="C4266" s="3" t="n">
        <v>4</v>
      </c>
      <c r="D4266" s="3" t="s">
        <v>4270</v>
      </c>
      <c r="E4266" s="4" t="n">
        <v>0</v>
      </c>
    </row>
    <row r="4267" customFormat="false" ht="15" hidden="false" customHeight="false" outlineLevel="0" collapsed="false">
      <c r="A4267" s="3" t="n">
        <v>2023</v>
      </c>
      <c r="B4267" s="3" t="n">
        <v>9</v>
      </c>
      <c r="C4267" s="3" t="n">
        <v>5</v>
      </c>
      <c r="D4267" s="3" t="s">
        <v>4271</v>
      </c>
      <c r="E4267" s="4" t="n">
        <v>0</v>
      </c>
    </row>
    <row r="4268" customFormat="false" ht="15" hidden="false" customHeight="false" outlineLevel="0" collapsed="false">
      <c r="A4268" s="3" t="n">
        <v>2023</v>
      </c>
      <c r="B4268" s="3" t="n">
        <v>9</v>
      </c>
      <c r="C4268" s="3" t="n">
        <v>6</v>
      </c>
      <c r="D4268" s="3" t="s">
        <v>4272</v>
      </c>
      <c r="E4268" s="4" t="n">
        <v>4</v>
      </c>
    </row>
    <row r="4269" customFormat="false" ht="15" hidden="false" customHeight="false" outlineLevel="0" collapsed="false">
      <c r="A4269" s="3" t="n">
        <v>2023</v>
      </c>
      <c r="B4269" s="3" t="n">
        <v>9</v>
      </c>
      <c r="C4269" s="3" t="n">
        <v>7</v>
      </c>
      <c r="D4269" s="3" t="s">
        <v>4273</v>
      </c>
      <c r="E4269" s="4" t="n">
        <v>7</v>
      </c>
    </row>
    <row r="4270" customFormat="false" ht="15" hidden="false" customHeight="false" outlineLevel="0" collapsed="false">
      <c r="A4270" s="3" t="n">
        <v>2023</v>
      </c>
      <c r="B4270" s="3" t="n">
        <v>9</v>
      </c>
      <c r="C4270" s="3" t="n">
        <v>8</v>
      </c>
      <c r="D4270" s="3" t="s">
        <v>4274</v>
      </c>
      <c r="E4270" s="4" t="n">
        <v>0</v>
      </c>
    </row>
    <row r="4271" customFormat="false" ht="15" hidden="false" customHeight="false" outlineLevel="0" collapsed="false">
      <c r="A4271" s="3" t="n">
        <v>2023</v>
      </c>
      <c r="B4271" s="3" t="n">
        <v>9</v>
      </c>
      <c r="C4271" s="3" t="n">
        <v>9</v>
      </c>
      <c r="D4271" s="3" t="s">
        <v>4275</v>
      </c>
      <c r="E4271" s="4" t="n">
        <v>0</v>
      </c>
    </row>
    <row r="4272" customFormat="false" ht="15" hidden="false" customHeight="false" outlineLevel="0" collapsed="false">
      <c r="A4272" s="3" t="n">
        <v>2023</v>
      </c>
      <c r="B4272" s="3" t="n">
        <v>9</v>
      </c>
      <c r="C4272" s="3" t="n">
        <v>10</v>
      </c>
      <c r="D4272" s="3" t="s">
        <v>4276</v>
      </c>
      <c r="E4272" s="4" t="n">
        <v>0</v>
      </c>
    </row>
    <row r="4273" customFormat="false" ht="15" hidden="false" customHeight="false" outlineLevel="0" collapsed="false">
      <c r="A4273" s="3" t="n">
        <v>2023</v>
      </c>
      <c r="B4273" s="3" t="n">
        <v>9</v>
      </c>
      <c r="C4273" s="3" t="n">
        <v>11</v>
      </c>
      <c r="D4273" s="3" t="s">
        <v>4277</v>
      </c>
      <c r="E4273" s="4" t="n">
        <v>0</v>
      </c>
    </row>
    <row r="4274" customFormat="false" ht="15" hidden="false" customHeight="false" outlineLevel="0" collapsed="false">
      <c r="A4274" s="3" t="n">
        <v>2023</v>
      </c>
      <c r="B4274" s="3" t="n">
        <v>9</v>
      </c>
      <c r="C4274" s="3" t="n">
        <v>12</v>
      </c>
      <c r="D4274" s="3" t="s">
        <v>4278</v>
      </c>
      <c r="E4274" s="4" t="n">
        <v>0</v>
      </c>
    </row>
    <row r="4275" customFormat="false" ht="15" hidden="false" customHeight="false" outlineLevel="0" collapsed="false">
      <c r="A4275" s="3" t="n">
        <v>2023</v>
      </c>
      <c r="B4275" s="3" t="n">
        <v>9</v>
      </c>
      <c r="C4275" s="3" t="n">
        <v>13</v>
      </c>
      <c r="D4275" s="3" t="s">
        <v>4279</v>
      </c>
      <c r="E4275" s="4" t="n">
        <v>0</v>
      </c>
    </row>
    <row r="4276" customFormat="false" ht="15" hidden="false" customHeight="false" outlineLevel="0" collapsed="false">
      <c r="A4276" s="3" t="n">
        <v>2023</v>
      </c>
      <c r="B4276" s="3" t="n">
        <v>9</v>
      </c>
      <c r="C4276" s="3" t="n">
        <v>14</v>
      </c>
      <c r="D4276" s="3" t="s">
        <v>4280</v>
      </c>
      <c r="E4276" s="4" t="n">
        <v>0</v>
      </c>
    </row>
    <row r="4277" customFormat="false" ht="15" hidden="false" customHeight="false" outlineLevel="0" collapsed="false">
      <c r="A4277" s="3" t="n">
        <v>2023</v>
      </c>
      <c r="B4277" s="3" t="n">
        <v>9</v>
      </c>
      <c r="C4277" s="3" t="n">
        <v>15</v>
      </c>
      <c r="D4277" s="3" t="s">
        <v>4281</v>
      </c>
      <c r="E4277" s="4" t="n">
        <v>12</v>
      </c>
    </row>
    <row r="4278" customFormat="false" ht="15" hidden="false" customHeight="false" outlineLevel="0" collapsed="false">
      <c r="A4278" s="3" t="n">
        <v>2023</v>
      </c>
      <c r="B4278" s="3" t="n">
        <v>9</v>
      </c>
      <c r="C4278" s="3" t="n">
        <v>16</v>
      </c>
      <c r="D4278" s="3" t="s">
        <v>4282</v>
      </c>
      <c r="E4278" s="4" t="n">
        <v>18</v>
      </c>
    </row>
    <row r="4279" customFormat="false" ht="15" hidden="false" customHeight="false" outlineLevel="0" collapsed="false">
      <c r="A4279" s="3" t="n">
        <v>2023</v>
      </c>
      <c r="B4279" s="3" t="n">
        <v>9</v>
      </c>
      <c r="C4279" s="3" t="n">
        <v>17</v>
      </c>
      <c r="D4279" s="3" t="s">
        <v>4283</v>
      </c>
      <c r="E4279" s="4" t="n">
        <v>2</v>
      </c>
    </row>
    <row r="4280" customFormat="false" ht="15" hidden="false" customHeight="false" outlineLevel="0" collapsed="false">
      <c r="A4280" s="3" t="n">
        <v>2023</v>
      </c>
      <c r="B4280" s="3" t="n">
        <v>9</v>
      </c>
      <c r="C4280" s="3" t="n">
        <v>18</v>
      </c>
      <c r="D4280" s="3" t="s">
        <v>4284</v>
      </c>
      <c r="E4280" s="4" t="n">
        <v>25</v>
      </c>
    </row>
    <row r="4281" customFormat="false" ht="15" hidden="false" customHeight="false" outlineLevel="0" collapsed="false">
      <c r="A4281" s="3" t="n">
        <v>2023</v>
      </c>
      <c r="B4281" s="3" t="n">
        <v>9</v>
      </c>
      <c r="C4281" s="3" t="n">
        <v>19</v>
      </c>
      <c r="D4281" s="3" t="s">
        <v>4285</v>
      </c>
      <c r="E4281" s="4" t="n">
        <v>60</v>
      </c>
    </row>
    <row r="4282" customFormat="false" ht="15" hidden="false" customHeight="false" outlineLevel="0" collapsed="false">
      <c r="A4282" s="3" t="n">
        <v>2023</v>
      </c>
      <c r="B4282" s="3" t="n">
        <v>9</v>
      </c>
      <c r="C4282" s="3" t="n">
        <v>20</v>
      </c>
      <c r="D4282" s="3" t="s">
        <v>4286</v>
      </c>
      <c r="E4282" s="4" t="n">
        <v>20</v>
      </c>
    </row>
    <row r="4283" customFormat="false" ht="15" hidden="false" customHeight="false" outlineLevel="0" collapsed="false">
      <c r="A4283" s="3" t="n">
        <v>2023</v>
      </c>
      <c r="B4283" s="3" t="n">
        <v>9</v>
      </c>
      <c r="C4283" s="3" t="n">
        <v>21</v>
      </c>
      <c r="D4283" s="3" t="s">
        <v>4287</v>
      </c>
      <c r="E4283" s="4" t="n">
        <v>4</v>
      </c>
    </row>
    <row r="4284" customFormat="false" ht="15" hidden="false" customHeight="false" outlineLevel="0" collapsed="false">
      <c r="A4284" s="3" t="n">
        <v>2023</v>
      </c>
      <c r="B4284" s="3" t="n">
        <v>9</v>
      </c>
      <c r="C4284" s="3" t="n">
        <v>22</v>
      </c>
      <c r="D4284" s="3" t="s">
        <v>4288</v>
      </c>
      <c r="E4284" s="4" t="n">
        <v>0</v>
      </c>
    </row>
    <row r="4285" customFormat="false" ht="15" hidden="false" customHeight="false" outlineLevel="0" collapsed="false">
      <c r="A4285" s="3" t="n">
        <v>2023</v>
      </c>
      <c r="B4285" s="3" t="n">
        <v>9</v>
      </c>
      <c r="C4285" s="3" t="n">
        <v>23</v>
      </c>
      <c r="D4285" s="3" t="s">
        <v>4289</v>
      </c>
      <c r="E4285" s="4" t="n">
        <v>0</v>
      </c>
    </row>
    <row r="4286" customFormat="false" ht="15" hidden="false" customHeight="false" outlineLevel="0" collapsed="false">
      <c r="A4286" s="3" t="n">
        <v>2023</v>
      </c>
      <c r="B4286" s="3" t="n">
        <v>9</v>
      </c>
      <c r="C4286" s="3" t="n">
        <v>24</v>
      </c>
      <c r="D4286" s="3" t="s">
        <v>4290</v>
      </c>
      <c r="E4286" s="4" t="n">
        <v>0</v>
      </c>
    </row>
    <row r="4287" customFormat="false" ht="15" hidden="false" customHeight="false" outlineLevel="0" collapsed="false">
      <c r="A4287" s="3" t="n">
        <v>2023</v>
      </c>
      <c r="B4287" s="3" t="n">
        <v>9</v>
      </c>
      <c r="C4287" s="3" t="n">
        <v>25</v>
      </c>
      <c r="D4287" s="3" t="s">
        <v>4291</v>
      </c>
      <c r="E4287" s="4" t="n">
        <v>0</v>
      </c>
    </row>
    <row r="4288" customFormat="false" ht="15" hidden="false" customHeight="false" outlineLevel="0" collapsed="false">
      <c r="A4288" s="3" t="n">
        <v>2023</v>
      </c>
      <c r="B4288" s="3" t="n">
        <v>9</v>
      </c>
      <c r="C4288" s="3" t="n">
        <v>26</v>
      </c>
      <c r="D4288" s="3" t="s">
        <v>4292</v>
      </c>
      <c r="E4288" s="4" t="n">
        <v>0</v>
      </c>
    </row>
    <row r="4289" customFormat="false" ht="15" hidden="false" customHeight="false" outlineLevel="0" collapsed="false">
      <c r="A4289" s="3" t="n">
        <v>2023</v>
      </c>
      <c r="B4289" s="3" t="n">
        <v>9</v>
      </c>
      <c r="C4289" s="3" t="n">
        <v>27</v>
      </c>
      <c r="D4289" s="3" t="s">
        <v>4293</v>
      </c>
      <c r="E4289" s="4" t="n">
        <v>0</v>
      </c>
    </row>
    <row r="4290" customFormat="false" ht="15" hidden="false" customHeight="false" outlineLevel="0" collapsed="false">
      <c r="A4290" s="3" t="n">
        <v>2023</v>
      </c>
      <c r="B4290" s="3" t="n">
        <v>9</v>
      </c>
      <c r="C4290" s="3" t="n">
        <v>28</v>
      </c>
      <c r="D4290" s="3" t="s">
        <v>4294</v>
      </c>
      <c r="E4290" s="4" t="n">
        <v>0</v>
      </c>
    </row>
    <row r="4291" customFormat="false" ht="15" hidden="false" customHeight="false" outlineLevel="0" collapsed="false">
      <c r="A4291" s="3" t="n">
        <v>2023</v>
      </c>
      <c r="B4291" s="3" t="n">
        <v>9</v>
      </c>
      <c r="C4291" s="3" t="n">
        <v>29</v>
      </c>
      <c r="D4291" s="3" t="s">
        <v>4295</v>
      </c>
      <c r="E4291" s="4" t="n">
        <v>16</v>
      </c>
    </row>
    <row r="4292" customFormat="false" ht="15" hidden="false" customHeight="false" outlineLevel="0" collapsed="false">
      <c r="A4292" s="3" t="n">
        <v>2023</v>
      </c>
      <c r="B4292" s="3" t="n">
        <v>9</v>
      </c>
      <c r="C4292" s="3" t="n">
        <v>30</v>
      </c>
      <c r="D4292" s="3" t="s">
        <v>4296</v>
      </c>
      <c r="E4292" s="4" t="n">
        <v>7</v>
      </c>
    </row>
    <row r="4293" customFormat="false" ht="15" hidden="false" customHeight="false" outlineLevel="0" collapsed="false">
      <c r="A4293" s="3" t="n">
        <v>2023</v>
      </c>
      <c r="B4293" s="3" t="n">
        <v>10</v>
      </c>
      <c r="C4293" s="3" t="n">
        <v>1</v>
      </c>
      <c r="D4293" s="3" t="s">
        <v>4297</v>
      </c>
      <c r="E4293" s="4" t="n">
        <v>19</v>
      </c>
    </row>
    <row r="4294" customFormat="false" ht="15" hidden="false" customHeight="false" outlineLevel="0" collapsed="false">
      <c r="A4294" s="3" t="n">
        <v>2023</v>
      </c>
      <c r="B4294" s="3" t="n">
        <v>10</v>
      </c>
      <c r="C4294" s="3" t="n">
        <v>2</v>
      </c>
      <c r="D4294" s="3" t="s">
        <v>4298</v>
      </c>
      <c r="E4294" s="4" t="n">
        <v>0</v>
      </c>
    </row>
    <row r="4295" customFormat="false" ht="15" hidden="false" customHeight="false" outlineLevel="0" collapsed="false">
      <c r="A4295" s="3" t="n">
        <v>2023</v>
      </c>
      <c r="B4295" s="3" t="n">
        <v>10</v>
      </c>
      <c r="C4295" s="3" t="n">
        <v>3</v>
      </c>
      <c r="D4295" s="3" t="s">
        <v>4299</v>
      </c>
      <c r="E4295" s="4" t="n">
        <v>0</v>
      </c>
    </row>
    <row r="4296" customFormat="false" ht="15" hidden="false" customHeight="false" outlineLevel="0" collapsed="false">
      <c r="A4296" s="3" t="n">
        <v>2023</v>
      </c>
      <c r="B4296" s="3" t="n">
        <v>10</v>
      </c>
      <c r="C4296" s="3" t="n">
        <v>4</v>
      </c>
      <c r="D4296" s="3" t="s">
        <v>4300</v>
      </c>
      <c r="E4296" s="4" t="n">
        <v>1</v>
      </c>
    </row>
    <row r="4297" customFormat="false" ht="15" hidden="false" customHeight="false" outlineLevel="0" collapsed="false">
      <c r="A4297" s="3" t="n">
        <v>2023</v>
      </c>
      <c r="B4297" s="3" t="n">
        <v>10</v>
      </c>
      <c r="C4297" s="3" t="n">
        <v>5</v>
      </c>
      <c r="D4297" s="3" t="s">
        <v>4301</v>
      </c>
      <c r="E4297" s="4" t="n">
        <v>0</v>
      </c>
    </row>
    <row r="4298" customFormat="false" ht="15" hidden="false" customHeight="false" outlineLevel="0" collapsed="false">
      <c r="A4298" s="3" t="n">
        <v>2023</v>
      </c>
      <c r="B4298" s="3" t="n">
        <v>10</v>
      </c>
      <c r="C4298" s="3" t="n">
        <v>6</v>
      </c>
      <c r="D4298" s="3" t="s">
        <v>4302</v>
      </c>
      <c r="E4298" s="4" t="n">
        <v>27</v>
      </c>
    </row>
    <row r="4299" customFormat="false" ht="15" hidden="false" customHeight="false" outlineLevel="0" collapsed="false">
      <c r="A4299" s="3" t="n">
        <v>2023</v>
      </c>
      <c r="B4299" s="3" t="n">
        <v>10</v>
      </c>
      <c r="C4299" s="3" t="n">
        <v>7</v>
      </c>
      <c r="D4299" s="3" t="s">
        <v>4303</v>
      </c>
      <c r="E4299" s="4" t="n">
        <v>0</v>
      </c>
    </row>
    <row r="4300" customFormat="false" ht="15" hidden="false" customHeight="false" outlineLevel="0" collapsed="false">
      <c r="A4300" s="3" t="n">
        <v>2023</v>
      </c>
      <c r="B4300" s="3" t="n">
        <v>10</v>
      </c>
      <c r="C4300" s="3" t="n">
        <v>8</v>
      </c>
      <c r="D4300" s="3" t="s">
        <v>4304</v>
      </c>
      <c r="E4300" s="4" t="n">
        <v>0</v>
      </c>
    </row>
    <row r="4301" customFormat="false" ht="15" hidden="false" customHeight="false" outlineLevel="0" collapsed="false">
      <c r="A4301" s="3" t="n">
        <v>2023</v>
      </c>
      <c r="B4301" s="3" t="n">
        <v>10</v>
      </c>
      <c r="C4301" s="3" t="n">
        <v>9</v>
      </c>
      <c r="D4301" s="3" t="s">
        <v>4305</v>
      </c>
      <c r="E4301" s="4" t="n">
        <v>12</v>
      </c>
    </row>
    <row r="4302" customFormat="false" ht="15" hidden="false" customHeight="false" outlineLevel="0" collapsed="false">
      <c r="A4302" s="3" t="n">
        <v>2023</v>
      </c>
      <c r="B4302" s="3" t="n">
        <v>10</v>
      </c>
      <c r="C4302" s="3" t="n">
        <v>10</v>
      </c>
      <c r="D4302" s="3" t="s">
        <v>4306</v>
      </c>
      <c r="E4302" s="4" t="n">
        <v>16</v>
      </c>
    </row>
    <row r="4303" customFormat="false" ht="15" hidden="false" customHeight="false" outlineLevel="0" collapsed="false">
      <c r="A4303" s="3" t="n">
        <v>2023</v>
      </c>
      <c r="B4303" s="3" t="n">
        <v>10</v>
      </c>
      <c r="C4303" s="3" t="n">
        <v>11</v>
      </c>
      <c r="D4303" s="3" t="s">
        <v>4307</v>
      </c>
      <c r="E4303" s="4" t="n">
        <v>8</v>
      </c>
    </row>
    <row r="4304" customFormat="false" ht="15" hidden="false" customHeight="false" outlineLevel="0" collapsed="false">
      <c r="A4304" s="3" t="n">
        <v>2023</v>
      </c>
      <c r="B4304" s="3" t="n">
        <v>10</v>
      </c>
      <c r="C4304" s="3" t="n">
        <v>12</v>
      </c>
      <c r="D4304" s="3" t="s">
        <v>4308</v>
      </c>
      <c r="E4304" s="4" t="n">
        <v>0</v>
      </c>
    </row>
    <row r="4305" customFormat="false" ht="15" hidden="false" customHeight="false" outlineLevel="0" collapsed="false">
      <c r="A4305" s="3" t="n">
        <v>2023</v>
      </c>
      <c r="B4305" s="3" t="n">
        <v>10</v>
      </c>
      <c r="C4305" s="3" t="n">
        <v>13</v>
      </c>
      <c r="D4305" s="3" t="s">
        <v>4309</v>
      </c>
      <c r="E4305" s="4" t="n">
        <v>0</v>
      </c>
    </row>
    <row r="4306" customFormat="false" ht="15" hidden="false" customHeight="false" outlineLevel="0" collapsed="false">
      <c r="A4306" s="3" t="n">
        <v>2023</v>
      </c>
      <c r="B4306" s="3" t="n">
        <v>10</v>
      </c>
      <c r="C4306" s="3" t="n">
        <v>14</v>
      </c>
      <c r="D4306" s="3" t="s">
        <v>4310</v>
      </c>
      <c r="E4306" s="4" t="n">
        <v>33</v>
      </c>
    </row>
    <row r="4307" customFormat="false" ht="15" hidden="false" customHeight="false" outlineLevel="0" collapsed="false">
      <c r="A4307" s="3" t="n">
        <v>2023</v>
      </c>
      <c r="B4307" s="3" t="n">
        <v>10</v>
      </c>
      <c r="C4307" s="3" t="n">
        <v>15</v>
      </c>
      <c r="D4307" s="3" t="s">
        <v>4311</v>
      </c>
      <c r="E4307" s="4" t="n">
        <v>8</v>
      </c>
    </row>
    <row r="4308" customFormat="false" ht="15" hidden="false" customHeight="false" outlineLevel="0" collapsed="false">
      <c r="A4308" s="3" t="n">
        <v>2023</v>
      </c>
      <c r="B4308" s="3" t="n">
        <v>10</v>
      </c>
      <c r="C4308" s="3" t="n">
        <v>16</v>
      </c>
      <c r="D4308" s="3" t="s">
        <v>4312</v>
      </c>
      <c r="E4308" s="4" t="n">
        <v>4</v>
      </c>
    </row>
    <row r="4309" customFormat="false" ht="15" hidden="false" customHeight="false" outlineLevel="0" collapsed="false">
      <c r="A4309" s="3" t="n">
        <v>2023</v>
      </c>
      <c r="B4309" s="3" t="n">
        <v>10</v>
      </c>
      <c r="C4309" s="3" t="n">
        <v>17</v>
      </c>
      <c r="D4309" s="3" t="s">
        <v>4313</v>
      </c>
      <c r="E4309" s="4" t="n">
        <v>1</v>
      </c>
    </row>
    <row r="4310" customFormat="false" ht="15" hidden="false" customHeight="false" outlineLevel="0" collapsed="false">
      <c r="A4310" s="3" t="n">
        <v>2023</v>
      </c>
      <c r="B4310" s="3" t="n">
        <v>10</v>
      </c>
      <c r="C4310" s="3" t="n">
        <v>18</v>
      </c>
      <c r="D4310" s="3" t="s">
        <v>4314</v>
      </c>
      <c r="E4310" s="4" t="n">
        <v>4</v>
      </c>
    </row>
    <row r="4311" customFormat="false" ht="15" hidden="false" customHeight="false" outlineLevel="0" collapsed="false">
      <c r="A4311" s="3" t="n">
        <v>2023</v>
      </c>
      <c r="B4311" s="3" t="n">
        <v>10</v>
      </c>
      <c r="C4311" s="3" t="n">
        <v>19</v>
      </c>
      <c r="D4311" s="3" t="s">
        <v>4315</v>
      </c>
      <c r="E4311" s="4" t="n">
        <v>1</v>
      </c>
    </row>
    <row r="4312" customFormat="false" ht="15" hidden="false" customHeight="false" outlineLevel="0" collapsed="false">
      <c r="A4312" s="3" t="n">
        <v>2023</v>
      </c>
      <c r="B4312" s="3" t="n">
        <v>10</v>
      </c>
      <c r="C4312" s="3" t="n">
        <v>20</v>
      </c>
      <c r="D4312" s="3" t="s">
        <v>4316</v>
      </c>
      <c r="E4312" s="4" t="n">
        <v>0</v>
      </c>
    </row>
    <row r="4313" customFormat="false" ht="15" hidden="false" customHeight="false" outlineLevel="0" collapsed="false">
      <c r="A4313" s="3" t="n">
        <v>2023</v>
      </c>
      <c r="B4313" s="3" t="n">
        <v>10</v>
      </c>
      <c r="C4313" s="3" t="n">
        <v>21</v>
      </c>
      <c r="D4313" s="3" t="s">
        <v>4317</v>
      </c>
      <c r="E4313" s="4" t="n">
        <v>8</v>
      </c>
    </row>
    <row r="4314" customFormat="false" ht="15" hidden="false" customHeight="false" outlineLevel="0" collapsed="false">
      <c r="A4314" s="3" t="n">
        <v>2023</v>
      </c>
      <c r="B4314" s="3" t="n">
        <v>10</v>
      </c>
      <c r="C4314" s="3" t="n">
        <v>22</v>
      </c>
      <c r="D4314" s="3" t="s">
        <v>4318</v>
      </c>
      <c r="E4314" s="4" t="n">
        <v>4</v>
      </c>
    </row>
    <row r="4315" customFormat="false" ht="15" hidden="false" customHeight="false" outlineLevel="0" collapsed="false">
      <c r="A4315" s="3" t="n">
        <v>2023</v>
      </c>
      <c r="B4315" s="3" t="n">
        <v>10</v>
      </c>
      <c r="C4315" s="3" t="n">
        <v>23</v>
      </c>
      <c r="D4315" s="3" t="s">
        <v>4319</v>
      </c>
      <c r="E4315" s="4" t="n">
        <v>15</v>
      </c>
    </row>
    <row r="4316" customFormat="false" ht="15" hidden="false" customHeight="false" outlineLevel="0" collapsed="false">
      <c r="A4316" s="3" t="n">
        <v>2023</v>
      </c>
      <c r="B4316" s="3" t="n">
        <v>10</v>
      </c>
      <c r="C4316" s="3" t="n">
        <v>24</v>
      </c>
      <c r="D4316" s="3" t="s">
        <v>4320</v>
      </c>
      <c r="E4316" s="4" t="n">
        <v>0</v>
      </c>
    </row>
    <row r="4317" customFormat="false" ht="15" hidden="false" customHeight="false" outlineLevel="0" collapsed="false">
      <c r="A4317" s="3" t="n">
        <v>2023</v>
      </c>
      <c r="B4317" s="3" t="n">
        <v>10</v>
      </c>
      <c r="C4317" s="3" t="n">
        <v>25</v>
      </c>
      <c r="D4317" s="3" t="s">
        <v>4321</v>
      </c>
      <c r="E4317" s="4" t="n">
        <v>18</v>
      </c>
    </row>
    <row r="4318" customFormat="false" ht="15" hidden="false" customHeight="false" outlineLevel="0" collapsed="false">
      <c r="A4318" s="3" t="n">
        <v>2023</v>
      </c>
      <c r="B4318" s="3" t="n">
        <v>10</v>
      </c>
      <c r="C4318" s="3" t="n">
        <v>26</v>
      </c>
      <c r="D4318" s="3" t="s">
        <v>4322</v>
      </c>
      <c r="E4318" s="4" t="n">
        <v>0</v>
      </c>
    </row>
    <row r="4319" customFormat="false" ht="15" hidden="false" customHeight="false" outlineLevel="0" collapsed="false">
      <c r="A4319" s="3" t="n">
        <v>2023</v>
      </c>
      <c r="B4319" s="3" t="n">
        <v>10</v>
      </c>
      <c r="C4319" s="3" t="n">
        <v>27</v>
      </c>
      <c r="D4319" s="3" t="s">
        <v>4323</v>
      </c>
      <c r="E4319" s="4" t="n">
        <v>3</v>
      </c>
    </row>
    <row r="4320" customFormat="false" ht="15" hidden="false" customHeight="false" outlineLevel="0" collapsed="false">
      <c r="A4320" s="3" t="n">
        <v>2023</v>
      </c>
      <c r="B4320" s="3" t="n">
        <v>10</v>
      </c>
      <c r="C4320" s="3" t="n">
        <v>28</v>
      </c>
      <c r="D4320" s="3" t="s">
        <v>4324</v>
      </c>
      <c r="E4320" s="4" t="n">
        <v>22</v>
      </c>
    </row>
    <row r="4321" customFormat="false" ht="15" hidden="false" customHeight="false" outlineLevel="0" collapsed="false">
      <c r="A4321" s="3" t="n">
        <v>2023</v>
      </c>
      <c r="B4321" s="3" t="n">
        <v>10</v>
      </c>
      <c r="C4321" s="3" t="n">
        <v>29</v>
      </c>
      <c r="D4321" s="3" t="s">
        <v>4325</v>
      </c>
      <c r="E4321" s="4" t="n">
        <v>28</v>
      </c>
    </row>
    <row r="4322" customFormat="false" ht="15" hidden="false" customHeight="false" outlineLevel="0" collapsed="false">
      <c r="A4322" s="3" t="n">
        <v>2023</v>
      </c>
      <c r="B4322" s="3" t="n">
        <v>10</v>
      </c>
      <c r="C4322" s="3" t="n">
        <v>30</v>
      </c>
      <c r="D4322" s="3" t="s">
        <v>4326</v>
      </c>
      <c r="E4322" s="4" t="n">
        <v>6</v>
      </c>
    </row>
    <row r="4323" customFormat="false" ht="15" hidden="false" customHeight="false" outlineLevel="0" collapsed="false">
      <c r="A4323" s="3" t="n">
        <v>2023</v>
      </c>
      <c r="B4323" s="3" t="n">
        <v>10</v>
      </c>
      <c r="C4323" s="3" t="n">
        <v>31</v>
      </c>
      <c r="D4323" s="3" t="s">
        <v>4327</v>
      </c>
      <c r="E4323" s="4" t="n">
        <v>12</v>
      </c>
    </row>
    <row r="4324" customFormat="false" ht="15" hidden="false" customHeight="false" outlineLevel="0" collapsed="false">
      <c r="A4324" s="3" t="n">
        <v>2023</v>
      </c>
      <c r="B4324" s="3" t="n">
        <v>11</v>
      </c>
      <c r="C4324" s="3" t="n">
        <v>1</v>
      </c>
      <c r="D4324" s="3" t="s">
        <v>4328</v>
      </c>
      <c r="E4324" s="4" t="n">
        <v>6</v>
      </c>
    </row>
    <row r="4325" customFormat="false" ht="15" hidden="false" customHeight="false" outlineLevel="0" collapsed="false">
      <c r="A4325" s="3" t="n">
        <v>2023</v>
      </c>
      <c r="B4325" s="3" t="n">
        <v>11</v>
      </c>
      <c r="C4325" s="3" t="n">
        <v>2</v>
      </c>
      <c r="D4325" s="3" t="s">
        <v>4329</v>
      </c>
      <c r="E4325" s="4" t="n">
        <v>0</v>
      </c>
    </row>
    <row r="4326" customFormat="false" ht="15" hidden="false" customHeight="false" outlineLevel="0" collapsed="false">
      <c r="A4326" s="3" t="n">
        <v>2023</v>
      </c>
      <c r="B4326" s="3" t="n">
        <v>11</v>
      </c>
      <c r="C4326" s="3" t="n">
        <v>3</v>
      </c>
      <c r="D4326" s="3" t="s">
        <v>4330</v>
      </c>
      <c r="E4326" s="4" t="n">
        <v>10</v>
      </c>
    </row>
    <row r="4327" customFormat="false" ht="15" hidden="false" customHeight="false" outlineLevel="0" collapsed="false">
      <c r="A4327" s="3" t="n">
        <v>2023</v>
      </c>
      <c r="B4327" s="3" t="n">
        <v>11</v>
      </c>
      <c r="C4327" s="3" t="n">
        <v>4</v>
      </c>
      <c r="D4327" s="3" t="s">
        <v>4331</v>
      </c>
      <c r="E4327" s="4" t="n">
        <v>19</v>
      </c>
    </row>
    <row r="4328" customFormat="false" ht="15" hidden="false" customHeight="false" outlineLevel="0" collapsed="false">
      <c r="A4328" s="3" t="n">
        <v>2023</v>
      </c>
      <c r="B4328" s="3" t="n">
        <v>11</v>
      </c>
      <c r="C4328" s="3" t="n">
        <v>5</v>
      </c>
      <c r="D4328" s="3" t="s">
        <v>4332</v>
      </c>
      <c r="E4328" s="4" t="n">
        <v>0</v>
      </c>
    </row>
    <row r="4329" customFormat="false" ht="15" hidden="false" customHeight="false" outlineLevel="0" collapsed="false">
      <c r="A4329" s="3" t="n">
        <v>2023</v>
      </c>
      <c r="B4329" s="3" t="n">
        <v>11</v>
      </c>
      <c r="C4329" s="3" t="n">
        <v>6</v>
      </c>
      <c r="D4329" s="3" t="s">
        <v>4333</v>
      </c>
      <c r="E4329" s="4" t="n">
        <v>35</v>
      </c>
    </row>
    <row r="4330" customFormat="false" ht="15" hidden="false" customHeight="false" outlineLevel="0" collapsed="false">
      <c r="A4330" s="3" t="n">
        <v>2023</v>
      </c>
      <c r="B4330" s="3" t="n">
        <v>11</v>
      </c>
      <c r="C4330" s="3" t="n">
        <v>7</v>
      </c>
      <c r="D4330" s="3" t="s">
        <v>4334</v>
      </c>
      <c r="E4330" s="4" t="n">
        <v>11</v>
      </c>
    </row>
    <row r="4331" customFormat="false" ht="15" hidden="false" customHeight="false" outlineLevel="0" collapsed="false">
      <c r="A4331" s="3" t="n">
        <v>2023</v>
      </c>
      <c r="B4331" s="3" t="n">
        <v>11</v>
      </c>
      <c r="C4331" s="3" t="n">
        <v>8</v>
      </c>
      <c r="D4331" s="3" t="s">
        <v>4335</v>
      </c>
      <c r="E4331" s="4" t="n">
        <v>1</v>
      </c>
    </row>
    <row r="4332" customFormat="false" ht="15" hidden="false" customHeight="false" outlineLevel="0" collapsed="false">
      <c r="A4332" s="3" t="n">
        <v>2023</v>
      </c>
      <c r="B4332" s="3" t="n">
        <v>11</v>
      </c>
      <c r="C4332" s="3" t="n">
        <v>9</v>
      </c>
      <c r="D4332" s="3" t="s">
        <v>4336</v>
      </c>
      <c r="E4332" s="4" t="n">
        <v>23</v>
      </c>
    </row>
    <row r="4333" customFormat="false" ht="15" hidden="false" customHeight="false" outlineLevel="0" collapsed="false">
      <c r="A4333" s="3" t="n">
        <v>2023</v>
      </c>
      <c r="B4333" s="3" t="n">
        <v>11</v>
      </c>
      <c r="C4333" s="3" t="n">
        <v>10</v>
      </c>
      <c r="D4333" s="3" t="s">
        <v>4337</v>
      </c>
      <c r="E4333" s="4" t="n">
        <v>2</v>
      </c>
    </row>
    <row r="4334" customFormat="false" ht="15" hidden="false" customHeight="false" outlineLevel="0" collapsed="false">
      <c r="A4334" s="3" t="n">
        <v>2023</v>
      </c>
      <c r="B4334" s="3" t="n">
        <v>11</v>
      </c>
      <c r="C4334" s="3" t="n">
        <v>11</v>
      </c>
      <c r="D4334" s="3" t="s">
        <v>4338</v>
      </c>
      <c r="E4334" s="4" t="n">
        <v>5</v>
      </c>
    </row>
    <row r="4335" customFormat="false" ht="15" hidden="false" customHeight="false" outlineLevel="0" collapsed="false">
      <c r="A4335" s="3" t="n">
        <v>2023</v>
      </c>
      <c r="B4335" s="3" t="n">
        <v>11</v>
      </c>
      <c r="C4335" s="3" t="n">
        <v>12</v>
      </c>
      <c r="D4335" s="3" t="s">
        <v>4339</v>
      </c>
      <c r="E4335" s="4" t="n">
        <v>13</v>
      </c>
    </row>
    <row r="4336" customFormat="false" ht="15" hidden="false" customHeight="false" outlineLevel="0" collapsed="false">
      <c r="A4336" s="3" t="n">
        <v>2023</v>
      </c>
      <c r="B4336" s="3" t="n">
        <v>11</v>
      </c>
      <c r="C4336" s="3" t="n">
        <v>13</v>
      </c>
      <c r="D4336" s="3" t="s">
        <v>4340</v>
      </c>
      <c r="E4336" s="4" t="n">
        <v>6</v>
      </c>
    </row>
    <row r="4337" customFormat="false" ht="15" hidden="false" customHeight="false" outlineLevel="0" collapsed="false">
      <c r="A4337" s="3" t="n">
        <v>2023</v>
      </c>
      <c r="B4337" s="3" t="n">
        <v>11</v>
      </c>
      <c r="C4337" s="3" t="n">
        <v>14</v>
      </c>
      <c r="D4337" s="3" t="s">
        <v>4341</v>
      </c>
      <c r="E4337" s="4" t="n">
        <v>0</v>
      </c>
    </row>
    <row r="4338" customFormat="false" ht="15" hidden="false" customHeight="false" outlineLevel="0" collapsed="false">
      <c r="A4338" s="3" t="n">
        <v>2023</v>
      </c>
      <c r="B4338" s="3" t="n">
        <v>11</v>
      </c>
      <c r="C4338" s="3" t="n">
        <v>15</v>
      </c>
      <c r="D4338" s="3" t="s">
        <v>4342</v>
      </c>
      <c r="E4338" s="4" t="n">
        <v>0</v>
      </c>
    </row>
    <row r="4339" customFormat="false" ht="15" hidden="false" customHeight="false" outlineLevel="0" collapsed="false">
      <c r="A4339" s="3" t="n">
        <v>2023</v>
      </c>
      <c r="B4339" s="3" t="n">
        <v>11</v>
      </c>
      <c r="C4339" s="3" t="n">
        <v>16</v>
      </c>
      <c r="D4339" s="3" t="s">
        <v>4343</v>
      </c>
      <c r="E4339" s="4" t="n">
        <v>24</v>
      </c>
    </row>
    <row r="4340" customFormat="false" ht="15" hidden="false" customHeight="false" outlineLevel="0" collapsed="false">
      <c r="A4340" s="3" t="n">
        <v>2023</v>
      </c>
      <c r="B4340" s="3" t="n">
        <v>11</v>
      </c>
      <c r="C4340" s="3" t="n">
        <v>17</v>
      </c>
      <c r="D4340" s="3" t="s">
        <v>4344</v>
      </c>
      <c r="E4340" s="4" t="n">
        <v>6</v>
      </c>
    </row>
    <row r="4341" customFormat="false" ht="15" hidden="false" customHeight="false" outlineLevel="0" collapsed="false">
      <c r="A4341" s="3" t="n">
        <v>2023</v>
      </c>
      <c r="B4341" s="3" t="n">
        <v>11</v>
      </c>
      <c r="C4341" s="3" t="n">
        <v>18</v>
      </c>
      <c r="D4341" s="3" t="s">
        <v>4345</v>
      </c>
      <c r="E4341" s="4" t="n">
        <v>0</v>
      </c>
    </row>
    <row r="4342" customFormat="false" ht="15" hidden="false" customHeight="false" outlineLevel="0" collapsed="false">
      <c r="A4342" s="3" t="n">
        <v>2023</v>
      </c>
      <c r="B4342" s="3" t="n">
        <v>11</v>
      </c>
      <c r="C4342" s="3" t="n">
        <v>19</v>
      </c>
      <c r="D4342" s="3" t="s">
        <v>4346</v>
      </c>
      <c r="E4342" s="4" t="n">
        <v>28</v>
      </c>
    </row>
    <row r="4343" customFormat="false" ht="15" hidden="false" customHeight="false" outlineLevel="0" collapsed="false">
      <c r="A4343" s="3" t="n">
        <v>2023</v>
      </c>
      <c r="B4343" s="3" t="n">
        <v>11</v>
      </c>
      <c r="C4343" s="3" t="n">
        <v>20</v>
      </c>
      <c r="D4343" s="3" t="s">
        <v>4347</v>
      </c>
      <c r="E4343" s="4" t="n">
        <v>5</v>
      </c>
    </row>
    <row r="4344" customFormat="false" ht="15" hidden="false" customHeight="false" outlineLevel="0" collapsed="false">
      <c r="A4344" s="3" t="n">
        <v>2023</v>
      </c>
      <c r="B4344" s="3" t="n">
        <v>11</v>
      </c>
      <c r="C4344" s="3" t="n">
        <v>21</v>
      </c>
      <c r="D4344" s="3" t="s">
        <v>4348</v>
      </c>
      <c r="E4344" s="4" t="n">
        <v>4</v>
      </c>
    </row>
    <row r="4345" customFormat="false" ht="15" hidden="false" customHeight="false" outlineLevel="0" collapsed="false">
      <c r="A4345" s="3" t="n">
        <v>2023</v>
      </c>
      <c r="B4345" s="3" t="n">
        <v>11</v>
      </c>
      <c r="C4345" s="3" t="n">
        <v>22</v>
      </c>
      <c r="D4345" s="3" t="s">
        <v>4349</v>
      </c>
      <c r="E4345" s="4" t="n">
        <v>5</v>
      </c>
    </row>
    <row r="4346" customFormat="false" ht="15" hidden="false" customHeight="false" outlineLevel="0" collapsed="false">
      <c r="A4346" s="3" t="n">
        <v>2023</v>
      </c>
      <c r="B4346" s="3" t="n">
        <v>11</v>
      </c>
      <c r="C4346" s="3" t="n">
        <v>23</v>
      </c>
      <c r="D4346" s="3" t="s">
        <v>4350</v>
      </c>
      <c r="E4346" s="4" t="n">
        <v>15</v>
      </c>
    </row>
    <row r="4347" customFormat="false" ht="15" hidden="false" customHeight="false" outlineLevel="0" collapsed="false">
      <c r="A4347" s="3" t="n">
        <v>2023</v>
      </c>
      <c r="B4347" s="3" t="n">
        <v>11</v>
      </c>
      <c r="C4347" s="3" t="n">
        <v>24</v>
      </c>
      <c r="D4347" s="3" t="s">
        <v>4351</v>
      </c>
      <c r="E4347" s="4" t="n">
        <v>10</v>
      </c>
    </row>
    <row r="4348" customFormat="false" ht="15" hidden="false" customHeight="false" outlineLevel="0" collapsed="false">
      <c r="A4348" s="3" t="n">
        <v>2023</v>
      </c>
      <c r="B4348" s="3" t="n">
        <v>11</v>
      </c>
      <c r="C4348" s="3" t="n">
        <v>25</v>
      </c>
      <c r="D4348" s="3" t="s">
        <v>4352</v>
      </c>
      <c r="E4348" s="4" t="n">
        <v>2</v>
      </c>
    </row>
    <row r="4349" customFormat="false" ht="15" hidden="false" customHeight="false" outlineLevel="0" collapsed="false">
      <c r="A4349" s="3" t="n">
        <v>2023</v>
      </c>
      <c r="B4349" s="3" t="n">
        <v>11</v>
      </c>
      <c r="C4349" s="3" t="n">
        <v>26</v>
      </c>
      <c r="D4349" s="3" t="s">
        <v>4353</v>
      </c>
      <c r="E4349" s="4" t="n">
        <v>6</v>
      </c>
    </row>
    <row r="4350" customFormat="false" ht="15" hidden="false" customHeight="false" outlineLevel="0" collapsed="false">
      <c r="A4350" s="3" t="n">
        <v>2023</v>
      </c>
      <c r="B4350" s="3" t="n">
        <v>11</v>
      </c>
      <c r="C4350" s="3" t="n">
        <v>27</v>
      </c>
      <c r="D4350" s="3" t="s">
        <v>4354</v>
      </c>
      <c r="E4350" s="4" t="n">
        <v>18</v>
      </c>
    </row>
    <row r="4351" customFormat="false" ht="15" hidden="false" customHeight="false" outlineLevel="0" collapsed="false">
      <c r="A4351" s="3" t="n">
        <v>2023</v>
      </c>
      <c r="B4351" s="3" t="n">
        <v>11</v>
      </c>
      <c r="C4351" s="3" t="n">
        <v>28</v>
      </c>
      <c r="D4351" s="3" t="s">
        <v>4355</v>
      </c>
      <c r="E4351" s="4" t="n">
        <v>11</v>
      </c>
    </row>
    <row r="4352" customFormat="false" ht="15" hidden="false" customHeight="false" outlineLevel="0" collapsed="false">
      <c r="A4352" s="3" t="n">
        <v>2023</v>
      </c>
      <c r="B4352" s="3" t="n">
        <v>11</v>
      </c>
      <c r="C4352" s="3" t="n">
        <v>29</v>
      </c>
      <c r="D4352" s="3" t="s">
        <v>4356</v>
      </c>
      <c r="E4352" s="4" t="n">
        <v>0</v>
      </c>
    </row>
    <row r="4353" customFormat="false" ht="15" hidden="false" customHeight="false" outlineLevel="0" collapsed="false">
      <c r="A4353" s="3" t="n">
        <v>2023</v>
      </c>
      <c r="B4353" s="3" t="n">
        <v>11</v>
      </c>
      <c r="C4353" s="3" t="n">
        <v>30</v>
      </c>
      <c r="D4353" s="3" t="s">
        <v>4357</v>
      </c>
      <c r="E4353" s="4" t="n">
        <v>0</v>
      </c>
    </row>
    <row r="4354" customFormat="false" ht="15" hidden="false" customHeight="false" outlineLevel="0" collapsed="false">
      <c r="A4354" s="3" t="n">
        <v>2023</v>
      </c>
      <c r="B4354" s="3" t="n">
        <v>12</v>
      </c>
      <c r="C4354" s="3" t="n">
        <v>1</v>
      </c>
      <c r="D4354" s="3" t="s">
        <v>4358</v>
      </c>
      <c r="E4354" s="4" t="n">
        <v>68</v>
      </c>
    </row>
    <row r="4355" customFormat="false" ht="15" hidden="false" customHeight="false" outlineLevel="0" collapsed="false">
      <c r="A4355" s="3" t="n">
        <v>2023</v>
      </c>
      <c r="B4355" s="3" t="n">
        <v>12</v>
      </c>
      <c r="C4355" s="3" t="n">
        <v>2</v>
      </c>
      <c r="D4355" s="3" t="s">
        <v>4359</v>
      </c>
      <c r="E4355" s="4" t="n">
        <v>8</v>
      </c>
    </row>
    <row r="4356" customFormat="false" ht="15" hidden="false" customHeight="false" outlineLevel="0" collapsed="false">
      <c r="A4356" s="3" t="n">
        <v>2023</v>
      </c>
      <c r="B4356" s="3" t="n">
        <v>12</v>
      </c>
      <c r="C4356" s="3" t="n">
        <v>3</v>
      </c>
      <c r="D4356" s="3" t="s">
        <v>4360</v>
      </c>
      <c r="E4356" s="4" t="n">
        <v>1</v>
      </c>
    </row>
    <row r="4357" customFormat="false" ht="15" hidden="false" customHeight="false" outlineLevel="0" collapsed="false">
      <c r="A4357" s="3" t="n">
        <v>2023</v>
      </c>
      <c r="B4357" s="3" t="n">
        <v>12</v>
      </c>
      <c r="C4357" s="3" t="n">
        <v>4</v>
      </c>
      <c r="D4357" s="3" t="s">
        <v>4361</v>
      </c>
      <c r="E4357" s="4" t="n">
        <v>12</v>
      </c>
    </row>
    <row r="4358" customFormat="false" ht="15" hidden="false" customHeight="false" outlineLevel="0" collapsed="false">
      <c r="A4358" s="3" t="n">
        <v>2023</v>
      </c>
      <c r="B4358" s="3" t="n">
        <v>12</v>
      </c>
      <c r="C4358" s="3" t="n">
        <v>5</v>
      </c>
      <c r="D4358" s="3" t="s">
        <v>4362</v>
      </c>
      <c r="E4358" s="4" t="n">
        <v>22</v>
      </c>
    </row>
    <row r="4359" customFormat="false" ht="15" hidden="false" customHeight="false" outlineLevel="0" collapsed="false">
      <c r="A4359" s="3" t="n">
        <v>2023</v>
      </c>
      <c r="B4359" s="3" t="n">
        <v>12</v>
      </c>
      <c r="C4359" s="3" t="n">
        <v>6</v>
      </c>
      <c r="D4359" s="3" t="s">
        <v>4363</v>
      </c>
      <c r="E4359" s="4" t="n">
        <v>2</v>
      </c>
    </row>
    <row r="4360" customFormat="false" ht="15" hidden="false" customHeight="false" outlineLevel="0" collapsed="false">
      <c r="A4360" s="3" t="n">
        <v>2023</v>
      </c>
      <c r="B4360" s="3" t="n">
        <v>12</v>
      </c>
      <c r="C4360" s="3" t="n">
        <v>7</v>
      </c>
      <c r="D4360" s="3" t="s">
        <v>4364</v>
      </c>
      <c r="E4360" s="4" t="n">
        <v>2</v>
      </c>
    </row>
    <row r="4361" customFormat="false" ht="15" hidden="false" customHeight="false" outlineLevel="0" collapsed="false">
      <c r="A4361" s="3" t="n">
        <v>2023</v>
      </c>
      <c r="B4361" s="3" t="n">
        <v>12</v>
      </c>
      <c r="C4361" s="3" t="n">
        <v>8</v>
      </c>
      <c r="D4361" s="3" t="s">
        <v>4365</v>
      </c>
      <c r="E4361" s="4" t="n">
        <v>5</v>
      </c>
    </row>
    <row r="4362" customFormat="false" ht="15" hidden="false" customHeight="false" outlineLevel="0" collapsed="false">
      <c r="A4362" s="3" t="n">
        <v>2023</v>
      </c>
      <c r="B4362" s="3" t="n">
        <v>12</v>
      </c>
      <c r="C4362" s="3" t="n">
        <v>9</v>
      </c>
      <c r="D4362" s="3" t="s">
        <v>4366</v>
      </c>
      <c r="E4362" s="4" t="n">
        <v>0</v>
      </c>
    </row>
    <row r="4363" customFormat="false" ht="15" hidden="false" customHeight="false" outlineLevel="0" collapsed="false">
      <c r="A4363" s="3" t="n">
        <v>2023</v>
      </c>
      <c r="B4363" s="3" t="n">
        <v>12</v>
      </c>
      <c r="C4363" s="3" t="n">
        <v>10</v>
      </c>
      <c r="D4363" s="3" t="s">
        <v>4367</v>
      </c>
      <c r="E4363" s="4" t="n">
        <v>48</v>
      </c>
    </row>
    <row r="4364" customFormat="false" ht="15" hidden="false" customHeight="false" outlineLevel="0" collapsed="false">
      <c r="A4364" s="3" t="n">
        <v>2023</v>
      </c>
      <c r="B4364" s="3" t="n">
        <v>12</v>
      </c>
      <c r="C4364" s="3" t="n">
        <v>11</v>
      </c>
      <c r="D4364" s="3" t="s">
        <v>4368</v>
      </c>
      <c r="E4364" s="4" t="n">
        <v>3</v>
      </c>
    </row>
    <row r="4365" customFormat="false" ht="15" hidden="false" customHeight="false" outlineLevel="0" collapsed="false">
      <c r="A4365" s="3" t="n">
        <v>2023</v>
      </c>
      <c r="B4365" s="3" t="n">
        <v>12</v>
      </c>
      <c r="C4365" s="3" t="n">
        <v>12</v>
      </c>
      <c r="D4365" s="3" t="s">
        <v>4369</v>
      </c>
      <c r="E4365" s="4" t="n">
        <v>12</v>
      </c>
    </row>
    <row r="4366" customFormat="false" ht="15" hidden="false" customHeight="false" outlineLevel="0" collapsed="false">
      <c r="A4366" s="3" t="n">
        <v>2023</v>
      </c>
      <c r="B4366" s="3" t="n">
        <v>12</v>
      </c>
      <c r="C4366" s="3" t="n">
        <v>13</v>
      </c>
      <c r="D4366" s="3" t="s">
        <v>4370</v>
      </c>
      <c r="E4366" s="4" t="n">
        <v>19</v>
      </c>
    </row>
    <row r="4367" customFormat="false" ht="15" hidden="false" customHeight="false" outlineLevel="0" collapsed="false">
      <c r="A4367" s="3" t="n">
        <v>2023</v>
      </c>
      <c r="B4367" s="3" t="n">
        <v>12</v>
      </c>
      <c r="C4367" s="3" t="n">
        <v>14</v>
      </c>
      <c r="D4367" s="3" t="s">
        <v>4371</v>
      </c>
      <c r="E4367" s="4" t="n">
        <v>21</v>
      </c>
    </row>
    <row r="4368" customFormat="false" ht="15" hidden="false" customHeight="false" outlineLevel="0" collapsed="false">
      <c r="A4368" s="3" t="n">
        <v>2023</v>
      </c>
      <c r="B4368" s="3" t="n">
        <v>12</v>
      </c>
      <c r="C4368" s="3" t="n">
        <v>15</v>
      </c>
      <c r="D4368" s="3" t="s">
        <v>4372</v>
      </c>
      <c r="E4368" s="4" t="n">
        <v>10</v>
      </c>
    </row>
    <row r="4369" customFormat="false" ht="15" hidden="false" customHeight="false" outlineLevel="0" collapsed="false">
      <c r="A4369" s="3" t="n">
        <v>2023</v>
      </c>
      <c r="B4369" s="3" t="n">
        <v>12</v>
      </c>
      <c r="C4369" s="3" t="n">
        <v>16</v>
      </c>
      <c r="D4369" s="3" t="s">
        <v>4373</v>
      </c>
      <c r="E4369" s="4" t="n">
        <v>0</v>
      </c>
    </row>
    <row r="4370" customFormat="false" ht="15" hidden="false" customHeight="false" outlineLevel="0" collapsed="false">
      <c r="A4370" s="3" t="n">
        <v>2023</v>
      </c>
      <c r="B4370" s="3" t="n">
        <v>12</v>
      </c>
      <c r="C4370" s="3" t="n">
        <v>17</v>
      </c>
      <c r="D4370" s="3" t="s">
        <v>4374</v>
      </c>
      <c r="E4370" s="4" t="n">
        <v>0</v>
      </c>
    </row>
    <row r="4371" customFormat="false" ht="15" hidden="false" customHeight="false" outlineLevel="0" collapsed="false">
      <c r="A4371" s="3" t="n">
        <v>2023</v>
      </c>
      <c r="B4371" s="3" t="n">
        <v>12</v>
      </c>
      <c r="C4371" s="3" t="n">
        <v>18</v>
      </c>
      <c r="D4371" s="3" t="s">
        <v>4375</v>
      </c>
      <c r="E4371" s="4" t="n">
        <v>1</v>
      </c>
    </row>
    <row r="4372" customFormat="false" ht="15" hidden="false" customHeight="false" outlineLevel="0" collapsed="false">
      <c r="A4372" s="3" t="n">
        <v>2023</v>
      </c>
      <c r="B4372" s="3" t="n">
        <v>12</v>
      </c>
      <c r="C4372" s="3" t="n">
        <v>19</v>
      </c>
      <c r="D4372" s="3" t="s">
        <v>4376</v>
      </c>
      <c r="E4372" s="4" t="n">
        <v>20</v>
      </c>
    </row>
    <row r="4373" customFormat="false" ht="15" hidden="false" customHeight="false" outlineLevel="0" collapsed="false">
      <c r="A4373" s="3" t="n">
        <v>2023</v>
      </c>
      <c r="B4373" s="3" t="n">
        <v>12</v>
      </c>
      <c r="C4373" s="3" t="n">
        <v>20</v>
      </c>
      <c r="D4373" s="3" t="s">
        <v>4377</v>
      </c>
      <c r="E4373" s="4" t="n">
        <v>30</v>
      </c>
    </row>
    <row r="4374" customFormat="false" ht="15" hidden="false" customHeight="false" outlineLevel="0" collapsed="false">
      <c r="A4374" s="3" t="n">
        <v>2023</v>
      </c>
      <c r="B4374" s="3" t="n">
        <v>12</v>
      </c>
      <c r="C4374" s="3" t="n">
        <v>21</v>
      </c>
      <c r="D4374" s="3" t="s">
        <v>4378</v>
      </c>
      <c r="E4374" s="4" t="n">
        <v>12</v>
      </c>
    </row>
    <row r="4375" customFormat="false" ht="15" hidden="false" customHeight="false" outlineLevel="0" collapsed="false">
      <c r="A4375" s="3" t="n">
        <v>2023</v>
      </c>
      <c r="B4375" s="3" t="n">
        <v>12</v>
      </c>
      <c r="C4375" s="3" t="n">
        <v>22</v>
      </c>
      <c r="D4375" s="3" t="s">
        <v>4379</v>
      </c>
      <c r="E4375" s="4" t="n">
        <v>32</v>
      </c>
    </row>
    <row r="4376" customFormat="false" ht="15" hidden="false" customHeight="false" outlineLevel="0" collapsed="false">
      <c r="A4376" s="3" t="n">
        <v>2023</v>
      </c>
      <c r="B4376" s="3" t="n">
        <v>12</v>
      </c>
      <c r="C4376" s="3" t="n">
        <v>23</v>
      </c>
      <c r="D4376" s="3" t="s">
        <v>4380</v>
      </c>
      <c r="E4376" s="4" t="n">
        <v>2</v>
      </c>
    </row>
    <row r="4377" customFormat="false" ht="15" hidden="false" customHeight="false" outlineLevel="0" collapsed="false">
      <c r="A4377" s="3" t="n">
        <v>2023</v>
      </c>
      <c r="B4377" s="3" t="n">
        <v>12</v>
      </c>
      <c r="C4377" s="3" t="n">
        <v>24</v>
      </c>
      <c r="D4377" s="3" t="s">
        <v>4381</v>
      </c>
      <c r="E4377" s="4" t="n">
        <v>1</v>
      </c>
    </row>
    <row r="4378" customFormat="false" ht="15" hidden="false" customHeight="false" outlineLevel="0" collapsed="false">
      <c r="A4378" s="3" t="n">
        <v>2023</v>
      </c>
      <c r="B4378" s="3" t="n">
        <v>12</v>
      </c>
      <c r="C4378" s="3" t="n">
        <v>25</v>
      </c>
      <c r="D4378" s="3" t="s">
        <v>4382</v>
      </c>
      <c r="E4378" s="4" t="n">
        <v>32</v>
      </c>
    </row>
    <row r="4379" customFormat="false" ht="15" hidden="false" customHeight="false" outlineLevel="0" collapsed="false">
      <c r="A4379" s="3" t="n">
        <v>2023</v>
      </c>
      <c r="B4379" s="3" t="n">
        <v>12</v>
      </c>
      <c r="C4379" s="3" t="n">
        <v>26</v>
      </c>
      <c r="D4379" s="3" t="s">
        <v>4383</v>
      </c>
      <c r="E4379" s="4" t="n">
        <v>1</v>
      </c>
    </row>
    <row r="4380" customFormat="false" ht="15" hidden="false" customHeight="false" outlineLevel="0" collapsed="false">
      <c r="A4380" s="3" t="n">
        <v>2023</v>
      </c>
      <c r="B4380" s="3" t="n">
        <v>12</v>
      </c>
      <c r="C4380" s="3" t="n">
        <v>27</v>
      </c>
      <c r="D4380" s="3" t="s">
        <v>4384</v>
      </c>
      <c r="E4380" s="4" t="n">
        <v>1</v>
      </c>
    </row>
    <row r="4381" customFormat="false" ht="15" hidden="false" customHeight="false" outlineLevel="0" collapsed="false">
      <c r="A4381" s="3" t="n">
        <v>2023</v>
      </c>
      <c r="B4381" s="3" t="n">
        <v>12</v>
      </c>
      <c r="C4381" s="3" t="n">
        <v>28</v>
      </c>
      <c r="D4381" s="3" t="s">
        <v>4385</v>
      </c>
      <c r="E4381" s="4" t="n">
        <v>3</v>
      </c>
    </row>
    <row r="4382" customFormat="false" ht="15" hidden="false" customHeight="false" outlineLevel="0" collapsed="false">
      <c r="A4382" s="3" t="n">
        <v>2023</v>
      </c>
      <c r="B4382" s="3" t="n">
        <v>12</v>
      </c>
      <c r="C4382" s="3" t="n">
        <v>29</v>
      </c>
      <c r="D4382" s="3" t="s">
        <v>4386</v>
      </c>
      <c r="E4382" s="4" t="n">
        <v>9</v>
      </c>
    </row>
    <row r="4383" customFormat="false" ht="15" hidden="false" customHeight="false" outlineLevel="0" collapsed="false">
      <c r="A4383" s="3" t="n">
        <v>2023</v>
      </c>
      <c r="B4383" s="3" t="n">
        <v>12</v>
      </c>
      <c r="C4383" s="3" t="n">
        <v>30</v>
      </c>
      <c r="D4383" s="3" t="s">
        <v>4387</v>
      </c>
      <c r="E4383" s="4" t="n">
        <v>15</v>
      </c>
    </row>
    <row r="4384" customFormat="false" ht="15" hidden="false" customHeight="false" outlineLevel="0" collapsed="false">
      <c r="A4384" s="3" t="n">
        <v>2023</v>
      </c>
      <c r="B4384" s="3" t="n">
        <v>12</v>
      </c>
      <c r="C4384" s="3" t="n">
        <v>31</v>
      </c>
      <c r="D4384" s="3" t="s">
        <v>4388</v>
      </c>
      <c r="E4384" s="4" t="n">
        <v>29</v>
      </c>
    </row>
    <row r="4385" customFormat="false" ht="15" hidden="false" customHeight="false" outlineLevel="0" collapsed="false">
      <c r="A4385" s="3" t="n">
        <v>2024</v>
      </c>
      <c r="B4385" s="3" t="n">
        <v>1</v>
      </c>
      <c r="C4385" s="3" t="n">
        <v>1</v>
      </c>
      <c r="D4385" s="3" t="s">
        <v>4389</v>
      </c>
      <c r="E4385" s="4" t="n">
        <v>20</v>
      </c>
    </row>
    <row r="4386" customFormat="false" ht="15" hidden="false" customHeight="false" outlineLevel="0" collapsed="false">
      <c r="A4386" s="3" t="n">
        <v>2024</v>
      </c>
      <c r="B4386" s="3" t="n">
        <v>1</v>
      </c>
      <c r="C4386" s="3" t="n">
        <v>2</v>
      </c>
      <c r="D4386" s="3" t="s">
        <v>4390</v>
      </c>
      <c r="E4386" s="4" t="n">
        <v>79</v>
      </c>
    </row>
    <row r="4387" customFormat="false" ht="15" hidden="false" customHeight="false" outlineLevel="0" collapsed="false">
      <c r="A4387" s="3" t="n">
        <v>2024</v>
      </c>
      <c r="B4387" s="3" t="n">
        <v>1</v>
      </c>
      <c r="C4387" s="3" t="n">
        <v>3</v>
      </c>
      <c r="D4387" s="3" t="s">
        <v>4391</v>
      </c>
      <c r="E4387" s="4" t="n">
        <v>9</v>
      </c>
    </row>
    <row r="4388" customFormat="false" ht="15" hidden="false" customHeight="false" outlineLevel="0" collapsed="false">
      <c r="A4388" s="3" t="n">
        <v>2024</v>
      </c>
      <c r="B4388" s="3" t="n">
        <v>1</v>
      </c>
      <c r="C4388" s="3" t="n">
        <v>4</v>
      </c>
      <c r="D4388" s="3" t="s">
        <v>4392</v>
      </c>
      <c r="E4388" s="4" t="n">
        <v>1</v>
      </c>
    </row>
    <row r="4389" customFormat="false" ht="15" hidden="false" customHeight="false" outlineLevel="0" collapsed="false">
      <c r="A4389" s="3" t="n">
        <v>2024</v>
      </c>
      <c r="B4389" s="3" t="n">
        <v>1</v>
      </c>
      <c r="C4389" s="3" t="n">
        <v>5</v>
      </c>
      <c r="D4389" s="3" t="s">
        <v>4393</v>
      </c>
      <c r="E4389" s="4" t="n">
        <v>24</v>
      </c>
    </row>
    <row r="4390" customFormat="false" ht="15" hidden="false" customHeight="false" outlineLevel="0" collapsed="false">
      <c r="A4390" s="3" t="n">
        <v>2024</v>
      </c>
      <c r="B4390" s="3" t="n">
        <v>1</v>
      </c>
      <c r="C4390" s="3" t="n">
        <v>6</v>
      </c>
      <c r="D4390" s="3" t="s">
        <v>4394</v>
      </c>
      <c r="E4390" s="4" t="n">
        <v>0</v>
      </c>
    </row>
    <row r="4391" customFormat="false" ht="15" hidden="false" customHeight="false" outlineLevel="0" collapsed="false">
      <c r="A4391" s="3" t="n">
        <v>2024</v>
      </c>
      <c r="B4391" s="3" t="n">
        <v>1</v>
      </c>
      <c r="C4391" s="3" t="n">
        <v>7</v>
      </c>
      <c r="D4391" s="3" t="s">
        <v>4395</v>
      </c>
      <c r="E4391" s="4" t="n">
        <v>5</v>
      </c>
    </row>
    <row r="4392" customFormat="false" ht="15" hidden="false" customHeight="false" outlineLevel="0" collapsed="false">
      <c r="A4392" s="3" t="n">
        <v>2024</v>
      </c>
      <c r="B4392" s="3" t="n">
        <v>1</v>
      </c>
      <c r="C4392" s="3" t="n">
        <v>8</v>
      </c>
      <c r="D4392" s="3" t="s">
        <v>4396</v>
      </c>
      <c r="E4392" s="4" t="n">
        <v>0</v>
      </c>
    </row>
    <row r="4393" customFormat="false" ht="15" hidden="false" customHeight="false" outlineLevel="0" collapsed="false">
      <c r="A4393" s="3" t="n">
        <v>2024</v>
      </c>
      <c r="B4393" s="3" t="n">
        <v>1</v>
      </c>
      <c r="C4393" s="3" t="n">
        <v>9</v>
      </c>
      <c r="D4393" s="3" t="s">
        <v>4397</v>
      </c>
      <c r="E4393" s="4" t="n">
        <v>3</v>
      </c>
    </row>
    <row r="4394" customFormat="false" ht="15" hidden="false" customHeight="false" outlineLevel="0" collapsed="false">
      <c r="A4394" s="3" t="n">
        <v>2024</v>
      </c>
      <c r="B4394" s="3" t="n">
        <v>1</v>
      </c>
      <c r="C4394" s="3" t="n">
        <v>10</v>
      </c>
      <c r="D4394" s="3" t="s">
        <v>4398</v>
      </c>
      <c r="E4394" s="4" t="n">
        <v>67</v>
      </c>
    </row>
    <row r="4395" customFormat="false" ht="15" hidden="false" customHeight="false" outlineLevel="0" collapsed="false">
      <c r="A4395" s="3" t="n">
        <v>2024</v>
      </c>
      <c r="B4395" s="3" t="n">
        <v>1</v>
      </c>
      <c r="C4395" s="3" t="n">
        <v>11</v>
      </c>
      <c r="D4395" s="3" t="s">
        <v>4399</v>
      </c>
      <c r="E4395" s="4" t="n">
        <v>8</v>
      </c>
    </row>
    <row r="4396" customFormat="false" ht="15" hidden="false" customHeight="false" outlineLevel="0" collapsed="false">
      <c r="A4396" s="3" t="n">
        <v>2024</v>
      </c>
      <c r="B4396" s="3" t="n">
        <v>1</v>
      </c>
      <c r="C4396" s="3" t="n">
        <v>12</v>
      </c>
      <c r="D4396" s="3" t="s">
        <v>4400</v>
      </c>
      <c r="E4396" s="4" t="n">
        <v>6</v>
      </c>
    </row>
    <row r="4397" customFormat="false" ht="15" hidden="false" customHeight="false" outlineLevel="0" collapsed="false">
      <c r="A4397" s="3" t="n">
        <v>2024</v>
      </c>
      <c r="B4397" s="3" t="n">
        <v>1</v>
      </c>
      <c r="C4397" s="3" t="n">
        <v>13</v>
      </c>
      <c r="D4397" s="3" t="s">
        <v>4401</v>
      </c>
      <c r="E4397" s="4" t="n">
        <v>20</v>
      </c>
    </row>
    <row r="4398" customFormat="false" ht="15" hidden="false" customHeight="false" outlineLevel="0" collapsed="false">
      <c r="A4398" s="3" t="n">
        <v>2024</v>
      </c>
      <c r="B4398" s="3" t="n">
        <v>1</v>
      </c>
      <c r="C4398" s="3" t="n">
        <v>14</v>
      </c>
      <c r="D4398" s="3" t="s">
        <v>4402</v>
      </c>
      <c r="E4398" s="4" t="n">
        <v>6</v>
      </c>
    </row>
    <row r="4399" customFormat="false" ht="15" hidden="false" customHeight="false" outlineLevel="0" collapsed="false">
      <c r="A4399" s="3" t="n">
        <v>2024</v>
      </c>
      <c r="B4399" s="3" t="n">
        <v>1</v>
      </c>
      <c r="C4399" s="3" t="n">
        <v>15</v>
      </c>
      <c r="D4399" s="3" t="s">
        <v>4403</v>
      </c>
      <c r="E4399" s="4" t="n">
        <v>9</v>
      </c>
    </row>
    <row r="4400" customFormat="false" ht="15" hidden="false" customHeight="false" outlineLevel="0" collapsed="false">
      <c r="A4400" s="3" t="n">
        <v>2024</v>
      </c>
      <c r="B4400" s="3" t="n">
        <v>1</v>
      </c>
      <c r="C4400" s="3" t="n">
        <v>16</v>
      </c>
      <c r="D4400" s="3" t="s">
        <v>4404</v>
      </c>
      <c r="E4400" s="4" t="n">
        <v>1</v>
      </c>
    </row>
    <row r="4401" customFormat="false" ht="15" hidden="false" customHeight="false" outlineLevel="0" collapsed="false">
      <c r="A4401" s="3" t="n">
        <v>2024</v>
      </c>
      <c r="B4401" s="3" t="n">
        <v>1</v>
      </c>
      <c r="C4401" s="3" t="n">
        <v>17</v>
      </c>
      <c r="D4401" s="3" t="s">
        <v>4405</v>
      </c>
      <c r="E4401" s="4" t="n">
        <v>24</v>
      </c>
    </row>
    <row r="4402" customFormat="false" ht="15" hidden="false" customHeight="false" outlineLevel="0" collapsed="false">
      <c r="A4402" s="3" t="n">
        <v>2024</v>
      </c>
      <c r="B4402" s="3" t="n">
        <v>1</v>
      </c>
      <c r="C4402" s="3" t="n">
        <v>18</v>
      </c>
      <c r="D4402" s="3" t="s">
        <v>4406</v>
      </c>
      <c r="E4402" s="4" t="n">
        <v>9</v>
      </c>
    </row>
    <row r="4403" customFormat="false" ht="15" hidden="false" customHeight="false" outlineLevel="0" collapsed="false">
      <c r="A4403" s="3" t="n">
        <v>2024</v>
      </c>
      <c r="B4403" s="3" t="n">
        <v>1</v>
      </c>
      <c r="C4403" s="3" t="n">
        <v>19</v>
      </c>
      <c r="D4403" s="3" t="s">
        <v>4407</v>
      </c>
      <c r="E4403" s="4" t="n">
        <v>15</v>
      </c>
    </row>
    <row r="4404" customFormat="false" ht="15" hidden="false" customHeight="false" outlineLevel="0" collapsed="false">
      <c r="A4404" s="3" t="n">
        <v>2024</v>
      </c>
      <c r="B4404" s="3" t="n">
        <v>1</v>
      </c>
      <c r="C4404" s="3" t="n">
        <v>20</v>
      </c>
      <c r="D4404" s="3" t="s">
        <v>4408</v>
      </c>
      <c r="E4404" s="4" t="n">
        <v>7</v>
      </c>
    </row>
    <row r="4405" customFormat="false" ht="15" hidden="false" customHeight="false" outlineLevel="0" collapsed="false">
      <c r="A4405" s="3" t="n">
        <v>2024</v>
      </c>
      <c r="B4405" s="3" t="n">
        <v>1</v>
      </c>
      <c r="C4405" s="3" t="n">
        <v>21</v>
      </c>
      <c r="D4405" s="3" t="s">
        <v>4409</v>
      </c>
      <c r="E4405" s="4" t="n">
        <v>0</v>
      </c>
    </row>
    <row r="4406" customFormat="false" ht="15" hidden="false" customHeight="false" outlineLevel="0" collapsed="false">
      <c r="A4406" s="3" t="n">
        <v>2024</v>
      </c>
      <c r="B4406" s="3" t="n">
        <v>1</v>
      </c>
      <c r="C4406" s="3" t="n">
        <v>22</v>
      </c>
      <c r="D4406" s="3" t="s">
        <v>4410</v>
      </c>
      <c r="E4406" s="4" t="n">
        <v>0</v>
      </c>
    </row>
    <row r="4407" customFormat="false" ht="15" hidden="false" customHeight="false" outlineLevel="0" collapsed="false">
      <c r="A4407" s="3" t="n">
        <v>2024</v>
      </c>
      <c r="B4407" s="3" t="n">
        <v>1</v>
      </c>
      <c r="C4407" s="3" t="n">
        <v>23</v>
      </c>
      <c r="D4407" s="3" t="s">
        <v>4411</v>
      </c>
      <c r="E4407" s="4" t="n">
        <v>0</v>
      </c>
    </row>
    <row r="4408" customFormat="false" ht="15" hidden="false" customHeight="false" outlineLevel="0" collapsed="false">
      <c r="A4408" s="3" t="n">
        <v>2024</v>
      </c>
      <c r="B4408" s="3" t="n">
        <v>1</v>
      </c>
      <c r="C4408" s="3" t="n">
        <v>24</v>
      </c>
      <c r="D4408" s="3" t="s">
        <v>4412</v>
      </c>
      <c r="E4408" s="4" t="n">
        <v>0</v>
      </c>
    </row>
    <row r="4409" customFormat="false" ht="15" hidden="false" customHeight="false" outlineLevel="0" collapsed="false">
      <c r="A4409" s="3" t="n">
        <v>2024</v>
      </c>
      <c r="B4409" s="3" t="n">
        <v>1</v>
      </c>
      <c r="C4409" s="3" t="n">
        <v>25</v>
      </c>
      <c r="D4409" s="3" t="s">
        <v>4413</v>
      </c>
      <c r="E4409" s="4" t="n">
        <v>13</v>
      </c>
    </row>
    <row r="4410" customFormat="false" ht="15" hidden="false" customHeight="false" outlineLevel="0" collapsed="false">
      <c r="A4410" s="3" t="n">
        <v>2024</v>
      </c>
      <c r="B4410" s="3" t="n">
        <v>1</v>
      </c>
      <c r="C4410" s="3" t="n">
        <v>26</v>
      </c>
      <c r="D4410" s="3" t="s">
        <v>4414</v>
      </c>
      <c r="E4410" s="4" t="n">
        <v>2</v>
      </c>
    </row>
    <row r="4411" customFormat="false" ht="15" hidden="false" customHeight="false" outlineLevel="0" collapsed="false">
      <c r="A4411" s="3" t="n">
        <v>2024</v>
      </c>
      <c r="B4411" s="3" t="n">
        <v>1</v>
      </c>
      <c r="C4411" s="3" t="n">
        <v>27</v>
      </c>
      <c r="D4411" s="3" t="s">
        <v>4415</v>
      </c>
      <c r="E4411" s="4" t="n">
        <v>14</v>
      </c>
    </row>
    <row r="4412" customFormat="false" ht="15" hidden="false" customHeight="false" outlineLevel="0" collapsed="false">
      <c r="A4412" s="3" t="n">
        <v>2024</v>
      </c>
      <c r="B4412" s="3" t="n">
        <v>1</v>
      </c>
      <c r="C4412" s="3" t="n">
        <v>28</v>
      </c>
      <c r="D4412" s="3" t="s">
        <v>4416</v>
      </c>
      <c r="E4412" s="4" t="n">
        <v>12</v>
      </c>
    </row>
    <row r="4413" customFormat="false" ht="15" hidden="false" customHeight="false" outlineLevel="0" collapsed="false">
      <c r="A4413" s="3" t="n">
        <v>2024</v>
      </c>
      <c r="B4413" s="3" t="n">
        <v>1</v>
      </c>
      <c r="C4413" s="3" t="n">
        <v>29</v>
      </c>
      <c r="D4413" s="3" t="s">
        <v>4417</v>
      </c>
      <c r="E4413" s="4" t="n">
        <v>7</v>
      </c>
    </row>
    <row r="4414" customFormat="false" ht="15" hidden="false" customHeight="false" outlineLevel="0" collapsed="false">
      <c r="A4414" s="3" t="n">
        <v>2024</v>
      </c>
      <c r="B4414" s="3" t="n">
        <v>1</v>
      </c>
      <c r="C4414" s="3" t="n">
        <v>30</v>
      </c>
      <c r="D4414" s="3" t="s">
        <v>4418</v>
      </c>
      <c r="E4414" s="4" t="n">
        <v>6</v>
      </c>
    </row>
    <row r="4415" customFormat="false" ht="15" hidden="false" customHeight="false" outlineLevel="0" collapsed="false">
      <c r="A4415" s="3" t="n">
        <v>2024</v>
      </c>
      <c r="B4415" s="3" t="n">
        <v>1</v>
      </c>
      <c r="C4415" s="3" t="n">
        <v>31</v>
      </c>
      <c r="D4415" s="3" t="s">
        <v>4419</v>
      </c>
      <c r="E4415" s="4" t="n">
        <v>12</v>
      </c>
    </row>
    <row r="4416" customFormat="false" ht="15" hidden="false" customHeight="false" outlineLevel="0" collapsed="false">
      <c r="A4416" s="3" t="n">
        <v>2024</v>
      </c>
      <c r="B4416" s="3" t="n">
        <v>2</v>
      </c>
      <c r="C4416" s="3" t="n">
        <v>1</v>
      </c>
      <c r="D4416" s="3" t="s">
        <v>4420</v>
      </c>
      <c r="E4416" s="4" t="n">
        <v>68</v>
      </c>
    </row>
    <row r="4417" customFormat="false" ht="15" hidden="false" customHeight="false" outlineLevel="0" collapsed="false">
      <c r="A4417" s="3" t="n">
        <v>2024</v>
      </c>
      <c r="B4417" s="3" t="n">
        <v>2</v>
      </c>
      <c r="C4417" s="3" t="n">
        <v>2</v>
      </c>
      <c r="D4417" s="3" t="s">
        <v>4421</v>
      </c>
      <c r="E4417" s="4" t="n">
        <v>10</v>
      </c>
    </row>
    <row r="4418" customFormat="false" ht="15" hidden="false" customHeight="false" outlineLevel="0" collapsed="false">
      <c r="A4418" s="3" t="n">
        <v>2024</v>
      </c>
      <c r="B4418" s="3" t="n">
        <v>2</v>
      </c>
      <c r="C4418" s="3" t="n">
        <v>3</v>
      </c>
      <c r="D4418" s="3" t="s">
        <v>4422</v>
      </c>
      <c r="E4418" s="4" t="n">
        <v>0</v>
      </c>
    </row>
    <row r="4419" customFormat="false" ht="15" hidden="false" customHeight="false" outlineLevel="0" collapsed="false">
      <c r="A4419" s="3" t="n">
        <v>2024</v>
      </c>
      <c r="B4419" s="3" t="n">
        <v>2</v>
      </c>
      <c r="C4419" s="3" t="n">
        <v>4</v>
      </c>
      <c r="D4419" s="3" t="s">
        <v>4423</v>
      </c>
      <c r="E4419" s="4" t="n">
        <v>16</v>
      </c>
    </row>
    <row r="4420" customFormat="false" ht="15" hidden="false" customHeight="false" outlineLevel="0" collapsed="false">
      <c r="A4420" s="3" t="n">
        <v>2024</v>
      </c>
      <c r="B4420" s="3" t="n">
        <v>2</v>
      </c>
      <c r="C4420" s="3" t="n">
        <v>5</v>
      </c>
      <c r="D4420" s="3" t="s">
        <v>4424</v>
      </c>
      <c r="E4420" s="4" t="n">
        <v>0</v>
      </c>
    </row>
    <row r="4421" customFormat="false" ht="15" hidden="false" customHeight="false" outlineLevel="0" collapsed="false">
      <c r="A4421" s="3" t="n">
        <v>2024</v>
      </c>
      <c r="B4421" s="3" t="n">
        <v>2</v>
      </c>
      <c r="C4421" s="3" t="n">
        <v>6</v>
      </c>
      <c r="D4421" s="3" t="s">
        <v>4425</v>
      </c>
      <c r="E4421" s="4" t="n">
        <v>3</v>
      </c>
    </row>
    <row r="4422" customFormat="false" ht="15" hidden="false" customHeight="false" outlineLevel="0" collapsed="false">
      <c r="A4422" s="3" t="n">
        <v>2024</v>
      </c>
      <c r="B4422" s="3" t="n">
        <v>2</v>
      </c>
      <c r="C4422" s="3" t="n">
        <v>7</v>
      </c>
      <c r="D4422" s="3" t="s">
        <v>4426</v>
      </c>
      <c r="E4422" s="4" t="n">
        <v>0</v>
      </c>
    </row>
    <row r="4423" customFormat="false" ht="15" hidden="false" customHeight="false" outlineLevel="0" collapsed="false">
      <c r="A4423" s="3" t="n">
        <v>2024</v>
      </c>
      <c r="B4423" s="3" t="n">
        <v>2</v>
      </c>
      <c r="C4423" s="3" t="n">
        <v>8</v>
      </c>
      <c r="D4423" s="3" t="s">
        <v>4427</v>
      </c>
      <c r="E4423" s="4" t="n">
        <v>0</v>
      </c>
    </row>
    <row r="4424" customFormat="false" ht="15" hidden="false" customHeight="false" outlineLevel="0" collapsed="false">
      <c r="A4424" s="3" t="n">
        <v>2024</v>
      </c>
      <c r="B4424" s="3" t="n">
        <v>2</v>
      </c>
      <c r="C4424" s="3" t="n">
        <v>9</v>
      </c>
      <c r="D4424" s="3" t="s">
        <v>4428</v>
      </c>
      <c r="E4424" s="4" t="n">
        <v>0</v>
      </c>
    </row>
    <row r="4425" customFormat="false" ht="15" hidden="false" customHeight="false" outlineLevel="0" collapsed="false">
      <c r="A4425" s="3" t="n">
        <v>2024</v>
      </c>
      <c r="B4425" s="3" t="n">
        <v>2</v>
      </c>
      <c r="C4425" s="3" t="n">
        <v>10</v>
      </c>
      <c r="D4425" s="3" t="s">
        <v>4429</v>
      </c>
      <c r="E4425" s="4" t="n">
        <v>0</v>
      </c>
    </row>
    <row r="4426" customFormat="false" ht="15" hidden="false" customHeight="false" outlineLevel="0" collapsed="false">
      <c r="A4426" s="3" t="n">
        <v>2024</v>
      </c>
      <c r="B4426" s="3" t="n">
        <v>2</v>
      </c>
      <c r="C4426" s="3" t="n">
        <v>11</v>
      </c>
      <c r="D4426" s="3" t="s">
        <v>4430</v>
      </c>
      <c r="E4426" s="4" t="n">
        <v>14</v>
      </c>
    </row>
    <row r="4427" customFormat="false" ht="15" hidden="false" customHeight="false" outlineLevel="0" collapsed="false">
      <c r="A4427" s="3" t="n">
        <v>2024</v>
      </c>
      <c r="B4427" s="3" t="n">
        <v>2</v>
      </c>
      <c r="C4427" s="3" t="n">
        <v>12</v>
      </c>
      <c r="D4427" s="3" t="s">
        <v>4431</v>
      </c>
      <c r="E4427" s="4" t="n">
        <v>7</v>
      </c>
    </row>
    <row r="4428" customFormat="false" ht="15" hidden="false" customHeight="false" outlineLevel="0" collapsed="false">
      <c r="A4428" s="3" t="n">
        <v>2024</v>
      </c>
      <c r="B4428" s="3" t="n">
        <v>2</v>
      </c>
      <c r="C4428" s="3" t="n">
        <v>13</v>
      </c>
      <c r="D4428" s="3" t="s">
        <v>4432</v>
      </c>
      <c r="E4428" s="4" t="n">
        <v>6</v>
      </c>
    </row>
    <row r="4429" customFormat="false" ht="15" hidden="false" customHeight="false" outlineLevel="0" collapsed="false">
      <c r="A4429" s="3" t="n">
        <v>2024</v>
      </c>
      <c r="B4429" s="3" t="n">
        <v>2</v>
      </c>
      <c r="C4429" s="3" t="n">
        <v>14</v>
      </c>
      <c r="D4429" s="3" t="s">
        <v>4433</v>
      </c>
      <c r="E4429" s="4" t="n">
        <v>27</v>
      </c>
    </row>
    <row r="4430" customFormat="false" ht="15" hidden="false" customHeight="false" outlineLevel="0" collapsed="false">
      <c r="A4430" s="3" t="n">
        <v>2024</v>
      </c>
      <c r="B4430" s="3" t="n">
        <v>2</v>
      </c>
      <c r="C4430" s="3" t="n">
        <v>15</v>
      </c>
      <c r="D4430" s="3" t="s">
        <v>4434</v>
      </c>
      <c r="E4430" s="4" t="n">
        <v>13</v>
      </c>
    </row>
    <row r="4431" customFormat="false" ht="15" hidden="false" customHeight="false" outlineLevel="0" collapsed="false">
      <c r="A4431" s="3" t="n">
        <v>2024</v>
      </c>
      <c r="B4431" s="3" t="n">
        <v>2</v>
      </c>
      <c r="C4431" s="3" t="n">
        <v>16</v>
      </c>
      <c r="D4431" s="3" t="s">
        <v>4435</v>
      </c>
      <c r="E4431" s="4" t="n">
        <v>9</v>
      </c>
    </row>
    <row r="4432" customFormat="false" ht="15" hidden="false" customHeight="false" outlineLevel="0" collapsed="false">
      <c r="A4432" s="3" t="n">
        <v>2024</v>
      </c>
      <c r="B4432" s="3" t="n">
        <v>2</v>
      </c>
      <c r="C4432" s="3" t="n">
        <v>17</v>
      </c>
      <c r="D4432" s="3" t="s">
        <v>4436</v>
      </c>
      <c r="E4432" s="4" t="n">
        <v>21</v>
      </c>
    </row>
    <row r="4433" customFormat="false" ht="15" hidden="false" customHeight="false" outlineLevel="0" collapsed="false">
      <c r="A4433" s="3" t="n">
        <v>2024</v>
      </c>
      <c r="B4433" s="3" t="n">
        <v>2</v>
      </c>
      <c r="C4433" s="3" t="n">
        <v>18</v>
      </c>
      <c r="D4433" s="3" t="s">
        <v>4437</v>
      </c>
      <c r="E4433" s="4" t="n">
        <v>4</v>
      </c>
    </row>
    <row r="4434" customFormat="false" ht="15" hidden="false" customHeight="false" outlineLevel="0" collapsed="false">
      <c r="A4434" s="3" t="n">
        <v>2024</v>
      </c>
      <c r="B4434" s="3" t="n">
        <v>2</v>
      </c>
      <c r="C4434" s="3" t="n">
        <v>19</v>
      </c>
      <c r="D4434" s="3" t="s">
        <v>4438</v>
      </c>
      <c r="E4434" s="4" t="n">
        <v>2</v>
      </c>
    </row>
    <row r="4435" customFormat="false" ht="15" hidden="false" customHeight="false" outlineLevel="0" collapsed="false">
      <c r="A4435" s="3" t="n">
        <v>2024</v>
      </c>
      <c r="B4435" s="3" t="n">
        <v>2</v>
      </c>
      <c r="C4435" s="3" t="n">
        <v>20</v>
      </c>
      <c r="D4435" s="3" t="s">
        <v>4439</v>
      </c>
      <c r="E4435" s="4" t="n">
        <v>0</v>
      </c>
    </row>
    <row r="4436" customFormat="false" ht="15" hidden="false" customHeight="false" outlineLevel="0" collapsed="false">
      <c r="A4436" s="3" t="n">
        <v>2024</v>
      </c>
      <c r="B4436" s="3" t="n">
        <v>2</v>
      </c>
      <c r="C4436" s="3" t="n">
        <v>21</v>
      </c>
      <c r="D4436" s="3" t="s">
        <v>4440</v>
      </c>
      <c r="E4436" s="4" t="n">
        <v>87</v>
      </c>
    </row>
    <row r="4437" customFormat="false" ht="15" hidden="false" customHeight="false" outlineLevel="0" collapsed="false">
      <c r="A4437" s="3" t="n">
        <v>2024</v>
      </c>
      <c r="B4437" s="3" t="n">
        <v>2</v>
      </c>
      <c r="C4437" s="3" t="n">
        <v>22</v>
      </c>
      <c r="D4437" s="3" t="s">
        <v>4441</v>
      </c>
      <c r="E4437" s="4" t="n">
        <v>4</v>
      </c>
    </row>
    <row r="4438" customFormat="false" ht="15" hidden="false" customHeight="false" outlineLevel="0" collapsed="false">
      <c r="A4438" s="3" t="n">
        <v>2024</v>
      </c>
      <c r="B4438" s="3" t="n">
        <v>2</v>
      </c>
      <c r="C4438" s="3" t="n">
        <v>23</v>
      </c>
      <c r="D4438" s="3" t="s">
        <v>4442</v>
      </c>
      <c r="E4438" s="4" t="n">
        <v>0</v>
      </c>
    </row>
    <row r="4439" customFormat="false" ht="15" hidden="false" customHeight="false" outlineLevel="0" collapsed="false">
      <c r="A4439" s="3" t="n">
        <v>2024</v>
      </c>
      <c r="B4439" s="3" t="n">
        <v>2</v>
      </c>
      <c r="C4439" s="3" t="n">
        <v>24</v>
      </c>
      <c r="D4439" s="3" t="s">
        <v>4443</v>
      </c>
      <c r="E4439" s="4" t="n">
        <v>2</v>
      </c>
    </row>
    <row r="4440" customFormat="false" ht="15" hidden="false" customHeight="false" outlineLevel="0" collapsed="false">
      <c r="A4440" s="3" t="n">
        <v>2024</v>
      </c>
      <c r="B4440" s="3" t="n">
        <v>2</v>
      </c>
      <c r="C4440" s="3" t="n">
        <v>25</v>
      </c>
      <c r="D4440" s="3" t="s">
        <v>4444</v>
      </c>
      <c r="E4440" s="4" t="n">
        <v>1</v>
      </c>
    </row>
    <row r="4441" customFormat="false" ht="15" hidden="false" customHeight="false" outlineLevel="0" collapsed="false">
      <c r="A4441" s="3" t="n">
        <v>2024</v>
      </c>
      <c r="B4441" s="3" t="n">
        <v>2</v>
      </c>
      <c r="C4441" s="3" t="n">
        <v>26</v>
      </c>
      <c r="D4441" s="3" t="s">
        <v>4445</v>
      </c>
      <c r="E4441" s="4" t="n">
        <v>2</v>
      </c>
    </row>
    <row r="4442" customFormat="false" ht="15" hidden="false" customHeight="false" outlineLevel="0" collapsed="false">
      <c r="A4442" s="3" t="n">
        <v>2024</v>
      </c>
      <c r="B4442" s="3" t="n">
        <v>2</v>
      </c>
      <c r="C4442" s="3" t="n">
        <v>27</v>
      </c>
      <c r="D4442" s="3" t="s">
        <v>4446</v>
      </c>
      <c r="E4442" s="4" t="n">
        <v>0</v>
      </c>
    </row>
    <row r="4443" customFormat="false" ht="15" hidden="false" customHeight="false" outlineLevel="0" collapsed="false">
      <c r="A4443" s="3" t="n">
        <v>2024</v>
      </c>
      <c r="B4443" s="3" t="n">
        <v>2</v>
      </c>
      <c r="C4443" s="3" t="n">
        <v>28</v>
      </c>
      <c r="D4443" s="3" t="s">
        <v>4447</v>
      </c>
      <c r="E4443" s="4" t="n">
        <v>1</v>
      </c>
    </row>
    <row r="4444" customFormat="false" ht="15" hidden="false" customHeight="false" outlineLevel="0" collapsed="false">
      <c r="A4444" s="3" t="n">
        <v>2024</v>
      </c>
      <c r="B4444" s="3" t="n">
        <v>2</v>
      </c>
      <c r="C4444" s="3" t="n">
        <v>29</v>
      </c>
      <c r="D4444" s="3" t="s">
        <v>4448</v>
      </c>
      <c r="E4444" s="4" t="n">
        <v>3</v>
      </c>
    </row>
    <row r="4445" customFormat="false" ht="15" hidden="false" customHeight="false" outlineLevel="0" collapsed="false">
      <c r="A4445" s="3" t="n">
        <v>2024</v>
      </c>
      <c r="B4445" s="3" t="n">
        <v>3</v>
      </c>
      <c r="C4445" s="3" t="n">
        <v>1</v>
      </c>
      <c r="D4445" s="3" t="s">
        <v>4449</v>
      </c>
      <c r="E4445" s="4" t="n">
        <v>3</v>
      </c>
    </row>
    <row r="4446" customFormat="false" ht="15" hidden="false" customHeight="false" outlineLevel="0" collapsed="false">
      <c r="A4446" s="3" t="n">
        <v>2024</v>
      </c>
      <c r="B4446" s="3" t="n">
        <v>3</v>
      </c>
      <c r="C4446" s="3" t="n">
        <v>2</v>
      </c>
      <c r="D4446" s="3" t="s">
        <v>4450</v>
      </c>
      <c r="E4446" s="4" t="n">
        <v>23</v>
      </c>
    </row>
    <row r="4447" customFormat="false" ht="15" hidden="false" customHeight="false" outlineLevel="0" collapsed="false">
      <c r="A4447" s="3" t="n">
        <v>2024</v>
      </c>
      <c r="B4447" s="3" t="n">
        <v>3</v>
      </c>
      <c r="C4447" s="3" t="n">
        <v>3</v>
      </c>
      <c r="D4447" s="3" t="s">
        <v>4451</v>
      </c>
      <c r="E4447" s="4" t="n">
        <v>5</v>
      </c>
    </row>
    <row r="4448" customFormat="false" ht="15" hidden="false" customHeight="false" outlineLevel="0" collapsed="false">
      <c r="A4448" s="3" t="n">
        <v>2024</v>
      </c>
      <c r="B4448" s="3" t="n">
        <v>3</v>
      </c>
      <c r="C4448" s="3" t="n">
        <v>4</v>
      </c>
      <c r="D4448" s="3" t="s">
        <v>4452</v>
      </c>
      <c r="E4448" s="4" t="n">
        <v>23</v>
      </c>
    </row>
    <row r="4449" customFormat="false" ht="15" hidden="false" customHeight="false" outlineLevel="0" collapsed="false">
      <c r="A4449" s="3" t="n">
        <v>2024</v>
      </c>
      <c r="B4449" s="3" t="n">
        <v>3</v>
      </c>
      <c r="C4449" s="3" t="n">
        <v>5</v>
      </c>
      <c r="D4449" s="3" t="s">
        <v>4453</v>
      </c>
      <c r="E4449" s="4" t="n">
        <v>18</v>
      </c>
    </row>
    <row r="4450" customFormat="false" ht="15" hidden="false" customHeight="false" outlineLevel="0" collapsed="false">
      <c r="A4450" s="3" t="n">
        <v>2024</v>
      </c>
      <c r="B4450" s="3" t="n">
        <v>3</v>
      </c>
      <c r="C4450" s="3" t="n">
        <v>6</v>
      </c>
      <c r="D4450" s="3" t="s">
        <v>4454</v>
      </c>
      <c r="E4450" s="4" t="n">
        <v>29</v>
      </c>
    </row>
    <row r="4451" customFormat="false" ht="15" hidden="false" customHeight="false" outlineLevel="0" collapsed="false">
      <c r="A4451" s="3" t="n">
        <v>2024</v>
      </c>
      <c r="B4451" s="3" t="n">
        <v>3</v>
      </c>
      <c r="C4451" s="3" t="n">
        <v>7</v>
      </c>
      <c r="D4451" s="3" t="s">
        <v>4455</v>
      </c>
      <c r="E4451" s="4" t="n">
        <v>8</v>
      </c>
    </row>
    <row r="4452" customFormat="false" ht="15" hidden="false" customHeight="false" outlineLevel="0" collapsed="false">
      <c r="A4452" s="3" t="n">
        <v>2024</v>
      </c>
      <c r="B4452" s="3" t="n">
        <v>3</v>
      </c>
      <c r="C4452" s="3" t="n">
        <v>8</v>
      </c>
      <c r="D4452" s="3" t="s">
        <v>4456</v>
      </c>
      <c r="E4452" s="4" t="n">
        <v>11</v>
      </c>
    </row>
    <row r="4453" customFormat="false" ht="15" hidden="false" customHeight="false" outlineLevel="0" collapsed="false">
      <c r="A4453" s="3" t="n">
        <v>2024</v>
      </c>
      <c r="B4453" s="3" t="n">
        <v>3</v>
      </c>
      <c r="C4453" s="3" t="n">
        <v>9</v>
      </c>
      <c r="D4453" s="3" t="s">
        <v>4457</v>
      </c>
      <c r="E4453" s="4" t="n">
        <v>103</v>
      </c>
    </row>
    <row r="4454" customFormat="false" ht="15" hidden="false" customHeight="false" outlineLevel="0" collapsed="false">
      <c r="A4454" s="3" t="n">
        <v>2024</v>
      </c>
      <c r="B4454" s="3" t="n">
        <v>3</v>
      </c>
      <c r="C4454" s="3" t="n">
        <v>10</v>
      </c>
      <c r="D4454" s="3" t="s">
        <v>4458</v>
      </c>
      <c r="E4454" s="4" t="n">
        <v>0</v>
      </c>
    </row>
    <row r="4455" customFormat="false" ht="15" hidden="false" customHeight="false" outlineLevel="0" collapsed="false">
      <c r="A4455" s="3" t="n">
        <v>2024</v>
      </c>
      <c r="B4455" s="3" t="n">
        <v>3</v>
      </c>
      <c r="C4455" s="3" t="n">
        <v>11</v>
      </c>
      <c r="D4455" s="3" t="s">
        <v>4459</v>
      </c>
      <c r="E4455" s="4" t="n">
        <v>0</v>
      </c>
    </row>
    <row r="4456" customFormat="false" ht="15" hidden="false" customHeight="false" outlineLevel="0" collapsed="false">
      <c r="A4456" s="3" t="n">
        <v>2024</v>
      </c>
      <c r="B4456" s="3" t="n">
        <v>3</v>
      </c>
      <c r="C4456" s="3" t="n">
        <v>12</v>
      </c>
      <c r="D4456" s="3" t="s">
        <v>4460</v>
      </c>
      <c r="E4456" s="4" t="n">
        <v>41</v>
      </c>
    </row>
    <row r="4457" customFormat="false" ht="15" hidden="false" customHeight="false" outlineLevel="0" collapsed="false">
      <c r="A4457" s="3" t="n">
        <v>2024</v>
      </c>
      <c r="B4457" s="3" t="n">
        <v>3</v>
      </c>
      <c r="C4457" s="3" t="n">
        <v>13</v>
      </c>
      <c r="D4457" s="3" t="s">
        <v>4461</v>
      </c>
      <c r="E4457" s="4" t="n">
        <v>0</v>
      </c>
    </row>
    <row r="4458" customFormat="false" ht="15" hidden="false" customHeight="false" outlineLevel="0" collapsed="false">
      <c r="A4458" s="3" t="n">
        <v>2024</v>
      </c>
      <c r="B4458" s="3" t="n">
        <v>3</v>
      </c>
      <c r="C4458" s="3" t="n">
        <v>14</v>
      </c>
      <c r="D4458" s="3" t="s">
        <v>4462</v>
      </c>
      <c r="E4458" s="4" t="n">
        <v>0</v>
      </c>
    </row>
    <row r="4459" customFormat="false" ht="15" hidden="false" customHeight="false" outlineLevel="0" collapsed="false">
      <c r="A4459" s="3" t="n">
        <v>2024</v>
      </c>
      <c r="B4459" s="3" t="n">
        <v>3</v>
      </c>
      <c r="C4459" s="3" t="n">
        <v>15</v>
      </c>
      <c r="D4459" s="3" t="s">
        <v>4463</v>
      </c>
      <c r="E4459" s="4" t="n">
        <v>0</v>
      </c>
    </row>
    <row r="4460" customFormat="false" ht="15" hidden="false" customHeight="false" outlineLevel="0" collapsed="false">
      <c r="A4460" s="3" t="n">
        <v>2024</v>
      </c>
      <c r="B4460" s="3" t="n">
        <v>3</v>
      </c>
      <c r="C4460" s="3" t="n">
        <v>16</v>
      </c>
      <c r="D4460" s="3" t="s">
        <v>4464</v>
      </c>
      <c r="E4460" s="4" t="n">
        <v>0</v>
      </c>
    </row>
    <row r="4461" customFormat="false" ht="15" hidden="false" customHeight="false" outlineLevel="0" collapsed="false">
      <c r="A4461" s="3" t="n">
        <v>2024</v>
      </c>
      <c r="B4461" s="3" t="n">
        <v>3</v>
      </c>
      <c r="C4461" s="3" t="n">
        <v>17</v>
      </c>
      <c r="D4461" s="3" t="s">
        <v>4465</v>
      </c>
      <c r="E4461" s="4" t="n">
        <v>0</v>
      </c>
    </row>
    <row r="4462" customFormat="false" ht="15" hidden="false" customHeight="false" outlineLevel="0" collapsed="false">
      <c r="A4462" s="3" t="n">
        <v>2024</v>
      </c>
      <c r="B4462" s="3" t="n">
        <v>3</v>
      </c>
      <c r="C4462" s="3" t="n">
        <v>18</v>
      </c>
      <c r="D4462" s="3" t="s">
        <v>4466</v>
      </c>
      <c r="E4462" s="4" t="n">
        <v>0</v>
      </c>
    </row>
    <row r="4463" customFormat="false" ht="15" hidden="false" customHeight="false" outlineLevel="0" collapsed="false">
      <c r="A4463" s="3" t="n">
        <v>2024</v>
      </c>
      <c r="B4463" s="3" t="n">
        <v>3</v>
      </c>
      <c r="C4463" s="3" t="n">
        <v>19</v>
      </c>
      <c r="D4463" s="3" t="s">
        <v>4467</v>
      </c>
      <c r="E4463" s="4" t="n">
        <v>0</v>
      </c>
    </row>
    <row r="4464" customFormat="false" ht="15" hidden="false" customHeight="false" outlineLevel="0" collapsed="false">
      <c r="A4464" s="3" t="n">
        <v>2024</v>
      </c>
      <c r="B4464" s="3" t="n">
        <v>3</v>
      </c>
      <c r="C4464" s="3" t="n">
        <v>20</v>
      </c>
      <c r="D4464" s="3" t="s">
        <v>4468</v>
      </c>
      <c r="E4464" s="4" t="n">
        <v>0</v>
      </c>
    </row>
    <row r="4465" customFormat="false" ht="15" hidden="false" customHeight="false" outlineLevel="0" collapsed="false">
      <c r="A4465" s="3" t="n">
        <v>2024</v>
      </c>
      <c r="B4465" s="3" t="n">
        <v>3</v>
      </c>
      <c r="C4465" s="3" t="n">
        <v>21</v>
      </c>
      <c r="D4465" s="3" t="s">
        <v>4469</v>
      </c>
      <c r="E4465" s="4" t="n">
        <v>1</v>
      </c>
    </row>
    <row r="4466" customFormat="false" ht="15" hidden="false" customHeight="false" outlineLevel="0" collapsed="false">
      <c r="A4466" s="3" t="n">
        <v>2024</v>
      </c>
      <c r="B4466" s="3" t="n">
        <v>3</v>
      </c>
      <c r="C4466" s="3" t="n">
        <v>22</v>
      </c>
      <c r="D4466" s="3" t="s">
        <v>4470</v>
      </c>
      <c r="E4466" s="4" t="n">
        <v>9</v>
      </c>
    </row>
    <row r="4467" customFormat="false" ht="15" hidden="false" customHeight="false" outlineLevel="0" collapsed="false">
      <c r="A4467" s="3" t="n">
        <v>2024</v>
      </c>
      <c r="B4467" s="3" t="n">
        <v>3</v>
      </c>
      <c r="C4467" s="3" t="n">
        <v>23</v>
      </c>
      <c r="D4467" s="3" t="s">
        <v>4471</v>
      </c>
      <c r="E4467" s="4" t="n">
        <v>5</v>
      </c>
    </row>
    <row r="4468" customFormat="false" ht="15" hidden="false" customHeight="false" outlineLevel="0" collapsed="false">
      <c r="A4468" s="3" t="n">
        <v>2024</v>
      </c>
      <c r="B4468" s="3" t="n">
        <v>3</v>
      </c>
      <c r="C4468" s="3" t="n">
        <v>24</v>
      </c>
      <c r="D4468" s="3" t="s">
        <v>4472</v>
      </c>
      <c r="E4468" s="4" t="n">
        <v>10</v>
      </c>
    </row>
    <row r="4469" customFormat="false" ht="15" hidden="false" customHeight="false" outlineLevel="0" collapsed="false">
      <c r="A4469" s="3" t="n">
        <v>2024</v>
      </c>
      <c r="B4469" s="3" t="n">
        <v>3</v>
      </c>
      <c r="C4469" s="3" t="n">
        <v>25</v>
      </c>
      <c r="D4469" s="3" t="s">
        <v>4473</v>
      </c>
      <c r="E4469" s="4" t="n">
        <v>41</v>
      </c>
    </row>
    <row r="4470" customFormat="false" ht="15" hidden="false" customHeight="false" outlineLevel="0" collapsed="false">
      <c r="A4470" s="3" t="n">
        <v>2024</v>
      </c>
      <c r="B4470" s="3" t="n">
        <v>3</v>
      </c>
      <c r="C4470" s="3" t="n">
        <v>26</v>
      </c>
      <c r="D4470" s="3" t="s">
        <v>4474</v>
      </c>
      <c r="E4470" s="4" t="n">
        <v>5</v>
      </c>
    </row>
    <row r="4471" customFormat="false" ht="15" hidden="false" customHeight="false" outlineLevel="0" collapsed="false">
      <c r="A4471" s="3" t="n">
        <v>2024</v>
      </c>
      <c r="B4471" s="3" t="n">
        <v>3</v>
      </c>
      <c r="C4471" s="3" t="n">
        <v>27</v>
      </c>
      <c r="D4471" s="3" t="s">
        <v>4475</v>
      </c>
      <c r="E4471" s="4" t="n">
        <v>2</v>
      </c>
    </row>
    <row r="4472" customFormat="false" ht="15" hidden="false" customHeight="false" outlineLevel="0" collapsed="false">
      <c r="A4472" s="3" t="n">
        <v>2024</v>
      </c>
      <c r="B4472" s="3" t="n">
        <v>3</v>
      </c>
      <c r="C4472" s="3" t="n">
        <v>28</v>
      </c>
      <c r="D4472" s="3" t="s">
        <v>4476</v>
      </c>
      <c r="E4472" s="4" t="n">
        <v>160</v>
      </c>
    </row>
    <row r="4473" customFormat="false" ht="15" hidden="false" customHeight="false" outlineLevel="0" collapsed="false">
      <c r="A4473" s="3" t="n">
        <v>2024</v>
      </c>
      <c r="B4473" s="3" t="n">
        <v>3</v>
      </c>
      <c r="C4473" s="3" t="n">
        <v>29</v>
      </c>
      <c r="D4473" s="3" t="s">
        <v>4477</v>
      </c>
      <c r="E4473" s="4" t="n">
        <v>0</v>
      </c>
    </row>
    <row r="4474" customFormat="false" ht="15" hidden="false" customHeight="false" outlineLevel="0" collapsed="false">
      <c r="A4474" s="3" t="n">
        <v>2024</v>
      </c>
      <c r="B4474" s="3" t="n">
        <v>3</v>
      </c>
      <c r="C4474" s="3" t="n">
        <v>30</v>
      </c>
      <c r="D4474" s="3" t="s">
        <v>4478</v>
      </c>
      <c r="E4474" s="4" t="n">
        <v>14</v>
      </c>
    </row>
    <row r="4475" customFormat="false" ht="15" hidden="false" customHeight="false" outlineLevel="0" collapsed="false">
      <c r="A4475" s="3" t="n">
        <v>2024</v>
      </c>
      <c r="B4475" s="3" t="n">
        <v>3</v>
      </c>
      <c r="C4475" s="3" t="n">
        <v>31</v>
      </c>
      <c r="D4475" s="3" t="s">
        <v>4479</v>
      </c>
      <c r="E4475" s="4" t="n">
        <v>1</v>
      </c>
    </row>
    <row r="4476" customFormat="false" ht="15" hidden="false" customHeight="false" outlineLevel="0" collapsed="false">
      <c r="A4476" s="3" t="n">
        <v>2024</v>
      </c>
      <c r="B4476" s="3" t="n">
        <v>4</v>
      </c>
      <c r="C4476" s="3" t="n">
        <v>1</v>
      </c>
      <c r="D4476" s="3" t="s">
        <v>4480</v>
      </c>
      <c r="E4476" s="4" t="n">
        <v>8</v>
      </c>
    </row>
    <row r="4477" customFormat="false" ht="15" hidden="false" customHeight="false" outlineLevel="0" collapsed="false">
      <c r="A4477" s="3" t="n">
        <v>2024</v>
      </c>
      <c r="B4477" s="3" t="n">
        <v>4</v>
      </c>
      <c r="C4477" s="3" t="n">
        <v>2</v>
      </c>
      <c r="D4477" s="3" t="s">
        <v>4481</v>
      </c>
      <c r="E4477" s="4" t="n">
        <v>8</v>
      </c>
    </row>
    <row r="4478" customFormat="false" ht="15" hidden="false" customHeight="false" outlineLevel="0" collapsed="false">
      <c r="A4478" s="3" t="n">
        <v>2024</v>
      </c>
      <c r="B4478" s="3" t="n">
        <v>4</v>
      </c>
      <c r="C4478" s="3" t="n">
        <v>3</v>
      </c>
      <c r="D4478" s="3" t="s">
        <v>4482</v>
      </c>
      <c r="E4478" s="4" t="n">
        <v>1</v>
      </c>
    </row>
    <row r="4479" customFormat="false" ht="15" hidden="false" customHeight="false" outlineLevel="0" collapsed="false">
      <c r="A4479" s="3" t="n">
        <v>2024</v>
      </c>
      <c r="B4479" s="3" t="n">
        <v>4</v>
      </c>
      <c r="C4479" s="3" t="n">
        <v>4</v>
      </c>
      <c r="D4479" s="3" t="s">
        <v>4483</v>
      </c>
      <c r="E4479" s="4" t="n">
        <v>2</v>
      </c>
    </row>
    <row r="4480" customFormat="false" ht="15" hidden="false" customHeight="false" outlineLevel="0" collapsed="false">
      <c r="A4480" s="3" t="n">
        <v>2024</v>
      </c>
      <c r="B4480" s="3" t="n">
        <v>4</v>
      </c>
      <c r="C4480" s="3" t="n">
        <v>5</v>
      </c>
      <c r="D4480" s="3" t="s">
        <v>4484</v>
      </c>
      <c r="E4480" s="4" t="n">
        <v>0</v>
      </c>
    </row>
    <row r="4481" customFormat="false" ht="15" hidden="false" customHeight="false" outlineLevel="0" collapsed="false">
      <c r="A4481" s="3" t="n">
        <v>2024</v>
      </c>
      <c r="B4481" s="3" t="n">
        <v>4</v>
      </c>
      <c r="C4481" s="3" t="n">
        <v>6</v>
      </c>
      <c r="D4481" s="3" t="s">
        <v>4485</v>
      </c>
      <c r="E4481" s="4" t="n">
        <v>0</v>
      </c>
    </row>
    <row r="4482" customFormat="false" ht="15" hidden="false" customHeight="false" outlineLevel="0" collapsed="false">
      <c r="A4482" s="3" t="n">
        <v>2024</v>
      </c>
      <c r="B4482" s="3" t="n">
        <v>4</v>
      </c>
      <c r="C4482" s="3" t="n">
        <v>7</v>
      </c>
      <c r="D4482" s="3" t="s">
        <v>4486</v>
      </c>
      <c r="E4482" s="4" t="n">
        <v>0</v>
      </c>
    </row>
    <row r="4483" customFormat="false" ht="15" hidden="false" customHeight="false" outlineLevel="0" collapsed="false">
      <c r="A4483" s="3" t="n">
        <v>2024</v>
      </c>
      <c r="B4483" s="3" t="n">
        <v>4</v>
      </c>
      <c r="C4483" s="3" t="n">
        <v>8</v>
      </c>
      <c r="D4483" s="3" t="s">
        <v>4487</v>
      </c>
      <c r="E4483" s="4" t="n">
        <v>7</v>
      </c>
    </row>
    <row r="4484" customFormat="false" ht="15" hidden="false" customHeight="false" outlineLevel="0" collapsed="false">
      <c r="A4484" s="3" t="n">
        <v>2024</v>
      </c>
      <c r="B4484" s="3" t="n">
        <v>4</v>
      </c>
      <c r="C4484" s="3" t="n">
        <v>9</v>
      </c>
      <c r="D4484" s="3" t="s">
        <v>4488</v>
      </c>
      <c r="E4484" s="4" t="n">
        <v>3</v>
      </c>
    </row>
    <row r="4485" customFormat="false" ht="15" hidden="false" customHeight="false" outlineLevel="0" collapsed="false">
      <c r="A4485" s="3" t="n">
        <v>2024</v>
      </c>
      <c r="B4485" s="3" t="n">
        <v>4</v>
      </c>
      <c r="C4485" s="3" t="n">
        <v>10</v>
      </c>
      <c r="D4485" s="3" t="s">
        <v>4489</v>
      </c>
      <c r="E4485" s="4" t="n">
        <v>3</v>
      </c>
    </row>
    <row r="4486" customFormat="false" ht="15" hidden="false" customHeight="false" outlineLevel="0" collapsed="false">
      <c r="A4486" s="3" t="n">
        <v>2024</v>
      </c>
      <c r="B4486" s="3" t="n">
        <v>4</v>
      </c>
      <c r="C4486" s="3" t="n">
        <v>11</v>
      </c>
      <c r="D4486" s="3" t="s">
        <v>4490</v>
      </c>
      <c r="E4486" s="4" t="n">
        <v>18</v>
      </c>
    </row>
    <row r="4487" customFormat="false" ht="15" hidden="false" customHeight="false" outlineLevel="0" collapsed="false">
      <c r="A4487" s="3" t="n">
        <v>2024</v>
      </c>
      <c r="B4487" s="3" t="n">
        <v>4</v>
      </c>
      <c r="C4487" s="3" t="n">
        <v>12</v>
      </c>
      <c r="D4487" s="3" t="s">
        <v>4491</v>
      </c>
      <c r="E4487" s="4" t="n">
        <v>1</v>
      </c>
    </row>
    <row r="4488" customFormat="false" ht="15" hidden="false" customHeight="false" outlineLevel="0" collapsed="false">
      <c r="A4488" s="3" t="n">
        <v>2024</v>
      </c>
      <c r="B4488" s="3" t="n">
        <v>4</v>
      </c>
      <c r="C4488" s="3" t="n">
        <v>13</v>
      </c>
      <c r="D4488" s="3" t="s">
        <v>4492</v>
      </c>
      <c r="E4488" s="4" t="n">
        <v>0</v>
      </c>
    </row>
    <row r="4489" customFormat="false" ht="15" hidden="false" customHeight="false" outlineLevel="0" collapsed="false">
      <c r="A4489" s="3" t="n">
        <v>2024</v>
      </c>
      <c r="B4489" s="3" t="n">
        <v>4</v>
      </c>
      <c r="C4489" s="3" t="n">
        <v>14</v>
      </c>
      <c r="D4489" s="3" t="s">
        <v>4493</v>
      </c>
      <c r="E4489" s="4" t="n">
        <v>2</v>
      </c>
    </row>
    <row r="4490" customFormat="false" ht="15" hidden="false" customHeight="false" outlineLevel="0" collapsed="false">
      <c r="A4490" s="3" t="n">
        <v>2024</v>
      </c>
      <c r="B4490" s="3" t="n">
        <v>4</v>
      </c>
      <c r="C4490" s="3" t="n">
        <v>15</v>
      </c>
      <c r="D4490" s="3" t="s">
        <v>4494</v>
      </c>
      <c r="E4490" s="4" t="n">
        <v>0</v>
      </c>
    </row>
    <row r="4491" customFormat="false" ht="15" hidden="false" customHeight="false" outlineLevel="0" collapsed="false">
      <c r="A4491" s="3" t="n">
        <v>2024</v>
      </c>
      <c r="B4491" s="3" t="n">
        <v>4</v>
      </c>
      <c r="C4491" s="3" t="n">
        <v>16</v>
      </c>
      <c r="D4491" s="3" t="s">
        <v>4495</v>
      </c>
      <c r="E4491" s="4" t="n">
        <v>0</v>
      </c>
    </row>
    <row r="4492" customFormat="false" ht="15" hidden="false" customHeight="false" outlineLevel="0" collapsed="false">
      <c r="A4492" s="3" t="n">
        <v>2024</v>
      </c>
      <c r="B4492" s="3" t="n">
        <v>4</v>
      </c>
      <c r="C4492" s="3" t="n">
        <v>17</v>
      </c>
      <c r="D4492" s="3" t="s">
        <v>4496</v>
      </c>
      <c r="E4492" s="4" t="n">
        <v>32</v>
      </c>
    </row>
    <row r="4493" customFormat="false" ht="15" hidden="false" customHeight="false" outlineLevel="0" collapsed="false">
      <c r="A4493" s="3" t="n">
        <v>2024</v>
      </c>
      <c r="B4493" s="3" t="n">
        <v>4</v>
      </c>
      <c r="C4493" s="3" t="n">
        <v>18</v>
      </c>
      <c r="D4493" s="3" t="s">
        <v>4497</v>
      </c>
      <c r="E4493" s="4" t="n">
        <v>2</v>
      </c>
    </row>
    <row r="4494" customFormat="false" ht="15" hidden="false" customHeight="false" outlineLevel="0" collapsed="false">
      <c r="A4494" s="3" t="n">
        <v>2024</v>
      </c>
      <c r="B4494" s="3" t="n">
        <v>4</v>
      </c>
      <c r="C4494" s="3" t="n">
        <v>19</v>
      </c>
      <c r="D4494" s="3" t="s">
        <v>4498</v>
      </c>
      <c r="E4494" s="4" t="n">
        <v>0</v>
      </c>
    </row>
    <row r="4495" customFormat="false" ht="15" hidden="false" customHeight="false" outlineLevel="0" collapsed="false">
      <c r="A4495" s="3" t="n">
        <v>2024</v>
      </c>
      <c r="B4495" s="3" t="n">
        <v>4</v>
      </c>
      <c r="C4495" s="3" t="n">
        <v>20</v>
      </c>
      <c r="D4495" s="3" t="s">
        <v>4499</v>
      </c>
      <c r="E4495" s="4" t="n">
        <v>0</v>
      </c>
    </row>
    <row r="4496" customFormat="false" ht="15" hidden="false" customHeight="false" outlineLevel="0" collapsed="false">
      <c r="A4496" s="3" t="n">
        <v>2024</v>
      </c>
      <c r="B4496" s="3" t="n">
        <v>4</v>
      </c>
      <c r="C4496" s="3" t="n">
        <v>21</v>
      </c>
      <c r="D4496" s="3" t="s">
        <v>4500</v>
      </c>
      <c r="E4496" s="4" t="n">
        <v>15</v>
      </c>
    </row>
    <row r="4497" customFormat="false" ht="15" hidden="false" customHeight="false" outlineLevel="0" collapsed="false">
      <c r="A4497" s="3" t="n">
        <v>2024</v>
      </c>
      <c r="B4497" s="3" t="n">
        <v>4</v>
      </c>
      <c r="C4497" s="3" t="n">
        <v>22</v>
      </c>
      <c r="D4497" s="3" t="s">
        <v>4501</v>
      </c>
      <c r="E4497" s="4" t="n">
        <v>3</v>
      </c>
    </row>
    <row r="4498" customFormat="false" ht="15" hidden="false" customHeight="false" outlineLevel="0" collapsed="false">
      <c r="A4498" s="3" t="n">
        <v>2024</v>
      </c>
      <c r="B4498" s="3" t="n">
        <v>4</v>
      </c>
      <c r="C4498" s="3" t="n">
        <v>23</v>
      </c>
      <c r="D4498" s="3" t="s">
        <v>4502</v>
      </c>
      <c r="E4498" s="4" t="n">
        <v>106</v>
      </c>
    </row>
    <row r="4499" customFormat="false" ht="15" hidden="false" customHeight="false" outlineLevel="0" collapsed="false">
      <c r="A4499" s="3" t="n">
        <v>2024</v>
      </c>
      <c r="B4499" s="3" t="n">
        <v>4</v>
      </c>
      <c r="C4499" s="3" t="n">
        <v>24</v>
      </c>
      <c r="D4499" s="3" t="s">
        <v>4503</v>
      </c>
      <c r="E4499" s="4" t="n">
        <v>8</v>
      </c>
    </row>
    <row r="4500" customFormat="false" ht="15" hidden="false" customHeight="false" outlineLevel="0" collapsed="false">
      <c r="A4500" s="3" t="n">
        <v>2024</v>
      </c>
      <c r="B4500" s="3" t="n">
        <v>4</v>
      </c>
      <c r="C4500" s="3" t="n">
        <v>25</v>
      </c>
      <c r="D4500" s="3" t="s">
        <v>4504</v>
      </c>
      <c r="E4500" s="4" t="n">
        <v>16</v>
      </c>
    </row>
    <row r="4501" customFormat="false" ht="15" hidden="false" customHeight="false" outlineLevel="0" collapsed="false">
      <c r="A4501" s="3" t="n">
        <v>2024</v>
      </c>
      <c r="B4501" s="3" t="n">
        <v>4</v>
      </c>
      <c r="C4501" s="3" t="n">
        <v>26</v>
      </c>
      <c r="D4501" s="3" t="s">
        <v>4505</v>
      </c>
      <c r="E4501" s="4" t="n">
        <v>3</v>
      </c>
    </row>
    <row r="4502" customFormat="false" ht="15" hidden="false" customHeight="false" outlineLevel="0" collapsed="false">
      <c r="A4502" s="3" t="n">
        <v>2024</v>
      </c>
      <c r="B4502" s="3" t="n">
        <v>4</v>
      </c>
      <c r="C4502" s="3" t="n">
        <v>27</v>
      </c>
      <c r="D4502" s="3" t="s">
        <v>4506</v>
      </c>
      <c r="E4502" s="4" t="n">
        <v>26</v>
      </c>
    </row>
    <row r="4503" customFormat="false" ht="15" hidden="false" customHeight="false" outlineLevel="0" collapsed="false">
      <c r="A4503" s="3" t="n">
        <v>2024</v>
      </c>
      <c r="B4503" s="3" t="n">
        <v>4</v>
      </c>
      <c r="C4503" s="3" t="n">
        <v>28</v>
      </c>
      <c r="D4503" s="3" t="s">
        <v>4507</v>
      </c>
      <c r="E4503" s="4" t="n">
        <v>57</v>
      </c>
    </row>
    <row r="4504" customFormat="false" ht="15" hidden="false" customHeight="false" outlineLevel="0" collapsed="false">
      <c r="A4504" s="3" t="n">
        <v>2024</v>
      </c>
      <c r="B4504" s="3" t="n">
        <v>4</v>
      </c>
      <c r="C4504" s="3" t="n">
        <v>29</v>
      </c>
      <c r="D4504" s="3" t="s">
        <v>4508</v>
      </c>
      <c r="E4504" s="4" t="n">
        <v>6</v>
      </c>
    </row>
    <row r="4505" customFormat="false" ht="15" hidden="false" customHeight="false" outlineLevel="0" collapsed="false">
      <c r="A4505" s="3" t="n">
        <v>2024</v>
      </c>
      <c r="B4505" s="3" t="n">
        <v>4</v>
      </c>
      <c r="C4505" s="3" t="n">
        <v>30</v>
      </c>
      <c r="D4505" s="3" t="s">
        <v>4509</v>
      </c>
      <c r="E4505" s="4" t="n">
        <v>0</v>
      </c>
    </row>
    <row r="4506" customFormat="false" ht="15" hidden="false" customHeight="false" outlineLevel="0" collapsed="false">
      <c r="A4506" s="3" t="n">
        <v>2024</v>
      </c>
      <c r="B4506" s="3" t="n">
        <v>5</v>
      </c>
      <c r="C4506" s="3" t="n">
        <v>1</v>
      </c>
      <c r="D4506" s="3" t="s">
        <v>4510</v>
      </c>
      <c r="E4506" s="4" t="n">
        <v>0</v>
      </c>
    </row>
    <row r="4507" customFormat="false" ht="15" hidden="false" customHeight="false" outlineLevel="0" collapsed="false">
      <c r="A4507" s="3" t="n">
        <v>2024</v>
      </c>
      <c r="B4507" s="3" t="n">
        <v>5</v>
      </c>
      <c r="C4507" s="3" t="n">
        <v>2</v>
      </c>
      <c r="D4507" s="3" t="s">
        <v>4511</v>
      </c>
      <c r="E4507" s="4" t="n">
        <v>21</v>
      </c>
    </row>
    <row r="4508" customFormat="false" ht="15" hidden="false" customHeight="false" outlineLevel="0" collapsed="false">
      <c r="A4508" s="3" t="n">
        <v>2024</v>
      </c>
      <c r="B4508" s="3" t="n">
        <v>5</v>
      </c>
      <c r="C4508" s="3" t="n">
        <v>3</v>
      </c>
      <c r="D4508" s="3" t="s">
        <v>4512</v>
      </c>
      <c r="E4508" s="4" t="n">
        <v>28</v>
      </c>
    </row>
    <row r="4509" customFormat="false" ht="15" hidden="false" customHeight="false" outlineLevel="0" collapsed="false">
      <c r="A4509" s="3" t="n">
        <v>2024</v>
      </c>
      <c r="B4509" s="3" t="n">
        <v>5</v>
      </c>
      <c r="C4509" s="3" t="n">
        <v>4</v>
      </c>
      <c r="D4509" s="3" t="s">
        <v>4513</v>
      </c>
      <c r="E4509" s="4" t="n">
        <v>0</v>
      </c>
    </row>
    <row r="4510" customFormat="false" ht="15" hidden="false" customHeight="false" outlineLevel="0" collapsed="false">
      <c r="A4510" s="3" t="n">
        <v>2024</v>
      </c>
      <c r="B4510" s="3" t="n">
        <v>5</v>
      </c>
      <c r="C4510" s="3" t="n">
        <v>5</v>
      </c>
      <c r="D4510" s="3" t="s">
        <v>4514</v>
      </c>
      <c r="E4510" s="4" t="n">
        <v>61</v>
      </c>
    </row>
    <row r="4511" customFormat="false" ht="15" hidden="false" customHeight="false" outlineLevel="0" collapsed="false">
      <c r="A4511" s="3" t="n">
        <v>2024</v>
      </c>
      <c r="B4511" s="3" t="n">
        <v>5</v>
      </c>
      <c r="C4511" s="3" t="n">
        <v>6</v>
      </c>
      <c r="D4511" s="3" t="s">
        <v>4515</v>
      </c>
      <c r="E4511" s="4" t="n">
        <v>1</v>
      </c>
    </row>
    <row r="4512" customFormat="false" ht="15" hidden="false" customHeight="false" outlineLevel="0" collapsed="false">
      <c r="A4512" s="3" t="n">
        <v>2024</v>
      </c>
      <c r="B4512" s="3" t="n">
        <v>5</v>
      </c>
      <c r="C4512" s="3" t="n">
        <v>7</v>
      </c>
      <c r="D4512" s="3" t="s">
        <v>4516</v>
      </c>
      <c r="E4512" s="4" t="n">
        <v>0</v>
      </c>
    </row>
    <row r="4513" customFormat="false" ht="15" hidden="false" customHeight="false" outlineLevel="0" collapsed="false">
      <c r="A4513" s="3" t="n">
        <v>2024</v>
      </c>
      <c r="B4513" s="3" t="n">
        <v>5</v>
      </c>
      <c r="C4513" s="3" t="n">
        <v>8</v>
      </c>
      <c r="D4513" s="3" t="s">
        <v>4517</v>
      </c>
      <c r="E4513" s="4" t="n">
        <v>5</v>
      </c>
    </row>
    <row r="4514" customFormat="false" ht="15" hidden="false" customHeight="false" outlineLevel="0" collapsed="false">
      <c r="A4514" s="3" t="n">
        <v>2024</v>
      </c>
      <c r="B4514" s="3" t="n">
        <v>5</v>
      </c>
      <c r="C4514" s="3" t="n">
        <v>9</v>
      </c>
      <c r="D4514" s="3" t="s">
        <v>4518</v>
      </c>
      <c r="E4514" s="4" t="n">
        <v>55</v>
      </c>
    </row>
    <row r="4515" customFormat="false" ht="15" hidden="false" customHeight="false" outlineLevel="0" collapsed="false">
      <c r="A4515" s="3" t="n">
        <v>2024</v>
      </c>
      <c r="B4515" s="3" t="n">
        <v>5</v>
      </c>
      <c r="C4515" s="3" t="n">
        <v>10</v>
      </c>
      <c r="D4515" s="3" t="s">
        <v>4519</v>
      </c>
      <c r="E4515" s="4" t="n">
        <v>0</v>
      </c>
    </row>
    <row r="4516" customFormat="false" ht="15" hidden="false" customHeight="false" outlineLevel="0" collapsed="false">
      <c r="A4516" s="3" t="n">
        <v>2024</v>
      </c>
      <c r="B4516" s="3" t="n">
        <v>5</v>
      </c>
      <c r="C4516" s="3" t="n">
        <v>11</v>
      </c>
      <c r="D4516" s="3" t="s">
        <v>4520</v>
      </c>
      <c r="E4516" s="4" t="n">
        <v>10</v>
      </c>
    </row>
    <row r="4517" customFormat="false" ht="15" hidden="false" customHeight="false" outlineLevel="0" collapsed="false">
      <c r="A4517" s="3" t="n">
        <v>2024</v>
      </c>
      <c r="B4517" s="3" t="n">
        <v>5</v>
      </c>
      <c r="C4517" s="3" t="n">
        <v>12</v>
      </c>
      <c r="D4517" s="3" t="s">
        <v>4521</v>
      </c>
      <c r="E4517" s="4" t="n">
        <v>45</v>
      </c>
    </row>
    <row r="4518" customFormat="false" ht="15" hidden="false" customHeight="false" outlineLevel="0" collapsed="false">
      <c r="A4518" s="3" t="n">
        <v>2024</v>
      </c>
      <c r="B4518" s="3" t="n">
        <v>5</v>
      </c>
      <c r="C4518" s="3" t="n">
        <v>13</v>
      </c>
      <c r="D4518" s="3" t="s">
        <v>4522</v>
      </c>
      <c r="E4518" s="4" t="n">
        <v>0</v>
      </c>
    </row>
    <row r="4519" customFormat="false" ht="15" hidden="false" customHeight="false" outlineLevel="0" collapsed="false">
      <c r="A4519" s="3" t="n">
        <v>2024</v>
      </c>
      <c r="B4519" s="3" t="n">
        <v>5</v>
      </c>
      <c r="C4519" s="3" t="n">
        <v>14</v>
      </c>
      <c r="D4519" s="3" t="s">
        <v>4523</v>
      </c>
      <c r="E4519" s="4" t="n">
        <v>0</v>
      </c>
    </row>
    <row r="4520" customFormat="false" ht="15" hidden="false" customHeight="false" outlineLevel="0" collapsed="false">
      <c r="A4520" s="3" t="n">
        <v>2024</v>
      </c>
      <c r="B4520" s="3" t="n">
        <v>5</v>
      </c>
      <c r="C4520" s="3" t="n">
        <v>15</v>
      </c>
      <c r="D4520" s="3" t="s">
        <v>4524</v>
      </c>
      <c r="E4520" s="4" t="n">
        <v>14</v>
      </c>
    </row>
    <row r="4521" customFormat="false" ht="15" hidden="false" customHeight="false" outlineLevel="0" collapsed="false">
      <c r="A4521" s="3" t="n">
        <v>2024</v>
      </c>
      <c r="B4521" s="3" t="n">
        <v>5</v>
      </c>
      <c r="C4521" s="3" t="n">
        <v>16</v>
      </c>
      <c r="D4521" s="3" t="s">
        <v>4525</v>
      </c>
      <c r="E4521" s="4" t="n">
        <v>6</v>
      </c>
    </row>
    <row r="4522" customFormat="false" ht="15" hidden="false" customHeight="false" outlineLevel="0" collapsed="false">
      <c r="A4522" s="3" t="n">
        <v>2024</v>
      </c>
      <c r="B4522" s="3" t="n">
        <v>5</v>
      </c>
      <c r="C4522" s="3" t="n">
        <v>17</v>
      </c>
      <c r="D4522" s="3" t="s">
        <v>4526</v>
      </c>
      <c r="E4522" s="4" t="n">
        <v>0</v>
      </c>
    </row>
    <row r="4523" customFormat="false" ht="15" hidden="false" customHeight="false" outlineLevel="0" collapsed="false">
      <c r="A4523" s="3" t="n">
        <v>2024</v>
      </c>
      <c r="B4523" s="3" t="n">
        <v>5</v>
      </c>
      <c r="C4523" s="3" t="n">
        <v>18</v>
      </c>
      <c r="D4523" s="3" t="s">
        <v>4527</v>
      </c>
      <c r="E4523" s="4" t="n">
        <v>26</v>
      </c>
    </row>
    <row r="4524" customFormat="false" ht="15" hidden="false" customHeight="false" outlineLevel="0" collapsed="false">
      <c r="A4524" s="3" t="n">
        <v>2024</v>
      </c>
      <c r="B4524" s="3" t="n">
        <v>5</v>
      </c>
      <c r="C4524" s="3" t="n">
        <v>19</v>
      </c>
      <c r="D4524" s="3" t="s">
        <v>4528</v>
      </c>
      <c r="E4524" s="4" t="n">
        <v>8</v>
      </c>
    </row>
    <row r="4525" customFormat="false" ht="15" hidden="false" customHeight="false" outlineLevel="0" collapsed="false">
      <c r="A4525" s="3" t="n">
        <v>2024</v>
      </c>
      <c r="B4525" s="3" t="n">
        <v>5</v>
      </c>
      <c r="C4525" s="3" t="n">
        <v>20</v>
      </c>
      <c r="D4525" s="3" t="s">
        <v>4529</v>
      </c>
      <c r="E4525" s="4" t="n">
        <v>57</v>
      </c>
    </row>
    <row r="4526" customFormat="false" ht="15" hidden="false" customHeight="false" outlineLevel="0" collapsed="false">
      <c r="A4526" s="3" t="n">
        <v>2024</v>
      </c>
      <c r="B4526" s="3" t="n">
        <v>5</v>
      </c>
      <c r="C4526" s="3" t="n">
        <v>21</v>
      </c>
      <c r="D4526" s="3" t="s">
        <v>4530</v>
      </c>
      <c r="E4526" s="4" t="n">
        <v>16</v>
      </c>
    </row>
    <row r="4527" customFormat="false" ht="15" hidden="false" customHeight="false" outlineLevel="0" collapsed="false">
      <c r="A4527" s="3" t="n">
        <v>2024</v>
      </c>
      <c r="B4527" s="3" t="n">
        <v>5</v>
      </c>
      <c r="C4527" s="3" t="n">
        <v>22</v>
      </c>
      <c r="D4527" s="3" t="s">
        <v>4531</v>
      </c>
      <c r="E4527" s="4" t="n">
        <v>25</v>
      </c>
    </row>
    <row r="4528" customFormat="false" ht="15" hidden="false" customHeight="false" outlineLevel="0" collapsed="false">
      <c r="A4528" s="3" t="n">
        <v>2024</v>
      </c>
      <c r="B4528" s="3" t="n">
        <v>5</v>
      </c>
      <c r="C4528" s="3" t="n">
        <v>23</v>
      </c>
      <c r="D4528" s="3" t="s">
        <v>4532</v>
      </c>
      <c r="E4528" s="4" t="n">
        <v>1</v>
      </c>
    </row>
    <row r="4529" customFormat="false" ht="15" hidden="false" customHeight="false" outlineLevel="0" collapsed="false">
      <c r="A4529" s="3" t="n">
        <v>2024</v>
      </c>
      <c r="B4529" s="3" t="n">
        <v>5</v>
      </c>
      <c r="C4529" s="3" t="n">
        <v>24</v>
      </c>
      <c r="D4529" s="3" t="s">
        <v>4533</v>
      </c>
      <c r="E4529" s="4" t="n">
        <v>11</v>
      </c>
    </row>
    <row r="4530" customFormat="false" ht="15" hidden="false" customHeight="false" outlineLevel="0" collapsed="false">
      <c r="A4530" s="3" t="n">
        <v>2024</v>
      </c>
      <c r="B4530" s="3" t="n">
        <v>5</v>
      </c>
      <c r="C4530" s="3" t="n">
        <v>25</v>
      </c>
      <c r="D4530" s="3" t="s">
        <v>4534</v>
      </c>
      <c r="E4530" s="4" t="n">
        <v>1</v>
      </c>
    </row>
    <row r="4531" customFormat="false" ht="15" hidden="false" customHeight="false" outlineLevel="0" collapsed="false">
      <c r="A4531" s="3" t="n">
        <v>2024</v>
      </c>
      <c r="B4531" s="3" t="n">
        <v>5</v>
      </c>
      <c r="C4531" s="3" t="n">
        <v>26</v>
      </c>
      <c r="D4531" s="3" t="s">
        <v>4535</v>
      </c>
      <c r="E4531" s="4" t="n">
        <v>0</v>
      </c>
    </row>
    <row r="4532" customFormat="false" ht="15" hidden="false" customHeight="false" outlineLevel="0" collapsed="false">
      <c r="A4532" s="3" t="n">
        <v>2024</v>
      </c>
      <c r="B4532" s="3" t="n">
        <v>5</v>
      </c>
      <c r="C4532" s="3" t="n">
        <v>27</v>
      </c>
      <c r="D4532" s="3" t="s">
        <v>4536</v>
      </c>
      <c r="E4532" s="4" t="n">
        <v>9</v>
      </c>
    </row>
    <row r="4533" customFormat="false" ht="15" hidden="false" customHeight="false" outlineLevel="0" collapsed="false">
      <c r="A4533" s="3" t="n">
        <v>2024</v>
      </c>
      <c r="B4533" s="3" t="n">
        <v>5</v>
      </c>
      <c r="C4533" s="3" t="n">
        <v>28</v>
      </c>
      <c r="D4533" s="3" t="s">
        <v>4537</v>
      </c>
      <c r="E4533" s="4" t="n">
        <v>3</v>
      </c>
    </row>
    <row r="4534" customFormat="false" ht="15" hidden="false" customHeight="false" outlineLevel="0" collapsed="false">
      <c r="A4534" s="3" t="n">
        <v>2024</v>
      </c>
      <c r="B4534" s="3" t="n">
        <v>5</v>
      </c>
      <c r="C4534" s="3" t="n">
        <v>29</v>
      </c>
      <c r="D4534" s="3" t="s">
        <v>4538</v>
      </c>
      <c r="E4534" s="4" t="n">
        <v>3</v>
      </c>
    </row>
    <row r="4535" customFormat="false" ht="15" hidden="false" customHeight="false" outlineLevel="0" collapsed="false">
      <c r="A4535" s="3" t="n">
        <v>2024</v>
      </c>
      <c r="B4535" s="3" t="n">
        <v>5</v>
      </c>
      <c r="C4535" s="3" t="n">
        <v>30</v>
      </c>
      <c r="D4535" s="3" t="s">
        <v>4539</v>
      </c>
      <c r="E4535" s="4" t="n">
        <v>0</v>
      </c>
    </row>
    <row r="4536" customFormat="false" ht="15" hidden="false" customHeight="false" outlineLevel="0" collapsed="false">
      <c r="A4536" s="3" t="n">
        <v>2024</v>
      </c>
      <c r="B4536" s="3" t="n">
        <v>5</v>
      </c>
      <c r="C4536" s="3" t="n">
        <v>31</v>
      </c>
      <c r="D4536" s="3" t="s">
        <v>4540</v>
      </c>
      <c r="E4536" s="4" t="n">
        <v>0</v>
      </c>
    </row>
    <row r="4537" customFormat="false" ht="15" hidden="false" customHeight="false" outlineLevel="0" collapsed="false">
      <c r="A4537" s="3" t="n">
        <v>2024</v>
      </c>
      <c r="B4537" s="3" t="n">
        <v>6</v>
      </c>
      <c r="C4537" s="3" t="n">
        <v>1</v>
      </c>
      <c r="D4537" s="3" t="s">
        <v>4541</v>
      </c>
      <c r="E4537" s="4" t="n">
        <v>5</v>
      </c>
    </row>
    <row r="4538" customFormat="false" ht="15" hidden="false" customHeight="false" outlineLevel="0" collapsed="false">
      <c r="A4538" s="3" t="n">
        <v>2024</v>
      </c>
      <c r="B4538" s="3" t="n">
        <v>6</v>
      </c>
      <c r="C4538" s="3" t="n">
        <v>2</v>
      </c>
      <c r="D4538" s="3" t="s">
        <v>4542</v>
      </c>
      <c r="E4538" s="4" t="n">
        <v>14</v>
      </c>
    </row>
    <row r="4539" customFormat="false" ht="15" hidden="false" customHeight="false" outlineLevel="0" collapsed="false">
      <c r="A4539" s="3" t="n">
        <v>2024</v>
      </c>
      <c r="B4539" s="3" t="n">
        <v>6</v>
      </c>
      <c r="C4539" s="3" t="n">
        <v>3</v>
      </c>
      <c r="D4539" s="3" t="s">
        <v>4543</v>
      </c>
      <c r="E4539" s="4" t="n">
        <v>1</v>
      </c>
    </row>
    <row r="4540" customFormat="false" ht="15" hidden="false" customHeight="false" outlineLevel="0" collapsed="false">
      <c r="A4540" s="3" t="n">
        <v>2024</v>
      </c>
      <c r="B4540" s="3" t="n">
        <v>6</v>
      </c>
      <c r="C4540" s="3" t="n">
        <v>4</v>
      </c>
      <c r="D4540" s="3" t="s">
        <v>4544</v>
      </c>
      <c r="E4540" s="4" t="n">
        <v>0</v>
      </c>
    </row>
    <row r="4541" customFormat="false" ht="15" hidden="false" customHeight="false" outlineLevel="0" collapsed="false">
      <c r="A4541" s="3" t="n">
        <v>2024</v>
      </c>
      <c r="B4541" s="3" t="n">
        <v>6</v>
      </c>
      <c r="C4541" s="3" t="n">
        <v>5</v>
      </c>
      <c r="D4541" s="3" t="s">
        <v>4545</v>
      </c>
      <c r="E4541" s="4" t="n">
        <v>1</v>
      </c>
    </row>
    <row r="4542" customFormat="false" ht="15" hidden="false" customHeight="false" outlineLevel="0" collapsed="false">
      <c r="A4542" s="3" t="n">
        <v>2024</v>
      </c>
      <c r="B4542" s="3" t="n">
        <v>6</v>
      </c>
      <c r="C4542" s="3" t="n">
        <v>6</v>
      </c>
      <c r="D4542" s="3" t="s">
        <v>4546</v>
      </c>
      <c r="E4542" s="4" t="n">
        <v>2</v>
      </c>
    </row>
    <row r="4543" customFormat="false" ht="15" hidden="false" customHeight="false" outlineLevel="0" collapsed="false">
      <c r="A4543" s="3" t="n">
        <v>2024</v>
      </c>
      <c r="B4543" s="3" t="n">
        <v>6</v>
      </c>
      <c r="C4543" s="3" t="n">
        <v>7</v>
      </c>
      <c r="D4543" s="3" t="s">
        <v>4547</v>
      </c>
      <c r="E4543" s="4" t="n">
        <v>4</v>
      </c>
    </row>
    <row r="4544" customFormat="false" ht="15" hidden="false" customHeight="false" outlineLevel="0" collapsed="false">
      <c r="A4544" s="3" t="n">
        <v>2024</v>
      </c>
      <c r="B4544" s="3" t="n">
        <v>6</v>
      </c>
      <c r="C4544" s="3" t="n">
        <v>8</v>
      </c>
      <c r="D4544" s="3" t="s">
        <v>4548</v>
      </c>
      <c r="E4544" s="4" t="n">
        <v>0</v>
      </c>
    </row>
    <row r="4545" customFormat="false" ht="15" hidden="false" customHeight="false" outlineLevel="0" collapsed="false">
      <c r="A4545" s="3" t="n">
        <v>2024</v>
      </c>
      <c r="B4545" s="3" t="n">
        <v>6</v>
      </c>
      <c r="C4545" s="3" t="n">
        <v>9</v>
      </c>
      <c r="D4545" s="3" t="s">
        <v>4549</v>
      </c>
      <c r="E4545" s="4" t="n">
        <v>0</v>
      </c>
    </row>
    <row r="4546" customFormat="false" ht="15" hidden="false" customHeight="false" outlineLevel="0" collapsed="false">
      <c r="A4546" s="3" t="n">
        <v>2024</v>
      </c>
      <c r="B4546" s="3" t="n">
        <v>6</v>
      </c>
      <c r="C4546" s="3" t="n">
        <v>10</v>
      </c>
      <c r="D4546" s="3" t="s">
        <v>4550</v>
      </c>
      <c r="E4546" s="4" t="n">
        <v>4</v>
      </c>
    </row>
    <row r="4547" customFormat="false" ht="15" hidden="false" customHeight="false" outlineLevel="0" collapsed="false">
      <c r="A4547" s="3" t="n">
        <v>2024</v>
      </c>
      <c r="B4547" s="3" t="n">
        <v>6</v>
      </c>
      <c r="C4547" s="3" t="n">
        <v>11</v>
      </c>
      <c r="D4547" s="3" t="s">
        <v>4551</v>
      </c>
      <c r="E4547" s="4" t="n">
        <v>3</v>
      </c>
    </row>
    <row r="4548" customFormat="false" ht="15" hidden="false" customHeight="false" outlineLevel="0" collapsed="false">
      <c r="A4548" s="3" t="n">
        <v>2024</v>
      </c>
      <c r="B4548" s="3" t="n">
        <v>6</v>
      </c>
      <c r="C4548" s="3" t="n">
        <v>12</v>
      </c>
      <c r="D4548" s="3" t="s">
        <v>4552</v>
      </c>
      <c r="E4548" s="4" t="n">
        <v>1</v>
      </c>
    </row>
    <row r="4549" customFormat="false" ht="15" hidden="false" customHeight="false" outlineLevel="0" collapsed="false">
      <c r="A4549" s="3" t="n">
        <v>2024</v>
      </c>
      <c r="B4549" s="3" t="n">
        <v>6</v>
      </c>
      <c r="C4549" s="3" t="n">
        <v>13</v>
      </c>
      <c r="D4549" s="3" t="s">
        <v>4553</v>
      </c>
      <c r="E4549" s="4" t="n">
        <v>7</v>
      </c>
    </row>
    <row r="4550" customFormat="false" ht="15" hidden="false" customHeight="false" outlineLevel="0" collapsed="false">
      <c r="A4550" s="3" t="n">
        <v>2024</v>
      </c>
      <c r="B4550" s="3" t="n">
        <v>6</v>
      </c>
      <c r="C4550" s="3" t="n">
        <v>14</v>
      </c>
      <c r="D4550" s="3" t="s">
        <v>4554</v>
      </c>
      <c r="E4550" s="4" t="n">
        <v>0</v>
      </c>
    </row>
    <row r="4551" customFormat="false" ht="15" hidden="false" customHeight="false" outlineLevel="0" collapsed="false">
      <c r="A4551" s="3" t="n">
        <v>2024</v>
      </c>
      <c r="B4551" s="3" t="n">
        <v>6</v>
      </c>
      <c r="C4551" s="3" t="n">
        <v>15</v>
      </c>
      <c r="D4551" s="3" t="s">
        <v>4555</v>
      </c>
      <c r="E4551" s="4" t="n">
        <v>6</v>
      </c>
    </row>
    <row r="4552" customFormat="false" ht="15" hidden="false" customHeight="false" outlineLevel="0" collapsed="false">
      <c r="A4552" s="3" t="n">
        <v>2024</v>
      </c>
      <c r="B4552" s="3" t="n">
        <v>6</v>
      </c>
      <c r="C4552" s="3" t="n">
        <v>16</v>
      </c>
      <c r="D4552" s="3" t="s">
        <v>4556</v>
      </c>
      <c r="E4552" s="4" t="n">
        <v>0</v>
      </c>
    </row>
    <row r="4553" customFormat="false" ht="15" hidden="false" customHeight="false" outlineLevel="0" collapsed="false">
      <c r="A4553" s="3" t="n">
        <v>2024</v>
      </c>
      <c r="B4553" s="3" t="n">
        <v>6</v>
      </c>
      <c r="C4553" s="3" t="n">
        <v>17</v>
      </c>
      <c r="D4553" s="3" t="s">
        <v>4557</v>
      </c>
      <c r="E4553" s="4" t="n">
        <v>1</v>
      </c>
    </row>
    <row r="4554" customFormat="false" ht="15" hidden="false" customHeight="false" outlineLevel="0" collapsed="false">
      <c r="A4554" s="3" t="n">
        <v>2024</v>
      </c>
      <c r="B4554" s="3" t="n">
        <v>6</v>
      </c>
      <c r="C4554" s="3" t="n">
        <v>18</v>
      </c>
      <c r="D4554" s="3" t="s">
        <v>4558</v>
      </c>
      <c r="E4554" s="4" t="n">
        <v>3</v>
      </c>
    </row>
    <row r="4555" customFormat="false" ht="15" hidden="false" customHeight="false" outlineLevel="0" collapsed="false">
      <c r="A4555" s="3" t="n">
        <v>2024</v>
      </c>
      <c r="B4555" s="3" t="n">
        <v>6</v>
      </c>
      <c r="C4555" s="3" t="n">
        <v>19</v>
      </c>
      <c r="D4555" s="3" t="s">
        <v>4559</v>
      </c>
      <c r="E4555" s="4" t="n">
        <v>0</v>
      </c>
    </row>
    <row r="4556" customFormat="false" ht="15" hidden="false" customHeight="false" outlineLevel="0" collapsed="false">
      <c r="A4556" s="3" t="n">
        <v>2024</v>
      </c>
      <c r="B4556" s="3" t="n">
        <v>6</v>
      </c>
      <c r="C4556" s="3" t="n">
        <v>20</v>
      </c>
      <c r="D4556" s="3" t="s">
        <v>4560</v>
      </c>
      <c r="E4556" s="4" t="n">
        <v>4</v>
      </c>
    </row>
    <row r="4557" customFormat="false" ht="15" hidden="false" customHeight="false" outlineLevel="0" collapsed="false">
      <c r="A4557" s="3" t="n">
        <v>2024</v>
      </c>
      <c r="B4557" s="3" t="n">
        <v>6</v>
      </c>
      <c r="C4557" s="3" t="n">
        <v>21</v>
      </c>
      <c r="D4557" s="3" t="s">
        <v>4561</v>
      </c>
      <c r="E4557" s="4" t="n">
        <v>41</v>
      </c>
    </row>
    <row r="4558" customFormat="false" ht="15" hidden="false" customHeight="false" outlineLevel="0" collapsed="false">
      <c r="A4558" s="3" t="n">
        <v>2024</v>
      </c>
      <c r="B4558" s="3" t="n">
        <v>6</v>
      </c>
      <c r="C4558" s="3" t="n">
        <v>22</v>
      </c>
      <c r="D4558" s="3" t="s">
        <v>4562</v>
      </c>
      <c r="E4558" s="4" t="n">
        <v>34</v>
      </c>
    </row>
    <row r="4559" customFormat="false" ht="15" hidden="false" customHeight="false" outlineLevel="0" collapsed="false">
      <c r="A4559" s="3" t="n">
        <v>2024</v>
      </c>
      <c r="B4559" s="3" t="n">
        <v>6</v>
      </c>
      <c r="C4559" s="3" t="n">
        <v>23</v>
      </c>
      <c r="D4559" s="3" t="s">
        <v>4563</v>
      </c>
      <c r="E4559" s="4" t="n">
        <v>1</v>
      </c>
    </row>
    <row r="4560" customFormat="false" ht="15" hidden="false" customHeight="false" outlineLevel="0" collapsed="false">
      <c r="A4560" s="3" t="n">
        <v>2024</v>
      </c>
      <c r="B4560" s="3" t="n">
        <v>6</v>
      </c>
      <c r="C4560" s="3" t="n">
        <v>24</v>
      </c>
      <c r="D4560" s="3" t="s">
        <v>4564</v>
      </c>
      <c r="E4560" s="4" t="n">
        <v>0</v>
      </c>
    </row>
    <row r="4561" customFormat="false" ht="15" hidden="false" customHeight="false" outlineLevel="0" collapsed="false">
      <c r="A4561" s="3" t="n">
        <v>2024</v>
      </c>
      <c r="B4561" s="3" t="n">
        <v>6</v>
      </c>
      <c r="C4561" s="3" t="n">
        <v>25</v>
      </c>
      <c r="D4561" s="3" t="s">
        <v>4565</v>
      </c>
      <c r="E4561" s="4" t="n">
        <v>0</v>
      </c>
    </row>
    <row r="4562" customFormat="false" ht="15" hidden="false" customHeight="false" outlineLevel="0" collapsed="false">
      <c r="A4562" s="3" t="n">
        <v>2024</v>
      </c>
      <c r="B4562" s="3" t="n">
        <v>6</v>
      </c>
      <c r="C4562" s="3" t="n">
        <v>26</v>
      </c>
      <c r="D4562" s="3" t="s">
        <v>4566</v>
      </c>
      <c r="E4562" s="4" t="n">
        <v>4</v>
      </c>
    </row>
    <row r="4563" customFormat="false" ht="15" hidden="false" customHeight="false" outlineLevel="0" collapsed="false">
      <c r="A4563" s="3" t="n">
        <v>2024</v>
      </c>
      <c r="B4563" s="3" t="n">
        <v>6</v>
      </c>
      <c r="C4563" s="3" t="n">
        <v>27</v>
      </c>
      <c r="D4563" s="3" t="s">
        <v>4567</v>
      </c>
      <c r="E4563" s="4" t="n">
        <v>2</v>
      </c>
    </row>
    <row r="4564" customFormat="false" ht="15" hidden="false" customHeight="false" outlineLevel="0" collapsed="false">
      <c r="A4564" s="3" t="n">
        <v>2024</v>
      </c>
      <c r="B4564" s="3" t="n">
        <v>6</v>
      </c>
      <c r="C4564" s="3" t="n">
        <v>28</v>
      </c>
      <c r="D4564" s="3" t="s">
        <v>4568</v>
      </c>
      <c r="E4564" s="4" t="n">
        <v>10</v>
      </c>
    </row>
    <row r="4565" customFormat="false" ht="15" hidden="false" customHeight="false" outlineLevel="0" collapsed="false">
      <c r="A4565" s="3" t="n">
        <v>2024</v>
      </c>
      <c r="B4565" s="3" t="n">
        <v>6</v>
      </c>
      <c r="C4565" s="3" t="n">
        <v>29</v>
      </c>
      <c r="D4565" s="3" t="s">
        <v>4569</v>
      </c>
      <c r="E4565" s="4" t="n">
        <v>18</v>
      </c>
    </row>
    <row r="4566" customFormat="false" ht="15" hidden="false" customHeight="false" outlineLevel="0" collapsed="false">
      <c r="A4566" s="3" t="n">
        <v>2024</v>
      </c>
      <c r="B4566" s="3" t="n">
        <v>6</v>
      </c>
      <c r="C4566" s="3" t="n">
        <v>30</v>
      </c>
      <c r="D4566" s="3" t="s">
        <v>4570</v>
      </c>
      <c r="E4566" s="4" t="n">
        <v>0</v>
      </c>
    </row>
    <row r="4567" customFormat="false" ht="15" hidden="false" customHeight="false" outlineLevel="0" collapsed="false">
      <c r="A4567" s="3" t="n">
        <v>2024</v>
      </c>
      <c r="B4567" s="3" t="n">
        <v>7</v>
      </c>
      <c r="C4567" s="3" t="n">
        <v>1</v>
      </c>
      <c r="D4567" s="3" t="s">
        <v>4571</v>
      </c>
      <c r="E4567" s="4" t="n">
        <v>0</v>
      </c>
    </row>
    <row r="4568" customFormat="false" ht="15" hidden="false" customHeight="false" outlineLevel="0" collapsed="false">
      <c r="A4568" s="3" t="n">
        <v>2024</v>
      </c>
      <c r="B4568" s="3" t="n">
        <v>7</v>
      </c>
      <c r="C4568" s="3" t="n">
        <v>2</v>
      </c>
      <c r="D4568" s="3" t="s">
        <v>4572</v>
      </c>
      <c r="E4568" s="4" t="n">
        <v>8</v>
      </c>
    </row>
    <row r="4569" customFormat="false" ht="15" hidden="false" customHeight="false" outlineLevel="0" collapsed="false">
      <c r="A4569" s="3" t="n">
        <v>2024</v>
      </c>
      <c r="B4569" s="3" t="n">
        <v>7</v>
      </c>
      <c r="C4569" s="3" t="n">
        <v>3</v>
      </c>
      <c r="D4569" s="3" t="s">
        <v>4573</v>
      </c>
      <c r="E4569" s="4" t="n">
        <v>0</v>
      </c>
    </row>
    <row r="4570" customFormat="false" ht="15" hidden="false" customHeight="false" outlineLevel="0" collapsed="false">
      <c r="A4570" s="3" t="n">
        <v>2024</v>
      </c>
      <c r="B4570" s="3" t="n">
        <v>7</v>
      </c>
      <c r="C4570" s="3" t="n">
        <v>4</v>
      </c>
      <c r="D4570" s="3" t="s">
        <v>4574</v>
      </c>
      <c r="E4570" s="4" t="n">
        <v>6</v>
      </c>
    </row>
    <row r="4571" customFormat="false" ht="15" hidden="false" customHeight="false" outlineLevel="0" collapsed="false">
      <c r="A4571" s="3" t="n">
        <v>2024</v>
      </c>
      <c r="B4571" s="3" t="n">
        <v>7</v>
      </c>
      <c r="C4571" s="3" t="n">
        <v>5</v>
      </c>
      <c r="D4571" s="3" t="s">
        <v>4575</v>
      </c>
      <c r="E4571" s="4" t="n">
        <v>16</v>
      </c>
    </row>
    <row r="4572" customFormat="false" ht="15" hidden="false" customHeight="false" outlineLevel="0" collapsed="false">
      <c r="A4572" s="3" t="n">
        <v>2024</v>
      </c>
      <c r="B4572" s="3" t="n">
        <v>7</v>
      </c>
      <c r="C4572" s="3" t="n">
        <v>6</v>
      </c>
      <c r="D4572" s="3" t="s">
        <v>4576</v>
      </c>
      <c r="E4572" s="4" t="n">
        <v>0</v>
      </c>
    </row>
    <row r="4573" customFormat="false" ht="15" hidden="false" customHeight="false" outlineLevel="0" collapsed="false">
      <c r="A4573" s="3" t="n">
        <v>2024</v>
      </c>
      <c r="B4573" s="3" t="n">
        <v>7</v>
      </c>
      <c r="C4573" s="3" t="n">
        <v>7</v>
      </c>
      <c r="D4573" s="3" t="s">
        <v>4577</v>
      </c>
      <c r="E4573" s="4" t="n">
        <v>17</v>
      </c>
    </row>
    <row r="4574" customFormat="false" ht="15" hidden="false" customHeight="false" outlineLevel="0" collapsed="false">
      <c r="A4574" s="3" t="n">
        <v>2024</v>
      </c>
      <c r="B4574" s="3" t="n">
        <v>7</v>
      </c>
      <c r="C4574" s="3" t="n">
        <v>8</v>
      </c>
      <c r="D4574" s="3" t="s">
        <v>4578</v>
      </c>
      <c r="E4574" s="4" t="n">
        <v>0</v>
      </c>
    </row>
    <row r="4575" customFormat="false" ht="15" hidden="false" customHeight="false" outlineLevel="0" collapsed="false">
      <c r="A4575" s="3" t="n">
        <v>2024</v>
      </c>
      <c r="B4575" s="3" t="n">
        <v>7</v>
      </c>
      <c r="C4575" s="3" t="n">
        <v>9</v>
      </c>
      <c r="D4575" s="3" t="s">
        <v>4579</v>
      </c>
      <c r="E4575" s="4" t="n">
        <v>0</v>
      </c>
    </row>
    <row r="4576" customFormat="false" ht="15" hidden="false" customHeight="false" outlineLevel="0" collapsed="false">
      <c r="A4576" s="3" t="n">
        <v>2024</v>
      </c>
      <c r="B4576" s="3" t="n">
        <v>7</v>
      </c>
      <c r="C4576" s="3" t="n">
        <v>10</v>
      </c>
      <c r="D4576" s="3" t="s">
        <v>4580</v>
      </c>
      <c r="E4576" s="4" t="n">
        <v>0</v>
      </c>
    </row>
    <row r="4577" customFormat="false" ht="15" hidden="false" customHeight="false" outlineLevel="0" collapsed="false">
      <c r="A4577" s="3" t="n">
        <v>2024</v>
      </c>
      <c r="B4577" s="3" t="n">
        <v>7</v>
      </c>
      <c r="C4577" s="3" t="n">
        <v>11</v>
      </c>
      <c r="D4577" s="3" t="s">
        <v>4581</v>
      </c>
      <c r="E4577" s="4" t="n">
        <v>58</v>
      </c>
    </row>
    <row r="4578" customFormat="false" ht="15" hidden="false" customHeight="false" outlineLevel="0" collapsed="false">
      <c r="A4578" s="3" t="n">
        <v>2024</v>
      </c>
      <c r="B4578" s="3" t="n">
        <v>7</v>
      </c>
      <c r="C4578" s="3" t="n">
        <v>12</v>
      </c>
      <c r="D4578" s="3" t="s">
        <v>4582</v>
      </c>
      <c r="E4578" s="4" t="n">
        <v>8</v>
      </c>
    </row>
    <row r="4579" customFormat="false" ht="15" hidden="false" customHeight="false" outlineLevel="0" collapsed="false">
      <c r="A4579" s="3" t="n">
        <v>2024</v>
      </c>
      <c r="B4579" s="3" t="n">
        <v>7</v>
      </c>
      <c r="C4579" s="3" t="n">
        <v>13</v>
      </c>
      <c r="D4579" s="3" t="s">
        <v>4583</v>
      </c>
      <c r="E4579" s="4" t="n">
        <v>0</v>
      </c>
    </row>
    <row r="4580" customFormat="false" ht="15" hidden="false" customHeight="false" outlineLevel="0" collapsed="false">
      <c r="A4580" s="3" t="n">
        <v>2024</v>
      </c>
      <c r="B4580" s="3" t="n">
        <v>7</v>
      </c>
      <c r="C4580" s="3" t="n">
        <v>14</v>
      </c>
      <c r="D4580" s="3" t="s">
        <v>4584</v>
      </c>
      <c r="E4580" s="4" t="n">
        <v>0</v>
      </c>
    </row>
    <row r="4581" customFormat="false" ht="15" hidden="false" customHeight="false" outlineLevel="0" collapsed="false">
      <c r="A4581" s="3" t="n">
        <v>2024</v>
      </c>
      <c r="B4581" s="3" t="n">
        <v>7</v>
      </c>
      <c r="C4581" s="3" t="n">
        <v>15</v>
      </c>
      <c r="D4581" s="3" t="s">
        <v>4585</v>
      </c>
      <c r="E4581" s="4" t="n">
        <v>0</v>
      </c>
    </row>
    <row r="4582" customFormat="false" ht="15" hidden="false" customHeight="false" outlineLevel="0" collapsed="false">
      <c r="A4582" s="3" t="n">
        <v>2024</v>
      </c>
      <c r="B4582" s="3" t="n">
        <v>7</v>
      </c>
      <c r="C4582" s="3" t="n">
        <v>16</v>
      </c>
      <c r="D4582" s="3" t="s">
        <v>4586</v>
      </c>
      <c r="E4582" s="4" t="n">
        <v>0</v>
      </c>
    </row>
    <row r="4583" customFormat="false" ht="15" hidden="false" customHeight="false" outlineLevel="0" collapsed="false">
      <c r="A4583" s="3" t="n">
        <v>2024</v>
      </c>
      <c r="B4583" s="3" t="n">
        <v>7</v>
      </c>
      <c r="C4583" s="3" t="n">
        <v>17</v>
      </c>
      <c r="D4583" s="3" t="s">
        <v>4587</v>
      </c>
      <c r="E4583" s="4" t="n">
        <v>0</v>
      </c>
    </row>
    <row r="4584" customFormat="false" ht="15" hidden="false" customHeight="false" outlineLevel="0" collapsed="false">
      <c r="A4584" s="3" t="n">
        <v>2024</v>
      </c>
      <c r="B4584" s="3" t="n">
        <v>7</v>
      </c>
      <c r="C4584" s="3" t="n">
        <v>18</v>
      </c>
      <c r="D4584" s="3" t="s">
        <v>4588</v>
      </c>
      <c r="E4584" s="4" t="n">
        <v>1</v>
      </c>
    </row>
    <row r="4585" customFormat="false" ht="15" hidden="false" customHeight="false" outlineLevel="0" collapsed="false">
      <c r="A4585" s="3" t="n">
        <v>2024</v>
      </c>
      <c r="B4585" s="3" t="n">
        <v>7</v>
      </c>
      <c r="C4585" s="3" t="n">
        <v>19</v>
      </c>
      <c r="D4585" s="3" t="s">
        <v>4589</v>
      </c>
      <c r="E4585" s="4" t="n">
        <v>0</v>
      </c>
    </row>
    <row r="4586" customFormat="false" ht="15" hidden="false" customHeight="false" outlineLevel="0" collapsed="false">
      <c r="A4586" s="3" t="n">
        <v>2024</v>
      </c>
      <c r="B4586" s="3" t="n">
        <v>7</v>
      </c>
      <c r="C4586" s="3" t="n">
        <v>20</v>
      </c>
      <c r="D4586" s="3" t="s">
        <v>4590</v>
      </c>
      <c r="E4586" s="4" t="n">
        <v>0</v>
      </c>
    </row>
    <row r="4587" customFormat="false" ht="15" hidden="false" customHeight="false" outlineLevel="0" collapsed="false">
      <c r="A4587" s="3" t="n">
        <v>2024</v>
      </c>
      <c r="B4587" s="3" t="n">
        <v>7</v>
      </c>
      <c r="C4587" s="3" t="n">
        <v>21</v>
      </c>
      <c r="D4587" s="3" t="s">
        <v>4591</v>
      </c>
      <c r="E4587" s="4" t="n">
        <v>0</v>
      </c>
    </row>
    <row r="4588" customFormat="false" ht="15" hidden="false" customHeight="false" outlineLevel="0" collapsed="false">
      <c r="A4588" s="3" t="n">
        <v>2024</v>
      </c>
      <c r="B4588" s="3" t="n">
        <v>7</v>
      </c>
      <c r="C4588" s="3" t="n">
        <v>22</v>
      </c>
      <c r="D4588" s="3" t="s">
        <v>4592</v>
      </c>
      <c r="E4588" s="4" t="n">
        <v>0</v>
      </c>
    </row>
    <row r="4589" customFormat="false" ht="15" hidden="false" customHeight="false" outlineLevel="0" collapsed="false">
      <c r="A4589" s="3" t="n">
        <v>2024</v>
      </c>
      <c r="B4589" s="3" t="n">
        <v>7</v>
      </c>
      <c r="C4589" s="3" t="n">
        <v>23</v>
      </c>
      <c r="D4589" s="3" t="s">
        <v>4593</v>
      </c>
      <c r="E4589" s="4" t="n">
        <v>0</v>
      </c>
    </row>
    <row r="4590" customFormat="false" ht="15" hidden="false" customHeight="false" outlineLevel="0" collapsed="false">
      <c r="A4590" s="3" t="n">
        <v>2024</v>
      </c>
      <c r="B4590" s="3" t="n">
        <v>7</v>
      </c>
      <c r="C4590" s="3" t="n">
        <v>24</v>
      </c>
      <c r="D4590" s="3" t="s">
        <v>4594</v>
      </c>
      <c r="E4590" s="4" t="n">
        <v>0</v>
      </c>
    </row>
    <row r="4591" customFormat="false" ht="15" hidden="false" customHeight="false" outlineLevel="0" collapsed="false">
      <c r="A4591" s="3" t="n">
        <v>2024</v>
      </c>
      <c r="B4591" s="3" t="n">
        <v>7</v>
      </c>
      <c r="C4591" s="3" t="n">
        <v>25</v>
      </c>
      <c r="D4591" s="3" t="s">
        <v>4595</v>
      </c>
      <c r="E4591" s="4" t="n">
        <v>0</v>
      </c>
    </row>
    <row r="4592" customFormat="false" ht="15" hidden="false" customHeight="false" outlineLevel="0" collapsed="false">
      <c r="A4592" s="3" t="n">
        <v>2024</v>
      </c>
      <c r="B4592" s="3" t="n">
        <v>7</v>
      </c>
      <c r="C4592" s="3" t="n">
        <v>26</v>
      </c>
      <c r="D4592" s="3" t="s">
        <v>4596</v>
      </c>
      <c r="E4592" s="4" t="n">
        <v>0</v>
      </c>
    </row>
    <row r="4593" customFormat="false" ht="15" hidden="false" customHeight="false" outlineLevel="0" collapsed="false">
      <c r="A4593" s="3" t="n">
        <v>2024</v>
      </c>
      <c r="B4593" s="3" t="n">
        <v>7</v>
      </c>
      <c r="C4593" s="3" t="n">
        <v>27</v>
      </c>
      <c r="D4593" s="3" t="s">
        <v>4597</v>
      </c>
      <c r="E4593" s="4" t="n">
        <v>0</v>
      </c>
    </row>
    <row r="4594" customFormat="false" ht="15" hidden="false" customHeight="false" outlineLevel="0" collapsed="false">
      <c r="A4594" s="3" t="n">
        <v>2024</v>
      </c>
      <c r="B4594" s="3" t="n">
        <v>7</v>
      </c>
      <c r="C4594" s="3" t="n">
        <v>28</v>
      </c>
      <c r="D4594" s="3" t="s">
        <v>4598</v>
      </c>
      <c r="E4594" s="4" t="n">
        <v>0</v>
      </c>
    </row>
    <row r="4595" customFormat="false" ht="15" hidden="false" customHeight="false" outlineLevel="0" collapsed="false">
      <c r="A4595" s="3" t="n">
        <v>2024</v>
      </c>
      <c r="B4595" s="3" t="n">
        <v>7</v>
      </c>
      <c r="C4595" s="3" t="n">
        <v>29</v>
      </c>
      <c r="D4595" s="3" t="s">
        <v>4599</v>
      </c>
      <c r="E4595" s="4" t="n">
        <v>0</v>
      </c>
    </row>
    <row r="4596" customFormat="false" ht="15" hidden="false" customHeight="false" outlineLevel="0" collapsed="false">
      <c r="A4596" s="3" t="n">
        <v>2024</v>
      </c>
      <c r="B4596" s="3" t="n">
        <v>7</v>
      </c>
      <c r="C4596" s="3" t="n">
        <v>30</v>
      </c>
      <c r="D4596" s="3" t="s">
        <v>4600</v>
      </c>
      <c r="E4596" s="4" t="n">
        <v>0</v>
      </c>
    </row>
    <row r="4597" customFormat="false" ht="15" hidden="false" customHeight="false" outlineLevel="0" collapsed="false">
      <c r="A4597" s="3" t="n">
        <v>2024</v>
      </c>
      <c r="B4597" s="3" t="n">
        <v>7</v>
      </c>
      <c r="C4597" s="3" t="n">
        <v>31</v>
      </c>
      <c r="D4597" s="3" t="s">
        <v>4601</v>
      </c>
      <c r="E4597" s="4" t="n">
        <v>0</v>
      </c>
    </row>
    <row r="4598" customFormat="false" ht="15" hidden="false" customHeight="false" outlineLevel="0" collapsed="false">
      <c r="A4598" s="3" t="n">
        <v>2024</v>
      </c>
      <c r="B4598" s="3" t="n">
        <v>8</v>
      </c>
      <c r="C4598" s="3" t="n">
        <v>1</v>
      </c>
      <c r="D4598" s="3" t="s">
        <v>4602</v>
      </c>
      <c r="E4598" s="4" t="n">
        <v>40</v>
      </c>
    </row>
    <row r="4599" customFormat="false" ht="15" hidden="false" customHeight="false" outlineLevel="0" collapsed="false">
      <c r="A4599" s="3" t="n">
        <v>2024</v>
      </c>
      <c r="B4599" s="3" t="n">
        <v>8</v>
      </c>
      <c r="C4599" s="3" t="n">
        <v>2</v>
      </c>
      <c r="D4599" s="3" t="s">
        <v>4603</v>
      </c>
      <c r="E4599" s="4" t="n">
        <v>1</v>
      </c>
    </row>
    <row r="4600" customFormat="false" ht="15" hidden="false" customHeight="false" outlineLevel="0" collapsed="false">
      <c r="A4600" s="3" t="n">
        <v>2024</v>
      </c>
      <c r="B4600" s="3" t="n">
        <v>8</v>
      </c>
      <c r="C4600" s="3" t="n">
        <v>3</v>
      </c>
      <c r="D4600" s="3" t="s">
        <v>4604</v>
      </c>
      <c r="E4600" s="4" t="n">
        <v>0</v>
      </c>
    </row>
    <row r="4601" customFormat="false" ht="15" hidden="false" customHeight="false" outlineLevel="0" collapsed="false">
      <c r="A4601" s="3" t="n">
        <v>2024</v>
      </c>
      <c r="B4601" s="3" t="n">
        <v>8</v>
      </c>
      <c r="C4601" s="3" t="n">
        <v>4</v>
      </c>
      <c r="D4601" s="3" t="s">
        <v>4605</v>
      </c>
      <c r="E4601" s="4" t="n">
        <v>0</v>
      </c>
    </row>
    <row r="4602" customFormat="false" ht="15" hidden="false" customHeight="false" outlineLevel="0" collapsed="false">
      <c r="A4602" s="3" t="n">
        <v>2024</v>
      </c>
      <c r="B4602" s="3" t="n">
        <v>8</v>
      </c>
      <c r="C4602" s="3" t="n">
        <v>5</v>
      </c>
      <c r="D4602" s="3" t="s">
        <v>4606</v>
      </c>
      <c r="E4602" s="4" t="n">
        <v>9</v>
      </c>
    </row>
    <row r="4603" customFormat="false" ht="15" hidden="false" customHeight="false" outlineLevel="0" collapsed="false">
      <c r="A4603" s="3" t="n">
        <v>2024</v>
      </c>
      <c r="B4603" s="3" t="n">
        <v>8</v>
      </c>
      <c r="C4603" s="3" t="n">
        <v>6</v>
      </c>
      <c r="D4603" s="3" t="s">
        <v>4607</v>
      </c>
      <c r="E4603" s="4" t="n">
        <v>0</v>
      </c>
    </row>
    <row r="4604" customFormat="false" ht="15" hidden="false" customHeight="false" outlineLevel="0" collapsed="false">
      <c r="A4604" s="3" t="n">
        <v>2024</v>
      </c>
      <c r="B4604" s="3" t="n">
        <v>8</v>
      </c>
      <c r="C4604" s="3" t="n">
        <v>7</v>
      </c>
      <c r="D4604" s="3" t="s">
        <v>4608</v>
      </c>
      <c r="E4604" s="4" t="n">
        <v>13</v>
      </c>
    </row>
    <row r="4605" customFormat="false" ht="15" hidden="false" customHeight="false" outlineLevel="0" collapsed="false">
      <c r="A4605" s="3" t="n">
        <v>2024</v>
      </c>
      <c r="B4605" s="3" t="n">
        <v>8</v>
      </c>
      <c r="C4605" s="3" t="n">
        <v>8</v>
      </c>
      <c r="D4605" s="3" t="s">
        <v>4609</v>
      </c>
      <c r="E4605" s="4" t="n">
        <v>49</v>
      </c>
    </row>
    <row r="4606" customFormat="false" ht="15" hidden="false" customHeight="false" outlineLevel="0" collapsed="false">
      <c r="A4606" s="3" t="n">
        <v>2024</v>
      </c>
      <c r="B4606" s="3" t="n">
        <v>8</v>
      </c>
      <c r="C4606" s="3" t="n">
        <v>9</v>
      </c>
      <c r="D4606" s="3" t="s">
        <v>4610</v>
      </c>
      <c r="E4606" s="4" t="n">
        <v>13</v>
      </c>
    </row>
    <row r="4607" customFormat="false" ht="15" hidden="false" customHeight="false" outlineLevel="0" collapsed="false">
      <c r="A4607" s="3" t="n">
        <v>2024</v>
      </c>
      <c r="B4607" s="3" t="n">
        <v>8</v>
      </c>
      <c r="C4607" s="3" t="n">
        <v>10</v>
      </c>
      <c r="D4607" s="3" t="s">
        <v>4611</v>
      </c>
      <c r="E4607" s="4" t="n">
        <v>0</v>
      </c>
    </row>
    <row r="4608" customFormat="false" ht="15" hidden="false" customHeight="false" outlineLevel="0" collapsed="false">
      <c r="A4608" s="3" t="n">
        <v>2024</v>
      </c>
      <c r="B4608" s="3" t="n">
        <v>8</v>
      </c>
      <c r="C4608" s="3" t="n">
        <v>11</v>
      </c>
      <c r="D4608" s="3" t="s">
        <v>4612</v>
      </c>
      <c r="E4608" s="4" t="n">
        <v>0</v>
      </c>
    </row>
    <row r="4609" customFormat="false" ht="15" hidden="false" customHeight="false" outlineLevel="0" collapsed="false">
      <c r="A4609" s="3" t="n">
        <v>2024</v>
      </c>
      <c r="B4609" s="3" t="n">
        <v>8</v>
      </c>
      <c r="C4609" s="3" t="n">
        <v>12</v>
      </c>
      <c r="D4609" s="3" t="s">
        <v>4613</v>
      </c>
      <c r="E4609" s="4" t="n">
        <v>3</v>
      </c>
    </row>
    <row r="4610" customFormat="false" ht="15" hidden="false" customHeight="false" outlineLevel="0" collapsed="false">
      <c r="A4610" s="3" t="n">
        <v>2024</v>
      </c>
      <c r="B4610" s="3" t="n">
        <v>8</v>
      </c>
      <c r="C4610" s="3" t="n">
        <v>13</v>
      </c>
      <c r="D4610" s="3" t="s">
        <v>4614</v>
      </c>
      <c r="E4610" s="4" t="n">
        <v>5</v>
      </c>
    </row>
    <row r="4611" customFormat="false" ht="15" hidden="false" customHeight="false" outlineLevel="0" collapsed="false">
      <c r="A4611" s="3" t="n">
        <v>2024</v>
      </c>
      <c r="B4611" s="3" t="n">
        <v>8</v>
      </c>
      <c r="C4611" s="3" t="n">
        <v>14</v>
      </c>
      <c r="D4611" s="3" t="s">
        <v>4615</v>
      </c>
      <c r="E4611" s="4" t="n">
        <v>0</v>
      </c>
    </row>
    <row r="4612" customFormat="false" ht="15" hidden="false" customHeight="false" outlineLevel="0" collapsed="false">
      <c r="A4612" s="3" t="n">
        <v>2024</v>
      </c>
      <c r="B4612" s="3" t="n">
        <v>8</v>
      </c>
      <c r="C4612" s="3" t="n">
        <v>15</v>
      </c>
      <c r="D4612" s="3" t="s">
        <v>4616</v>
      </c>
      <c r="E4612" s="4" t="n">
        <v>16</v>
      </c>
    </row>
    <row r="4613" customFormat="false" ht="15" hidden="false" customHeight="false" outlineLevel="0" collapsed="false">
      <c r="A4613" s="3" t="n">
        <v>2024</v>
      </c>
      <c r="B4613" s="3" t="n">
        <v>8</v>
      </c>
      <c r="C4613" s="3" t="n">
        <v>16</v>
      </c>
      <c r="D4613" s="3" t="s">
        <v>4617</v>
      </c>
      <c r="E4613" s="4" t="n">
        <v>6</v>
      </c>
    </row>
    <row r="4614" customFormat="false" ht="15" hidden="false" customHeight="false" outlineLevel="0" collapsed="false">
      <c r="A4614" s="3" t="n">
        <v>2024</v>
      </c>
      <c r="B4614" s="3" t="n">
        <v>8</v>
      </c>
      <c r="C4614" s="3" t="n">
        <v>17</v>
      </c>
      <c r="D4614" s="3" t="s">
        <v>4618</v>
      </c>
      <c r="E4614" s="4" t="n">
        <v>44</v>
      </c>
    </row>
    <row r="4615" customFormat="false" ht="15" hidden="false" customHeight="false" outlineLevel="0" collapsed="false">
      <c r="A4615" s="3" t="n">
        <v>2024</v>
      </c>
      <c r="B4615" s="3" t="n">
        <v>8</v>
      </c>
      <c r="C4615" s="3" t="n">
        <v>18</v>
      </c>
      <c r="D4615" s="3" t="s">
        <v>4619</v>
      </c>
      <c r="E4615" s="4" t="n">
        <v>6</v>
      </c>
    </row>
    <row r="4616" customFormat="false" ht="15" hidden="false" customHeight="false" outlineLevel="0" collapsed="false">
      <c r="A4616" s="3" t="n">
        <v>2024</v>
      </c>
      <c r="B4616" s="3" t="n">
        <v>8</v>
      </c>
      <c r="C4616" s="3" t="n">
        <v>19</v>
      </c>
      <c r="D4616" s="3" t="s">
        <v>4620</v>
      </c>
      <c r="E4616" s="4" t="n">
        <v>3</v>
      </c>
    </row>
    <row r="4617" customFormat="false" ht="15" hidden="false" customHeight="false" outlineLevel="0" collapsed="false">
      <c r="A4617" s="3" t="n">
        <v>2024</v>
      </c>
      <c r="B4617" s="3" t="n">
        <v>8</v>
      </c>
      <c r="C4617" s="3" t="n">
        <v>20</v>
      </c>
      <c r="D4617" s="3" t="s">
        <v>4621</v>
      </c>
      <c r="E4617" s="4" t="n">
        <v>36</v>
      </c>
    </row>
    <row r="4618" customFormat="false" ht="15" hidden="false" customHeight="false" outlineLevel="0" collapsed="false">
      <c r="A4618" s="3" t="n">
        <v>2024</v>
      </c>
      <c r="B4618" s="3" t="n">
        <v>8</v>
      </c>
      <c r="C4618" s="3" t="n">
        <v>21</v>
      </c>
      <c r="D4618" s="3" t="s">
        <v>4622</v>
      </c>
      <c r="E4618" s="4" t="n">
        <v>5</v>
      </c>
    </row>
    <row r="4619" customFormat="false" ht="15" hidden="false" customHeight="false" outlineLevel="0" collapsed="false">
      <c r="A4619" s="3" t="n">
        <v>2024</v>
      </c>
      <c r="B4619" s="3" t="n">
        <v>8</v>
      </c>
      <c r="C4619" s="3" t="n">
        <v>22</v>
      </c>
      <c r="D4619" s="3" t="s">
        <v>4623</v>
      </c>
      <c r="E4619" s="4" t="n">
        <v>13</v>
      </c>
    </row>
    <row r="4620" customFormat="false" ht="15" hidden="false" customHeight="false" outlineLevel="0" collapsed="false">
      <c r="A4620" s="3" t="n">
        <v>2024</v>
      </c>
      <c r="B4620" s="3" t="n">
        <v>8</v>
      </c>
      <c r="C4620" s="3" t="n">
        <v>23</v>
      </c>
      <c r="D4620" s="3" t="s">
        <v>4624</v>
      </c>
      <c r="E4620" s="4" t="n">
        <v>1</v>
      </c>
    </row>
    <row r="4621" customFormat="false" ht="15" hidden="false" customHeight="false" outlineLevel="0" collapsed="false">
      <c r="A4621" s="3" t="n">
        <v>2024</v>
      </c>
      <c r="B4621" s="3" t="n">
        <v>8</v>
      </c>
      <c r="C4621" s="3" t="n">
        <v>24</v>
      </c>
      <c r="D4621" s="3" t="s">
        <v>4625</v>
      </c>
      <c r="E4621" s="4" t="n">
        <v>7</v>
      </c>
    </row>
    <row r="4622" customFormat="false" ht="15" hidden="false" customHeight="false" outlineLevel="0" collapsed="false">
      <c r="A4622" s="3" t="n">
        <v>2024</v>
      </c>
      <c r="B4622" s="3" t="n">
        <v>8</v>
      </c>
      <c r="C4622" s="3" t="n">
        <v>25</v>
      </c>
      <c r="D4622" s="3" t="s">
        <v>4626</v>
      </c>
      <c r="E4622" s="4" t="n">
        <v>9</v>
      </c>
    </row>
    <row r="4623" customFormat="false" ht="15" hidden="false" customHeight="false" outlineLevel="0" collapsed="false">
      <c r="A4623" s="3" t="n">
        <v>2024</v>
      </c>
      <c r="B4623" s="3" t="n">
        <v>8</v>
      </c>
      <c r="C4623" s="3" t="n">
        <v>26</v>
      </c>
      <c r="D4623" s="3" t="s">
        <v>4627</v>
      </c>
      <c r="E4623" s="4" t="n">
        <v>1</v>
      </c>
    </row>
    <row r="4624" customFormat="false" ht="15" hidden="false" customHeight="false" outlineLevel="0" collapsed="false">
      <c r="A4624" s="3" t="n">
        <v>2024</v>
      </c>
      <c r="B4624" s="3" t="n">
        <v>8</v>
      </c>
      <c r="C4624" s="3" t="n">
        <v>27</v>
      </c>
      <c r="D4624" s="3" t="s">
        <v>4628</v>
      </c>
      <c r="E4624" s="4" t="n">
        <v>3</v>
      </c>
    </row>
    <row r="4625" customFormat="false" ht="15" hidden="false" customHeight="false" outlineLevel="0" collapsed="false">
      <c r="A4625" s="3" t="n">
        <v>2024</v>
      </c>
      <c r="B4625" s="3" t="n">
        <v>8</v>
      </c>
      <c r="C4625" s="3" t="n">
        <v>28</v>
      </c>
      <c r="D4625" s="3" t="s">
        <v>4629</v>
      </c>
      <c r="E4625" s="4" t="n">
        <v>59</v>
      </c>
    </row>
    <row r="4626" customFormat="false" ht="15" hidden="false" customHeight="false" outlineLevel="0" collapsed="false">
      <c r="A4626" s="3" t="n">
        <v>2024</v>
      </c>
      <c r="B4626" s="3" t="n">
        <v>8</v>
      </c>
      <c r="C4626" s="3" t="n">
        <v>29</v>
      </c>
      <c r="D4626" s="3" t="s">
        <v>4630</v>
      </c>
      <c r="E4626" s="4" t="n">
        <v>8</v>
      </c>
    </row>
    <row r="4627" customFormat="false" ht="15" hidden="false" customHeight="false" outlineLevel="0" collapsed="false">
      <c r="A4627" s="3" t="n">
        <v>2024</v>
      </c>
      <c r="B4627" s="3" t="n">
        <v>8</v>
      </c>
      <c r="C4627" s="3" t="n">
        <v>30</v>
      </c>
      <c r="D4627" s="3" t="s">
        <v>4631</v>
      </c>
      <c r="E4627" s="4" t="n">
        <v>0</v>
      </c>
    </row>
    <row r="4628" customFormat="false" ht="15" hidden="false" customHeight="false" outlineLevel="0" collapsed="false">
      <c r="A4628" s="3" t="n">
        <v>2024</v>
      </c>
      <c r="B4628" s="3" t="n">
        <v>8</v>
      </c>
      <c r="C4628" s="3" t="n">
        <v>31</v>
      </c>
      <c r="D4628" s="3" t="s">
        <v>4632</v>
      </c>
      <c r="E4628" s="4" t="n">
        <v>0</v>
      </c>
    </row>
    <row r="4629" customFormat="false" ht="15" hidden="false" customHeight="false" outlineLevel="0" collapsed="false">
      <c r="A4629" s="3" t="n">
        <v>2024</v>
      </c>
      <c r="B4629" s="3" t="n">
        <v>9</v>
      </c>
      <c r="C4629" s="3" t="n">
        <v>1</v>
      </c>
      <c r="D4629" s="3" t="s">
        <v>4633</v>
      </c>
      <c r="E4629" s="4" t="n">
        <v>0</v>
      </c>
    </row>
    <row r="4630" customFormat="false" ht="15" hidden="false" customHeight="false" outlineLevel="0" collapsed="false">
      <c r="A4630" s="3" t="n">
        <v>2024</v>
      </c>
      <c r="B4630" s="3" t="n">
        <v>9</v>
      </c>
      <c r="C4630" s="3" t="n">
        <v>2</v>
      </c>
      <c r="D4630" s="3" t="s">
        <v>4634</v>
      </c>
      <c r="E4630" s="4" t="n">
        <v>1</v>
      </c>
    </row>
    <row r="4631" customFormat="false" ht="15" hidden="false" customHeight="false" outlineLevel="0" collapsed="false">
      <c r="A4631" s="3" t="n">
        <v>2024</v>
      </c>
      <c r="B4631" s="3" t="n">
        <v>9</v>
      </c>
      <c r="C4631" s="3" t="n">
        <v>3</v>
      </c>
      <c r="D4631" s="3" t="s">
        <v>4635</v>
      </c>
      <c r="E4631" s="4" t="n">
        <v>0</v>
      </c>
    </row>
    <row r="4632" customFormat="false" ht="15" hidden="false" customHeight="false" outlineLevel="0" collapsed="false">
      <c r="A4632" s="3" t="n">
        <v>2024</v>
      </c>
      <c r="B4632" s="3" t="n">
        <v>9</v>
      </c>
      <c r="C4632" s="3" t="n">
        <v>4</v>
      </c>
      <c r="D4632" s="3" t="s">
        <v>4636</v>
      </c>
      <c r="E4632" s="4" t="n">
        <v>0</v>
      </c>
    </row>
    <row r="4633" customFormat="false" ht="15" hidden="false" customHeight="false" outlineLevel="0" collapsed="false">
      <c r="A4633" s="3" t="n">
        <v>2024</v>
      </c>
      <c r="B4633" s="3" t="n">
        <v>9</v>
      </c>
      <c r="C4633" s="3" t="n">
        <v>5</v>
      </c>
      <c r="D4633" s="3" t="s">
        <v>4637</v>
      </c>
      <c r="E4633" s="4" t="n">
        <v>0</v>
      </c>
    </row>
    <row r="4634" customFormat="false" ht="15" hidden="false" customHeight="false" outlineLevel="0" collapsed="false">
      <c r="A4634" s="3" t="n">
        <v>2024</v>
      </c>
      <c r="B4634" s="3" t="n">
        <v>9</v>
      </c>
      <c r="C4634" s="3" t="n">
        <v>6</v>
      </c>
      <c r="D4634" s="3" t="s">
        <v>4638</v>
      </c>
      <c r="E4634" s="4" t="n">
        <v>0</v>
      </c>
    </row>
    <row r="4635" customFormat="false" ht="15" hidden="false" customHeight="false" outlineLevel="0" collapsed="false">
      <c r="A4635" s="3" t="n">
        <v>2024</v>
      </c>
      <c r="B4635" s="3" t="n">
        <v>9</v>
      </c>
      <c r="C4635" s="3" t="n">
        <v>7</v>
      </c>
      <c r="D4635" s="3" t="s">
        <v>4639</v>
      </c>
      <c r="E4635" s="4" t="n">
        <v>0</v>
      </c>
    </row>
    <row r="4636" customFormat="false" ht="15" hidden="false" customHeight="false" outlineLevel="0" collapsed="false">
      <c r="A4636" s="3" t="n">
        <v>2024</v>
      </c>
      <c r="B4636" s="3" t="n">
        <v>9</v>
      </c>
      <c r="C4636" s="3" t="n">
        <v>8</v>
      </c>
      <c r="D4636" s="3" t="s">
        <v>4640</v>
      </c>
      <c r="E4636" s="4" t="n">
        <v>46</v>
      </c>
    </row>
    <row r="4637" customFormat="false" ht="15" hidden="false" customHeight="false" outlineLevel="0" collapsed="false">
      <c r="A4637" s="3" t="n">
        <v>2024</v>
      </c>
      <c r="B4637" s="3" t="n">
        <v>9</v>
      </c>
      <c r="C4637" s="3" t="n">
        <v>9</v>
      </c>
      <c r="D4637" s="3" t="s">
        <v>4641</v>
      </c>
      <c r="E4637" s="4" t="n">
        <v>29</v>
      </c>
    </row>
    <row r="4638" customFormat="false" ht="15" hidden="false" customHeight="false" outlineLevel="0" collapsed="false">
      <c r="A4638" s="3" t="n">
        <v>2024</v>
      </c>
      <c r="B4638" s="3" t="n">
        <v>9</v>
      </c>
      <c r="C4638" s="3" t="n">
        <v>10</v>
      </c>
      <c r="D4638" s="3" t="s">
        <v>4642</v>
      </c>
      <c r="E4638" s="4" t="n">
        <v>1</v>
      </c>
    </row>
    <row r="4639" customFormat="false" ht="15" hidden="false" customHeight="false" outlineLevel="0" collapsed="false">
      <c r="A4639" s="3" t="n">
        <v>2024</v>
      </c>
      <c r="B4639" s="3" t="n">
        <v>9</v>
      </c>
      <c r="C4639" s="3" t="n">
        <v>11</v>
      </c>
      <c r="D4639" s="3" t="s">
        <v>4643</v>
      </c>
      <c r="E4639" s="4" t="n">
        <v>6</v>
      </c>
    </row>
    <row r="4640" customFormat="false" ht="15" hidden="false" customHeight="false" outlineLevel="0" collapsed="false">
      <c r="A4640" s="3" t="n">
        <v>2024</v>
      </c>
      <c r="B4640" s="3" t="n">
        <v>9</v>
      </c>
      <c r="C4640" s="3" t="n">
        <v>12</v>
      </c>
      <c r="D4640" s="3" t="s">
        <v>4644</v>
      </c>
      <c r="E4640" s="4" t="n">
        <v>0</v>
      </c>
    </row>
    <row r="4641" customFormat="false" ht="15" hidden="false" customHeight="false" outlineLevel="0" collapsed="false">
      <c r="A4641" s="3" t="n">
        <v>2024</v>
      </c>
      <c r="B4641" s="3" t="n">
        <v>9</v>
      </c>
      <c r="C4641" s="3" t="n">
        <v>13</v>
      </c>
      <c r="D4641" s="3" t="s">
        <v>4645</v>
      </c>
      <c r="E4641" s="4" t="n">
        <v>0</v>
      </c>
    </row>
    <row r="4642" customFormat="false" ht="15" hidden="false" customHeight="false" outlineLevel="0" collapsed="false">
      <c r="A4642" s="3" t="n">
        <v>2024</v>
      </c>
      <c r="B4642" s="3" t="n">
        <v>9</v>
      </c>
      <c r="C4642" s="3" t="n">
        <v>14</v>
      </c>
      <c r="D4642" s="3" t="s">
        <v>4646</v>
      </c>
      <c r="E4642" s="4" t="n">
        <v>0</v>
      </c>
    </row>
    <row r="4643" customFormat="false" ht="15" hidden="false" customHeight="false" outlineLevel="0" collapsed="false">
      <c r="A4643" s="3" t="n">
        <v>2024</v>
      </c>
      <c r="B4643" s="3" t="n">
        <v>9</v>
      </c>
      <c r="C4643" s="3" t="n">
        <v>15</v>
      </c>
      <c r="D4643" s="3" t="s">
        <v>4647</v>
      </c>
      <c r="E4643" s="4" t="n">
        <v>0</v>
      </c>
    </row>
    <row r="4644" customFormat="false" ht="15" hidden="false" customHeight="false" outlineLevel="0" collapsed="false">
      <c r="A4644" s="3" t="n">
        <v>2024</v>
      </c>
      <c r="B4644" s="3" t="n">
        <v>9</v>
      </c>
      <c r="C4644" s="3" t="n">
        <v>16</v>
      </c>
      <c r="D4644" s="3" t="s">
        <v>4648</v>
      </c>
      <c r="E4644" s="4" t="n">
        <v>0</v>
      </c>
    </row>
    <row r="4645" customFormat="false" ht="15" hidden="false" customHeight="false" outlineLevel="0" collapsed="false">
      <c r="A4645" s="3" t="n">
        <v>2024</v>
      </c>
      <c r="B4645" s="3" t="n">
        <v>9</v>
      </c>
      <c r="C4645" s="3" t="n">
        <v>17</v>
      </c>
      <c r="D4645" s="3" t="s">
        <v>4649</v>
      </c>
      <c r="E4645" s="4" t="n">
        <v>0</v>
      </c>
    </row>
    <row r="4646" customFormat="false" ht="15" hidden="false" customHeight="false" outlineLevel="0" collapsed="false">
      <c r="A4646" s="3" t="n">
        <v>2024</v>
      </c>
      <c r="B4646" s="3" t="n">
        <v>9</v>
      </c>
      <c r="C4646" s="3" t="n">
        <v>18</v>
      </c>
      <c r="D4646" s="3" t="s">
        <v>4650</v>
      </c>
      <c r="E4646" s="4" t="n">
        <v>56</v>
      </c>
    </row>
    <row r="4647" customFormat="false" ht="15" hidden="false" customHeight="false" outlineLevel="0" collapsed="false">
      <c r="A4647" s="3" t="n">
        <v>2024</v>
      </c>
      <c r="B4647" s="3" t="n">
        <v>9</v>
      </c>
      <c r="C4647" s="3" t="n">
        <v>19</v>
      </c>
      <c r="D4647" s="3" t="s">
        <v>4651</v>
      </c>
      <c r="E4647" s="4" t="n">
        <v>6</v>
      </c>
    </row>
    <row r="4648" customFormat="false" ht="15" hidden="false" customHeight="false" outlineLevel="0" collapsed="false">
      <c r="A4648" s="3" t="n">
        <v>2024</v>
      </c>
      <c r="B4648" s="3" t="n">
        <v>9</v>
      </c>
      <c r="C4648" s="3" t="n">
        <v>20</v>
      </c>
      <c r="D4648" s="3" t="s">
        <v>4652</v>
      </c>
      <c r="E4648" s="4" t="n">
        <v>0</v>
      </c>
    </row>
    <row r="4649" customFormat="false" ht="15" hidden="false" customHeight="false" outlineLevel="0" collapsed="false">
      <c r="A4649" s="3" t="n">
        <v>2024</v>
      </c>
      <c r="B4649" s="3" t="n">
        <v>9</v>
      </c>
      <c r="C4649" s="3" t="n">
        <v>21</v>
      </c>
      <c r="D4649" s="3" t="s">
        <v>4653</v>
      </c>
      <c r="E4649" s="4" t="n">
        <v>0</v>
      </c>
    </row>
    <row r="4650" customFormat="false" ht="15" hidden="false" customHeight="false" outlineLevel="0" collapsed="false">
      <c r="A4650" s="3" t="n">
        <v>2024</v>
      </c>
      <c r="B4650" s="3" t="n">
        <v>9</v>
      </c>
      <c r="C4650" s="3" t="n">
        <v>22</v>
      </c>
      <c r="D4650" s="3" t="s">
        <v>4654</v>
      </c>
      <c r="E4650" s="4" t="n">
        <v>0</v>
      </c>
    </row>
    <row r="4651" customFormat="false" ht="15" hidden="false" customHeight="false" outlineLevel="0" collapsed="false">
      <c r="A4651" s="3" t="n">
        <v>2024</v>
      </c>
      <c r="B4651" s="3" t="n">
        <v>9</v>
      </c>
      <c r="C4651" s="3" t="n">
        <v>23</v>
      </c>
      <c r="D4651" s="3" t="s">
        <v>4655</v>
      </c>
      <c r="E4651" s="4" t="n">
        <v>4</v>
      </c>
    </row>
    <row r="4652" customFormat="false" ht="15" hidden="false" customHeight="false" outlineLevel="0" collapsed="false">
      <c r="A4652" s="3" t="n">
        <v>2024</v>
      </c>
      <c r="B4652" s="3" t="n">
        <v>9</v>
      </c>
      <c r="C4652" s="3" t="n">
        <v>24</v>
      </c>
      <c r="D4652" s="3" t="s">
        <v>4656</v>
      </c>
      <c r="E4652" s="4" t="n">
        <v>0</v>
      </c>
    </row>
    <row r="4653" customFormat="false" ht="15" hidden="false" customHeight="false" outlineLevel="0" collapsed="false">
      <c r="A4653" s="3" t="n">
        <v>2024</v>
      </c>
      <c r="B4653" s="3" t="n">
        <v>9</v>
      </c>
      <c r="C4653" s="3" t="n">
        <v>25</v>
      </c>
      <c r="D4653" s="3" t="s">
        <v>4657</v>
      </c>
      <c r="E4653" s="4" t="n">
        <v>1</v>
      </c>
    </row>
    <row r="4654" customFormat="false" ht="15" hidden="false" customHeight="false" outlineLevel="0" collapsed="false">
      <c r="A4654" s="3" t="n">
        <v>2024</v>
      </c>
      <c r="B4654" s="3" t="n">
        <v>9</v>
      </c>
      <c r="C4654" s="3" t="n">
        <v>26</v>
      </c>
      <c r="D4654" s="3" t="s">
        <v>4658</v>
      </c>
      <c r="E4654" s="4" t="n">
        <v>9</v>
      </c>
    </row>
    <row r="4655" customFormat="false" ht="15" hidden="false" customHeight="false" outlineLevel="0" collapsed="false">
      <c r="A4655" s="3" t="n">
        <v>2024</v>
      </c>
      <c r="B4655" s="3" t="n">
        <v>9</v>
      </c>
      <c r="C4655" s="3" t="n">
        <v>27</v>
      </c>
      <c r="D4655" s="3" t="s">
        <v>4659</v>
      </c>
      <c r="E4655" s="4" t="n">
        <v>0</v>
      </c>
    </row>
    <row r="4656" customFormat="false" ht="15" hidden="false" customHeight="false" outlineLevel="0" collapsed="false">
      <c r="A4656" s="3" t="n">
        <v>2024</v>
      </c>
      <c r="B4656" s="3" t="n">
        <v>9</v>
      </c>
      <c r="C4656" s="3" t="n">
        <v>28</v>
      </c>
      <c r="D4656" s="3" t="s">
        <v>4660</v>
      </c>
      <c r="E4656" s="4" t="n">
        <v>9</v>
      </c>
    </row>
    <row r="4657" customFormat="false" ht="15" hidden="false" customHeight="false" outlineLevel="0" collapsed="false">
      <c r="A4657" s="3" t="n">
        <v>2024</v>
      </c>
      <c r="B4657" s="3" t="n">
        <v>9</v>
      </c>
      <c r="C4657" s="3" t="n">
        <v>29</v>
      </c>
      <c r="D4657" s="3" t="s">
        <v>4661</v>
      </c>
      <c r="E4657" s="4" t="n">
        <v>11</v>
      </c>
    </row>
    <row r="4658" customFormat="false" ht="15" hidden="false" customHeight="false" outlineLevel="0" collapsed="false">
      <c r="A4658" s="3" t="n">
        <v>2024</v>
      </c>
      <c r="B4658" s="3" t="n">
        <v>9</v>
      </c>
      <c r="C4658" s="3" t="n">
        <v>30</v>
      </c>
      <c r="D4658" s="3" t="s">
        <v>4662</v>
      </c>
      <c r="E4658" s="4" t="n">
        <v>18</v>
      </c>
    </row>
    <row r="4659" customFormat="false" ht="15" hidden="false" customHeight="false" outlineLevel="0" collapsed="false">
      <c r="A4659" s="3" t="n">
        <v>2024</v>
      </c>
      <c r="B4659" s="3" t="n">
        <v>10</v>
      </c>
      <c r="C4659" s="3" t="n">
        <v>1</v>
      </c>
      <c r="D4659" s="3" t="s">
        <v>4663</v>
      </c>
      <c r="E4659" s="4" t="n">
        <v>11</v>
      </c>
    </row>
    <row r="4660" customFormat="false" ht="15" hidden="false" customHeight="false" outlineLevel="0" collapsed="false">
      <c r="A4660" s="3" t="n">
        <v>2024</v>
      </c>
      <c r="B4660" s="3" t="n">
        <v>10</v>
      </c>
      <c r="C4660" s="3" t="n">
        <v>2</v>
      </c>
      <c r="D4660" s="3" t="s">
        <v>4664</v>
      </c>
      <c r="E4660" s="4" t="n">
        <v>0</v>
      </c>
    </row>
    <row r="4661" customFormat="false" ht="15" hidden="false" customHeight="false" outlineLevel="0" collapsed="false">
      <c r="A4661" s="3" t="n">
        <v>2024</v>
      </c>
      <c r="B4661" s="3" t="n">
        <v>10</v>
      </c>
      <c r="C4661" s="3" t="n">
        <v>3</v>
      </c>
      <c r="D4661" s="3" t="s">
        <v>4665</v>
      </c>
      <c r="E4661" s="4" t="n">
        <v>0</v>
      </c>
    </row>
    <row r="4662" customFormat="false" ht="15" hidden="false" customHeight="false" outlineLevel="0" collapsed="false">
      <c r="A4662" s="3" t="n">
        <v>2024</v>
      </c>
      <c r="B4662" s="3" t="n">
        <v>10</v>
      </c>
      <c r="C4662" s="3" t="n">
        <v>4</v>
      </c>
      <c r="D4662" s="3" t="s">
        <v>4666</v>
      </c>
      <c r="E4662" s="4" t="n">
        <v>0</v>
      </c>
    </row>
    <row r="4663" customFormat="false" ht="15" hidden="false" customHeight="false" outlineLevel="0" collapsed="false">
      <c r="A4663" s="3" t="n">
        <v>2024</v>
      </c>
      <c r="B4663" s="3" t="n">
        <v>10</v>
      </c>
      <c r="C4663" s="3" t="n">
        <v>5</v>
      </c>
      <c r="D4663" s="3" t="s">
        <v>4667</v>
      </c>
      <c r="E4663" s="4" t="n">
        <v>1</v>
      </c>
    </row>
    <row r="4664" customFormat="false" ht="15" hidden="false" customHeight="false" outlineLevel="0" collapsed="false">
      <c r="A4664" s="3" t="n">
        <v>2024</v>
      </c>
      <c r="B4664" s="3" t="n">
        <v>10</v>
      </c>
      <c r="C4664" s="3" t="n">
        <v>6</v>
      </c>
      <c r="D4664" s="3" t="s">
        <v>4668</v>
      </c>
      <c r="E4664" s="4" t="n">
        <v>13</v>
      </c>
    </row>
    <row r="4665" customFormat="false" ht="15" hidden="false" customHeight="false" outlineLevel="0" collapsed="false">
      <c r="A4665" s="3" t="n">
        <v>2024</v>
      </c>
      <c r="B4665" s="3" t="n">
        <v>10</v>
      </c>
      <c r="C4665" s="3" t="n">
        <v>7</v>
      </c>
      <c r="D4665" s="3" t="s">
        <v>4669</v>
      </c>
      <c r="E4665" s="4" t="n">
        <v>24</v>
      </c>
    </row>
    <row r="4666" customFormat="false" ht="15" hidden="false" customHeight="false" outlineLevel="0" collapsed="false">
      <c r="A4666" s="3" t="n">
        <v>2024</v>
      </c>
      <c r="B4666" s="3" t="n">
        <v>10</v>
      </c>
      <c r="C4666" s="3" t="n">
        <v>8</v>
      </c>
      <c r="D4666" s="3" t="s">
        <v>4670</v>
      </c>
      <c r="E4666" s="4" t="n">
        <v>21</v>
      </c>
    </row>
    <row r="4667" customFormat="false" ht="15" hidden="false" customHeight="false" outlineLevel="0" collapsed="false">
      <c r="A4667" s="3" t="n">
        <v>2024</v>
      </c>
      <c r="B4667" s="3" t="n">
        <v>10</v>
      </c>
      <c r="C4667" s="3" t="n">
        <v>9</v>
      </c>
      <c r="D4667" s="3" t="s">
        <v>4671</v>
      </c>
      <c r="E4667" s="4" t="n">
        <v>0</v>
      </c>
    </row>
    <row r="4668" customFormat="false" ht="15" hidden="false" customHeight="false" outlineLevel="0" collapsed="false">
      <c r="A4668" s="3" t="n">
        <v>2024</v>
      </c>
      <c r="B4668" s="3" t="n">
        <v>10</v>
      </c>
      <c r="C4668" s="3" t="n">
        <v>10</v>
      </c>
      <c r="D4668" s="3" t="s">
        <v>4672</v>
      </c>
      <c r="E4668" s="4" t="n">
        <v>21</v>
      </c>
    </row>
    <row r="4669" customFormat="false" ht="15" hidden="false" customHeight="false" outlineLevel="0" collapsed="false">
      <c r="A4669" s="3" t="n">
        <v>2024</v>
      </c>
      <c r="B4669" s="3" t="n">
        <v>10</v>
      </c>
      <c r="C4669" s="3" t="n">
        <v>11</v>
      </c>
      <c r="D4669" s="3" t="s">
        <v>4673</v>
      </c>
      <c r="E4669" s="4" t="n">
        <v>92</v>
      </c>
    </row>
    <row r="4670" customFormat="false" ht="15" hidden="false" customHeight="false" outlineLevel="0" collapsed="false">
      <c r="A4670" s="3" t="n">
        <v>2024</v>
      </c>
      <c r="B4670" s="3" t="n">
        <v>10</v>
      </c>
      <c r="C4670" s="3" t="n">
        <v>12</v>
      </c>
      <c r="D4670" s="3" t="s">
        <v>4674</v>
      </c>
      <c r="E4670" s="4" t="n">
        <v>40</v>
      </c>
    </row>
    <row r="4671" customFormat="false" ht="15" hidden="false" customHeight="false" outlineLevel="0" collapsed="false">
      <c r="A4671" s="3" t="n">
        <v>2024</v>
      </c>
      <c r="B4671" s="3" t="n">
        <v>10</v>
      </c>
      <c r="C4671" s="3" t="n">
        <v>13</v>
      </c>
      <c r="D4671" s="3" t="s">
        <v>4675</v>
      </c>
      <c r="E4671" s="4" t="n">
        <v>0</v>
      </c>
    </row>
    <row r="4672" customFormat="false" ht="15" hidden="false" customHeight="false" outlineLevel="0" collapsed="false">
      <c r="A4672" s="3" t="n">
        <v>2024</v>
      </c>
      <c r="B4672" s="3" t="n">
        <v>10</v>
      </c>
      <c r="C4672" s="3" t="n">
        <v>14</v>
      </c>
      <c r="D4672" s="3" t="s">
        <v>4676</v>
      </c>
      <c r="E4672" s="4" t="n">
        <v>40</v>
      </c>
    </row>
    <row r="4673" customFormat="false" ht="15" hidden="false" customHeight="false" outlineLevel="0" collapsed="false">
      <c r="A4673" s="3" t="n">
        <v>2024</v>
      </c>
      <c r="B4673" s="3" t="n">
        <v>10</v>
      </c>
      <c r="C4673" s="3" t="n">
        <v>15</v>
      </c>
      <c r="D4673" s="3" t="s">
        <v>4677</v>
      </c>
      <c r="E4673" s="4" t="n">
        <v>17</v>
      </c>
    </row>
    <row r="4674" customFormat="false" ht="15" hidden="false" customHeight="false" outlineLevel="0" collapsed="false">
      <c r="A4674" s="3" t="n">
        <v>2024</v>
      </c>
      <c r="B4674" s="3" t="n">
        <v>10</v>
      </c>
      <c r="C4674" s="3" t="n">
        <v>16</v>
      </c>
      <c r="D4674" s="3" t="s">
        <v>4678</v>
      </c>
      <c r="E4674" s="4" t="n">
        <v>6</v>
      </c>
    </row>
    <row r="4675" customFormat="false" ht="15" hidden="false" customHeight="false" outlineLevel="0" collapsed="false">
      <c r="A4675" s="3" t="n">
        <v>2024</v>
      </c>
      <c r="B4675" s="3" t="n">
        <v>10</v>
      </c>
      <c r="C4675" s="3" t="n">
        <v>17</v>
      </c>
      <c r="D4675" s="3" t="s">
        <v>4679</v>
      </c>
      <c r="E4675" s="4" t="n">
        <v>11</v>
      </c>
    </row>
    <row r="4676" customFormat="false" ht="15" hidden="false" customHeight="false" outlineLevel="0" collapsed="false">
      <c r="A4676" s="3" t="n">
        <v>2024</v>
      </c>
      <c r="B4676" s="3" t="n">
        <v>10</v>
      </c>
      <c r="C4676" s="3" t="n">
        <v>18</v>
      </c>
      <c r="D4676" s="3" t="s">
        <v>4680</v>
      </c>
      <c r="E4676" s="4" t="n">
        <v>0</v>
      </c>
    </row>
    <row r="4677" customFormat="false" ht="15" hidden="false" customHeight="false" outlineLevel="0" collapsed="false">
      <c r="A4677" s="3" t="n">
        <v>2024</v>
      </c>
      <c r="B4677" s="3" t="n">
        <v>10</v>
      </c>
      <c r="C4677" s="3" t="n">
        <v>19</v>
      </c>
      <c r="D4677" s="3" t="s">
        <v>4681</v>
      </c>
      <c r="E4677" s="4" t="n">
        <v>0</v>
      </c>
    </row>
    <row r="4678" customFormat="false" ht="15" hidden="false" customHeight="false" outlineLevel="0" collapsed="false">
      <c r="A4678" s="3" t="n">
        <v>2024</v>
      </c>
      <c r="B4678" s="3" t="n">
        <v>10</v>
      </c>
      <c r="C4678" s="3" t="n">
        <v>20</v>
      </c>
      <c r="D4678" s="3" t="s">
        <v>4682</v>
      </c>
      <c r="E4678" s="4" t="n">
        <v>0</v>
      </c>
    </row>
    <row r="4679" customFormat="false" ht="15" hidden="false" customHeight="false" outlineLevel="0" collapsed="false">
      <c r="A4679" s="3" t="n">
        <v>2024</v>
      </c>
      <c r="B4679" s="3" t="n">
        <v>10</v>
      </c>
      <c r="C4679" s="3" t="n">
        <v>21</v>
      </c>
      <c r="D4679" s="3" t="s">
        <v>4683</v>
      </c>
      <c r="E4679" s="4" t="n">
        <v>14</v>
      </c>
    </row>
    <row r="4680" customFormat="false" ht="15" hidden="false" customHeight="false" outlineLevel="0" collapsed="false">
      <c r="A4680" s="3" t="n">
        <v>2024</v>
      </c>
      <c r="B4680" s="3" t="n">
        <v>10</v>
      </c>
      <c r="C4680" s="3" t="n">
        <v>22</v>
      </c>
      <c r="D4680" s="3" t="s">
        <v>4684</v>
      </c>
      <c r="E4680" s="4" t="n">
        <v>0</v>
      </c>
    </row>
    <row r="4681" customFormat="false" ht="15" hidden="false" customHeight="false" outlineLevel="0" collapsed="false">
      <c r="A4681" s="3" t="n">
        <v>2024</v>
      </c>
      <c r="B4681" s="3" t="n">
        <v>10</v>
      </c>
      <c r="C4681" s="3" t="n">
        <v>23</v>
      </c>
      <c r="D4681" s="3" t="s">
        <v>4685</v>
      </c>
      <c r="E4681" s="4" t="n">
        <v>0</v>
      </c>
    </row>
    <row r="4682" customFormat="false" ht="15" hidden="false" customHeight="false" outlineLevel="0" collapsed="false">
      <c r="A4682" s="3" t="n">
        <v>2024</v>
      </c>
      <c r="B4682" s="3" t="n">
        <v>10</v>
      </c>
      <c r="C4682" s="3" t="n">
        <v>24</v>
      </c>
      <c r="D4682" s="3" t="s">
        <v>4686</v>
      </c>
      <c r="E4682" s="4" t="n">
        <v>0</v>
      </c>
    </row>
    <row r="4683" customFormat="false" ht="15" hidden="false" customHeight="false" outlineLevel="0" collapsed="false">
      <c r="A4683" s="3" t="n">
        <v>2024</v>
      </c>
      <c r="B4683" s="3" t="n">
        <v>10</v>
      </c>
      <c r="C4683" s="3" t="n">
        <v>25</v>
      </c>
      <c r="D4683" s="3" t="s">
        <v>4687</v>
      </c>
      <c r="E4683" s="4" t="n">
        <v>0</v>
      </c>
    </row>
    <row r="4684" customFormat="false" ht="15" hidden="false" customHeight="false" outlineLevel="0" collapsed="false">
      <c r="A4684" s="3" t="n">
        <v>2024</v>
      </c>
      <c r="B4684" s="3" t="n">
        <v>10</v>
      </c>
      <c r="C4684" s="3" t="n">
        <v>26</v>
      </c>
      <c r="D4684" s="3" t="s">
        <v>4688</v>
      </c>
      <c r="E4684" s="4" t="n">
        <v>0</v>
      </c>
    </row>
    <row r="4685" customFormat="false" ht="15" hidden="false" customHeight="false" outlineLevel="0" collapsed="false">
      <c r="A4685" s="3" t="n">
        <v>2024</v>
      </c>
      <c r="B4685" s="3" t="n">
        <v>10</v>
      </c>
      <c r="C4685" s="3" t="n">
        <v>27</v>
      </c>
      <c r="D4685" s="3" t="s">
        <v>4689</v>
      </c>
      <c r="E4685" s="4" t="n">
        <v>1</v>
      </c>
    </row>
    <row r="4686" customFormat="false" ht="15" hidden="false" customHeight="false" outlineLevel="0" collapsed="false">
      <c r="A4686" s="3" t="n">
        <v>2024</v>
      </c>
      <c r="B4686" s="3" t="n">
        <v>10</v>
      </c>
      <c r="C4686" s="3" t="n">
        <v>28</v>
      </c>
      <c r="D4686" s="3" t="s">
        <v>4690</v>
      </c>
      <c r="E4686" s="4" t="n">
        <v>0</v>
      </c>
    </row>
    <row r="4687" customFormat="false" ht="15" hidden="false" customHeight="false" outlineLevel="0" collapsed="false">
      <c r="A4687" s="3" t="n">
        <v>2024</v>
      </c>
      <c r="B4687" s="3" t="n">
        <v>10</v>
      </c>
      <c r="C4687" s="3" t="n">
        <v>29</v>
      </c>
      <c r="D4687" s="3" t="s">
        <v>4691</v>
      </c>
      <c r="E4687" s="4" t="n">
        <v>0</v>
      </c>
    </row>
    <row r="4688" customFormat="false" ht="15" hidden="false" customHeight="false" outlineLevel="0" collapsed="false">
      <c r="A4688" s="3" t="n">
        <v>2024</v>
      </c>
      <c r="B4688" s="3" t="n">
        <v>10</v>
      </c>
      <c r="C4688" s="3" t="n">
        <v>30</v>
      </c>
      <c r="D4688" s="3" t="s">
        <v>4692</v>
      </c>
      <c r="E4688" s="4" t="n">
        <v>0</v>
      </c>
    </row>
    <row r="4689" customFormat="false" ht="15" hidden="false" customHeight="false" outlineLevel="0" collapsed="false">
      <c r="A4689" s="3" t="n">
        <v>2024</v>
      </c>
      <c r="B4689" s="3" t="n">
        <v>10</v>
      </c>
      <c r="C4689" s="3" t="n">
        <v>31</v>
      </c>
      <c r="D4689" s="3" t="s">
        <v>4693</v>
      </c>
      <c r="E4689" s="4" t="n">
        <v>15</v>
      </c>
    </row>
    <row r="4690" customFormat="false" ht="15" hidden="false" customHeight="false" outlineLevel="0" collapsed="false">
      <c r="A4690" s="3" t="n">
        <v>2024</v>
      </c>
      <c r="B4690" s="3" t="n">
        <v>11</v>
      </c>
      <c r="C4690" s="3" t="n">
        <v>1</v>
      </c>
      <c r="D4690" s="3" t="s">
        <v>4694</v>
      </c>
      <c r="E4690" s="4" t="n">
        <v>1</v>
      </c>
    </row>
    <row r="4691" customFormat="false" ht="15" hidden="false" customHeight="false" outlineLevel="0" collapsed="false">
      <c r="A4691" s="3" t="n">
        <v>2024</v>
      </c>
      <c r="B4691" s="3" t="n">
        <v>11</v>
      </c>
      <c r="C4691" s="3" t="n">
        <v>2</v>
      </c>
      <c r="D4691" s="3" t="s">
        <v>4695</v>
      </c>
      <c r="E4691" s="4" t="n">
        <v>1</v>
      </c>
    </row>
    <row r="4692" customFormat="false" ht="15" hidden="false" customHeight="false" outlineLevel="0" collapsed="false">
      <c r="A4692" s="3" t="n">
        <v>2024</v>
      </c>
      <c r="B4692" s="3" t="n">
        <v>11</v>
      </c>
      <c r="C4692" s="3" t="n">
        <v>3</v>
      </c>
      <c r="D4692" s="3" t="s">
        <v>4696</v>
      </c>
      <c r="E4692" s="4" t="n">
        <v>25</v>
      </c>
    </row>
    <row r="4693" customFormat="false" ht="15" hidden="false" customHeight="false" outlineLevel="0" collapsed="false">
      <c r="A4693" s="3" t="n">
        <v>2024</v>
      </c>
      <c r="B4693" s="3" t="n">
        <v>11</v>
      </c>
      <c r="C4693" s="3" t="n">
        <v>4</v>
      </c>
      <c r="D4693" s="3" t="s">
        <v>4697</v>
      </c>
      <c r="E4693" s="4" t="n">
        <v>48</v>
      </c>
    </row>
    <row r="4694" customFormat="false" ht="15" hidden="false" customHeight="false" outlineLevel="0" collapsed="false">
      <c r="A4694" s="3" t="n">
        <v>2024</v>
      </c>
      <c r="B4694" s="3" t="n">
        <v>11</v>
      </c>
      <c r="C4694" s="3" t="n">
        <v>5</v>
      </c>
      <c r="D4694" s="3" t="s">
        <v>4698</v>
      </c>
      <c r="E4694" s="4" t="n">
        <v>31</v>
      </c>
    </row>
    <row r="4695" customFormat="false" ht="15" hidden="false" customHeight="false" outlineLevel="0" collapsed="false">
      <c r="A4695" s="3" t="n">
        <v>2024</v>
      </c>
      <c r="B4695" s="3" t="n">
        <v>11</v>
      </c>
      <c r="C4695" s="3" t="n">
        <v>6</v>
      </c>
      <c r="D4695" s="3" t="s">
        <v>4699</v>
      </c>
      <c r="E4695" s="4" t="n">
        <v>0</v>
      </c>
    </row>
    <row r="4696" customFormat="false" ht="15" hidden="false" customHeight="false" outlineLevel="0" collapsed="false">
      <c r="A4696" s="3" t="n">
        <v>2024</v>
      </c>
      <c r="B4696" s="3" t="n">
        <v>11</v>
      </c>
      <c r="C4696" s="3" t="n">
        <v>7</v>
      </c>
      <c r="D4696" s="3" t="s">
        <v>4700</v>
      </c>
      <c r="E4696" s="4" t="n">
        <v>13</v>
      </c>
    </row>
    <row r="4697" customFormat="false" ht="15" hidden="false" customHeight="false" outlineLevel="0" collapsed="false">
      <c r="A4697" s="3" t="n">
        <v>2024</v>
      </c>
      <c r="B4697" s="3" t="n">
        <v>11</v>
      </c>
      <c r="C4697" s="3" t="n">
        <v>8</v>
      </c>
      <c r="D4697" s="3" t="s">
        <v>4701</v>
      </c>
      <c r="E4697" s="4" t="n">
        <v>0</v>
      </c>
    </row>
    <row r="4698" customFormat="false" ht="15" hidden="false" customHeight="false" outlineLevel="0" collapsed="false">
      <c r="A4698" s="3" t="n">
        <v>2024</v>
      </c>
      <c r="B4698" s="3" t="n">
        <v>11</v>
      </c>
      <c r="C4698" s="3" t="n">
        <v>9</v>
      </c>
      <c r="D4698" s="3" t="s">
        <v>4702</v>
      </c>
      <c r="E4698" s="4" t="n">
        <v>1</v>
      </c>
    </row>
    <row r="4699" customFormat="false" ht="15" hidden="false" customHeight="false" outlineLevel="0" collapsed="false">
      <c r="A4699" s="3" t="n">
        <v>2024</v>
      </c>
      <c r="B4699" s="3" t="n">
        <v>11</v>
      </c>
      <c r="C4699" s="3" t="n">
        <v>10</v>
      </c>
      <c r="D4699" s="3" t="s">
        <v>4703</v>
      </c>
      <c r="E4699" s="4" t="n">
        <v>19</v>
      </c>
    </row>
    <row r="4700" customFormat="false" ht="15" hidden="false" customHeight="false" outlineLevel="0" collapsed="false">
      <c r="A4700" s="3" t="n">
        <v>2024</v>
      </c>
      <c r="B4700" s="3" t="n">
        <v>11</v>
      </c>
      <c r="C4700" s="3" t="n">
        <v>11</v>
      </c>
      <c r="D4700" s="3" t="s">
        <v>4704</v>
      </c>
      <c r="E4700" s="4" t="n">
        <v>3</v>
      </c>
    </row>
    <row r="4701" customFormat="false" ht="15" hidden="false" customHeight="false" outlineLevel="0" collapsed="false">
      <c r="A4701" s="3" t="n">
        <v>2024</v>
      </c>
      <c r="B4701" s="3" t="n">
        <v>11</v>
      </c>
      <c r="C4701" s="3" t="n">
        <v>12</v>
      </c>
      <c r="D4701" s="3" t="s">
        <v>4705</v>
      </c>
      <c r="E4701" s="4" t="n">
        <v>3</v>
      </c>
    </row>
    <row r="4702" customFormat="false" ht="15" hidden="false" customHeight="false" outlineLevel="0" collapsed="false">
      <c r="A4702" s="3" t="n">
        <v>2024</v>
      </c>
      <c r="B4702" s="3" t="n">
        <v>11</v>
      </c>
      <c r="C4702" s="3" t="n">
        <v>13</v>
      </c>
      <c r="D4702" s="3" t="s">
        <v>4706</v>
      </c>
      <c r="E4702" s="4" t="n">
        <v>0</v>
      </c>
    </row>
    <row r="4703" customFormat="false" ht="15" hidden="false" customHeight="false" outlineLevel="0" collapsed="false">
      <c r="A4703" s="3" t="n">
        <v>2024</v>
      </c>
      <c r="B4703" s="3" t="n">
        <v>11</v>
      </c>
      <c r="C4703" s="3" t="n">
        <v>14</v>
      </c>
      <c r="D4703" s="3" t="s">
        <v>4707</v>
      </c>
      <c r="E4703" s="4" t="n">
        <v>0</v>
      </c>
    </row>
    <row r="4704" customFormat="false" ht="15" hidden="false" customHeight="false" outlineLevel="0" collapsed="false">
      <c r="A4704" s="3" t="n">
        <v>2024</v>
      </c>
      <c r="B4704" s="3" t="n">
        <v>11</v>
      </c>
      <c r="C4704" s="3" t="n">
        <v>15</v>
      </c>
      <c r="D4704" s="3" t="s">
        <v>4708</v>
      </c>
      <c r="E4704" s="4" t="n">
        <v>55</v>
      </c>
    </row>
    <row r="4705" customFormat="false" ht="15" hidden="false" customHeight="false" outlineLevel="0" collapsed="false">
      <c r="A4705" s="3" t="n">
        <v>2024</v>
      </c>
      <c r="B4705" s="3" t="n">
        <v>11</v>
      </c>
      <c r="C4705" s="3" t="n">
        <v>16</v>
      </c>
      <c r="D4705" s="3" t="s">
        <v>4709</v>
      </c>
      <c r="E4705" s="4" t="n">
        <v>0</v>
      </c>
    </row>
    <row r="4706" customFormat="false" ht="15" hidden="false" customHeight="false" outlineLevel="0" collapsed="false">
      <c r="A4706" s="3" t="n">
        <v>2024</v>
      </c>
      <c r="B4706" s="3" t="n">
        <v>11</v>
      </c>
      <c r="C4706" s="3" t="n">
        <v>17</v>
      </c>
      <c r="D4706" s="3" t="s">
        <v>4710</v>
      </c>
      <c r="E4706" s="4" t="n">
        <v>3</v>
      </c>
    </row>
    <row r="4707" customFormat="false" ht="15" hidden="false" customHeight="false" outlineLevel="0" collapsed="false">
      <c r="A4707" s="3" t="n">
        <v>2024</v>
      </c>
      <c r="B4707" s="3" t="n">
        <v>11</v>
      </c>
      <c r="C4707" s="3" t="n">
        <v>18</v>
      </c>
      <c r="D4707" s="3" t="s">
        <v>4711</v>
      </c>
      <c r="E4707" s="4" t="n">
        <v>0</v>
      </c>
    </row>
    <row r="4708" customFormat="false" ht="15" hidden="false" customHeight="false" outlineLevel="0" collapsed="false">
      <c r="A4708" s="3" t="n">
        <v>2024</v>
      </c>
      <c r="B4708" s="3" t="n">
        <v>11</v>
      </c>
      <c r="C4708" s="3" t="n">
        <v>19</v>
      </c>
      <c r="D4708" s="3" t="s">
        <v>4712</v>
      </c>
      <c r="E4708" s="4" t="n">
        <v>6</v>
      </c>
    </row>
    <row r="4709" customFormat="false" ht="15" hidden="false" customHeight="false" outlineLevel="0" collapsed="false">
      <c r="A4709" s="3" t="n">
        <v>2024</v>
      </c>
      <c r="B4709" s="3" t="n">
        <v>11</v>
      </c>
      <c r="C4709" s="3" t="n">
        <v>20</v>
      </c>
      <c r="D4709" s="3" t="s">
        <v>4713</v>
      </c>
      <c r="E4709" s="4" t="n">
        <v>10</v>
      </c>
    </row>
    <row r="4710" customFormat="false" ht="15" hidden="false" customHeight="false" outlineLevel="0" collapsed="false">
      <c r="A4710" s="3" t="n">
        <v>2024</v>
      </c>
      <c r="B4710" s="3" t="n">
        <v>11</v>
      </c>
      <c r="C4710" s="3" t="n">
        <v>21</v>
      </c>
      <c r="D4710" s="3" t="s">
        <v>4714</v>
      </c>
      <c r="E4710" s="4" t="n">
        <v>1</v>
      </c>
    </row>
    <row r="4711" customFormat="false" ht="15" hidden="false" customHeight="false" outlineLevel="0" collapsed="false">
      <c r="A4711" s="3" t="n">
        <v>2024</v>
      </c>
      <c r="B4711" s="3" t="n">
        <v>11</v>
      </c>
      <c r="C4711" s="3" t="n">
        <v>22</v>
      </c>
      <c r="D4711" s="3" t="s">
        <v>4715</v>
      </c>
      <c r="E4711" s="4" t="n">
        <v>31</v>
      </c>
    </row>
    <row r="4712" customFormat="false" ht="15" hidden="false" customHeight="false" outlineLevel="0" collapsed="false">
      <c r="A4712" s="3" t="n">
        <v>2024</v>
      </c>
      <c r="B4712" s="3" t="n">
        <v>11</v>
      </c>
      <c r="C4712" s="3" t="n">
        <v>23</v>
      </c>
      <c r="D4712" s="3" t="s">
        <v>4716</v>
      </c>
      <c r="E4712" s="4" t="n">
        <v>12</v>
      </c>
    </row>
    <row r="4713" customFormat="false" ht="15" hidden="false" customHeight="false" outlineLevel="0" collapsed="false">
      <c r="A4713" s="3" t="n">
        <v>2024</v>
      </c>
      <c r="B4713" s="3" t="n">
        <v>11</v>
      </c>
      <c r="C4713" s="3" t="n">
        <v>24</v>
      </c>
      <c r="D4713" s="3" t="s">
        <v>4717</v>
      </c>
      <c r="E4713" s="4" t="n">
        <v>66</v>
      </c>
    </row>
    <row r="4714" customFormat="false" ht="15" hidden="false" customHeight="false" outlineLevel="0" collapsed="false">
      <c r="A4714" s="3" t="n">
        <v>2024</v>
      </c>
      <c r="B4714" s="3" t="n">
        <v>11</v>
      </c>
      <c r="C4714" s="3" t="n">
        <v>25</v>
      </c>
      <c r="D4714" s="3" t="s">
        <v>4718</v>
      </c>
      <c r="E4714" s="4" t="n">
        <v>8</v>
      </c>
    </row>
    <row r="4715" customFormat="false" ht="15" hidden="false" customHeight="false" outlineLevel="0" collapsed="false">
      <c r="A4715" s="3" t="n">
        <v>2024</v>
      </c>
      <c r="B4715" s="3" t="n">
        <v>11</v>
      </c>
      <c r="C4715" s="3" t="n">
        <v>26</v>
      </c>
      <c r="D4715" s="3" t="s">
        <v>4719</v>
      </c>
      <c r="E4715" s="4" t="n">
        <v>46</v>
      </c>
    </row>
    <row r="4716" customFormat="false" ht="15" hidden="false" customHeight="false" outlineLevel="0" collapsed="false">
      <c r="A4716" s="3" t="n">
        <v>2024</v>
      </c>
      <c r="B4716" s="3" t="n">
        <v>11</v>
      </c>
      <c r="C4716" s="3" t="n">
        <v>27</v>
      </c>
      <c r="D4716" s="3" t="s">
        <v>4720</v>
      </c>
      <c r="E4716" s="4" t="n">
        <v>20</v>
      </c>
    </row>
    <row r="4717" customFormat="false" ht="15" hidden="false" customHeight="false" outlineLevel="0" collapsed="false">
      <c r="A4717" s="3" t="n">
        <v>2024</v>
      </c>
      <c r="B4717" s="3" t="n">
        <v>11</v>
      </c>
      <c r="C4717" s="3" t="n">
        <v>28</v>
      </c>
      <c r="D4717" s="3" t="s">
        <v>4721</v>
      </c>
      <c r="E4717" s="4" t="n">
        <v>1</v>
      </c>
    </row>
    <row r="4718" customFormat="false" ht="15" hidden="false" customHeight="false" outlineLevel="0" collapsed="false">
      <c r="A4718" s="3" t="n">
        <v>2024</v>
      </c>
      <c r="B4718" s="3" t="n">
        <v>11</v>
      </c>
      <c r="C4718" s="3" t="n">
        <v>29</v>
      </c>
      <c r="D4718" s="3" t="s">
        <v>4722</v>
      </c>
      <c r="E4718" s="4" t="n">
        <v>15</v>
      </c>
    </row>
    <row r="4719" customFormat="false" ht="15" hidden="false" customHeight="false" outlineLevel="0" collapsed="false">
      <c r="A4719" s="3" t="n">
        <v>2024</v>
      </c>
      <c r="B4719" s="3" t="n">
        <v>11</v>
      </c>
      <c r="C4719" s="3" t="n">
        <v>30</v>
      </c>
      <c r="D4719" s="3" t="s">
        <v>4723</v>
      </c>
      <c r="E4719" s="4" t="n">
        <v>0</v>
      </c>
    </row>
    <row r="4720" customFormat="false" ht="15" hidden="false" customHeight="false" outlineLevel="0" collapsed="false">
      <c r="A4720" s="3" t="n">
        <v>2024</v>
      </c>
      <c r="B4720" s="3" t="n">
        <v>12</v>
      </c>
      <c r="C4720" s="3" t="n">
        <v>1</v>
      </c>
      <c r="D4720" s="3" t="s">
        <v>4724</v>
      </c>
      <c r="E4720" s="4" t="n">
        <v>19</v>
      </c>
    </row>
    <row r="4721" customFormat="false" ht="15" hidden="false" customHeight="false" outlineLevel="0" collapsed="false">
      <c r="A4721" s="3" t="n">
        <v>2024</v>
      </c>
      <c r="B4721" s="3" t="n">
        <v>12</v>
      </c>
      <c r="C4721" s="3" t="n">
        <v>2</v>
      </c>
      <c r="D4721" s="3" t="s">
        <v>4725</v>
      </c>
      <c r="E4721" s="4" t="n">
        <v>8</v>
      </c>
    </row>
    <row r="4722" customFormat="false" ht="15" hidden="false" customHeight="false" outlineLevel="0" collapsed="false">
      <c r="A4722" s="3" t="n">
        <v>2024</v>
      </c>
      <c r="B4722" s="3" t="n">
        <v>12</v>
      </c>
      <c r="C4722" s="3" t="n">
        <v>3</v>
      </c>
      <c r="D4722" s="3" t="s">
        <v>4726</v>
      </c>
      <c r="E4722" s="4" t="n">
        <v>4</v>
      </c>
    </row>
    <row r="4723" customFormat="false" ht="15" hidden="false" customHeight="false" outlineLevel="0" collapsed="false">
      <c r="A4723" s="3" t="n">
        <v>2024</v>
      </c>
      <c r="B4723" s="3" t="n">
        <v>12</v>
      </c>
      <c r="C4723" s="3" t="n">
        <v>4</v>
      </c>
      <c r="D4723" s="3" t="s">
        <v>4727</v>
      </c>
      <c r="E4723" s="4" t="n">
        <v>41</v>
      </c>
    </row>
    <row r="4724" customFormat="false" ht="15" hidden="false" customHeight="false" outlineLevel="0" collapsed="false">
      <c r="A4724" s="3" t="n">
        <v>2024</v>
      </c>
      <c r="B4724" s="3" t="n">
        <v>12</v>
      </c>
      <c r="C4724" s="3" t="n">
        <v>5</v>
      </c>
      <c r="D4724" s="3" t="s">
        <v>4728</v>
      </c>
      <c r="E4724" s="4" t="n">
        <v>0</v>
      </c>
    </row>
    <row r="4725" customFormat="false" ht="15" hidden="false" customHeight="false" outlineLevel="0" collapsed="false">
      <c r="A4725" s="3" t="n">
        <v>2024</v>
      </c>
      <c r="B4725" s="3" t="n">
        <v>12</v>
      </c>
      <c r="C4725" s="3" t="n">
        <v>6</v>
      </c>
      <c r="D4725" s="3" t="s">
        <v>4729</v>
      </c>
      <c r="E4725" s="4" t="n">
        <v>17</v>
      </c>
    </row>
    <row r="4726" customFormat="false" ht="15" hidden="false" customHeight="false" outlineLevel="0" collapsed="false">
      <c r="A4726" s="3" t="n">
        <v>2024</v>
      </c>
      <c r="B4726" s="3" t="n">
        <v>12</v>
      </c>
      <c r="C4726" s="3" t="n">
        <v>7</v>
      </c>
      <c r="D4726" s="3" t="s">
        <v>4730</v>
      </c>
      <c r="E4726" s="4" t="n">
        <v>0</v>
      </c>
    </row>
    <row r="4727" customFormat="false" ht="15" hidden="false" customHeight="false" outlineLevel="0" collapsed="false">
      <c r="A4727" s="3" t="n">
        <v>2024</v>
      </c>
      <c r="B4727" s="3" t="n">
        <v>12</v>
      </c>
      <c r="C4727" s="3" t="n">
        <v>8</v>
      </c>
      <c r="D4727" s="3" t="s">
        <v>4731</v>
      </c>
      <c r="E4727" s="4" t="n">
        <v>11</v>
      </c>
    </row>
    <row r="4728" customFormat="false" ht="15" hidden="false" customHeight="false" outlineLevel="0" collapsed="false">
      <c r="A4728" s="3" t="n">
        <v>2024</v>
      </c>
      <c r="B4728" s="3" t="n">
        <v>12</v>
      </c>
      <c r="C4728" s="3" t="n">
        <v>9</v>
      </c>
      <c r="D4728" s="3" t="s">
        <v>4732</v>
      </c>
      <c r="E4728" s="4" t="n">
        <v>11</v>
      </c>
    </row>
    <row r="4729" customFormat="false" ht="15" hidden="false" customHeight="false" outlineLevel="0" collapsed="false">
      <c r="A4729" s="3" t="n">
        <v>2024</v>
      </c>
      <c r="B4729" s="3" t="n">
        <v>12</v>
      </c>
      <c r="C4729" s="3" t="n">
        <v>10</v>
      </c>
      <c r="D4729" s="3" t="s">
        <v>4733</v>
      </c>
      <c r="E4729" s="4" t="n">
        <v>20</v>
      </c>
    </row>
    <row r="4730" customFormat="false" ht="15" hidden="false" customHeight="false" outlineLevel="0" collapsed="false">
      <c r="A4730" s="3" t="n">
        <v>2024</v>
      </c>
      <c r="B4730" s="3" t="n">
        <v>12</v>
      </c>
      <c r="C4730" s="3" t="n">
        <v>11</v>
      </c>
      <c r="D4730" s="3" t="s">
        <v>4734</v>
      </c>
      <c r="E4730" s="4" t="n">
        <v>16</v>
      </c>
    </row>
    <row r="4731" customFormat="false" ht="15" hidden="false" customHeight="false" outlineLevel="0" collapsed="false">
      <c r="A4731" s="3" t="n">
        <v>2024</v>
      </c>
      <c r="B4731" s="3" t="n">
        <v>12</v>
      </c>
      <c r="C4731" s="3" t="n">
        <v>12</v>
      </c>
      <c r="D4731" s="3" t="s">
        <v>4735</v>
      </c>
      <c r="E4731" s="4" t="n">
        <v>14</v>
      </c>
    </row>
    <row r="4732" customFormat="false" ht="15" hidden="false" customHeight="false" outlineLevel="0" collapsed="false">
      <c r="A4732" s="3" t="n">
        <v>2024</v>
      </c>
      <c r="B4732" s="3" t="n">
        <v>12</v>
      </c>
      <c r="C4732" s="3" t="n">
        <v>13</v>
      </c>
      <c r="D4732" s="3" t="s">
        <v>4736</v>
      </c>
      <c r="E4732" s="4" t="n">
        <v>13</v>
      </c>
    </row>
    <row r="4733" customFormat="false" ht="15" hidden="false" customHeight="false" outlineLevel="0" collapsed="false">
      <c r="A4733" s="3" t="n">
        <v>2024</v>
      </c>
      <c r="B4733" s="3" t="n">
        <v>12</v>
      </c>
      <c r="C4733" s="3" t="n">
        <v>14</v>
      </c>
      <c r="D4733" s="3" t="s">
        <v>4737</v>
      </c>
      <c r="E4733" s="4" t="n">
        <v>2</v>
      </c>
    </row>
    <row r="4734" customFormat="false" ht="15" hidden="false" customHeight="false" outlineLevel="0" collapsed="false">
      <c r="A4734" s="3" t="n">
        <v>2024</v>
      </c>
      <c r="B4734" s="3" t="n">
        <v>12</v>
      </c>
      <c r="C4734" s="3" t="n">
        <v>15</v>
      </c>
      <c r="D4734" s="3" t="s">
        <v>4738</v>
      </c>
      <c r="E4734" s="4" t="n">
        <v>0</v>
      </c>
    </row>
    <row r="4735" customFormat="false" ht="15" hidden="false" customHeight="false" outlineLevel="0" collapsed="false">
      <c r="A4735" s="3" t="n">
        <v>2024</v>
      </c>
      <c r="B4735" s="3" t="n">
        <v>12</v>
      </c>
      <c r="C4735" s="3" t="n">
        <v>16</v>
      </c>
      <c r="D4735" s="3" t="s">
        <v>4739</v>
      </c>
      <c r="E4735" s="4" t="n">
        <v>0</v>
      </c>
    </row>
    <row r="4736" customFormat="false" ht="15" hidden="false" customHeight="false" outlineLevel="0" collapsed="false">
      <c r="A4736" s="3" t="n">
        <v>2024</v>
      </c>
      <c r="B4736" s="3" t="n">
        <v>12</v>
      </c>
      <c r="C4736" s="3" t="n">
        <v>17</v>
      </c>
      <c r="D4736" s="3" t="s">
        <v>4740</v>
      </c>
      <c r="E4736" s="4" t="n">
        <v>0</v>
      </c>
    </row>
    <row r="4737" customFormat="false" ht="15" hidden="false" customHeight="false" outlineLevel="0" collapsed="false">
      <c r="A4737" s="3" t="n">
        <v>2024</v>
      </c>
      <c r="B4737" s="3" t="n">
        <v>12</v>
      </c>
      <c r="C4737" s="3" t="n">
        <v>18</v>
      </c>
      <c r="D4737" s="3" t="s">
        <v>4741</v>
      </c>
      <c r="E4737" s="4" t="n">
        <v>2</v>
      </c>
    </row>
    <row r="4738" customFormat="false" ht="15" hidden="false" customHeight="false" outlineLevel="0" collapsed="false">
      <c r="A4738" s="3" t="n">
        <v>2024</v>
      </c>
      <c r="B4738" s="3" t="n">
        <v>12</v>
      </c>
      <c r="C4738" s="3" t="n">
        <v>19</v>
      </c>
      <c r="D4738" s="3" t="s">
        <v>4742</v>
      </c>
      <c r="E4738" s="4" t="n">
        <v>2</v>
      </c>
    </row>
    <row r="4739" customFormat="false" ht="15" hidden="false" customHeight="false" outlineLevel="0" collapsed="false">
      <c r="A4739" s="3" t="n">
        <v>2024</v>
      </c>
      <c r="B4739" s="3" t="n">
        <v>12</v>
      </c>
      <c r="C4739" s="3" t="n">
        <v>20</v>
      </c>
      <c r="D4739" s="3" t="s">
        <v>4743</v>
      </c>
      <c r="E4739" s="4" t="n">
        <v>3</v>
      </c>
    </row>
    <row r="4740" customFormat="false" ht="15" hidden="false" customHeight="false" outlineLevel="0" collapsed="false">
      <c r="A4740" s="3" t="n">
        <v>2024</v>
      </c>
      <c r="B4740" s="3" t="n">
        <v>12</v>
      </c>
      <c r="C4740" s="3" t="n">
        <v>21</v>
      </c>
      <c r="D4740" s="3" t="s">
        <v>4744</v>
      </c>
      <c r="E4740" s="4" t="n">
        <v>8</v>
      </c>
    </row>
    <row r="4741" customFormat="false" ht="15" hidden="false" customHeight="false" outlineLevel="0" collapsed="false">
      <c r="A4741" s="3" t="n">
        <v>2024</v>
      </c>
      <c r="B4741" s="3" t="n">
        <v>12</v>
      </c>
      <c r="C4741" s="3" t="n">
        <v>22</v>
      </c>
      <c r="D4741" s="3" t="s">
        <v>4745</v>
      </c>
      <c r="E4741" s="4" t="n">
        <v>1</v>
      </c>
    </row>
    <row r="4742" customFormat="false" ht="15" hidden="false" customHeight="false" outlineLevel="0" collapsed="false">
      <c r="A4742" s="3" t="n">
        <v>2024</v>
      </c>
      <c r="B4742" s="3" t="n">
        <v>12</v>
      </c>
      <c r="C4742" s="3" t="n">
        <v>23</v>
      </c>
      <c r="D4742" s="3" t="s">
        <v>4746</v>
      </c>
      <c r="E4742" s="4" t="n">
        <v>0</v>
      </c>
    </row>
    <row r="4743" customFormat="false" ht="15" hidden="false" customHeight="false" outlineLevel="0" collapsed="false">
      <c r="A4743" s="3" t="n">
        <v>2024</v>
      </c>
      <c r="B4743" s="3" t="n">
        <v>12</v>
      </c>
      <c r="C4743" s="3" t="n">
        <v>24</v>
      </c>
      <c r="D4743" s="3" t="s">
        <v>4747</v>
      </c>
      <c r="E4743" s="4" t="n">
        <v>0</v>
      </c>
    </row>
    <row r="4744" customFormat="false" ht="15" hidden="false" customHeight="false" outlineLevel="0" collapsed="false">
      <c r="A4744" s="3" t="n">
        <v>2024</v>
      </c>
      <c r="B4744" s="3" t="n">
        <v>12</v>
      </c>
      <c r="C4744" s="3" t="n">
        <v>25</v>
      </c>
      <c r="D4744" s="3" t="s">
        <v>4748</v>
      </c>
      <c r="E4744" s="4" t="n">
        <v>2</v>
      </c>
    </row>
    <row r="4745" customFormat="false" ht="15" hidden="false" customHeight="false" outlineLevel="0" collapsed="false">
      <c r="A4745" s="3" t="n">
        <v>2024</v>
      </c>
      <c r="B4745" s="3" t="n">
        <v>12</v>
      </c>
      <c r="C4745" s="3" t="n">
        <v>26</v>
      </c>
      <c r="D4745" s="3" t="s">
        <v>4749</v>
      </c>
      <c r="E4745" s="4" t="n">
        <v>0</v>
      </c>
    </row>
    <row r="4746" customFormat="false" ht="15" hidden="false" customHeight="false" outlineLevel="0" collapsed="false">
      <c r="A4746" s="3" t="n">
        <v>2024</v>
      </c>
      <c r="B4746" s="3" t="n">
        <v>12</v>
      </c>
      <c r="C4746" s="3" t="n">
        <v>27</v>
      </c>
      <c r="D4746" s="3" t="s">
        <v>4750</v>
      </c>
      <c r="E4746" s="4" t="n">
        <v>8</v>
      </c>
    </row>
    <row r="4747" customFormat="false" ht="15" hidden="false" customHeight="false" outlineLevel="0" collapsed="false">
      <c r="A4747" s="3" t="n">
        <v>2024</v>
      </c>
      <c r="B4747" s="3" t="n">
        <v>12</v>
      </c>
      <c r="C4747" s="3" t="n">
        <v>28</v>
      </c>
      <c r="D4747" s="3" t="s">
        <v>4751</v>
      </c>
      <c r="E4747" s="4" t="n">
        <v>0</v>
      </c>
    </row>
    <row r="4748" customFormat="false" ht="15" hidden="false" customHeight="false" outlineLevel="0" collapsed="false">
      <c r="A4748" s="3" t="n">
        <v>2024</v>
      </c>
      <c r="B4748" s="3" t="n">
        <v>12</v>
      </c>
      <c r="C4748" s="3" t="n">
        <v>29</v>
      </c>
      <c r="D4748" s="3" t="s">
        <v>4752</v>
      </c>
      <c r="E4748" s="4" t="n">
        <v>0</v>
      </c>
    </row>
    <row r="4749" customFormat="false" ht="15" hidden="false" customHeight="false" outlineLevel="0" collapsed="false">
      <c r="A4749" s="3" t="n">
        <v>2024</v>
      </c>
      <c r="B4749" s="3" t="n">
        <v>12</v>
      </c>
      <c r="C4749" s="3" t="n">
        <v>30</v>
      </c>
      <c r="D4749" s="3" t="s">
        <v>4753</v>
      </c>
      <c r="E4749" s="4" t="n">
        <v>0</v>
      </c>
    </row>
    <row r="4750" customFormat="false" ht="15" hidden="false" customHeight="false" outlineLevel="0" collapsed="false">
      <c r="A4750" s="3" t="n">
        <v>2024</v>
      </c>
      <c r="B4750" s="3" t="n">
        <v>12</v>
      </c>
      <c r="C4750" s="3" t="n">
        <v>31</v>
      </c>
      <c r="D4750" s="3" t="s">
        <v>4754</v>
      </c>
      <c r="E4750" s="4" t="n">
        <v>12</v>
      </c>
    </row>
    <row r="4751" customFormat="false" ht="15" hidden="false" customHeight="false" outlineLevel="0" collapsed="false">
      <c r="A4751" s="3" t="n">
        <v>2025</v>
      </c>
      <c r="B4751" s="3" t="n">
        <v>1</v>
      </c>
      <c r="C4751" s="3" t="n">
        <v>1</v>
      </c>
      <c r="D4751" s="3" t="s">
        <v>4755</v>
      </c>
      <c r="E4751" s="4" t="n">
        <v>8</v>
      </c>
    </row>
    <row r="4752" customFormat="false" ht="15" hidden="false" customHeight="false" outlineLevel="0" collapsed="false">
      <c r="A4752" s="3" t="n">
        <v>2025</v>
      </c>
      <c r="B4752" s="3" t="n">
        <v>1</v>
      </c>
      <c r="C4752" s="3" t="n">
        <v>2</v>
      </c>
      <c r="D4752" s="3" t="s">
        <v>4756</v>
      </c>
      <c r="E4752" s="4" t="n">
        <v>0</v>
      </c>
    </row>
    <row r="4753" customFormat="false" ht="15" hidden="false" customHeight="false" outlineLevel="0" collapsed="false">
      <c r="A4753" s="3" t="n">
        <v>2025</v>
      </c>
      <c r="B4753" s="3" t="n">
        <v>1</v>
      </c>
      <c r="C4753" s="3" t="n">
        <v>3</v>
      </c>
      <c r="D4753" s="3" t="s">
        <v>4757</v>
      </c>
      <c r="E4753" s="4" t="n">
        <v>0</v>
      </c>
    </row>
    <row r="4754" customFormat="false" ht="15" hidden="false" customHeight="false" outlineLevel="0" collapsed="false">
      <c r="A4754" s="3" t="n">
        <v>2025</v>
      </c>
      <c r="B4754" s="3" t="n">
        <v>1</v>
      </c>
      <c r="C4754" s="3" t="n">
        <v>4</v>
      </c>
      <c r="D4754" s="3" t="s">
        <v>4758</v>
      </c>
      <c r="E4754" s="4" t="n">
        <v>0</v>
      </c>
    </row>
    <row r="4755" customFormat="false" ht="15" hidden="false" customHeight="false" outlineLevel="0" collapsed="false">
      <c r="A4755" s="3" t="n">
        <v>2025</v>
      </c>
      <c r="B4755" s="3" t="n">
        <v>1</v>
      </c>
      <c r="C4755" s="3" t="n">
        <v>5</v>
      </c>
      <c r="D4755" s="3" t="s">
        <v>4759</v>
      </c>
      <c r="E4755" s="4" t="n">
        <v>13</v>
      </c>
    </row>
    <row r="4756" customFormat="false" ht="15" hidden="false" customHeight="false" outlineLevel="0" collapsed="false">
      <c r="A4756" s="3" t="n">
        <v>2025</v>
      </c>
      <c r="B4756" s="3" t="n">
        <v>1</v>
      </c>
      <c r="C4756" s="3" t="n">
        <v>6</v>
      </c>
      <c r="D4756" s="3" t="s">
        <v>4760</v>
      </c>
      <c r="E4756" s="4" t="n">
        <v>0</v>
      </c>
    </row>
    <row r="4757" customFormat="false" ht="15" hidden="false" customHeight="false" outlineLevel="0" collapsed="false">
      <c r="A4757" s="3" t="n">
        <v>2025</v>
      </c>
      <c r="B4757" s="3" t="n">
        <v>1</v>
      </c>
      <c r="C4757" s="3" t="n">
        <v>7</v>
      </c>
      <c r="D4757" s="3" t="s">
        <v>4761</v>
      </c>
      <c r="E4757" s="4" t="n">
        <v>1</v>
      </c>
    </row>
    <row r="4758" customFormat="false" ht="15" hidden="false" customHeight="false" outlineLevel="0" collapsed="false">
      <c r="A4758" s="3" t="n">
        <v>2025</v>
      </c>
      <c r="B4758" s="3" t="n">
        <v>1</v>
      </c>
      <c r="C4758" s="3" t="n">
        <v>8</v>
      </c>
      <c r="D4758" s="3" t="s">
        <v>4762</v>
      </c>
      <c r="E4758" s="4" t="n">
        <v>19</v>
      </c>
    </row>
    <row r="4759" customFormat="false" ht="15" hidden="false" customHeight="false" outlineLevel="0" collapsed="false">
      <c r="A4759" s="3" t="n">
        <v>2025</v>
      </c>
      <c r="B4759" s="3" t="n">
        <v>1</v>
      </c>
      <c r="C4759" s="3" t="n">
        <v>9</v>
      </c>
      <c r="D4759" s="3" t="s">
        <v>4763</v>
      </c>
      <c r="E4759" s="4" t="n">
        <v>5</v>
      </c>
    </row>
    <row r="4760" customFormat="false" ht="15" hidden="false" customHeight="false" outlineLevel="0" collapsed="false">
      <c r="A4760" s="3" t="n">
        <v>2025</v>
      </c>
      <c r="B4760" s="3" t="n">
        <v>1</v>
      </c>
      <c r="C4760" s="3" t="n">
        <v>10</v>
      </c>
      <c r="D4760" s="3" t="s">
        <v>4764</v>
      </c>
      <c r="E4760" s="4" t="n">
        <v>23</v>
      </c>
    </row>
    <row r="4761" customFormat="false" ht="15" hidden="false" customHeight="false" outlineLevel="0" collapsed="false">
      <c r="A4761" s="3" t="n">
        <v>2025</v>
      </c>
      <c r="B4761" s="3" t="n">
        <v>1</v>
      </c>
      <c r="C4761" s="3" t="n">
        <v>11</v>
      </c>
      <c r="D4761" s="3" t="s">
        <v>4765</v>
      </c>
      <c r="E4761" s="4" t="n">
        <v>31</v>
      </c>
    </row>
    <row r="4762" customFormat="false" ht="15" hidden="false" customHeight="false" outlineLevel="0" collapsed="false">
      <c r="A4762" s="3" t="n">
        <v>2025</v>
      </c>
      <c r="B4762" s="3" t="n">
        <v>1</v>
      </c>
      <c r="C4762" s="3" t="n">
        <v>12</v>
      </c>
      <c r="D4762" s="3" t="s">
        <v>4766</v>
      </c>
      <c r="E4762" s="4" t="n">
        <v>1</v>
      </c>
    </row>
    <row r="4763" customFormat="false" ht="15" hidden="false" customHeight="false" outlineLevel="0" collapsed="false">
      <c r="A4763" s="3" t="n">
        <v>2025</v>
      </c>
      <c r="B4763" s="3" t="n">
        <v>1</v>
      </c>
      <c r="C4763" s="3" t="n">
        <v>13</v>
      </c>
      <c r="D4763" s="3" t="s">
        <v>4767</v>
      </c>
      <c r="E4763" s="4" t="n">
        <v>3</v>
      </c>
    </row>
    <row r="4764" customFormat="false" ht="15" hidden="false" customHeight="false" outlineLevel="0" collapsed="false">
      <c r="A4764" s="3" t="n">
        <v>2025</v>
      </c>
      <c r="B4764" s="3" t="n">
        <v>1</v>
      </c>
      <c r="C4764" s="3" t="n">
        <v>14</v>
      </c>
      <c r="D4764" s="3" t="s">
        <v>4768</v>
      </c>
      <c r="E4764" s="4" t="n">
        <v>4</v>
      </c>
    </row>
    <row r="4765" customFormat="false" ht="15" hidden="false" customHeight="false" outlineLevel="0" collapsed="false">
      <c r="A4765" s="3" t="n">
        <v>2025</v>
      </c>
      <c r="B4765" s="3" t="n">
        <v>1</v>
      </c>
      <c r="C4765" s="3" t="n">
        <v>15</v>
      </c>
      <c r="D4765" s="3" t="s">
        <v>4769</v>
      </c>
      <c r="E4765" s="4" t="n">
        <v>12</v>
      </c>
    </row>
    <row r="4766" customFormat="false" ht="15" hidden="false" customHeight="false" outlineLevel="0" collapsed="false">
      <c r="A4766" s="3" t="n">
        <v>2025</v>
      </c>
      <c r="B4766" s="3" t="n">
        <v>1</v>
      </c>
      <c r="C4766" s="3" t="n">
        <v>16</v>
      </c>
      <c r="D4766" s="3" t="s">
        <v>4770</v>
      </c>
      <c r="E4766" s="4" t="n">
        <v>43</v>
      </c>
    </row>
    <row r="4767" customFormat="false" ht="15" hidden="false" customHeight="false" outlineLevel="0" collapsed="false">
      <c r="A4767" s="3" t="n">
        <v>2025</v>
      </c>
      <c r="B4767" s="3" t="n">
        <v>1</v>
      </c>
      <c r="C4767" s="3" t="n">
        <v>17</v>
      </c>
      <c r="D4767" s="3" t="s">
        <v>4771</v>
      </c>
      <c r="E4767" s="4" t="n">
        <v>0</v>
      </c>
    </row>
    <row r="4768" customFormat="false" ht="15" hidden="false" customHeight="false" outlineLevel="0" collapsed="false">
      <c r="A4768" s="3" t="n">
        <v>2025</v>
      </c>
      <c r="B4768" s="3" t="n">
        <v>1</v>
      </c>
      <c r="C4768" s="3" t="n">
        <v>18</v>
      </c>
      <c r="D4768" s="3" t="s">
        <v>4772</v>
      </c>
      <c r="E4768" s="4" t="n">
        <v>0</v>
      </c>
    </row>
    <row r="4769" customFormat="false" ht="15" hidden="false" customHeight="false" outlineLevel="0" collapsed="false">
      <c r="A4769" s="3" t="n">
        <v>2025</v>
      </c>
      <c r="B4769" s="3" t="n">
        <v>1</v>
      </c>
      <c r="C4769" s="3" t="n">
        <v>19</v>
      </c>
      <c r="D4769" s="3" t="s">
        <v>4773</v>
      </c>
      <c r="E4769" s="4" t="n">
        <v>39</v>
      </c>
    </row>
    <row r="4770" customFormat="false" ht="15" hidden="false" customHeight="false" outlineLevel="0" collapsed="false">
      <c r="A4770" s="3" t="n">
        <v>2025</v>
      </c>
      <c r="B4770" s="3" t="n">
        <v>1</v>
      </c>
      <c r="C4770" s="3" t="n">
        <v>20</v>
      </c>
      <c r="D4770" s="3" t="s">
        <v>4774</v>
      </c>
      <c r="E4770" s="4" t="n">
        <v>0</v>
      </c>
    </row>
    <row r="4771" customFormat="false" ht="15" hidden="false" customHeight="false" outlineLevel="0" collapsed="false">
      <c r="A4771" s="3" t="n">
        <v>2025</v>
      </c>
      <c r="B4771" s="3" t="n">
        <v>1</v>
      </c>
      <c r="C4771" s="3" t="n">
        <v>21</v>
      </c>
      <c r="D4771" s="3" t="s">
        <v>4775</v>
      </c>
      <c r="E4771" s="4" t="n">
        <v>31</v>
      </c>
    </row>
    <row r="4772" customFormat="false" ht="15" hidden="false" customHeight="false" outlineLevel="0" collapsed="false">
      <c r="A4772" s="3" t="n">
        <v>2025</v>
      </c>
      <c r="B4772" s="3" t="n">
        <v>1</v>
      </c>
      <c r="C4772" s="3" t="n">
        <v>22</v>
      </c>
      <c r="D4772" s="3" t="s">
        <v>4776</v>
      </c>
      <c r="E4772" s="4" t="n">
        <v>4</v>
      </c>
    </row>
    <row r="4773" customFormat="false" ht="15" hidden="false" customHeight="false" outlineLevel="0" collapsed="false">
      <c r="A4773" s="3" t="n">
        <v>2025</v>
      </c>
      <c r="B4773" s="3" t="n">
        <v>1</v>
      </c>
      <c r="C4773" s="3" t="n">
        <v>23</v>
      </c>
      <c r="D4773" s="3" t="s">
        <v>4777</v>
      </c>
      <c r="E4773" s="4" t="n">
        <v>38</v>
      </c>
    </row>
    <row r="4774" customFormat="false" ht="15" hidden="false" customHeight="false" outlineLevel="0" collapsed="false">
      <c r="A4774" s="3" t="n">
        <v>2025</v>
      </c>
      <c r="B4774" s="3" t="n">
        <v>1</v>
      </c>
      <c r="C4774" s="3" t="n">
        <v>24</v>
      </c>
      <c r="D4774" s="3" t="s">
        <v>4778</v>
      </c>
      <c r="E4774" s="4" t="n">
        <v>7</v>
      </c>
    </row>
    <row r="4775" customFormat="false" ht="15" hidden="false" customHeight="false" outlineLevel="0" collapsed="false">
      <c r="A4775" s="3" t="n">
        <v>2025</v>
      </c>
      <c r="B4775" s="3" t="n">
        <v>1</v>
      </c>
      <c r="C4775" s="3" t="n">
        <v>25</v>
      </c>
      <c r="D4775" s="3" t="s">
        <v>4779</v>
      </c>
      <c r="E4775" s="4" t="n">
        <v>14</v>
      </c>
    </row>
    <row r="4776" customFormat="false" ht="15" hidden="false" customHeight="false" outlineLevel="0" collapsed="false">
      <c r="A4776" s="3" t="n">
        <v>2025</v>
      </c>
      <c r="B4776" s="3" t="n">
        <v>1</v>
      </c>
      <c r="C4776" s="3" t="n">
        <v>26</v>
      </c>
      <c r="D4776" s="3" t="s">
        <v>4780</v>
      </c>
      <c r="E4776" s="4" t="n">
        <v>8</v>
      </c>
    </row>
    <row r="4777" customFormat="false" ht="15" hidden="false" customHeight="false" outlineLevel="0" collapsed="false">
      <c r="A4777" s="3" t="n">
        <v>2025</v>
      </c>
      <c r="B4777" s="3" t="n">
        <v>1</v>
      </c>
      <c r="C4777" s="3" t="n">
        <v>27</v>
      </c>
      <c r="D4777" s="3" t="s">
        <v>4781</v>
      </c>
      <c r="E4777" s="4" t="n">
        <v>13</v>
      </c>
    </row>
    <row r="4778" customFormat="false" ht="15" hidden="false" customHeight="false" outlineLevel="0" collapsed="false">
      <c r="A4778" s="3" t="n">
        <v>2025</v>
      </c>
      <c r="B4778" s="3" t="n">
        <v>1</v>
      </c>
      <c r="C4778" s="3" t="n">
        <v>28</v>
      </c>
      <c r="D4778" s="3" t="s">
        <v>4782</v>
      </c>
      <c r="E4778" s="4" t="n">
        <v>73</v>
      </c>
    </row>
    <row r="4779" customFormat="false" ht="15" hidden="false" customHeight="false" outlineLevel="0" collapsed="false">
      <c r="A4779" s="3" t="n">
        <v>2025</v>
      </c>
      <c r="B4779" s="3" t="n">
        <v>1</v>
      </c>
      <c r="C4779" s="3" t="n">
        <v>29</v>
      </c>
      <c r="D4779" s="3" t="s">
        <v>4783</v>
      </c>
      <c r="E4779" s="4" t="n">
        <v>1</v>
      </c>
    </row>
    <row r="4780" customFormat="false" ht="15" hidden="false" customHeight="false" outlineLevel="0" collapsed="false">
      <c r="A4780" s="3" t="n">
        <v>2025</v>
      </c>
      <c r="B4780" s="3" t="n">
        <v>1</v>
      </c>
      <c r="C4780" s="3" t="n">
        <v>30</v>
      </c>
      <c r="D4780" s="3" t="s">
        <v>4784</v>
      </c>
      <c r="E4780" s="4" t="n">
        <v>0</v>
      </c>
    </row>
    <row r="4781" customFormat="false" ht="15" hidden="false" customHeight="false" outlineLevel="0" collapsed="false">
      <c r="A4781" s="3" t="n">
        <v>2025</v>
      </c>
      <c r="B4781" s="3" t="n">
        <v>1</v>
      </c>
      <c r="C4781" s="3" t="n">
        <v>31</v>
      </c>
      <c r="D4781" s="3" t="s">
        <v>4785</v>
      </c>
      <c r="E4781" s="4" t="n">
        <v>9</v>
      </c>
    </row>
    <row r="4782" customFormat="false" ht="15" hidden="false" customHeight="false" outlineLevel="0" collapsed="false">
      <c r="A4782" s="3" t="n">
        <v>2025</v>
      </c>
      <c r="B4782" s="3" t="n">
        <v>2</v>
      </c>
      <c r="C4782" s="3" t="n">
        <v>1</v>
      </c>
      <c r="D4782" s="3" t="s">
        <v>4786</v>
      </c>
      <c r="E4782" s="4" t="n">
        <v>1</v>
      </c>
    </row>
    <row r="4783" customFormat="false" ht="15" hidden="false" customHeight="false" outlineLevel="0" collapsed="false">
      <c r="A4783" s="3" t="n">
        <v>2025</v>
      </c>
      <c r="B4783" s="3" t="n">
        <v>2</v>
      </c>
      <c r="C4783" s="3" t="n">
        <v>2</v>
      </c>
      <c r="D4783" s="3" t="s">
        <v>4787</v>
      </c>
      <c r="E4783" s="4" t="n">
        <v>0</v>
      </c>
    </row>
    <row r="4784" customFormat="false" ht="15" hidden="false" customHeight="false" outlineLevel="0" collapsed="false">
      <c r="A4784" s="3" t="n">
        <v>2025</v>
      </c>
      <c r="B4784" s="3" t="n">
        <v>2</v>
      </c>
      <c r="C4784" s="3" t="n">
        <v>3</v>
      </c>
      <c r="D4784" s="3" t="s">
        <v>4788</v>
      </c>
      <c r="E4784" s="4" t="n">
        <v>0</v>
      </c>
    </row>
    <row r="4785" customFormat="false" ht="15" hidden="false" customHeight="false" outlineLevel="0" collapsed="false">
      <c r="A4785" s="3" t="n">
        <v>2025</v>
      </c>
      <c r="B4785" s="3" t="n">
        <v>2</v>
      </c>
      <c r="C4785" s="3" t="n">
        <v>4</v>
      </c>
      <c r="D4785" s="3" t="s">
        <v>4789</v>
      </c>
      <c r="E4785" s="4" t="n">
        <v>5</v>
      </c>
    </row>
    <row r="4786" customFormat="false" ht="15" hidden="false" customHeight="false" outlineLevel="0" collapsed="false">
      <c r="A4786" s="3" t="n">
        <v>2025</v>
      </c>
      <c r="B4786" s="3" t="n">
        <v>2</v>
      </c>
      <c r="C4786" s="3" t="n">
        <v>5</v>
      </c>
      <c r="D4786" s="3" t="s">
        <v>4790</v>
      </c>
      <c r="E4786" s="4" t="n">
        <v>2</v>
      </c>
    </row>
    <row r="4787" customFormat="false" ht="15" hidden="false" customHeight="false" outlineLevel="0" collapsed="false">
      <c r="A4787" s="3" t="n">
        <v>2025</v>
      </c>
      <c r="B4787" s="3" t="n">
        <v>2</v>
      </c>
      <c r="C4787" s="3" t="n">
        <v>6</v>
      </c>
      <c r="D4787" s="3" t="s">
        <v>4791</v>
      </c>
      <c r="E4787" s="4" t="n">
        <v>0</v>
      </c>
    </row>
    <row r="4788" customFormat="false" ht="15" hidden="false" customHeight="false" outlineLevel="0" collapsed="false">
      <c r="A4788" s="3" t="n">
        <v>2025</v>
      </c>
      <c r="B4788" s="3" t="n">
        <v>2</v>
      </c>
      <c r="C4788" s="3" t="n">
        <v>7</v>
      </c>
      <c r="D4788" s="3" t="s">
        <v>4792</v>
      </c>
      <c r="E4788" s="4" t="n">
        <v>0</v>
      </c>
    </row>
    <row r="4789" customFormat="false" ht="15" hidden="false" customHeight="false" outlineLevel="0" collapsed="false">
      <c r="A4789" s="3" t="n">
        <v>2025</v>
      </c>
      <c r="B4789" s="3" t="n">
        <v>2</v>
      </c>
      <c r="C4789" s="3" t="n">
        <v>8</v>
      </c>
      <c r="D4789" s="3" t="s">
        <v>4793</v>
      </c>
      <c r="E4789" s="4" t="n">
        <v>0</v>
      </c>
    </row>
    <row r="4790" customFormat="false" ht="15" hidden="false" customHeight="false" outlineLevel="0" collapsed="false">
      <c r="A4790" s="3" t="n">
        <v>2025</v>
      </c>
      <c r="B4790" s="3" t="n">
        <v>2</v>
      </c>
      <c r="C4790" s="3" t="n">
        <v>9</v>
      </c>
      <c r="D4790" s="3" t="s">
        <v>4794</v>
      </c>
      <c r="E4790" s="4" t="n">
        <v>0</v>
      </c>
    </row>
    <row r="4791" customFormat="false" ht="15" hidden="false" customHeight="false" outlineLevel="0" collapsed="false">
      <c r="A4791" s="3" t="n">
        <v>2025</v>
      </c>
      <c r="B4791" s="3" t="n">
        <v>2</v>
      </c>
      <c r="C4791" s="3" t="n">
        <v>10</v>
      </c>
      <c r="D4791" s="3" t="s">
        <v>4795</v>
      </c>
      <c r="E4791" s="4" t="n">
        <v>0</v>
      </c>
    </row>
    <row r="4792" customFormat="false" ht="15" hidden="false" customHeight="false" outlineLevel="0" collapsed="false">
      <c r="A4792" s="3" t="n">
        <v>2025</v>
      </c>
      <c r="B4792" s="3" t="n">
        <v>2</v>
      </c>
      <c r="C4792" s="3" t="n">
        <v>11</v>
      </c>
      <c r="D4792" s="3" t="s">
        <v>4796</v>
      </c>
      <c r="E4792" s="4" t="n">
        <v>0</v>
      </c>
    </row>
    <row r="4793" customFormat="false" ht="15" hidden="false" customHeight="false" outlineLevel="0" collapsed="false">
      <c r="A4793" s="3" t="n">
        <v>2025</v>
      </c>
      <c r="B4793" s="3" t="n">
        <v>2</v>
      </c>
      <c r="C4793" s="3" t="n">
        <v>12</v>
      </c>
      <c r="D4793" s="3" t="s">
        <v>4797</v>
      </c>
      <c r="E4793" s="4" t="n">
        <v>0</v>
      </c>
    </row>
    <row r="4794" customFormat="false" ht="15" hidden="false" customHeight="false" outlineLevel="0" collapsed="false">
      <c r="A4794" s="3" t="n">
        <v>2025</v>
      </c>
      <c r="B4794" s="3" t="n">
        <v>2</v>
      </c>
      <c r="C4794" s="3" t="n">
        <v>13</v>
      </c>
      <c r="D4794" s="3" t="s">
        <v>4798</v>
      </c>
      <c r="E4794" s="4" t="n">
        <v>0</v>
      </c>
    </row>
    <row r="4795" customFormat="false" ht="15" hidden="false" customHeight="false" outlineLevel="0" collapsed="false">
      <c r="A4795" s="3" t="n">
        <v>2025</v>
      </c>
      <c r="B4795" s="3" t="n">
        <v>2</v>
      </c>
      <c r="C4795" s="3" t="n">
        <v>14</v>
      </c>
      <c r="D4795" s="3" t="s">
        <v>4799</v>
      </c>
      <c r="E4795" s="4" t="n">
        <v>0</v>
      </c>
    </row>
    <row r="4796" customFormat="false" ht="15" hidden="false" customHeight="false" outlineLevel="0" collapsed="false">
      <c r="A4796" s="3" t="n">
        <v>2025</v>
      </c>
      <c r="B4796" s="3" t="n">
        <v>2</v>
      </c>
      <c r="C4796" s="3" t="n">
        <v>15</v>
      </c>
      <c r="D4796" s="3" t="s">
        <v>4800</v>
      </c>
      <c r="E4796" s="4" t="n">
        <v>0</v>
      </c>
    </row>
    <row r="4797" customFormat="false" ht="15" hidden="false" customHeight="false" outlineLevel="0" collapsed="false">
      <c r="A4797" s="3" t="n">
        <v>2025</v>
      </c>
      <c r="B4797" s="3" t="n">
        <v>2</v>
      </c>
      <c r="C4797" s="3" t="n">
        <v>16</v>
      </c>
      <c r="D4797" s="3" t="s">
        <v>4801</v>
      </c>
      <c r="E4797" s="4" t="n">
        <v>0</v>
      </c>
    </row>
    <row r="4798" customFormat="false" ht="15" hidden="false" customHeight="false" outlineLevel="0" collapsed="false">
      <c r="A4798" s="3" t="n">
        <v>2025</v>
      </c>
      <c r="B4798" s="3" t="n">
        <v>2</v>
      </c>
      <c r="C4798" s="3" t="n">
        <v>17</v>
      </c>
      <c r="D4798" s="3" t="s">
        <v>4802</v>
      </c>
      <c r="E4798" s="4" t="n">
        <v>0</v>
      </c>
    </row>
    <row r="4799" customFormat="false" ht="15" hidden="false" customHeight="false" outlineLevel="0" collapsed="false">
      <c r="A4799" s="3" t="n">
        <v>2025</v>
      </c>
      <c r="B4799" s="3" t="n">
        <v>2</v>
      </c>
      <c r="C4799" s="3" t="n">
        <v>18</v>
      </c>
      <c r="D4799" s="3" t="s">
        <v>4803</v>
      </c>
      <c r="E4799" s="4" t="n">
        <v>0</v>
      </c>
    </row>
    <row r="4800" customFormat="false" ht="15" hidden="false" customHeight="false" outlineLevel="0" collapsed="false">
      <c r="A4800" s="3" t="n">
        <v>2025</v>
      </c>
      <c r="B4800" s="3" t="n">
        <v>2</v>
      </c>
      <c r="C4800" s="3" t="n">
        <v>19</v>
      </c>
      <c r="D4800" s="3" t="s">
        <v>4804</v>
      </c>
      <c r="E4800" s="4" t="n">
        <v>34</v>
      </c>
    </row>
    <row r="4801" customFormat="false" ht="15" hidden="false" customHeight="false" outlineLevel="0" collapsed="false">
      <c r="A4801" s="3" t="n">
        <v>2025</v>
      </c>
      <c r="B4801" s="3" t="n">
        <v>2</v>
      </c>
      <c r="C4801" s="3" t="n">
        <v>20</v>
      </c>
      <c r="D4801" s="3" t="s">
        <v>4805</v>
      </c>
      <c r="E4801" s="4" t="n">
        <v>19</v>
      </c>
    </row>
    <row r="4802" customFormat="false" ht="15" hidden="false" customHeight="false" outlineLevel="0" collapsed="false">
      <c r="A4802" s="3" t="n">
        <v>2025</v>
      </c>
      <c r="B4802" s="3" t="n">
        <v>2</v>
      </c>
      <c r="C4802" s="3" t="n">
        <v>21</v>
      </c>
      <c r="D4802" s="3" t="s">
        <v>4806</v>
      </c>
      <c r="E4802" s="4" t="n">
        <v>11</v>
      </c>
    </row>
    <row r="4803" customFormat="false" ht="15" hidden="false" customHeight="false" outlineLevel="0" collapsed="false">
      <c r="A4803" s="3" t="n">
        <v>2025</v>
      </c>
      <c r="B4803" s="3" t="n">
        <v>2</v>
      </c>
      <c r="C4803" s="3" t="n">
        <v>22</v>
      </c>
      <c r="D4803" s="3" t="s">
        <v>4807</v>
      </c>
      <c r="E4803" s="4" t="n">
        <v>0</v>
      </c>
    </row>
    <row r="4804" customFormat="false" ht="15" hidden="false" customHeight="false" outlineLevel="0" collapsed="false">
      <c r="A4804" s="3" t="n">
        <v>2025</v>
      </c>
      <c r="B4804" s="3" t="n">
        <v>2</v>
      </c>
      <c r="C4804" s="3" t="n">
        <v>23</v>
      </c>
      <c r="D4804" s="3" t="s">
        <v>4808</v>
      </c>
      <c r="E4804" s="4" t="n">
        <v>3</v>
      </c>
    </row>
    <row r="4805" customFormat="false" ht="15" hidden="false" customHeight="false" outlineLevel="0" collapsed="false">
      <c r="A4805" s="3" t="n">
        <v>2025</v>
      </c>
      <c r="B4805" s="3" t="n">
        <v>2</v>
      </c>
      <c r="C4805" s="3" t="n">
        <v>24</v>
      </c>
      <c r="D4805" s="3" t="s">
        <v>4809</v>
      </c>
      <c r="E4805" s="4" t="n">
        <v>59</v>
      </c>
    </row>
    <row r="4806" customFormat="false" ht="15" hidden="false" customHeight="false" outlineLevel="0" collapsed="false">
      <c r="A4806" s="3" t="n">
        <v>2025</v>
      </c>
      <c r="B4806" s="3" t="n">
        <v>2</v>
      </c>
      <c r="C4806" s="3" t="n">
        <v>25</v>
      </c>
      <c r="D4806" s="3" t="s">
        <v>4810</v>
      </c>
      <c r="E4806" s="4" t="n">
        <v>0</v>
      </c>
    </row>
    <row r="4807" customFormat="false" ht="15" hidden="false" customHeight="false" outlineLevel="0" collapsed="false">
      <c r="A4807" s="3" t="n">
        <v>2025</v>
      </c>
      <c r="B4807" s="3" t="n">
        <v>2</v>
      </c>
      <c r="C4807" s="3" t="n">
        <v>26</v>
      </c>
      <c r="D4807" s="3" t="s">
        <v>4811</v>
      </c>
      <c r="E4807" s="4" t="n">
        <v>54</v>
      </c>
    </row>
    <row r="4808" customFormat="false" ht="15" hidden="false" customHeight="false" outlineLevel="0" collapsed="false">
      <c r="A4808" s="3" t="n">
        <v>2025</v>
      </c>
      <c r="B4808" s="3" t="n">
        <v>2</v>
      </c>
      <c r="C4808" s="3" t="n">
        <v>27</v>
      </c>
      <c r="D4808" s="3" t="s">
        <v>4812</v>
      </c>
      <c r="E4808" s="4" t="n">
        <v>1</v>
      </c>
    </row>
    <row r="4809" customFormat="false" ht="15" hidden="false" customHeight="false" outlineLevel="0" collapsed="false">
      <c r="A4809" s="3" t="n">
        <v>2025</v>
      </c>
      <c r="B4809" s="3" t="n">
        <v>2</v>
      </c>
      <c r="C4809" s="3" t="n">
        <v>28</v>
      </c>
      <c r="D4809" s="3" t="s">
        <v>4813</v>
      </c>
      <c r="E4809" s="4" t="n">
        <v>21</v>
      </c>
    </row>
    <row r="4810" customFormat="false" ht="15" hidden="false" customHeight="false" outlineLevel="0" collapsed="false">
      <c r="A4810" s="3" t="n">
        <v>2025</v>
      </c>
      <c r="B4810" s="3" t="n">
        <v>3</v>
      </c>
      <c r="C4810" s="3" t="n">
        <v>1</v>
      </c>
      <c r="D4810" s="3" t="s">
        <v>4814</v>
      </c>
      <c r="E4810" s="4" t="n">
        <v>5</v>
      </c>
    </row>
    <row r="4811" customFormat="false" ht="15" hidden="false" customHeight="false" outlineLevel="0" collapsed="false">
      <c r="A4811" s="3" t="n">
        <v>2025</v>
      </c>
      <c r="B4811" s="3" t="n">
        <v>3</v>
      </c>
      <c r="C4811" s="3" t="n">
        <v>2</v>
      </c>
      <c r="D4811" s="3" t="s">
        <v>4815</v>
      </c>
      <c r="E4811" s="4" t="n">
        <v>6</v>
      </c>
    </row>
    <row r="4812" customFormat="false" ht="15" hidden="false" customHeight="false" outlineLevel="0" collapsed="false">
      <c r="A4812" s="3" t="n">
        <v>2025</v>
      </c>
      <c r="B4812" s="3" t="n">
        <v>3</v>
      </c>
      <c r="C4812" s="3" t="n">
        <v>3</v>
      </c>
      <c r="D4812" s="3" t="s">
        <v>4816</v>
      </c>
      <c r="E4812" s="4" t="n">
        <v>9</v>
      </c>
    </row>
    <row r="4813" customFormat="false" ht="15" hidden="false" customHeight="false" outlineLevel="0" collapsed="false">
      <c r="A4813" s="3" t="n">
        <v>2025</v>
      </c>
      <c r="B4813" s="3" t="n">
        <v>3</v>
      </c>
      <c r="C4813" s="3" t="n">
        <v>4</v>
      </c>
      <c r="D4813" s="3" t="s">
        <v>4817</v>
      </c>
      <c r="E4813" s="4" t="n">
        <v>0</v>
      </c>
    </row>
    <row r="4814" customFormat="false" ht="15" hidden="false" customHeight="false" outlineLevel="0" collapsed="false">
      <c r="A4814" s="3" t="n">
        <v>2025</v>
      </c>
      <c r="B4814" s="3" t="n">
        <v>3</v>
      </c>
      <c r="C4814" s="3" t="n">
        <v>5</v>
      </c>
      <c r="D4814" s="3" t="s">
        <v>4818</v>
      </c>
      <c r="E4814" s="4" t="n">
        <v>8</v>
      </c>
    </row>
    <row r="4815" customFormat="false" ht="15" hidden="false" customHeight="false" outlineLevel="0" collapsed="false">
      <c r="A4815" s="3" t="n">
        <v>2025</v>
      </c>
      <c r="B4815" s="3" t="n">
        <v>3</v>
      </c>
      <c r="C4815" s="3" t="n">
        <v>6</v>
      </c>
      <c r="D4815" s="3" t="s">
        <v>4819</v>
      </c>
      <c r="E4815" s="4" t="n">
        <v>2</v>
      </c>
    </row>
    <row r="4816" customFormat="false" ht="15" hidden="false" customHeight="false" outlineLevel="0" collapsed="false">
      <c r="A4816" s="3" t="n">
        <v>2025</v>
      </c>
      <c r="B4816" s="3" t="n">
        <v>3</v>
      </c>
      <c r="C4816" s="3" t="n">
        <v>7</v>
      </c>
      <c r="D4816" s="3" t="s">
        <v>4820</v>
      </c>
      <c r="E4816" s="4" t="n">
        <v>49</v>
      </c>
    </row>
    <row r="4817" customFormat="false" ht="15" hidden="false" customHeight="false" outlineLevel="0" collapsed="false">
      <c r="A4817" s="3" t="n">
        <v>2025</v>
      </c>
      <c r="B4817" s="3" t="n">
        <v>3</v>
      </c>
      <c r="C4817" s="3" t="n">
        <v>8</v>
      </c>
      <c r="D4817" s="3" t="s">
        <v>4821</v>
      </c>
      <c r="E4817" s="4" t="n">
        <v>14</v>
      </c>
    </row>
    <row r="4818" customFormat="false" ht="15" hidden="false" customHeight="false" outlineLevel="0" collapsed="false">
      <c r="A4818" s="3" t="n">
        <v>2025</v>
      </c>
      <c r="B4818" s="3" t="n">
        <v>3</v>
      </c>
      <c r="C4818" s="3" t="n">
        <v>9</v>
      </c>
      <c r="D4818" s="3" t="s">
        <v>4822</v>
      </c>
      <c r="E4818" s="4" t="n">
        <v>0</v>
      </c>
    </row>
    <row r="4819" customFormat="false" ht="15" hidden="false" customHeight="false" outlineLevel="0" collapsed="false">
      <c r="A4819" s="3" t="n">
        <v>2025</v>
      </c>
      <c r="B4819" s="3" t="n">
        <v>3</v>
      </c>
      <c r="C4819" s="3" t="n">
        <v>10</v>
      </c>
      <c r="D4819" s="3" t="s">
        <v>4823</v>
      </c>
      <c r="E4819" s="4" t="n">
        <v>5</v>
      </c>
    </row>
    <row r="4820" customFormat="false" ht="15" hidden="false" customHeight="false" outlineLevel="0" collapsed="false">
      <c r="A4820" s="3" t="n">
        <v>2025</v>
      </c>
      <c r="B4820" s="3" t="n">
        <v>3</v>
      </c>
      <c r="C4820" s="3" t="n">
        <v>11</v>
      </c>
      <c r="D4820" s="3" t="s">
        <v>4824</v>
      </c>
      <c r="E4820" s="4" t="n">
        <v>0</v>
      </c>
    </row>
    <row r="4821" customFormat="false" ht="15" hidden="false" customHeight="false" outlineLevel="0" collapsed="false">
      <c r="A4821" s="3" t="n">
        <v>2025</v>
      </c>
      <c r="B4821" s="3" t="n">
        <v>3</v>
      </c>
      <c r="C4821" s="3" t="n">
        <v>12</v>
      </c>
      <c r="D4821" s="3" t="s">
        <v>4825</v>
      </c>
      <c r="E4821" s="4" t="n">
        <v>0</v>
      </c>
    </row>
    <row r="4822" customFormat="false" ht="15" hidden="false" customHeight="false" outlineLevel="0" collapsed="false">
      <c r="A4822" s="3" t="n">
        <v>2025</v>
      </c>
      <c r="B4822" s="3" t="n">
        <v>3</v>
      </c>
      <c r="C4822" s="3" t="n">
        <v>13</v>
      </c>
      <c r="D4822" s="3" t="s">
        <v>4826</v>
      </c>
      <c r="E4822" s="4" t="n">
        <v>1</v>
      </c>
    </row>
    <row r="4823" customFormat="false" ht="15" hidden="false" customHeight="false" outlineLevel="0" collapsed="false">
      <c r="A4823" s="3" t="n">
        <v>2025</v>
      </c>
      <c r="B4823" s="3" t="n">
        <v>3</v>
      </c>
      <c r="C4823" s="3" t="n">
        <v>14</v>
      </c>
      <c r="D4823" s="3" t="s">
        <v>4827</v>
      </c>
      <c r="E4823" s="4" t="n">
        <v>3</v>
      </c>
    </row>
    <row r="4824" customFormat="false" ht="15" hidden="false" customHeight="false" outlineLevel="0" collapsed="false">
      <c r="A4824" s="3" t="n">
        <v>2025</v>
      </c>
      <c r="B4824" s="3" t="n">
        <v>3</v>
      </c>
      <c r="C4824" s="3" t="n">
        <v>15</v>
      </c>
      <c r="D4824" s="3" t="s">
        <v>4828</v>
      </c>
      <c r="E4824" s="4" t="n">
        <v>10</v>
      </c>
    </row>
    <row r="4825" customFormat="false" ht="15" hidden="false" customHeight="false" outlineLevel="0" collapsed="false">
      <c r="A4825" s="3" t="n">
        <v>2025</v>
      </c>
      <c r="B4825" s="3" t="n">
        <v>3</v>
      </c>
      <c r="C4825" s="3" t="n">
        <v>16</v>
      </c>
      <c r="D4825" s="3" t="s">
        <v>4829</v>
      </c>
      <c r="E4825" s="4" t="n">
        <v>0</v>
      </c>
    </row>
    <row r="4826" customFormat="false" ht="15" hidden="false" customHeight="false" outlineLevel="0" collapsed="false">
      <c r="A4826" s="3" t="n">
        <v>2025</v>
      </c>
      <c r="B4826" s="3" t="n">
        <v>3</v>
      </c>
      <c r="C4826" s="3" t="n">
        <v>17</v>
      </c>
      <c r="D4826" s="3" t="s">
        <v>4830</v>
      </c>
      <c r="E4826" s="4" t="n">
        <v>2</v>
      </c>
    </row>
    <row r="4827" customFormat="false" ht="15" hidden="false" customHeight="false" outlineLevel="0" collapsed="false">
      <c r="A4827" s="3" t="n">
        <v>2025</v>
      </c>
      <c r="B4827" s="3" t="n">
        <v>3</v>
      </c>
      <c r="C4827" s="3" t="n">
        <v>18</v>
      </c>
      <c r="D4827" s="3" t="s">
        <v>4831</v>
      </c>
      <c r="E4827" s="4" t="n">
        <v>1</v>
      </c>
    </row>
    <row r="4828" customFormat="false" ht="15" hidden="false" customHeight="false" outlineLevel="0" collapsed="false">
      <c r="A4828" s="3" t="n">
        <v>2025</v>
      </c>
      <c r="B4828" s="3" t="n">
        <v>3</v>
      </c>
      <c r="C4828" s="3" t="n">
        <v>19</v>
      </c>
      <c r="D4828" s="3" t="s">
        <v>4832</v>
      </c>
      <c r="E4828" s="4" t="n">
        <v>39</v>
      </c>
    </row>
    <row r="4829" customFormat="false" ht="15" hidden="false" customHeight="false" outlineLevel="0" collapsed="false">
      <c r="A4829" s="3" t="n">
        <v>2025</v>
      </c>
      <c r="B4829" s="3" t="n">
        <v>3</v>
      </c>
      <c r="C4829" s="3" t="n">
        <v>20</v>
      </c>
      <c r="D4829" s="3" t="s">
        <v>4833</v>
      </c>
      <c r="E4829" s="4" t="n">
        <v>47</v>
      </c>
    </row>
    <row r="4830" customFormat="false" ht="15" hidden="false" customHeight="false" outlineLevel="0" collapsed="false">
      <c r="A4830" s="3" t="n">
        <v>2025</v>
      </c>
      <c r="B4830" s="3" t="n">
        <v>3</v>
      </c>
      <c r="C4830" s="3" t="n">
        <v>21</v>
      </c>
      <c r="D4830" s="3" t="s">
        <v>4834</v>
      </c>
      <c r="E4830" s="4" t="n">
        <v>15</v>
      </c>
    </row>
    <row r="4831" customFormat="false" ht="15" hidden="false" customHeight="false" outlineLevel="0" collapsed="false">
      <c r="A4831" s="3" t="n">
        <v>2025</v>
      </c>
      <c r="B4831" s="3" t="n">
        <v>3</v>
      </c>
      <c r="C4831" s="3" t="n">
        <v>22</v>
      </c>
      <c r="D4831" s="3" t="s">
        <v>4835</v>
      </c>
      <c r="E4831" s="4" t="n">
        <v>46</v>
      </c>
    </row>
    <row r="4832" customFormat="false" ht="15" hidden="false" customHeight="false" outlineLevel="0" collapsed="false">
      <c r="A4832" s="3" t="n">
        <v>2025</v>
      </c>
      <c r="B4832" s="3" t="n">
        <v>3</v>
      </c>
      <c r="C4832" s="3" t="n">
        <v>23</v>
      </c>
      <c r="D4832" s="3" t="s">
        <v>4836</v>
      </c>
      <c r="E4832" s="4" t="n">
        <v>4</v>
      </c>
    </row>
    <row r="4833" customFormat="false" ht="15" hidden="false" customHeight="false" outlineLevel="0" collapsed="false">
      <c r="A4833" s="3" t="n">
        <v>2025</v>
      </c>
      <c r="B4833" s="3" t="n">
        <v>3</v>
      </c>
      <c r="C4833" s="3" t="n">
        <v>24</v>
      </c>
      <c r="D4833" s="3" t="s">
        <v>4837</v>
      </c>
      <c r="E4833" s="4" t="n">
        <v>2</v>
      </c>
    </row>
    <row r="4834" customFormat="false" ht="15" hidden="false" customHeight="false" outlineLevel="0" collapsed="false">
      <c r="A4834" s="3" t="n">
        <v>2025</v>
      </c>
      <c r="B4834" s="3" t="n">
        <v>3</v>
      </c>
      <c r="C4834" s="3" t="n">
        <v>25</v>
      </c>
      <c r="D4834" s="3" t="s">
        <v>4838</v>
      </c>
      <c r="E4834" s="4" t="n">
        <v>3</v>
      </c>
    </row>
    <row r="4835" customFormat="false" ht="15" hidden="false" customHeight="false" outlineLevel="0" collapsed="false">
      <c r="A4835" s="3" t="n">
        <v>2025</v>
      </c>
      <c r="B4835" s="3" t="n">
        <v>3</v>
      </c>
      <c r="C4835" s="3" t="n">
        <v>26</v>
      </c>
      <c r="D4835" s="3" t="s">
        <v>4839</v>
      </c>
      <c r="E4835" s="4" t="n">
        <v>0</v>
      </c>
    </row>
    <row r="4836" customFormat="false" ht="15" hidden="false" customHeight="false" outlineLevel="0" collapsed="false">
      <c r="A4836" s="3" t="n">
        <v>2025</v>
      </c>
      <c r="B4836" s="3" t="n">
        <v>3</v>
      </c>
      <c r="C4836" s="3" t="n">
        <v>27</v>
      </c>
      <c r="D4836" s="3" t="s">
        <v>4840</v>
      </c>
      <c r="E4836" s="4" t="n">
        <v>0</v>
      </c>
    </row>
    <row r="4837" customFormat="false" ht="15" hidden="false" customHeight="false" outlineLevel="0" collapsed="false">
      <c r="A4837" s="3" t="n">
        <v>2025</v>
      </c>
      <c r="B4837" s="3" t="n">
        <v>3</v>
      </c>
      <c r="C4837" s="3" t="n">
        <v>28</v>
      </c>
      <c r="D4837" s="3" t="s">
        <v>4841</v>
      </c>
      <c r="E4837" s="4" t="n">
        <v>0</v>
      </c>
    </row>
    <row r="4838" customFormat="false" ht="15" hidden="false" customHeight="false" outlineLevel="0" collapsed="false">
      <c r="A4838" s="3" t="n">
        <v>2025</v>
      </c>
      <c r="B4838" s="3" t="n">
        <v>3</v>
      </c>
      <c r="C4838" s="3" t="n">
        <v>29</v>
      </c>
      <c r="D4838" s="3" t="s">
        <v>4842</v>
      </c>
      <c r="E4838" s="4" t="n">
        <v>0</v>
      </c>
    </row>
    <row r="4839" customFormat="false" ht="15" hidden="false" customHeight="false" outlineLevel="0" collapsed="false">
      <c r="A4839" s="3" t="n">
        <v>2025</v>
      </c>
      <c r="B4839" s="3" t="n">
        <v>3</v>
      </c>
      <c r="C4839" s="3" t="n">
        <v>30</v>
      </c>
      <c r="D4839" s="3" t="s">
        <v>4843</v>
      </c>
      <c r="E4839" s="4" t="n">
        <v>0</v>
      </c>
    </row>
    <row r="4840" customFormat="false" ht="15" hidden="false" customHeight="false" outlineLevel="0" collapsed="false">
      <c r="A4840" s="3" t="n">
        <v>2025</v>
      </c>
      <c r="B4840" s="3" t="n">
        <v>3</v>
      </c>
      <c r="C4840" s="3" t="n">
        <v>31</v>
      </c>
      <c r="D4840" s="3" t="s">
        <v>4844</v>
      </c>
      <c r="E4840" s="4" t="n">
        <v>31</v>
      </c>
    </row>
    <row r="4841" customFormat="false" ht="15" hidden="false" customHeight="false" outlineLevel="0" collapsed="false">
      <c r="A4841" s="3" t="n">
        <v>2025</v>
      </c>
      <c r="B4841" s="3" t="n">
        <v>4</v>
      </c>
      <c r="C4841" s="3" t="n">
        <v>1</v>
      </c>
      <c r="D4841" s="3" t="s">
        <v>4845</v>
      </c>
      <c r="E4841" s="4" t="n">
        <v>10</v>
      </c>
    </row>
    <row r="4842" customFormat="false" ht="15" hidden="false" customHeight="false" outlineLevel="0" collapsed="false">
      <c r="A4842" s="3" t="n">
        <v>2025</v>
      </c>
      <c r="B4842" s="3" t="n">
        <v>4</v>
      </c>
      <c r="C4842" s="3" t="n">
        <v>2</v>
      </c>
      <c r="D4842" s="3" t="s">
        <v>4846</v>
      </c>
      <c r="E4842" s="4" t="n">
        <v>0</v>
      </c>
    </row>
    <row r="4843" customFormat="false" ht="15" hidden="false" customHeight="false" outlineLevel="0" collapsed="false">
      <c r="A4843" s="3" t="n">
        <v>2025</v>
      </c>
      <c r="B4843" s="3" t="n">
        <v>4</v>
      </c>
      <c r="C4843" s="3" t="n">
        <v>3</v>
      </c>
      <c r="D4843" s="3" t="s">
        <v>4847</v>
      </c>
      <c r="E4843" s="4" t="n">
        <v>15</v>
      </c>
    </row>
    <row r="4844" customFormat="false" ht="15" hidden="false" customHeight="false" outlineLevel="0" collapsed="false">
      <c r="A4844" s="3" t="n">
        <v>2025</v>
      </c>
      <c r="B4844" s="3" t="n">
        <v>4</v>
      </c>
      <c r="C4844" s="3" t="n">
        <v>4</v>
      </c>
      <c r="D4844" s="3" t="s">
        <v>4848</v>
      </c>
      <c r="E4844" s="4" t="n">
        <v>2</v>
      </c>
    </row>
    <row r="4845" customFormat="false" ht="15" hidden="false" customHeight="false" outlineLevel="0" collapsed="false">
      <c r="A4845" s="3" t="n">
        <v>2025</v>
      </c>
      <c r="B4845" s="3" t="n">
        <v>4</v>
      </c>
      <c r="C4845" s="3" t="n">
        <v>5</v>
      </c>
      <c r="D4845" s="3" t="s">
        <v>4849</v>
      </c>
      <c r="E4845" s="4" t="n">
        <v>15</v>
      </c>
    </row>
    <row r="4846" customFormat="false" ht="15" hidden="false" customHeight="false" outlineLevel="0" collapsed="false">
      <c r="A4846" s="3" t="n">
        <v>2025</v>
      </c>
      <c r="B4846" s="3" t="n">
        <v>4</v>
      </c>
      <c r="C4846" s="3" t="n">
        <v>6</v>
      </c>
      <c r="D4846" s="3" t="s">
        <v>4850</v>
      </c>
      <c r="E4846" s="4" t="n">
        <v>29</v>
      </c>
    </row>
    <row r="4847" customFormat="false" ht="15" hidden="false" customHeight="false" outlineLevel="0" collapsed="false">
      <c r="A4847" s="3" t="n">
        <v>2025</v>
      </c>
      <c r="B4847" s="3" t="n">
        <v>4</v>
      </c>
      <c r="C4847" s="3" t="n">
        <v>7</v>
      </c>
      <c r="D4847" s="3" t="s">
        <v>4851</v>
      </c>
      <c r="E4847" s="4" t="n">
        <v>1</v>
      </c>
    </row>
    <row r="4848" customFormat="false" ht="15" hidden="false" customHeight="false" outlineLevel="0" collapsed="false">
      <c r="A4848" s="3" t="n">
        <v>2025</v>
      </c>
      <c r="B4848" s="3" t="n">
        <v>4</v>
      </c>
      <c r="C4848" s="3" t="n">
        <v>8</v>
      </c>
      <c r="D4848" s="3" t="s">
        <v>4852</v>
      </c>
      <c r="E4848" s="4" t="n">
        <v>20</v>
      </c>
    </row>
    <row r="4849" customFormat="false" ht="15" hidden="false" customHeight="false" outlineLevel="0" collapsed="false">
      <c r="A4849" s="3" t="n">
        <v>2025</v>
      </c>
      <c r="B4849" s="3" t="n">
        <v>4</v>
      </c>
      <c r="C4849" s="3" t="n">
        <v>9</v>
      </c>
      <c r="D4849" s="3" t="s">
        <v>4853</v>
      </c>
      <c r="E4849" s="4" t="n">
        <v>17</v>
      </c>
    </row>
    <row r="4850" customFormat="false" ht="15" hidden="false" customHeight="false" outlineLevel="0" collapsed="false">
      <c r="A4850" s="3" t="n">
        <v>2025</v>
      </c>
      <c r="B4850" s="3" t="n">
        <v>4</v>
      </c>
      <c r="C4850" s="3" t="n">
        <v>10</v>
      </c>
      <c r="D4850" s="3" t="s">
        <v>4854</v>
      </c>
      <c r="E4850" s="4" t="n">
        <v>0</v>
      </c>
    </row>
    <row r="4851" customFormat="false" ht="15" hidden="false" customHeight="false" outlineLevel="0" collapsed="false">
      <c r="A4851" s="3" t="n">
        <v>2025</v>
      </c>
      <c r="B4851" s="3" t="n">
        <v>4</v>
      </c>
      <c r="C4851" s="3" t="n">
        <v>11</v>
      </c>
      <c r="D4851" s="3" t="s">
        <v>4855</v>
      </c>
      <c r="E4851" s="4" t="n">
        <v>3</v>
      </c>
    </row>
    <row r="4852" customFormat="false" ht="15" hidden="false" customHeight="false" outlineLevel="0" collapsed="false">
      <c r="A4852" s="3" t="n">
        <v>2025</v>
      </c>
      <c r="B4852" s="3" t="n">
        <v>4</v>
      </c>
      <c r="C4852" s="3" t="n">
        <v>12</v>
      </c>
      <c r="D4852" s="3" t="s">
        <v>4856</v>
      </c>
      <c r="E4852" s="4" t="n">
        <v>14</v>
      </c>
    </row>
    <row r="4853" customFormat="false" ht="15" hidden="false" customHeight="false" outlineLevel="0" collapsed="false">
      <c r="A4853" s="3" t="n">
        <v>2025</v>
      </c>
      <c r="B4853" s="3" t="n">
        <v>4</v>
      </c>
      <c r="C4853" s="3" t="n">
        <v>13</v>
      </c>
      <c r="D4853" s="3" t="s">
        <v>4857</v>
      </c>
      <c r="E4853" s="4" t="n">
        <v>1</v>
      </c>
    </row>
    <row r="4854" customFormat="false" ht="15" hidden="false" customHeight="false" outlineLevel="0" collapsed="false">
      <c r="A4854" s="3" t="n">
        <v>2025</v>
      </c>
      <c r="B4854" s="3" t="n">
        <v>4</v>
      </c>
      <c r="C4854" s="3" t="n">
        <v>14</v>
      </c>
      <c r="D4854" s="3" t="s">
        <v>4858</v>
      </c>
      <c r="E4854" s="4" t="n">
        <v>13</v>
      </c>
    </row>
    <row r="4855" customFormat="false" ht="15" hidden="false" customHeight="false" outlineLevel="0" collapsed="false">
      <c r="A4855" s="3" t="n">
        <v>2025</v>
      </c>
      <c r="B4855" s="3" t="n">
        <v>4</v>
      </c>
      <c r="C4855" s="3" t="n">
        <v>15</v>
      </c>
      <c r="D4855" s="3" t="s">
        <v>4859</v>
      </c>
      <c r="E4855" s="4" t="n">
        <v>4</v>
      </c>
    </row>
    <row r="4856" customFormat="false" ht="15" hidden="false" customHeight="false" outlineLevel="0" collapsed="false">
      <c r="A4856" s="3" t="n">
        <v>2025</v>
      </c>
      <c r="B4856" s="3" t="n">
        <v>4</v>
      </c>
      <c r="C4856" s="3" t="n">
        <v>16</v>
      </c>
      <c r="D4856" s="3" t="s">
        <v>4860</v>
      </c>
      <c r="E4856" s="4" t="n">
        <v>8</v>
      </c>
    </row>
    <row r="4857" customFormat="false" ht="15" hidden="false" customHeight="false" outlineLevel="0" collapsed="false">
      <c r="A4857" s="3" t="n">
        <v>2025</v>
      </c>
      <c r="B4857" s="3" t="n">
        <v>4</v>
      </c>
      <c r="C4857" s="3" t="n">
        <v>17</v>
      </c>
      <c r="D4857" s="3" t="s">
        <v>4861</v>
      </c>
      <c r="E4857" s="4" t="n">
        <v>1</v>
      </c>
    </row>
    <row r="4858" customFormat="false" ht="15" hidden="false" customHeight="false" outlineLevel="0" collapsed="false">
      <c r="A4858" s="3" t="n">
        <v>2025</v>
      </c>
      <c r="B4858" s="3" t="n">
        <v>4</v>
      </c>
      <c r="C4858" s="3" t="n">
        <v>18</v>
      </c>
      <c r="D4858" s="3" t="s">
        <v>4862</v>
      </c>
      <c r="E4858" s="4" t="n">
        <v>25</v>
      </c>
    </row>
    <row r="4859" customFormat="false" ht="15" hidden="false" customHeight="false" outlineLevel="0" collapsed="false">
      <c r="A4859" s="3" t="n">
        <v>2025</v>
      </c>
      <c r="B4859" s="3" t="n">
        <v>4</v>
      </c>
      <c r="C4859" s="3" t="n">
        <v>19</v>
      </c>
      <c r="D4859" s="3" t="s">
        <v>4863</v>
      </c>
      <c r="E4859" s="4" t="n">
        <v>0</v>
      </c>
    </row>
    <row r="4860" customFormat="false" ht="15" hidden="false" customHeight="false" outlineLevel="0" collapsed="false">
      <c r="A4860" s="3" t="n">
        <v>2025</v>
      </c>
      <c r="B4860" s="3" t="n">
        <v>4</v>
      </c>
      <c r="C4860" s="3" t="n">
        <v>20</v>
      </c>
      <c r="D4860" s="3" t="s">
        <v>4864</v>
      </c>
      <c r="E4860" s="4" t="n">
        <v>0</v>
      </c>
    </row>
    <row r="4861" customFormat="false" ht="15" hidden="false" customHeight="false" outlineLevel="0" collapsed="false">
      <c r="A4861" s="3" t="n">
        <v>2025</v>
      </c>
      <c r="B4861" s="3" t="n">
        <v>4</v>
      </c>
      <c r="C4861" s="3" t="n">
        <v>21</v>
      </c>
      <c r="D4861" s="3" t="s">
        <v>4865</v>
      </c>
      <c r="E4861" s="4" t="n">
        <v>19</v>
      </c>
    </row>
    <row r="4862" customFormat="false" ht="15" hidden="false" customHeight="false" outlineLevel="0" collapsed="false">
      <c r="A4862" s="3" t="n">
        <v>2025</v>
      </c>
      <c r="B4862" s="3" t="n">
        <v>4</v>
      </c>
      <c r="C4862" s="3" t="n">
        <v>22</v>
      </c>
      <c r="D4862" s="3" t="s">
        <v>4866</v>
      </c>
      <c r="E4862" s="4" t="n">
        <v>6</v>
      </c>
    </row>
    <row r="4863" customFormat="false" ht="15" hidden="false" customHeight="false" outlineLevel="0" collapsed="false">
      <c r="A4863" s="3" t="n">
        <v>2025</v>
      </c>
      <c r="B4863" s="3" t="n">
        <v>4</v>
      </c>
      <c r="C4863" s="3" t="n">
        <v>23</v>
      </c>
      <c r="D4863" s="3" t="s">
        <v>4867</v>
      </c>
      <c r="E4863" s="4" t="n">
        <v>0</v>
      </c>
    </row>
    <row r="4864" customFormat="false" ht="15" hidden="false" customHeight="false" outlineLevel="0" collapsed="false">
      <c r="A4864" s="3" t="n">
        <v>2025</v>
      </c>
      <c r="B4864" s="3" t="n">
        <v>4</v>
      </c>
      <c r="C4864" s="3" t="n">
        <v>24</v>
      </c>
      <c r="D4864" s="3" t="s">
        <v>4868</v>
      </c>
      <c r="E4864" s="4" t="n">
        <v>7</v>
      </c>
    </row>
    <row r="4865" customFormat="false" ht="15" hidden="false" customHeight="false" outlineLevel="0" collapsed="false">
      <c r="A4865" s="3" t="n">
        <v>2025</v>
      </c>
      <c r="B4865" s="3" t="n">
        <v>4</v>
      </c>
      <c r="C4865" s="3" t="n">
        <v>25</v>
      </c>
      <c r="D4865" s="3" t="s">
        <v>4869</v>
      </c>
      <c r="E4865" s="4" t="n">
        <v>2</v>
      </c>
    </row>
    <row r="4866" customFormat="false" ht="15" hidden="false" customHeight="false" outlineLevel="0" collapsed="false">
      <c r="A4866" s="3" t="n">
        <v>2025</v>
      </c>
      <c r="B4866" s="3" t="n">
        <v>4</v>
      </c>
      <c r="C4866" s="3" t="n">
        <v>26</v>
      </c>
      <c r="D4866" s="3" t="s">
        <v>4870</v>
      </c>
      <c r="E4866" s="4" t="n">
        <v>0</v>
      </c>
    </row>
    <row r="4867" customFormat="false" ht="15" hidden="false" customHeight="false" outlineLevel="0" collapsed="false">
      <c r="A4867" s="3" t="n">
        <v>2025</v>
      </c>
      <c r="B4867" s="3" t="n">
        <v>4</v>
      </c>
      <c r="C4867" s="3" t="n">
        <v>27</v>
      </c>
      <c r="D4867" s="3" t="s">
        <v>4871</v>
      </c>
      <c r="E4867" s="4" t="n">
        <v>5</v>
      </c>
    </row>
    <row r="4868" customFormat="false" ht="15" hidden="false" customHeight="false" outlineLevel="0" collapsed="false">
      <c r="A4868" s="3" t="n">
        <v>2025</v>
      </c>
      <c r="B4868" s="3" t="n">
        <v>4</v>
      </c>
      <c r="C4868" s="3" t="n">
        <v>28</v>
      </c>
      <c r="D4868" s="3" t="s">
        <v>4872</v>
      </c>
      <c r="E4868" s="4" t="n">
        <v>14</v>
      </c>
    </row>
    <row r="4869" customFormat="false" ht="15" hidden="false" customHeight="false" outlineLevel="0" collapsed="false">
      <c r="A4869" s="3" t="n">
        <v>2025</v>
      </c>
      <c r="B4869" s="3" t="n">
        <v>4</v>
      </c>
      <c r="C4869" s="3" t="n">
        <v>29</v>
      </c>
      <c r="D4869" s="3" t="s">
        <v>4873</v>
      </c>
      <c r="E4869" s="4" t="n">
        <v>0</v>
      </c>
    </row>
    <row r="4870" customFormat="false" ht="15" hidden="false" customHeight="false" outlineLevel="0" collapsed="false">
      <c r="A4870" s="3" t="n">
        <v>2025</v>
      </c>
      <c r="B4870" s="3" t="n">
        <v>4</v>
      </c>
      <c r="C4870" s="3" t="n">
        <v>30</v>
      </c>
      <c r="D4870" s="3" t="s">
        <v>4874</v>
      </c>
      <c r="E4870" s="4" t="n">
        <v>0</v>
      </c>
    </row>
    <row r="4871" customFormat="false" ht="15" hidden="false" customHeight="false" outlineLevel="0" collapsed="false">
      <c r="A4871" s="3" t="n">
        <v>2025</v>
      </c>
      <c r="B4871" s="3" t="n">
        <v>5</v>
      </c>
      <c r="C4871" s="3" t="n">
        <v>1</v>
      </c>
      <c r="D4871" s="3" t="s">
        <v>4875</v>
      </c>
      <c r="E4871" s="4" t="n">
        <v>3</v>
      </c>
    </row>
    <row r="4872" customFormat="false" ht="15" hidden="false" customHeight="false" outlineLevel="0" collapsed="false">
      <c r="A4872" s="3" t="n">
        <v>2025</v>
      </c>
      <c r="B4872" s="3" t="n">
        <v>5</v>
      </c>
      <c r="C4872" s="3" t="n">
        <v>2</v>
      </c>
      <c r="D4872" s="3" t="s">
        <v>4876</v>
      </c>
      <c r="E4872" s="4" t="n">
        <v>2</v>
      </c>
    </row>
    <row r="4873" customFormat="false" ht="15" hidden="false" customHeight="false" outlineLevel="0" collapsed="false">
      <c r="A4873" s="3" t="n">
        <v>2025</v>
      </c>
      <c r="B4873" s="3" t="n">
        <v>5</v>
      </c>
      <c r="C4873" s="3" t="n">
        <v>3</v>
      </c>
      <c r="D4873" s="3" t="s">
        <v>4877</v>
      </c>
      <c r="E4873" s="4" t="n">
        <v>0</v>
      </c>
    </row>
    <row r="4874" customFormat="false" ht="15" hidden="false" customHeight="false" outlineLevel="0" collapsed="false">
      <c r="A4874" s="3" t="n">
        <v>2025</v>
      </c>
      <c r="B4874" s="3" t="n">
        <v>5</v>
      </c>
      <c r="C4874" s="3" t="n">
        <v>4</v>
      </c>
      <c r="D4874" s="3" t="s">
        <v>4878</v>
      </c>
      <c r="E4874" s="4" t="n">
        <v>0</v>
      </c>
    </row>
    <row r="4875" customFormat="false" ht="15" hidden="false" customHeight="false" outlineLevel="0" collapsed="false">
      <c r="A4875" s="3" t="n">
        <v>2025</v>
      </c>
      <c r="B4875" s="3" t="n">
        <v>5</v>
      </c>
      <c r="C4875" s="3" t="n">
        <v>5</v>
      </c>
      <c r="D4875" s="3" t="s">
        <v>4879</v>
      </c>
      <c r="E4875" s="4" t="n">
        <v>12</v>
      </c>
    </row>
    <row r="4876" customFormat="false" ht="15" hidden="false" customHeight="false" outlineLevel="0" collapsed="false">
      <c r="A4876" s="3" t="n">
        <v>2025</v>
      </c>
      <c r="B4876" s="3" t="n">
        <v>5</v>
      </c>
      <c r="C4876" s="3" t="n">
        <v>6</v>
      </c>
      <c r="D4876" s="3" t="s">
        <v>4880</v>
      </c>
      <c r="E4876" s="4" t="n">
        <v>0</v>
      </c>
    </row>
    <row r="4877" customFormat="false" ht="15" hidden="false" customHeight="false" outlineLevel="0" collapsed="false">
      <c r="A4877" s="3" t="n">
        <v>2025</v>
      </c>
      <c r="B4877" s="3" t="n">
        <v>5</v>
      </c>
      <c r="C4877" s="3" t="n">
        <v>7</v>
      </c>
      <c r="D4877" s="3" t="s">
        <v>4881</v>
      </c>
      <c r="E4877" s="4" t="n">
        <v>0</v>
      </c>
    </row>
    <row r="4878" customFormat="false" ht="15" hidden="false" customHeight="false" outlineLevel="0" collapsed="false">
      <c r="A4878" s="3" t="n">
        <v>2025</v>
      </c>
      <c r="B4878" s="3" t="n">
        <v>5</v>
      </c>
      <c r="C4878" s="3" t="n">
        <v>8</v>
      </c>
      <c r="D4878" s="3" t="s">
        <v>4882</v>
      </c>
      <c r="E4878" s="4" t="n">
        <v>0</v>
      </c>
    </row>
    <row r="4879" customFormat="false" ht="15" hidden="false" customHeight="false" outlineLevel="0" collapsed="false">
      <c r="A4879" s="3" t="n">
        <v>2025</v>
      </c>
      <c r="B4879" s="3" t="n">
        <v>5</v>
      </c>
      <c r="C4879" s="3" t="n">
        <v>9</v>
      </c>
      <c r="D4879" s="3" t="s">
        <v>4883</v>
      </c>
      <c r="E4879" s="4" t="n">
        <v>83</v>
      </c>
    </row>
    <row r="4880" customFormat="false" ht="15" hidden="false" customHeight="false" outlineLevel="0" collapsed="false">
      <c r="A4880" s="3" t="n">
        <v>2025</v>
      </c>
      <c r="B4880" s="3" t="n">
        <v>5</v>
      </c>
      <c r="C4880" s="3" t="n">
        <v>10</v>
      </c>
      <c r="D4880" s="3" t="s">
        <v>4884</v>
      </c>
      <c r="E4880" s="4" t="n">
        <v>0</v>
      </c>
    </row>
    <row r="4881" customFormat="false" ht="15" hidden="false" customHeight="false" outlineLevel="0" collapsed="false">
      <c r="A4881" s="3" t="n">
        <v>2025</v>
      </c>
      <c r="B4881" s="3" t="n">
        <v>5</v>
      </c>
      <c r="C4881" s="3" t="n">
        <v>11</v>
      </c>
      <c r="D4881" s="3" t="s">
        <v>4885</v>
      </c>
      <c r="E4881" s="4" t="n">
        <v>56</v>
      </c>
    </row>
    <row r="4882" customFormat="false" ht="15" hidden="false" customHeight="false" outlineLevel="0" collapsed="false">
      <c r="A4882" s="3" t="n">
        <v>2025</v>
      </c>
      <c r="B4882" s="3" t="n">
        <v>5</v>
      </c>
      <c r="C4882" s="3" t="n">
        <v>12</v>
      </c>
      <c r="D4882" s="3" t="s">
        <v>4886</v>
      </c>
      <c r="E4882" s="4" t="n">
        <v>6</v>
      </c>
    </row>
    <row r="4883" customFormat="false" ht="15" hidden="false" customHeight="false" outlineLevel="0" collapsed="false">
      <c r="A4883" s="3" t="n">
        <v>2025</v>
      </c>
      <c r="B4883" s="3" t="n">
        <v>5</v>
      </c>
      <c r="C4883" s="3" t="n">
        <v>13</v>
      </c>
      <c r="D4883" s="3" t="s">
        <v>4887</v>
      </c>
      <c r="E4883" s="4" t="n">
        <v>1</v>
      </c>
    </row>
    <row r="4884" customFormat="false" ht="15" hidden="false" customHeight="false" outlineLevel="0" collapsed="false">
      <c r="A4884" s="3" t="n">
        <v>2025</v>
      </c>
      <c r="B4884" s="3" t="n">
        <v>5</v>
      </c>
      <c r="C4884" s="3" t="n">
        <v>14</v>
      </c>
      <c r="D4884" s="3" t="s">
        <v>4888</v>
      </c>
      <c r="E4884" s="4" t="n">
        <v>1</v>
      </c>
    </row>
    <row r="4885" customFormat="false" ht="15" hidden="false" customHeight="false" outlineLevel="0" collapsed="false">
      <c r="A4885" s="3" t="n">
        <v>2025</v>
      </c>
      <c r="B4885" s="3" t="n">
        <v>5</v>
      </c>
      <c r="C4885" s="3" t="n">
        <v>15</v>
      </c>
      <c r="D4885" s="3" t="s">
        <v>4889</v>
      </c>
      <c r="E4885" s="4" t="n">
        <v>4</v>
      </c>
    </row>
    <row r="4886" customFormat="false" ht="15" hidden="false" customHeight="false" outlineLevel="0" collapsed="false">
      <c r="A4886" s="3" t="n">
        <v>2025</v>
      </c>
      <c r="B4886" s="3" t="n">
        <v>5</v>
      </c>
      <c r="C4886" s="3" t="n">
        <v>16</v>
      </c>
      <c r="D4886" s="3" t="s">
        <v>4890</v>
      </c>
      <c r="E4886" s="4" t="n">
        <v>37</v>
      </c>
    </row>
    <row r="4887" customFormat="false" ht="15" hidden="false" customHeight="false" outlineLevel="0" collapsed="false">
      <c r="A4887" s="3" t="n">
        <v>2025</v>
      </c>
      <c r="B4887" s="3" t="n">
        <v>5</v>
      </c>
      <c r="C4887" s="3" t="n">
        <v>17</v>
      </c>
      <c r="D4887" s="3" t="s">
        <v>4891</v>
      </c>
      <c r="E4887" s="4" t="n">
        <v>10</v>
      </c>
    </row>
    <row r="4888" customFormat="false" ht="15" hidden="false" customHeight="false" outlineLevel="0" collapsed="false">
      <c r="A4888" s="3" t="n">
        <v>2025</v>
      </c>
      <c r="B4888" s="3" t="n">
        <v>5</v>
      </c>
      <c r="C4888" s="3" t="n">
        <v>18</v>
      </c>
      <c r="D4888" s="3" t="s">
        <v>4892</v>
      </c>
      <c r="E4888" s="4" t="n">
        <v>0</v>
      </c>
    </row>
    <row r="4889" customFormat="false" ht="15" hidden="false" customHeight="false" outlineLevel="0" collapsed="false">
      <c r="A4889" s="3" t="n">
        <v>2025</v>
      </c>
      <c r="B4889" s="3" t="n">
        <v>5</v>
      </c>
      <c r="C4889" s="3" t="n">
        <v>19</v>
      </c>
      <c r="D4889" s="3" t="s">
        <v>4893</v>
      </c>
      <c r="E4889" s="4" t="n">
        <v>0</v>
      </c>
    </row>
    <row r="4890" customFormat="false" ht="15" hidden="false" customHeight="false" outlineLevel="0" collapsed="false">
      <c r="A4890" s="3" t="n">
        <v>2025</v>
      </c>
      <c r="B4890" s="3" t="n">
        <v>5</v>
      </c>
      <c r="C4890" s="3" t="n">
        <v>20</v>
      </c>
      <c r="D4890" s="3" t="s">
        <v>4894</v>
      </c>
      <c r="E4890" s="4" t="n">
        <v>0</v>
      </c>
    </row>
    <row r="4891" customFormat="false" ht="15" hidden="false" customHeight="false" outlineLevel="0" collapsed="false">
      <c r="A4891" s="3" t="n">
        <v>2025</v>
      </c>
      <c r="B4891" s="3" t="n">
        <v>5</v>
      </c>
      <c r="C4891" s="3" t="n">
        <v>21</v>
      </c>
      <c r="D4891" s="3" t="s">
        <v>4895</v>
      </c>
      <c r="E4891" s="4" t="n">
        <v>3</v>
      </c>
    </row>
    <row r="4892" customFormat="false" ht="15" hidden="false" customHeight="false" outlineLevel="0" collapsed="false">
      <c r="A4892" s="3" t="n">
        <v>2025</v>
      </c>
      <c r="B4892" s="3" t="n">
        <v>5</v>
      </c>
      <c r="C4892" s="3" t="n">
        <v>22</v>
      </c>
      <c r="D4892" s="3" t="s">
        <v>4896</v>
      </c>
      <c r="E4892" s="4" t="n">
        <v>0</v>
      </c>
    </row>
    <row r="4893" customFormat="false" ht="15" hidden="false" customHeight="false" outlineLevel="0" collapsed="false">
      <c r="A4893" s="3" t="n">
        <v>2025</v>
      </c>
      <c r="B4893" s="3" t="n">
        <v>5</v>
      </c>
      <c r="C4893" s="3" t="n">
        <v>23</v>
      </c>
      <c r="D4893" s="3" t="s">
        <v>4897</v>
      </c>
      <c r="E4893" s="4" t="n">
        <v>4</v>
      </c>
    </row>
    <row r="4894" customFormat="false" ht="15" hidden="false" customHeight="false" outlineLevel="0" collapsed="false">
      <c r="A4894" s="3" t="n">
        <v>2025</v>
      </c>
      <c r="B4894" s="3" t="n">
        <v>5</v>
      </c>
      <c r="C4894" s="3" t="n">
        <v>24</v>
      </c>
      <c r="D4894" s="3" t="s">
        <v>4898</v>
      </c>
      <c r="E4894" s="4" t="n">
        <v>0</v>
      </c>
    </row>
    <row r="4895" customFormat="false" ht="15" hidden="false" customHeight="false" outlineLevel="0" collapsed="false">
      <c r="A4895" s="3" t="n">
        <v>2025</v>
      </c>
      <c r="B4895" s="3" t="n">
        <v>5</v>
      </c>
      <c r="C4895" s="3" t="n">
        <v>25</v>
      </c>
      <c r="D4895" s="3" t="s">
        <v>4899</v>
      </c>
      <c r="E4895" s="4" t="n">
        <v>0</v>
      </c>
    </row>
    <row r="4896" customFormat="false" ht="15" hidden="false" customHeight="false" outlineLevel="0" collapsed="false">
      <c r="A4896" s="3" t="n">
        <v>2025</v>
      </c>
      <c r="B4896" s="3" t="n">
        <v>5</v>
      </c>
      <c r="C4896" s="3" t="n">
        <v>26</v>
      </c>
      <c r="D4896" s="3" t="s">
        <v>4900</v>
      </c>
      <c r="E4896" s="4" t="n">
        <v>0</v>
      </c>
    </row>
    <row r="4897" customFormat="false" ht="15" hidden="false" customHeight="false" outlineLevel="0" collapsed="false">
      <c r="A4897" s="3" t="n">
        <v>2025</v>
      </c>
      <c r="B4897" s="3" t="n">
        <v>5</v>
      </c>
      <c r="C4897" s="3" t="n">
        <v>27</v>
      </c>
      <c r="D4897" s="3" t="s">
        <v>4901</v>
      </c>
      <c r="E4897" s="4" t="n">
        <v>1</v>
      </c>
    </row>
    <row r="4898" customFormat="false" ht="15" hidden="false" customHeight="false" outlineLevel="0" collapsed="false">
      <c r="A4898" s="3" t="n">
        <v>2025</v>
      </c>
      <c r="B4898" s="3" t="n">
        <v>5</v>
      </c>
      <c r="C4898" s="3" t="n">
        <v>28</v>
      </c>
      <c r="D4898" s="3" t="s">
        <v>4902</v>
      </c>
      <c r="E4898" s="4" t="n">
        <v>0</v>
      </c>
    </row>
    <row r="4899" customFormat="false" ht="15" hidden="false" customHeight="false" outlineLevel="0" collapsed="false">
      <c r="A4899" s="3" t="n">
        <v>2025</v>
      </c>
      <c r="B4899" s="3" t="n">
        <v>5</v>
      </c>
      <c r="C4899" s="3" t="n">
        <v>29</v>
      </c>
      <c r="D4899" s="3" t="s">
        <v>4903</v>
      </c>
      <c r="E4899" s="4" t="n">
        <v>5</v>
      </c>
    </row>
    <row r="4900" customFormat="false" ht="15" hidden="false" customHeight="false" outlineLevel="0" collapsed="false">
      <c r="A4900" s="3" t="n">
        <v>2025</v>
      </c>
      <c r="B4900" s="3" t="n">
        <v>5</v>
      </c>
      <c r="C4900" s="3" t="n">
        <v>30</v>
      </c>
      <c r="D4900" s="3" t="s">
        <v>4904</v>
      </c>
      <c r="E4900" s="4" t="n">
        <v>1</v>
      </c>
    </row>
    <row r="4901" customFormat="false" ht="15" hidden="false" customHeight="false" outlineLevel="0" collapsed="false">
      <c r="A4901" s="3" t="n">
        <v>2025</v>
      </c>
      <c r="B4901" s="3" t="n">
        <v>5</v>
      </c>
      <c r="C4901" s="3" t="n">
        <v>31</v>
      </c>
      <c r="D4901" s="3" t="s">
        <v>4905</v>
      </c>
      <c r="E4901" s="4" t="n">
        <v>2</v>
      </c>
    </row>
    <row r="4902" customFormat="false" ht="15" hidden="false" customHeight="false" outlineLevel="0" collapsed="false">
      <c r="A4902" s="3" t="n">
        <v>2025</v>
      </c>
      <c r="B4902" s="3" t="n">
        <v>6</v>
      </c>
      <c r="C4902" s="3" t="n">
        <v>1</v>
      </c>
      <c r="D4902" s="3" t="s">
        <v>4906</v>
      </c>
      <c r="E4902" s="4" t="n">
        <v>0</v>
      </c>
    </row>
    <row r="4903" customFormat="false" ht="15" hidden="false" customHeight="false" outlineLevel="0" collapsed="false">
      <c r="A4903" s="3" t="n">
        <v>2025</v>
      </c>
      <c r="B4903" s="3" t="n">
        <v>6</v>
      </c>
      <c r="C4903" s="3" t="n">
        <v>2</v>
      </c>
      <c r="D4903" s="3" t="s">
        <v>4907</v>
      </c>
      <c r="E4903" s="4" t="n">
        <v>48</v>
      </c>
    </row>
    <row r="4904" customFormat="false" ht="15" hidden="false" customHeight="false" outlineLevel="0" collapsed="false">
      <c r="A4904" s="3" t="n">
        <v>2025</v>
      </c>
      <c r="B4904" s="3" t="n">
        <v>6</v>
      </c>
      <c r="C4904" s="3" t="n">
        <v>3</v>
      </c>
      <c r="D4904" s="3" t="s">
        <v>4908</v>
      </c>
      <c r="E4904" s="4" t="n">
        <v>0</v>
      </c>
    </row>
    <row r="4905" customFormat="false" ht="15" hidden="false" customHeight="false" outlineLevel="0" collapsed="false">
      <c r="A4905" s="3" t="n">
        <v>2025</v>
      </c>
      <c r="B4905" s="3" t="n">
        <v>6</v>
      </c>
      <c r="C4905" s="3" t="n">
        <v>4</v>
      </c>
      <c r="D4905" s="3" t="s">
        <v>4909</v>
      </c>
      <c r="E4905" s="4" t="n">
        <v>0</v>
      </c>
    </row>
    <row r="4906" customFormat="false" ht="15" hidden="false" customHeight="false" outlineLevel="0" collapsed="false">
      <c r="A4906" s="3" t="n">
        <v>2025</v>
      </c>
      <c r="B4906" s="3" t="n">
        <v>6</v>
      </c>
      <c r="C4906" s="3" t="n">
        <v>5</v>
      </c>
      <c r="D4906" s="3" t="s">
        <v>4910</v>
      </c>
      <c r="E4906" s="4" t="n">
        <v>0</v>
      </c>
    </row>
    <row r="4907" customFormat="false" ht="15" hidden="false" customHeight="false" outlineLevel="0" collapsed="false">
      <c r="A4907" s="3" t="n">
        <v>2025</v>
      </c>
      <c r="B4907" s="3" t="n">
        <v>6</v>
      </c>
      <c r="C4907" s="3" t="n">
        <v>6</v>
      </c>
      <c r="D4907" s="3" t="s">
        <v>4911</v>
      </c>
      <c r="E4907" s="4" t="n">
        <v>0</v>
      </c>
    </row>
    <row r="4908" customFormat="false" ht="15" hidden="false" customHeight="false" outlineLevel="0" collapsed="false">
      <c r="A4908" s="3" t="n">
        <v>2025</v>
      </c>
      <c r="B4908" s="3" t="n">
        <v>6</v>
      </c>
      <c r="C4908" s="3" t="n">
        <v>7</v>
      </c>
      <c r="D4908" s="3" t="s">
        <v>4912</v>
      </c>
      <c r="E4908" s="4" t="n">
        <v>1</v>
      </c>
    </row>
    <row r="4909" customFormat="false" ht="15" hidden="false" customHeight="false" outlineLevel="0" collapsed="false">
      <c r="A4909" s="3" t="n">
        <v>2025</v>
      </c>
      <c r="B4909" s="3" t="n">
        <v>6</v>
      </c>
      <c r="C4909" s="3" t="n">
        <v>8</v>
      </c>
      <c r="D4909" s="3" t="s">
        <v>4913</v>
      </c>
      <c r="E4909" s="4" t="n">
        <v>0</v>
      </c>
    </row>
    <row r="4910" customFormat="false" ht="15" hidden="false" customHeight="false" outlineLevel="0" collapsed="false">
      <c r="A4910" s="3" t="n">
        <v>2025</v>
      </c>
      <c r="B4910" s="3" t="n">
        <v>6</v>
      </c>
      <c r="C4910" s="3" t="n">
        <v>9</v>
      </c>
      <c r="D4910" s="3" t="s">
        <v>4914</v>
      </c>
      <c r="E4910" s="4" t="n">
        <v>0</v>
      </c>
    </row>
    <row r="4911" customFormat="false" ht="15" hidden="false" customHeight="false" outlineLevel="0" collapsed="false">
      <c r="A4911" s="3" t="n">
        <v>2025</v>
      </c>
      <c r="B4911" s="3" t="n">
        <v>6</v>
      </c>
      <c r="C4911" s="3" t="n">
        <v>10</v>
      </c>
      <c r="D4911" s="3" t="s">
        <v>4915</v>
      </c>
      <c r="E4911" s="4" t="n">
        <v>0</v>
      </c>
    </row>
    <row r="4912" customFormat="false" ht="15" hidden="false" customHeight="false" outlineLevel="0" collapsed="false">
      <c r="A4912" s="3" t="n">
        <v>2025</v>
      </c>
      <c r="B4912" s="3" t="n">
        <v>6</v>
      </c>
      <c r="C4912" s="3" t="n">
        <v>11</v>
      </c>
      <c r="D4912" s="3" t="s">
        <v>4916</v>
      </c>
      <c r="E4912" s="4" t="n">
        <v>5</v>
      </c>
    </row>
    <row r="4913" customFormat="false" ht="15" hidden="false" customHeight="false" outlineLevel="0" collapsed="false">
      <c r="A4913" s="3" t="n">
        <v>2025</v>
      </c>
      <c r="B4913" s="3" t="n">
        <v>6</v>
      </c>
      <c r="C4913" s="3" t="n">
        <v>12</v>
      </c>
      <c r="D4913" s="3" t="s">
        <v>4917</v>
      </c>
      <c r="E4913" s="4" t="n">
        <v>0</v>
      </c>
    </row>
    <row r="4914" customFormat="false" ht="15" hidden="false" customHeight="false" outlineLevel="0" collapsed="false">
      <c r="A4914" s="3" t="n">
        <v>2025</v>
      </c>
      <c r="B4914" s="3" t="n">
        <v>6</v>
      </c>
      <c r="C4914" s="3" t="n">
        <v>13</v>
      </c>
      <c r="D4914" s="3" t="s">
        <v>4918</v>
      </c>
      <c r="E4914" s="4" t="n">
        <v>0</v>
      </c>
    </row>
    <row r="4915" customFormat="false" ht="15" hidden="false" customHeight="false" outlineLevel="0" collapsed="false">
      <c r="A4915" s="3" t="n">
        <v>2025</v>
      </c>
      <c r="B4915" s="3" t="n">
        <v>6</v>
      </c>
      <c r="C4915" s="3" t="n">
        <v>14</v>
      </c>
      <c r="D4915" s="3" t="s">
        <v>4919</v>
      </c>
      <c r="E4915" s="4" t="n">
        <v>11</v>
      </c>
    </row>
    <row r="4916" customFormat="false" ht="15" hidden="false" customHeight="false" outlineLevel="0" collapsed="false">
      <c r="A4916" s="3" t="n">
        <v>2025</v>
      </c>
      <c r="B4916" s="3" t="n">
        <v>6</v>
      </c>
      <c r="C4916" s="3" t="n">
        <v>15</v>
      </c>
      <c r="D4916" s="3" t="s">
        <v>4920</v>
      </c>
      <c r="E4916" s="4" t="n">
        <v>23</v>
      </c>
    </row>
    <row r="4917" customFormat="false" ht="15" hidden="false" customHeight="false" outlineLevel="0" collapsed="false">
      <c r="A4917" s="3" t="n">
        <v>2025</v>
      </c>
      <c r="B4917" s="3" t="n">
        <v>6</v>
      </c>
      <c r="C4917" s="3" t="n">
        <v>16</v>
      </c>
      <c r="D4917" s="3" t="s">
        <v>4921</v>
      </c>
      <c r="E4917" s="4" t="n">
        <v>0</v>
      </c>
    </row>
    <row r="4918" customFormat="false" ht="15" hidden="false" customHeight="false" outlineLevel="0" collapsed="false">
      <c r="A4918" s="3" t="n">
        <v>2025</v>
      </c>
      <c r="B4918" s="3" t="n">
        <v>6</v>
      </c>
      <c r="C4918" s="3" t="n">
        <v>17</v>
      </c>
      <c r="D4918" s="3" t="s">
        <v>4922</v>
      </c>
      <c r="E4918" s="4" t="n">
        <v>7</v>
      </c>
    </row>
    <row r="4919" customFormat="false" ht="15" hidden="false" customHeight="false" outlineLevel="0" collapsed="false">
      <c r="A4919" s="3" t="n">
        <v>2025</v>
      </c>
      <c r="B4919" s="3" t="n">
        <v>6</v>
      </c>
      <c r="C4919" s="3" t="n">
        <v>18</v>
      </c>
      <c r="D4919" s="3" t="s">
        <v>4923</v>
      </c>
      <c r="E4919" s="4" t="n">
        <v>3</v>
      </c>
    </row>
    <row r="4920" customFormat="false" ht="15" hidden="false" customHeight="false" outlineLevel="0" collapsed="false">
      <c r="A4920" s="3" t="n">
        <v>2025</v>
      </c>
      <c r="B4920" s="3" t="n">
        <v>6</v>
      </c>
      <c r="C4920" s="3" t="n">
        <v>19</v>
      </c>
      <c r="D4920" s="3" t="s">
        <v>4924</v>
      </c>
      <c r="E4920" s="4" t="n">
        <v>52</v>
      </c>
    </row>
    <row r="4921" customFormat="false" ht="15" hidden="false" customHeight="false" outlineLevel="0" collapsed="false">
      <c r="A4921" s="3" t="n">
        <v>2025</v>
      </c>
      <c r="B4921" s="3" t="n">
        <v>6</v>
      </c>
      <c r="C4921" s="3" t="n">
        <v>20</v>
      </c>
      <c r="D4921" s="3" t="s">
        <v>4925</v>
      </c>
      <c r="E4921" s="4" t="n">
        <v>9</v>
      </c>
    </row>
    <row r="4922" customFormat="false" ht="15" hidden="false" customHeight="false" outlineLevel="0" collapsed="false">
      <c r="A4922" s="3" t="n">
        <v>2025</v>
      </c>
      <c r="B4922" s="3" t="n">
        <v>6</v>
      </c>
      <c r="C4922" s="3" t="n">
        <v>21</v>
      </c>
      <c r="D4922" s="3" t="s">
        <v>4926</v>
      </c>
      <c r="E4922" s="4" t="n">
        <v>0</v>
      </c>
    </row>
    <row r="4923" customFormat="false" ht="15" hidden="false" customHeight="false" outlineLevel="0" collapsed="false">
      <c r="A4923" s="3" t="n">
        <v>2025</v>
      </c>
      <c r="B4923" s="3" t="n">
        <v>6</v>
      </c>
      <c r="C4923" s="3" t="n">
        <v>22</v>
      </c>
      <c r="D4923" s="3" t="s">
        <v>4927</v>
      </c>
      <c r="E4923" s="4" t="n">
        <v>0</v>
      </c>
    </row>
    <row r="4924" customFormat="false" ht="15" hidden="false" customHeight="false" outlineLevel="0" collapsed="false">
      <c r="A4924" s="3" t="n">
        <v>2025</v>
      </c>
      <c r="B4924" s="3" t="n">
        <v>6</v>
      </c>
      <c r="C4924" s="3" t="n">
        <v>23</v>
      </c>
      <c r="D4924" s="3" t="s">
        <v>4928</v>
      </c>
      <c r="E4924" s="4" t="n">
        <v>0</v>
      </c>
    </row>
    <row r="4925" customFormat="false" ht="15" hidden="false" customHeight="false" outlineLevel="0" collapsed="false">
      <c r="A4925" s="3" t="n">
        <v>2025</v>
      </c>
      <c r="B4925" s="3" t="n">
        <v>6</v>
      </c>
      <c r="C4925" s="3" t="n">
        <v>24</v>
      </c>
      <c r="D4925" s="3" t="s">
        <v>4929</v>
      </c>
      <c r="E4925" s="4" t="n">
        <v>0</v>
      </c>
    </row>
    <row r="4926" customFormat="false" ht="15" hidden="false" customHeight="false" outlineLevel="0" collapsed="false">
      <c r="A4926" s="3" t="n">
        <v>2025</v>
      </c>
      <c r="B4926" s="3" t="n">
        <v>6</v>
      </c>
      <c r="C4926" s="3" t="n">
        <v>25</v>
      </c>
      <c r="D4926" s="3" t="s">
        <v>4930</v>
      </c>
      <c r="E4926" s="4" t="n">
        <v>0</v>
      </c>
    </row>
    <row r="4927" customFormat="false" ht="15" hidden="false" customHeight="false" outlineLevel="0" collapsed="false">
      <c r="A4927" s="3" t="n">
        <v>2025</v>
      </c>
      <c r="B4927" s="3" t="n">
        <v>6</v>
      </c>
      <c r="C4927" s="3" t="n">
        <v>26</v>
      </c>
      <c r="D4927" s="3" t="s">
        <v>4931</v>
      </c>
      <c r="E4927" s="4" t="n">
        <v>0</v>
      </c>
    </row>
    <row r="4928" customFormat="false" ht="15" hidden="false" customHeight="false" outlineLevel="0" collapsed="false">
      <c r="A4928" s="3" t="n">
        <v>2025</v>
      </c>
      <c r="B4928" s="3" t="n">
        <v>6</v>
      </c>
      <c r="C4928" s="3" t="n">
        <v>27</v>
      </c>
      <c r="D4928" s="3" t="s">
        <v>4932</v>
      </c>
      <c r="E4928" s="4" t="n">
        <v>0</v>
      </c>
    </row>
    <row r="4929" customFormat="false" ht="15" hidden="false" customHeight="false" outlineLevel="0" collapsed="false">
      <c r="A4929" s="3" t="n">
        <v>2025</v>
      </c>
      <c r="B4929" s="3" t="n">
        <v>6</v>
      </c>
      <c r="C4929" s="3" t="n">
        <v>28</v>
      </c>
      <c r="D4929" s="3" t="s">
        <v>4933</v>
      </c>
      <c r="E4929" s="4" t="n">
        <v>7</v>
      </c>
    </row>
    <row r="4930" customFormat="false" ht="15" hidden="false" customHeight="false" outlineLevel="0" collapsed="false">
      <c r="A4930" s="3" t="n">
        <v>2025</v>
      </c>
      <c r="B4930" s="3" t="n">
        <v>6</v>
      </c>
      <c r="C4930" s="3" t="n">
        <v>29</v>
      </c>
      <c r="D4930" s="3" t="s">
        <v>4934</v>
      </c>
      <c r="E4930" s="4" t="n">
        <v>1</v>
      </c>
    </row>
    <row r="4931" customFormat="false" ht="15" hidden="false" customHeight="false" outlineLevel="0" collapsed="false">
      <c r="A4931" s="3" t="n">
        <v>2025</v>
      </c>
      <c r="B4931" s="3" t="n">
        <v>6</v>
      </c>
      <c r="C4931" s="3" t="n">
        <v>30</v>
      </c>
      <c r="D4931" s="3" t="s">
        <v>4935</v>
      </c>
      <c r="E4931" s="4" t="n">
        <v>0</v>
      </c>
    </row>
    <row r="4932" customFormat="false" ht="15" hidden="false" customHeight="false" outlineLevel="0" collapsed="false">
      <c r="A4932" s="3" t="n">
        <v>2025</v>
      </c>
      <c r="B4932" s="3" t="n">
        <v>7</v>
      </c>
      <c r="C4932" s="3" t="n">
        <v>1</v>
      </c>
      <c r="D4932" s="3" t="s">
        <v>4936</v>
      </c>
      <c r="E4932" s="4" t="n">
        <v>0</v>
      </c>
    </row>
    <row r="4933" customFormat="false" ht="15" hidden="false" customHeight="false" outlineLevel="0" collapsed="false">
      <c r="A4933" s="3" t="n">
        <v>2025</v>
      </c>
      <c r="B4933" s="3" t="n">
        <v>7</v>
      </c>
      <c r="C4933" s="3" t="n">
        <v>2</v>
      </c>
      <c r="D4933" s="3" t="s">
        <v>4937</v>
      </c>
      <c r="E4933" s="4" t="n">
        <v>0</v>
      </c>
    </row>
    <row r="4934" customFormat="false" ht="15" hidden="false" customHeight="false" outlineLevel="0" collapsed="false">
      <c r="A4934" s="3" t="n">
        <v>2025</v>
      </c>
      <c r="B4934" s="3" t="n">
        <v>7</v>
      </c>
      <c r="C4934" s="3" t="n">
        <v>3</v>
      </c>
      <c r="D4934" s="3" t="s">
        <v>4938</v>
      </c>
      <c r="E4934" s="4" t="n">
        <v>6</v>
      </c>
    </row>
    <row r="4935" customFormat="false" ht="15" hidden="false" customHeight="false" outlineLevel="0" collapsed="false">
      <c r="A4935" s="3" t="n">
        <v>2025</v>
      </c>
      <c r="B4935" s="3" t="n">
        <v>7</v>
      </c>
      <c r="C4935" s="3" t="n">
        <v>4</v>
      </c>
      <c r="D4935" s="3" t="s">
        <v>4939</v>
      </c>
      <c r="E4935" s="4" t="n">
        <v>8</v>
      </c>
    </row>
    <row r="4936" customFormat="false" ht="15" hidden="false" customHeight="false" outlineLevel="0" collapsed="false">
      <c r="A4936" s="3" t="n">
        <v>2025</v>
      </c>
      <c r="B4936" s="3" t="n">
        <v>7</v>
      </c>
      <c r="C4936" s="3" t="n">
        <v>5</v>
      </c>
      <c r="D4936" s="3" t="s">
        <v>4940</v>
      </c>
      <c r="E4936" s="4" t="n">
        <v>0</v>
      </c>
    </row>
    <row r="4937" customFormat="false" ht="15" hidden="false" customHeight="false" outlineLevel="0" collapsed="false">
      <c r="A4937" s="3" t="n">
        <v>2025</v>
      </c>
      <c r="B4937" s="3" t="n">
        <v>7</v>
      </c>
      <c r="C4937" s="3" t="n">
        <v>6</v>
      </c>
      <c r="D4937" s="3" t="s">
        <v>4941</v>
      </c>
      <c r="E4937" s="4" t="n">
        <v>7</v>
      </c>
    </row>
    <row r="4938" customFormat="false" ht="15" hidden="false" customHeight="false" outlineLevel="0" collapsed="false">
      <c r="A4938" s="3" t="n">
        <v>2025</v>
      </c>
      <c r="B4938" s="3" t="n">
        <v>7</v>
      </c>
      <c r="C4938" s="3" t="n">
        <v>7</v>
      </c>
      <c r="D4938" s="3" t="s">
        <v>4942</v>
      </c>
      <c r="E4938" s="4" t="n">
        <v>0</v>
      </c>
    </row>
    <row r="4939" customFormat="false" ht="15" hidden="false" customHeight="false" outlineLevel="0" collapsed="false">
      <c r="A4939" s="3" t="n">
        <v>2025</v>
      </c>
      <c r="B4939" s="3" t="n">
        <v>7</v>
      </c>
      <c r="C4939" s="3" t="n">
        <v>8</v>
      </c>
      <c r="D4939" s="3" t="s">
        <v>4943</v>
      </c>
      <c r="E4939" s="4" t="n">
        <v>0</v>
      </c>
    </row>
    <row r="4940" customFormat="false" ht="15" hidden="false" customHeight="false" outlineLevel="0" collapsed="false">
      <c r="A4940" s="3" t="n">
        <v>2025</v>
      </c>
      <c r="B4940" s="3" t="n">
        <v>7</v>
      </c>
      <c r="C4940" s="3" t="n">
        <v>9</v>
      </c>
      <c r="D4940" s="3" t="s">
        <v>4944</v>
      </c>
      <c r="E4940" s="4" t="n">
        <v>0</v>
      </c>
    </row>
    <row r="4941" customFormat="false" ht="15" hidden="false" customHeight="false" outlineLevel="0" collapsed="false">
      <c r="A4941" s="3" t="n">
        <v>2025</v>
      </c>
      <c r="B4941" s="3" t="n">
        <v>7</v>
      </c>
      <c r="C4941" s="3" t="n">
        <v>10</v>
      </c>
      <c r="D4941" s="3" t="s">
        <v>4945</v>
      </c>
      <c r="E4941" s="4" t="n">
        <v>25</v>
      </c>
    </row>
    <row r="4942" customFormat="false" ht="15" hidden="false" customHeight="false" outlineLevel="0" collapsed="false">
      <c r="A4942" s="3" t="n">
        <v>2025</v>
      </c>
      <c r="B4942" s="3" t="n">
        <v>7</v>
      </c>
      <c r="C4942" s="3" t="n">
        <v>11</v>
      </c>
      <c r="D4942" s="3" t="s">
        <v>4946</v>
      </c>
      <c r="E4942" s="4" t="n">
        <v>13</v>
      </c>
    </row>
    <row r="4943" customFormat="false" ht="15" hidden="false" customHeight="false" outlineLevel="0" collapsed="false">
      <c r="A4943" s="3" t="n">
        <v>2025</v>
      </c>
      <c r="B4943" s="3" t="n">
        <v>7</v>
      </c>
      <c r="C4943" s="3" t="n">
        <v>12</v>
      </c>
      <c r="D4943" s="3" t="s">
        <v>4947</v>
      </c>
      <c r="E4943" s="4" t="n">
        <v>0</v>
      </c>
    </row>
    <row r="4944" customFormat="false" ht="15" hidden="false" customHeight="false" outlineLevel="0" collapsed="false">
      <c r="A4944" s="3" t="n">
        <v>2025</v>
      </c>
      <c r="B4944" s="3" t="n">
        <v>7</v>
      </c>
      <c r="C4944" s="3" t="n">
        <v>13</v>
      </c>
      <c r="D4944" s="3" t="s">
        <v>4948</v>
      </c>
      <c r="E4944" s="4" t="n">
        <v>67</v>
      </c>
    </row>
    <row r="4945" customFormat="false" ht="15" hidden="false" customHeight="false" outlineLevel="0" collapsed="false">
      <c r="A4945" s="3" t="n">
        <v>2025</v>
      </c>
      <c r="B4945" s="3" t="n">
        <v>7</v>
      </c>
      <c r="C4945" s="3" t="n">
        <v>14</v>
      </c>
      <c r="D4945" s="3" t="s">
        <v>4949</v>
      </c>
      <c r="E4945" s="4" t="n">
        <v>1</v>
      </c>
    </row>
    <row r="4946" customFormat="false" ht="15" hidden="false" customHeight="false" outlineLevel="0" collapsed="false">
      <c r="A4946" s="3" t="n">
        <v>2025</v>
      </c>
      <c r="B4946" s="3" t="n">
        <v>7</v>
      </c>
      <c r="C4946" s="3" t="n">
        <v>15</v>
      </c>
      <c r="D4946" s="3" t="s">
        <v>4950</v>
      </c>
      <c r="E4946" s="4" t="n">
        <v>0</v>
      </c>
    </row>
    <row r="4947" customFormat="false" ht="15" hidden="false" customHeight="false" outlineLevel="0" collapsed="false">
      <c r="A4947" s="3" t="n">
        <v>2025</v>
      </c>
      <c r="B4947" s="3" t="n">
        <v>7</v>
      </c>
      <c r="C4947" s="3" t="n">
        <v>16</v>
      </c>
      <c r="D4947" s="3" t="s">
        <v>4951</v>
      </c>
      <c r="E4947" s="4" t="n">
        <v>10</v>
      </c>
    </row>
    <row r="4948" customFormat="false" ht="15" hidden="false" customHeight="false" outlineLevel="0" collapsed="false">
      <c r="A4948" s="3" t="n">
        <v>2025</v>
      </c>
      <c r="B4948" s="3" t="n">
        <v>7</v>
      </c>
      <c r="C4948" s="3" t="n">
        <v>17</v>
      </c>
      <c r="D4948" s="3" t="s">
        <v>4952</v>
      </c>
      <c r="E4948" s="4" t="n">
        <v>0</v>
      </c>
    </row>
    <row r="4949" customFormat="false" ht="15" hidden="false" customHeight="false" outlineLevel="0" collapsed="false">
      <c r="A4949" s="3" t="n">
        <v>2025</v>
      </c>
      <c r="B4949" s="3" t="n">
        <v>7</v>
      </c>
      <c r="C4949" s="3" t="n">
        <v>18</v>
      </c>
      <c r="D4949" s="3" t="s">
        <v>4953</v>
      </c>
      <c r="E4949" s="4" t="n">
        <v>14</v>
      </c>
    </row>
    <row r="4950" customFormat="false" ht="15" hidden="false" customHeight="false" outlineLevel="0" collapsed="false">
      <c r="A4950" s="3" t="n">
        <v>2025</v>
      </c>
      <c r="B4950" s="3" t="n">
        <v>7</v>
      </c>
      <c r="C4950" s="3" t="n">
        <v>19</v>
      </c>
      <c r="D4950" s="3" t="s">
        <v>4954</v>
      </c>
      <c r="E4950" s="4" t="n">
        <v>0</v>
      </c>
    </row>
    <row r="4951" customFormat="false" ht="15" hidden="false" customHeight="false" outlineLevel="0" collapsed="false">
      <c r="A4951" s="3" t="n">
        <v>2025</v>
      </c>
      <c r="B4951" s="3" t="n">
        <v>7</v>
      </c>
      <c r="C4951" s="3" t="n">
        <v>20</v>
      </c>
      <c r="D4951" s="3" t="s">
        <v>4955</v>
      </c>
      <c r="E4951" s="4" t="n">
        <v>0</v>
      </c>
    </row>
    <row r="4952" customFormat="false" ht="15" hidden="false" customHeight="false" outlineLevel="0" collapsed="false">
      <c r="A4952" s="3" t="n">
        <v>2025</v>
      </c>
      <c r="B4952" s="3" t="n">
        <v>7</v>
      </c>
      <c r="C4952" s="3" t="n">
        <v>21</v>
      </c>
      <c r="D4952" s="3" t="s">
        <v>4956</v>
      </c>
      <c r="E4952" s="4" t="n">
        <v>0</v>
      </c>
    </row>
    <row r="4953" customFormat="false" ht="15" hidden="false" customHeight="false" outlineLevel="0" collapsed="false">
      <c r="A4953" s="3" t="n">
        <v>2025</v>
      </c>
      <c r="B4953" s="3" t="n">
        <v>7</v>
      </c>
      <c r="C4953" s="3" t="n">
        <v>22</v>
      </c>
      <c r="D4953" s="3" t="s">
        <v>4957</v>
      </c>
      <c r="E4953" s="4" t="n">
        <v>0</v>
      </c>
    </row>
    <row r="4954" customFormat="false" ht="15" hidden="false" customHeight="false" outlineLevel="0" collapsed="false">
      <c r="A4954" s="3" t="n">
        <v>2025</v>
      </c>
      <c r="B4954" s="3" t="n">
        <v>7</v>
      </c>
      <c r="C4954" s="3" t="n">
        <v>23</v>
      </c>
      <c r="D4954" s="3" t="s">
        <v>4958</v>
      </c>
      <c r="E4954" s="4" t="n">
        <v>0</v>
      </c>
    </row>
    <row r="4955" customFormat="false" ht="15" hidden="false" customHeight="false" outlineLevel="0" collapsed="false">
      <c r="A4955" s="3" t="n">
        <v>2025</v>
      </c>
      <c r="B4955" s="3" t="n">
        <v>7</v>
      </c>
      <c r="C4955" s="3" t="n">
        <v>24</v>
      </c>
      <c r="D4955" s="3" t="s">
        <v>4959</v>
      </c>
      <c r="E4955" s="4" t="n">
        <v>0</v>
      </c>
    </row>
    <row r="4956" customFormat="false" ht="15" hidden="false" customHeight="false" outlineLevel="0" collapsed="false">
      <c r="A4956" s="3" t="n">
        <v>2025</v>
      </c>
      <c r="B4956" s="3" t="n">
        <v>7</v>
      </c>
      <c r="C4956" s="3" t="n">
        <v>25</v>
      </c>
      <c r="D4956" s="3" t="s">
        <v>4960</v>
      </c>
      <c r="E4956" s="4" t="n">
        <v>0</v>
      </c>
    </row>
    <row r="4957" customFormat="false" ht="15" hidden="false" customHeight="false" outlineLevel="0" collapsed="false">
      <c r="A4957" s="3" t="n">
        <v>2025</v>
      </c>
      <c r="B4957" s="3" t="n">
        <v>7</v>
      </c>
      <c r="C4957" s="3" t="n">
        <v>26</v>
      </c>
      <c r="D4957" s="3" t="s">
        <v>4961</v>
      </c>
      <c r="E4957" s="4" t="n">
        <v>0</v>
      </c>
    </row>
    <row r="4958" customFormat="false" ht="15" hidden="false" customHeight="false" outlineLevel="0" collapsed="false">
      <c r="A4958" s="3" t="n">
        <v>2025</v>
      </c>
      <c r="B4958" s="3" t="n">
        <v>7</v>
      </c>
      <c r="C4958" s="3" t="n">
        <v>27</v>
      </c>
      <c r="D4958" s="3" t="s">
        <v>4962</v>
      </c>
      <c r="E4958" s="4" t="n">
        <v>8</v>
      </c>
    </row>
    <row r="4959" customFormat="false" ht="15" hidden="false" customHeight="false" outlineLevel="0" collapsed="false">
      <c r="A4959" s="3" t="n">
        <v>2025</v>
      </c>
      <c r="B4959" s="3" t="n">
        <v>7</v>
      </c>
      <c r="C4959" s="3" t="n">
        <v>28</v>
      </c>
      <c r="D4959" s="3" t="s">
        <v>4963</v>
      </c>
      <c r="E4959" s="4" t="n">
        <v>0</v>
      </c>
    </row>
    <row r="4960" customFormat="false" ht="15" hidden="false" customHeight="false" outlineLevel="0" collapsed="false">
      <c r="A4960" s="3" t="n">
        <v>2025</v>
      </c>
      <c r="B4960" s="3" t="n">
        <v>7</v>
      </c>
      <c r="C4960" s="3" t="n">
        <v>29</v>
      </c>
      <c r="D4960" s="3" t="s">
        <v>4964</v>
      </c>
      <c r="E4960" s="4" t="n">
        <v>0</v>
      </c>
    </row>
    <row r="4961" customFormat="false" ht="15" hidden="false" customHeight="false" outlineLevel="0" collapsed="false">
      <c r="A4961" s="3" t="n">
        <v>2025</v>
      </c>
      <c r="B4961" s="3" t="n">
        <v>7</v>
      </c>
      <c r="C4961" s="3" t="n">
        <v>30</v>
      </c>
      <c r="D4961" s="3" t="s">
        <v>4965</v>
      </c>
      <c r="E4961" s="4" t="n">
        <v>0</v>
      </c>
    </row>
    <row r="4962" customFormat="false" ht="15" hidden="false" customHeight="false" outlineLevel="0" collapsed="false">
      <c r="A4962" s="3" t="n">
        <v>2025</v>
      </c>
      <c r="B4962" s="3" t="n">
        <v>7</v>
      </c>
      <c r="C4962" s="3" t="n">
        <v>31</v>
      </c>
      <c r="D4962" s="3" t="s">
        <v>4966</v>
      </c>
      <c r="E4962" s="4" t="n">
        <v>0</v>
      </c>
    </row>
    <row r="4963" customFormat="false" ht="15" hidden="false" customHeight="false" outlineLevel="0" collapsed="false">
      <c r="A4963" s="3" t="n">
        <v>2025</v>
      </c>
      <c r="B4963" s="3" t="n">
        <v>8</v>
      </c>
      <c r="C4963" s="3" t="n">
        <v>1</v>
      </c>
      <c r="D4963" s="3" t="s">
        <v>4967</v>
      </c>
      <c r="E4963" s="4" t="n">
        <v>0</v>
      </c>
    </row>
    <row r="4964" customFormat="false" ht="15" hidden="false" customHeight="false" outlineLevel="0" collapsed="false">
      <c r="A4964" s="3" t="n">
        <v>2025</v>
      </c>
      <c r="B4964" s="3" t="n">
        <v>8</v>
      </c>
      <c r="C4964" s="3" t="n">
        <v>2</v>
      </c>
      <c r="D4964" s="3" t="s">
        <v>4968</v>
      </c>
      <c r="E4964" s="4" t="n">
        <v>58</v>
      </c>
    </row>
    <row r="4965" customFormat="false" ht="15" hidden="false" customHeight="false" outlineLevel="0" collapsed="false">
      <c r="A4965" s="3" t="n">
        <v>2025</v>
      </c>
      <c r="B4965" s="3" t="n">
        <v>8</v>
      </c>
      <c r="C4965" s="3" t="n">
        <v>3</v>
      </c>
      <c r="D4965" s="3" t="s">
        <v>4969</v>
      </c>
      <c r="E4965" s="4" t="n">
        <v>63</v>
      </c>
    </row>
    <row r="4966" customFormat="false" ht="15" hidden="false" customHeight="false" outlineLevel="0" collapsed="false">
      <c r="A4966" s="3" t="n">
        <v>2025</v>
      </c>
      <c r="B4966" s="3" t="n">
        <v>8</v>
      </c>
      <c r="C4966" s="3" t="n">
        <v>4</v>
      </c>
      <c r="D4966" s="3" t="s">
        <v>4970</v>
      </c>
      <c r="E4966" s="4" t="n">
        <v>67</v>
      </c>
    </row>
    <row r="4967" customFormat="false" ht="15" hidden="false" customHeight="false" outlineLevel="0" collapsed="false">
      <c r="A4967" s="3" t="n">
        <v>2025</v>
      </c>
      <c r="B4967" s="3" t="n">
        <v>8</v>
      </c>
      <c r="C4967" s="3" t="n">
        <v>5</v>
      </c>
      <c r="D4967" s="3" t="s">
        <v>4971</v>
      </c>
      <c r="E4967" s="4" t="n">
        <v>0</v>
      </c>
    </row>
    <row r="4968" customFormat="false" ht="15" hidden="false" customHeight="false" outlineLevel="0" collapsed="false">
      <c r="A4968" s="3" t="n">
        <v>2025</v>
      </c>
      <c r="B4968" s="3" t="n">
        <v>8</v>
      </c>
      <c r="C4968" s="3" t="n">
        <v>6</v>
      </c>
      <c r="D4968" s="3" t="s">
        <v>4972</v>
      </c>
      <c r="E4968" s="4" t="n">
        <v>0</v>
      </c>
    </row>
    <row r="4969" customFormat="false" ht="15" hidden="false" customHeight="false" outlineLevel="0" collapsed="false">
      <c r="A4969" s="3" t="n">
        <v>2025</v>
      </c>
      <c r="B4969" s="3" t="n">
        <v>8</v>
      </c>
      <c r="C4969" s="3" t="n">
        <v>7</v>
      </c>
      <c r="D4969" s="3" t="s">
        <v>4973</v>
      </c>
      <c r="E4969" s="4" t="n">
        <v>25</v>
      </c>
    </row>
    <row r="4970" customFormat="false" ht="15" hidden="false" customHeight="false" outlineLevel="0" collapsed="false">
      <c r="A4970" s="3" t="n">
        <v>2025</v>
      </c>
      <c r="B4970" s="3" t="n">
        <v>8</v>
      </c>
      <c r="C4970" s="3" t="n">
        <v>8</v>
      </c>
      <c r="D4970" s="3" t="s">
        <v>4974</v>
      </c>
      <c r="E4970" s="4" t="n">
        <v>1</v>
      </c>
    </row>
    <row r="4971" customFormat="false" ht="15" hidden="false" customHeight="false" outlineLevel="0" collapsed="false">
      <c r="A4971" s="3" t="n">
        <v>2025</v>
      </c>
      <c r="B4971" s="3" t="n">
        <v>8</v>
      </c>
      <c r="C4971" s="3" t="n">
        <v>9</v>
      </c>
      <c r="D4971" s="3" t="s">
        <v>4975</v>
      </c>
      <c r="E4971" s="4" t="n">
        <v>1</v>
      </c>
    </row>
    <row r="4972" customFormat="false" ht="15" hidden="false" customHeight="false" outlineLevel="0" collapsed="false">
      <c r="A4972" s="3" t="n">
        <v>2025</v>
      </c>
      <c r="B4972" s="3" t="n">
        <v>8</v>
      </c>
      <c r="C4972" s="3" t="n">
        <v>10</v>
      </c>
      <c r="D4972" s="3" t="s">
        <v>4976</v>
      </c>
      <c r="E4972" s="4" t="n">
        <v>5</v>
      </c>
    </row>
    <row r="4973" customFormat="false" ht="15" hidden="false" customHeight="false" outlineLevel="0" collapsed="false">
      <c r="A4973" s="3" t="n">
        <v>2025</v>
      </c>
      <c r="B4973" s="3" t="n">
        <v>8</v>
      </c>
      <c r="C4973" s="3" t="n">
        <v>11</v>
      </c>
      <c r="D4973" s="3" t="s">
        <v>4977</v>
      </c>
      <c r="E4973" s="4" t="n">
        <v>12</v>
      </c>
    </row>
    <row r="4974" customFormat="false" ht="15" hidden="false" customHeight="false" outlineLevel="0" collapsed="false">
      <c r="A4974" s="3" t="n">
        <v>2025</v>
      </c>
      <c r="B4974" s="3" t="n">
        <v>8</v>
      </c>
      <c r="C4974" s="3" t="n">
        <v>12</v>
      </c>
      <c r="D4974" s="3" t="s">
        <v>4978</v>
      </c>
      <c r="E4974" s="4" t="n">
        <v>38</v>
      </c>
    </row>
    <row r="4975" customFormat="false" ht="15" hidden="false" customHeight="false" outlineLevel="0" collapsed="false">
      <c r="A4975" s="3" t="n">
        <v>2025</v>
      </c>
      <c r="B4975" s="3" t="n">
        <v>8</v>
      </c>
      <c r="C4975" s="3" t="n">
        <v>13</v>
      </c>
      <c r="D4975" s="3" t="s">
        <v>4979</v>
      </c>
      <c r="E4975" s="4" t="n">
        <v>1</v>
      </c>
    </row>
    <row r="4976" customFormat="false" ht="15" hidden="false" customHeight="false" outlineLevel="0" collapsed="false">
      <c r="A4976" s="3" t="n">
        <v>2025</v>
      </c>
      <c r="B4976" s="3" t="n">
        <v>8</v>
      </c>
      <c r="C4976" s="3" t="n">
        <v>14</v>
      </c>
      <c r="D4976" s="3" t="s">
        <v>4980</v>
      </c>
      <c r="E4976" s="4" t="n">
        <v>21</v>
      </c>
    </row>
    <row r="4977" customFormat="false" ht="15" hidden="false" customHeight="false" outlineLevel="0" collapsed="false">
      <c r="A4977" s="3" t="n">
        <v>2025</v>
      </c>
      <c r="B4977" s="3" t="n">
        <v>8</v>
      </c>
      <c r="C4977" s="3" t="n">
        <v>15</v>
      </c>
      <c r="D4977" s="3" t="s">
        <v>4981</v>
      </c>
      <c r="E4977" s="4" t="n">
        <v>1</v>
      </c>
    </row>
    <row r="4978" customFormat="false" ht="15" hidden="false" customHeight="false" outlineLevel="0" collapsed="false">
      <c r="A4978" s="3" t="n">
        <v>2025</v>
      </c>
      <c r="B4978" s="3" t="n">
        <v>8</v>
      </c>
      <c r="C4978" s="3" t="n">
        <v>16</v>
      </c>
      <c r="D4978" s="3" t="s">
        <v>4982</v>
      </c>
      <c r="E4978" s="4" t="n">
        <v>0</v>
      </c>
    </row>
    <row r="4979" customFormat="false" ht="15" hidden="false" customHeight="false" outlineLevel="0" collapsed="false">
      <c r="A4979" s="3" t="n">
        <v>2025</v>
      </c>
      <c r="B4979" s="3" t="n">
        <v>8</v>
      </c>
      <c r="C4979" s="3" t="n">
        <v>17</v>
      </c>
      <c r="D4979" s="3" t="s">
        <v>4983</v>
      </c>
      <c r="E4979" s="4" t="n">
        <v>1</v>
      </c>
    </row>
    <row r="4980" customFormat="false" ht="15" hidden="false" customHeight="false" outlineLevel="0" collapsed="false">
      <c r="A4980" s="3" t="n">
        <v>2025</v>
      </c>
      <c r="B4980" s="3" t="n">
        <v>8</v>
      </c>
      <c r="C4980" s="3" t="n">
        <v>18</v>
      </c>
      <c r="D4980" s="3" t="s">
        <v>4984</v>
      </c>
      <c r="E4980" s="4" t="n">
        <v>0</v>
      </c>
    </row>
    <row r="4981" customFormat="false" ht="15" hidden="false" customHeight="false" outlineLevel="0" collapsed="false">
      <c r="A4981" s="3" t="n">
        <v>2025</v>
      </c>
      <c r="B4981" s="3" t="n">
        <v>8</v>
      </c>
      <c r="C4981" s="3" t="n">
        <v>19</v>
      </c>
      <c r="D4981" s="3" t="s">
        <v>4985</v>
      </c>
      <c r="E4981" s="4" t="n">
        <v>26</v>
      </c>
    </row>
    <row r="4982" customFormat="false" ht="15" hidden="false" customHeight="false" outlineLevel="0" collapsed="false">
      <c r="A4982" s="3" t="n">
        <v>2025</v>
      </c>
      <c r="B4982" s="3" t="n">
        <v>8</v>
      </c>
      <c r="C4982" s="3" t="n">
        <v>20</v>
      </c>
      <c r="D4982" s="3" t="s">
        <v>4986</v>
      </c>
      <c r="E4982" s="4" t="n">
        <v>1</v>
      </c>
    </row>
    <row r="4983" customFormat="false" ht="15" hidden="false" customHeight="false" outlineLevel="0" collapsed="false">
      <c r="A4983" s="3" t="n">
        <v>2025</v>
      </c>
      <c r="B4983" s="3" t="n">
        <v>8</v>
      </c>
      <c r="C4983" s="3" t="n">
        <v>21</v>
      </c>
      <c r="D4983" s="3" t="s">
        <v>4987</v>
      </c>
      <c r="E4983" s="4" t="n">
        <v>3</v>
      </c>
    </row>
    <row r="4984" customFormat="false" ht="15" hidden="false" customHeight="false" outlineLevel="0" collapsed="false">
      <c r="A4984" s="3" t="n">
        <v>2025</v>
      </c>
      <c r="B4984" s="3" t="n">
        <v>8</v>
      </c>
      <c r="C4984" s="3" t="n">
        <v>22</v>
      </c>
      <c r="D4984" s="3" t="s">
        <v>4988</v>
      </c>
      <c r="E4984" s="4" t="n">
        <v>7</v>
      </c>
    </row>
    <row r="4985" customFormat="false" ht="15" hidden="false" customHeight="false" outlineLevel="0" collapsed="false">
      <c r="A4985" s="3" t="n">
        <v>2025</v>
      </c>
      <c r="B4985" s="3" t="n">
        <v>8</v>
      </c>
      <c r="C4985" s="3" t="n">
        <v>23</v>
      </c>
      <c r="D4985" s="3" t="s">
        <v>4989</v>
      </c>
      <c r="E4985" s="4" t="n">
        <v>0</v>
      </c>
    </row>
    <row r="4986" customFormat="false" ht="15" hidden="false" customHeight="false" outlineLevel="0" collapsed="false">
      <c r="A4986" s="3" t="n">
        <v>2025</v>
      </c>
      <c r="B4986" s="3" t="n">
        <v>8</v>
      </c>
      <c r="C4986" s="3" t="n">
        <v>24</v>
      </c>
      <c r="D4986" s="3" t="s">
        <v>4990</v>
      </c>
      <c r="E4986" s="4" t="n">
        <v>19</v>
      </c>
    </row>
    <row r="4987" customFormat="false" ht="15" hidden="false" customHeight="false" outlineLevel="0" collapsed="false">
      <c r="A4987" s="3" t="n">
        <v>2025</v>
      </c>
      <c r="B4987" s="3" t="n">
        <v>8</v>
      </c>
      <c r="C4987" s="3" t="n">
        <v>25</v>
      </c>
      <c r="D4987" s="3" t="s">
        <v>4991</v>
      </c>
      <c r="E4987" s="4" t="n">
        <v>35</v>
      </c>
    </row>
    <row r="4988" customFormat="false" ht="15" hidden="false" customHeight="false" outlineLevel="0" collapsed="false">
      <c r="A4988" s="3" t="n">
        <v>2025</v>
      </c>
      <c r="B4988" s="3" t="n">
        <v>8</v>
      </c>
      <c r="C4988" s="3" t="n">
        <v>26</v>
      </c>
      <c r="D4988" s="3" t="s">
        <v>4992</v>
      </c>
      <c r="E4988" s="4" t="n">
        <v>0</v>
      </c>
    </row>
    <row r="4989" customFormat="false" ht="15" hidden="false" customHeight="false" outlineLevel="0" collapsed="false">
      <c r="A4989" s="3" t="n">
        <v>2025</v>
      </c>
      <c r="B4989" s="3" t="n">
        <v>8</v>
      </c>
      <c r="C4989" s="3" t="n">
        <v>27</v>
      </c>
      <c r="D4989" s="3" t="s">
        <v>4993</v>
      </c>
      <c r="E4989" s="4" t="n">
        <v>0</v>
      </c>
    </row>
    <row r="4990" customFormat="false" ht="15" hidden="false" customHeight="false" outlineLevel="0" collapsed="false">
      <c r="A4990" s="3" t="n">
        <v>2025</v>
      </c>
      <c r="B4990" s="3" t="n">
        <v>8</v>
      </c>
      <c r="C4990" s="3" t="n">
        <v>28</v>
      </c>
      <c r="D4990" s="3" t="s">
        <v>4994</v>
      </c>
      <c r="E4990" s="4" t="n">
        <v>0</v>
      </c>
    </row>
    <row r="4991" customFormat="false" ht="15" hidden="false" customHeight="false" outlineLevel="0" collapsed="false">
      <c r="A4991" s="3" t="n">
        <v>2025</v>
      </c>
      <c r="B4991" s="3" t="n">
        <v>8</v>
      </c>
      <c r="C4991" s="3" t="n">
        <v>29</v>
      </c>
      <c r="D4991" s="3" t="s">
        <v>4995</v>
      </c>
      <c r="E4991" s="4" t="n">
        <v>0</v>
      </c>
    </row>
    <row r="4992" customFormat="false" ht="15" hidden="false" customHeight="false" outlineLevel="0" collapsed="false">
      <c r="A4992" s="3" t="n">
        <v>2025</v>
      </c>
      <c r="B4992" s="3" t="n">
        <v>8</v>
      </c>
      <c r="C4992" s="3" t="n">
        <v>30</v>
      </c>
      <c r="D4992" s="3" t="s">
        <v>4996</v>
      </c>
      <c r="E4992" s="4" t="n">
        <v>2</v>
      </c>
    </row>
    <row r="4993" customFormat="false" ht="15" hidden="false" customHeight="false" outlineLevel="0" collapsed="false">
      <c r="A4993" s="3" t="n">
        <v>2025</v>
      </c>
      <c r="B4993" s="3" t="n">
        <v>8</v>
      </c>
      <c r="C4993" s="3" t="n">
        <v>31</v>
      </c>
      <c r="D4993" s="3" t="s">
        <v>4997</v>
      </c>
      <c r="E4993" s="4" t="n">
        <v>5</v>
      </c>
    </row>
    <row r="4994" customFormat="false" ht="15" hidden="false" customHeight="false" outlineLevel="0" collapsed="false">
      <c r="A4994" s="3" t="n">
        <v>2025</v>
      </c>
      <c r="B4994" s="3" t="n">
        <v>9</v>
      </c>
      <c r="C4994" s="3" t="n">
        <v>1</v>
      </c>
      <c r="D4994" s="3" t="s">
        <v>4998</v>
      </c>
      <c r="E4994" s="4" t="n">
        <v>16</v>
      </c>
    </row>
    <row r="4995" customFormat="false" ht="15" hidden="false" customHeight="false" outlineLevel="0" collapsed="false">
      <c r="A4995" s="3" t="n">
        <v>2025</v>
      </c>
      <c r="B4995" s="3" t="n">
        <v>9</v>
      </c>
      <c r="C4995" s="3" t="n">
        <v>2</v>
      </c>
      <c r="D4995" s="3" t="s">
        <v>4999</v>
      </c>
      <c r="E4995" s="4" t="n">
        <v>35</v>
      </c>
    </row>
    <row r="4996" customFormat="false" ht="15" hidden="false" customHeight="false" outlineLevel="0" collapsed="false">
      <c r="A4996" s="3" t="n">
        <v>2025</v>
      </c>
      <c r="B4996" s="3" t="n">
        <v>9</v>
      </c>
      <c r="C4996" s="3" t="n">
        <v>3</v>
      </c>
      <c r="D4996" s="3" t="s">
        <v>5000</v>
      </c>
      <c r="E4996" s="4" t="n">
        <v>0</v>
      </c>
    </row>
    <row r="4997" customFormat="false" ht="15" hidden="false" customHeight="false" outlineLevel="0" collapsed="false">
      <c r="A4997" s="3" t="n">
        <v>2025</v>
      </c>
      <c r="B4997" s="3" t="n">
        <v>9</v>
      </c>
      <c r="C4997" s="3" t="n">
        <v>4</v>
      </c>
      <c r="D4997" s="3" t="s">
        <v>5001</v>
      </c>
      <c r="E4997" s="4" t="n">
        <v>3</v>
      </c>
    </row>
    <row r="4998" customFormat="false" ht="15" hidden="false" customHeight="false" outlineLevel="0" collapsed="false">
      <c r="A4998" s="3" t="n">
        <v>2025</v>
      </c>
      <c r="B4998" s="3" t="n">
        <v>9</v>
      </c>
      <c r="C4998" s="3" t="n">
        <v>5</v>
      </c>
      <c r="D4998" s="3" t="s">
        <v>5002</v>
      </c>
      <c r="E4998" s="4" t="n">
        <v>13</v>
      </c>
    </row>
    <row r="4999" customFormat="false" ht="15" hidden="false" customHeight="false" outlineLevel="0" collapsed="false">
      <c r="A4999" s="3" t="n">
        <v>2025</v>
      </c>
      <c r="B4999" s="3" t="n">
        <v>9</v>
      </c>
      <c r="C4999" s="3" t="n">
        <v>6</v>
      </c>
      <c r="D4999" s="3" t="s">
        <v>5003</v>
      </c>
      <c r="E4999" s="4" t="n">
        <v>89</v>
      </c>
    </row>
    <row r="5000" customFormat="false" ht="15" hidden="false" customHeight="false" outlineLevel="0" collapsed="false">
      <c r="A5000" s="3" t="n">
        <v>2025</v>
      </c>
      <c r="B5000" s="3" t="n">
        <v>9</v>
      </c>
      <c r="C5000" s="3" t="n">
        <v>7</v>
      </c>
      <c r="D5000" s="3" t="s">
        <v>5004</v>
      </c>
      <c r="E5000" s="4" t="n">
        <v>1</v>
      </c>
    </row>
    <row r="5001" customFormat="false" ht="15" hidden="false" customHeight="false" outlineLevel="0" collapsed="false">
      <c r="A5001" s="3" t="n">
        <v>2025</v>
      </c>
      <c r="B5001" s="3" t="n">
        <v>9</v>
      </c>
      <c r="C5001" s="3" t="n">
        <v>8</v>
      </c>
      <c r="D5001" s="3" t="s">
        <v>5005</v>
      </c>
      <c r="E5001" s="4" t="n">
        <v>0</v>
      </c>
    </row>
    <row r="5002" customFormat="false" ht="15" hidden="false" customHeight="false" outlineLevel="0" collapsed="false">
      <c r="A5002" s="3" t="n">
        <v>2025</v>
      </c>
      <c r="B5002" s="3" t="n">
        <v>9</v>
      </c>
      <c r="C5002" s="3" t="n">
        <v>9</v>
      </c>
      <c r="D5002" s="3" t="s">
        <v>5006</v>
      </c>
      <c r="E5002" s="4" t="n">
        <v>12</v>
      </c>
    </row>
    <row r="5003" customFormat="false" ht="15" hidden="false" customHeight="false" outlineLevel="0" collapsed="false">
      <c r="A5003" s="3" t="n">
        <v>2025</v>
      </c>
      <c r="B5003" s="3" t="n">
        <v>9</v>
      </c>
      <c r="C5003" s="3" t="n">
        <v>10</v>
      </c>
      <c r="D5003" s="3" t="s">
        <v>5007</v>
      </c>
      <c r="E5003" s="4" t="n">
        <v>7</v>
      </c>
    </row>
    <row r="5004" customFormat="false" ht="15" hidden="false" customHeight="false" outlineLevel="0" collapsed="false">
      <c r="A5004" s="3" t="n">
        <v>2025</v>
      </c>
      <c r="B5004" s="3" t="n">
        <v>9</v>
      </c>
      <c r="C5004" s="3" t="n">
        <v>11</v>
      </c>
      <c r="D5004" s="3" t="s">
        <v>5008</v>
      </c>
      <c r="E5004" s="4" t="n">
        <v>8</v>
      </c>
    </row>
    <row r="5005" customFormat="false" ht="15" hidden="false" customHeight="false" outlineLevel="0" collapsed="false">
      <c r="A5005" s="3" t="n">
        <v>2025</v>
      </c>
      <c r="B5005" s="3" t="n">
        <v>9</v>
      </c>
      <c r="C5005" s="3" t="n">
        <v>12</v>
      </c>
      <c r="D5005" s="3" t="s">
        <v>5009</v>
      </c>
      <c r="E5005" s="4" t="n">
        <v>16</v>
      </c>
    </row>
    <row r="5006" customFormat="false" ht="15" hidden="false" customHeight="false" outlineLevel="0" collapsed="false">
      <c r="A5006" s="3" t="n">
        <v>2025</v>
      </c>
      <c r="B5006" s="3" t="n">
        <v>9</v>
      </c>
      <c r="C5006" s="3" t="n">
        <v>13</v>
      </c>
      <c r="D5006" s="3" t="s">
        <v>5010</v>
      </c>
      <c r="E5006" s="4" t="n">
        <v>1</v>
      </c>
    </row>
    <row r="5007" customFormat="false" ht="15" hidden="false" customHeight="false" outlineLevel="0" collapsed="false">
      <c r="A5007" s="3" t="n">
        <v>2025</v>
      </c>
      <c r="B5007" s="3" t="n">
        <v>9</v>
      </c>
      <c r="C5007" s="3" t="n">
        <v>14</v>
      </c>
      <c r="D5007" s="3" t="s">
        <v>5011</v>
      </c>
      <c r="E5007" s="4" t="n">
        <v>6</v>
      </c>
    </row>
    <row r="5008" customFormat="false" ht="15" hidden="false" customHeight="false" outlineLevel="0" collapsed="false">
      <c r="A5008" s="3" t="n">
        <v>2025</v>
      </c>
      <c r="B5008" s="3" t="n">
        <v>9</v>
      </c>
      <c r="C5008" s="3" t="n">
        <v>15</v>
      </c>
      <c r="D5008" s="3" t="s">
        <v>5012</v>
      </c>
      <c r="E5008" s="4" t="n">
        <v>26</v>
      </c>
    </row>
    <row r="5009" customFormat="false" ht="15" hidden="false" customHeight="false" outlineLevel="0" collapsed="false">
      <c r="A5009" s="3" t="n">
        <v>2025</v>
      </c>
      <c r="B5009" s="3" t="n">
        <v>9</v>
      </c>
      <c r="C5009" s="3" t="n">
        <v>16</v>
      </c>
      <c r="D5009" s="3" t="s">
        <v>5013</v>
      </c>
      <c r="E5009" s="4" t="n">
        <v>11</v>
      </c>
    </row>
    <row r="5010" customFormat="false" ht="15" hidden="false" customHeight="false" outlineLevel="0" collapsed="false">
      <c r="A5010" s="3" t="n">
        <v>2025</v>
      </c>
      <c r="B5010" s="3" t="n">
        <v>9</v>
      </c>
      <c r="C5010" s="3" t="n">
        <v>17</v>
      </c>
      <c r="D5010" s="3" t="s">
        <v>5014</v>
      </c>
      <c r="E5010" s="4" t="n">
        <v>29</v>
      </c>
    </row>
    <row r="5011" customFormat="false" ht="15" hidden="false" customHeight="false" outlineLevel="0" collapsed="false">
      <c r="A5011" s="3" t="n">
        <v>2025</v>
      </c>
      <c r="B5011" s="3" t="n">
        <v>9</v>
      </c>
      <c r="C5011" s="3" t="n">
        <v>18</v>
      </c>
      <c r="D5011" s="3" t="s">
        <v>5015</v>
      </c>
      <c r="E5011" s="4" t="n">
        <v>0</v>
      </c>
    </row>
    <row r="5012" customFormat="false" ht="15" hidden="false" customHeight="false" outlineLevel="0" collapsed="false">
      <c r="A5012" s="3" t="n">
        <v>2025</v>
      </c>
      <c r="B5012" s="3" t="n">
        <v>9</v>
      </c>
      <c r="C5012" s="3" t="n">
        <v>19</v>
      </c>
      <c r="D5012" s="3" t="s">
        <v>5016</v>
      </c>
      <c r="E5012" s="4" t="n">
        <v>5</v>
      </c>
    </row>
    <row r="5013" customFormat="false" ht="15" hidden="false" customHeight="false" outlineLevel="0" collapsed="false">
      <c r="A5013" s="3" t="n">
        <v>2025</v>
      </c>
      <c r="B5013" s="3" t="n">
        <v>9</v>
      </c>
      <c r="C5013" s="3" t="n">
        <v>20</v>
      </c>
      <c r="D5013" s="3" t="s">
        <v>5017</v>
      </c>
      <c r="E5013" s="4" t="n">
        <v>36</v>
      </c>
    </row>
    <row r="5014" customFormat="false" ht="15" hidden="false" customHeight="false" outlineLevel="0" collapsed="false">
      <c r="A5014" s="3" t="n">
        <v>2025</v>
      </c>
      <c r="B5014" s="3" t="n">
        <v>9</v>
      </c>
      <c r="C5014" s="3" t="n">
        <v>21</v>
      </c>
      <c r="D5014" s="3" t="s">
        <v>5018</v>
      </c>
      <c r="E5014" s="4" t="n">
        <v>0</v>
      </c>
    </row>
    <row r="5015" customFormat="false" ht="15" hidden="false" customHeight="false" outlineLevel="0" collapsed="false">
      <c r="A5015" s="3" t="n">
        <v>2025</v>
      </c>
      <c r="B5015" s="3" t="n">
        <v>9</v>
      </c>
      <c r="C5015" s="3" t="n">
        <v>22</v>
      </c>
      <c r="D5015" s="3" t="s">
        <v>5019</v>
      </c>
      <c r="E5015" s="4" t="n">
        <v>0</v>
      </c>
    </row>
    <row r="5016" customFormat="false" ht="15" hidden="false" customHeight="false" outlineLevel="0" collapsed="false">
      <c r="A5016" s="3" t="n">
        <v>2025</v>
      </c>
      <c r="B5016" s="3" t="n">
        <v>9</v>
      </c>
      <c r="C5016" s="3" t="n">
        <v>23</v>
      </c>
      <c r="D5016" s="3" t="s">
        <v>5020</v>
      </c>
      <c r="E5016" s="4" t="n">
        <v>0</v>
      </c>
    </row>
    <row r="5017" customFormat="false" ht="15" hidden="false" customHeight="false" outlineLevel="0" collapsed="false">
      <c r="A5017" s="3" t="n">
        <v>2025</v>
      </c>
      <c r="B5017" s="3" t="n">
        <v>9</v>
      </c>
      <c r="C5017" s="3" t="n">
        <v>24</v>
      </c>
      <c r="D5017" s="3" t="s">
        <v>5021</v>
      </c>
      <c r="E5017" s="4" t="n">
        <v>0</v>
      </c>
    </row>
    <row r="5018" customFormat="false" ht="15" hidden="false" customHeight="false" outlineLevel="0" collapsed="false">
      <c r="A5018" s="3" t="n">
        <v>2025</v>
      </c>
      <c r="B5018" s="3" t="n">
        <v>9</v>
      </c>
      <c r="C5018" s="3" t="n">
        <v>25</v>
      </c>
      <c r="D5018" s="3" t="s">
        <v>5022</v>
      </c>
      <c r="E5018" s="4" t="n">
        <v>0</v>
      </c>
    </row>
    <row r="5019" customFormat="false" ht="15" hidden="false" customHeight="false" outlineLevel="0" collapsed="false">
      <c r="A5019" s="3" t="n">
        <v>2025</v>
      </c>
      <c r="B5019" s="3" t="n">
        <v>9</v>
      </c>
      <c r="C5019" s="3" t="n">
        <v>26</v>
      </c>
      <c r="D5019" s="3" t="s">
        <v>5023</v>
      </c>
      <c r="E5019" s="4" t="n">
        <v>1</v>
      </c>
    </row>
    <row r="5020" customFormat="false" ht="15" hidden="false" customHeight="false" outlineLevel="0" collapsed="false">
      <c r="A5020" s="3" t="n">
        <v>2025</v>
      </c>
      <c r="B5020" s="3" t="n">
        <v>9</v>
      </c>
      <c r="C5020" s="3" t="n">
        <v>27</v>
      </c>
      <c r="D5020" s="3" t="s">
        <v>5024</v>
      </c>
      <c r="E5020" s="4" t="n">
        <v>4</v>
      </c>
    </row>
    <row r="5021" customFormat="false" ht="15" hidden="false" customHeight="false" outlineLevel="0" collapsed="false">
      <c r="A5021" s="3" t="n">
        <v>2025</v>
      </c>
      <c r="B5021" s="3" t="n">
        <v>9</v>
      </c>
      <c r="C5021" s="3" t="n">
        <v>28</v>
      </c>
      <c r="D5021" s="3" t="s">
        <v>5025</v>
      </c>
      <c r="E5021" s="4" t="n">
        <v>37</v>
      </c>
    </row>
    <row r="5022" customFormat="false" ht="15" hidden="false" customHeight="false" outlineLevel="0" collapsed="false">
      <c r="A5022" s="3" t="n">
        <v>2025</v>
      </c>
      <c r="B5022" s="3" t="n">
        <v>9</v>
      </c>
      <c r="C5022" s="3" t="n">
        <v>29</v>
      </c>
      <c r="D5022" s="3" t="s">
        <v>5026</v>
      </c>
      <c r="E5022" s="4" t="n">
        <v>4</v>
      </c>
    </row>
    <row r="5023" customFormat="false" ht="15" hidden="false" customHeight="false" outlineLevel="0" collapsed="false">
      <c r="A5023" s="3" t="n">
        <v>2025</v>
      </c>
      <c r="B5023" s="3" t="n">
        <v>9</v>
      </c>
      <c r="C5023" s="3" t="n">
        <v>30</v>
      </c>
      <c r="D5023" s="3" t="s">
        <v>5027</v>
      </c>
      <c r="E5023" s="4" t="n">
        <v>0</v>
      </c>
    </row>
    <row r="5024" customFormat="false" ht="15" hidden="false" customHeight="false" outlineLevel="0" collapsed="false">
      <c r="A5024" s="3" t="n">
        <v>2025</v>
      </c>
      <c r="B5024" s="3" t="n">
        <v>10</v>
      </c>
      <c r="C5024" s="3" t="n">
        <v>1</v>
      </c>
      <c r="D5024" s="3" t="s">
        <v>5028</v>
      </c>
      <c r="E5024" s="4" t="n">
        <v>0</v>
      </c>
    </row>
    <row r="5025" customFormat="false" ht="15" hidden="false" customHeight="false" outlineLevel="0" collapsed="false">
      <c r="A5025" s="3" t="n">
        <v>2025</v>
      </c>
      <c r="B5025" s="3" t="n">
        <v>10</v>
      </c>
      <c r="C5025" s="3" t="n">
        <v>2</v>
      </c>
      <c r="D5025" s="3" t="s">
        <v>5029</v>
      </c>
      <c r="E5025" s="4" t="n">
        <v>15</v>
      </c>
    </row>
    <row r="5026" customFormat="false" ht="15" hidden="false" customHeight="false" outlineLevel="0" collapsed="false">
      <c r="A5026" s="3" t="n">
        <v>2025</v>
      </c>
      <c r="B5026" s="3" t="n">
        <v>10</v>
      </c>
      <c r="C5026" s="3" t="n">
        <v>3</v>
      </c>
      <c r="D5026" s="3" t="s">
        <v>5030</v>
      </c>
      <c r="E5026" s="4" t="n">
        <v>0</v>
      </c>
    </row>
    <row r="5027" customFormat="false" ht="15" hidden="false" customHeight="false" outlineLevel="0" collapsed="false">
      <c r="A5027" s="3" t="n">
        <v>2025</v>
      </c>
      <c r="B5027" s="3" t="n">
        <v>10</v>
      </c>
      <c r="C5027" s="3" t="n">
        <v>4</v>
      </c>
      <c r="D5027" s="3" t="s">
        <v>5031</v>
      </c>
      <c r="E5027" s="4" t="n">
        <v>1</v>
      </c>
    </row>
    <row r="5028" customFormat="false" ht="15" hidden="false" customHeight="false" outlineLevel="0" collapsed="false">
      <c r="A5028" s="3" t="n">
        <v>2025</v>
      </c>
      <c r="B5028" s="3" t="n">
        <v>10</v>
      </c>
      <c r="C5028" s="3" t="n">
        <v>5</v>
      </c>
      <c r="D5028" s="3" t="s">
        <v>5032</v>
      </c>
      <c r="E5028" s="4" t="n">
        <v>28</v>
      </c>
    </row>
    <row r="5029" customFormat="false" ht="15" hidden="false" customHeight="false" outlineLevel="0" collapsed="false">
      <c r="A5029" s="3" t="n">
        <v>2025</v>
      </c>
      <c r="B5029" s="3" t="n">
        <v>10</v>
      </c>
      <c r="C5029" s="3" t="n">
        <v>6</v>
      </c>
      <c r="D5029" s="3" t="s">
        <v>5033</v>
      </c>
      <c r="E5029" s="4" t="n">
        <v>0</v>
      </c>
    </row>
    <row r="5030" customFormat="false" ht="15" hidden="false" customHeight="false" outlineLevel="0" collapsed="false">
      <c r="A5030" s="3" t="n">
        <v>2025</v>
      </c>
      <c r="B5030" s="3" t="n">
        <v>10</v>
      </c>
      <c r="C5030" s="3" t="n">
        <v>7</v>
      </c>
      <c r="D5030" s="3" t="s">
        <v>5034</v>
      </c>
      <c r="E5030" s="4" t="n">
        <v>8</v>
      </c>
    </row>
    <row r="5031" customFormat="false" ht="15" hidden="false" customHeight="false" outlineLevel="0" collapsed="false">
      <c r="A5031" s="3" t="n">
        <v>2025</v>
      </c>
      <c r="B5031" s="3" t="n">
        <v>10</v>
      </c>
      <c r="C5031" s="3" t="n">
        <v>8</v>
      </c>
      <c r="D5031" s="3" t="s">
        <v>5035</v>
      </c>
      <c r="E5031" s="4" t="n">
        <v>33</v>
      </c>
    </row>
    <row r="5032" customFormat="false" ht="15" hidden="false" customHeight="false" outlineLevel="0" collapsed="false">
      <c r="A5032" s="3" t="n">
        <v>2025</v>
      </c>
      <c r="B5032" s="3" t="n">
        <v>10</v>
      </c>
      <c r="C5032" s="3" t="n">
        <v>9</v>
      </c>
      <c r="D5032" s="3" t="s">
        <v>5036</v>
      </c>
      <c r="E5032" s="4" t="n">
        <v>28</v>
      </c>
    </row>
    <row r="5033" customFormat="false" ht="15" hidden="false" customHeight="false" outlineLevel="0" collapsed="false">
      <c r="A5033" s="3" t="n">
        <v>2025</v>
      </c>
      <c r="B5033" s="3" t="n">
        <v>10</v>
      </c>
      <c r="C5033" s="3" t="n">
        <v>10</v>
      </c>
      <c r="D5033" s="3" t="s">
        <v>5037</v>
      </c>
      <c r="E5033" s="4" t="n">
        <v>13</v>
      </c>
    </row>
    <row r="5034" customFormat="false" ht="15" hidden="false" customHeight="false" outlineLevel="0" collapsed="false">
      <c r="A5034" s="3" t="n">
        <v>2025</v>
      </c>
      <c r="B5034" s="3" t="n">
        <v>10</v>
      </c>
      <c r="C5034" s="3" t="n">
        <v>11</v>
      </c>
      <c r="D5034" s="3" t="s">
        <v>5038</v>
      </c>
      <c r="E5034" s="4" t="n">
        <v>0</v>
      </c>
    </row>
    <row r="5035" customFormat="false" ht="15" hidden="false" customHeight="false" outlineLevel="0" collapsed="false">
      <c r="A5035" s="3" t="n">
        <v>2025</v>
      </c>
      <c r="B5035" s="3" t="n">
        <v>10</v>
      </c>
      <c r="C5035" s="3" t="n">
        <v>12</v>
      </c>
      <c r="D5035" s="3" t="s">
        <v>5039</v>
      </c>
      <c r="E5035" s="4" t="n">
        <v>15</v>
      </c>
    </row>
    <row r="5036" customFormat="false" ht="15" hidden="false" customHeight="false" outlineLevel="0" collapsed="false">
      <c r="A5036" s="3" t="n">
        <v>2025</v>
      </c>
      <c r="B5036" s="3" t="n">
        <v>10</v>
      </c>
      <c r="C5036" s="3" t="n">
        <v>13</v>
      </c>
      <c r="D5036" s="3" t="s">
        <v>5040</v>
      </c>
      <c r="E5036" s="4" t="n">
        <v>3</v>
      </c>
    </row>
    <row r="5037" customFormat="false" ht="15" hidden="false" customHeight="false" outlineLevel="0" collapsed="false">
      <c r="A5037" s="3" t="n">
        <v>2025</v>
      </c>
      <c r="B5037" s="3" t="n">
        <v>10</v>
      </c>
      <c r="C5037" s="3" t="n">
        <v>14</v>
      </c>
      <c r="D5037" s="3" t="s">
        <v>5041</v>
      </c>
      <c r="E5037" s="4" t="n">
        <v>0</v>
      </c>
    </row>
    <row r="5038" customFormat="false" ht="15" hidden="false" customHeight="false" outlineLevel="0" collapsed="false">
      <c r="A5038" s="3" t="n">
        <v>2025</v>
      </c>
      <c r="B5038" s="3" t="n">
        <v>10</v>
      </c>
      <c r="C5038" s="3" t="n">
        <v>15</v>
      </c>
      <c r="D5038" s="3" t="s">
        <v>5042</v>
      </c>
      <c r="E5038" s="4" t="n">
        <v>41</v>
      </c>
    </row>
    <row r="5039" customFormat="false" ht="15" hidden="false" customHeight="false" outlineLevel="0" collapsed="false">
      <c r="A5039" s="3" t="n">
        <v>2025</v>
      </c>
      <c r="B5039" s="3" t="n">
        <v>10</v>
      </c>
      <c r="C5039" s="3" t="n">
        <v>16</v>
      </c>
      <c r="D5039" s="3" t="s">
        <v>5043</v>
      </c>
      <c r="E5039" s="4" t="n">
        <v>13</v>
      </c>
    </row>
    <row r="5040" customFormat="false" ht="15" hidden="false" customHeight="false" outlineLevel="0" collapsed="false">
      <c r="A5040" s="3" t="n">
        <v>2025</v>
      </c>
      <c r="B5040" s="3" t="n">
        <v>10</v>
      </c>
      <c r="C5040" s="3" t="n">
        <v>17</v>
      </c>
      <c r="D5040" s="3" t="s">
        <v>5044</v>
      </c>
      <c r="E5040" s="4" t="n">
        <v>1</v>
      </c>
    </row>
    <row r="5041" customFormat="false" ht="15" hidden="false" customHeight="false" outlineLevel="0" collapsed="false">
      <c r="A5041" s="3" t="n">
        <v>2025</v>
      </c>
      <c r="B5041" s="3" t="n">
        <v>10</v>
      </c>
      <c r="C5041" s="3" t="n">
        <v>18</v>
      </c>
      <c r="D5041" s="3" t="s">
        <v>5045</v>
      </c>
      <c r="E5041" s="4" t="n">
        <v>2</v>
      </c>
    </row>
    <row r="5042" customFormat="false" ht="15" hidden="false" customHeight="false" outlineLevel="0" collapsed="false">
      <c r="A5042" s="3" t="n">
        <v>2025</v>
      </c>
      <c r="B5042" s="3" t="n">
        <v>10</v>
      </c>
      <c r="C5042" s="3" t="n">
        <v>19</v>
      </c>
      <c r="D5042" s="3" t="s">
        <v>5046</v>
      </c>
      <c r="E5042" s="4" t="n">
        <v>40</v>
      </c>
    </row>
    <row r="5043" customFormat="false" ht="15" hidden="false" customHeight="false" outlineLevel="0" collapsed="false">
      <c r="A5043" s="3" t="n">
        <v>2025</v>
      </c>
      <c r="B5043" s="3" t="n">
        <v>10</v>
      </c>
      <c r="C5043" s="3" t="n">
        <v>20</v>
      </c>
      <c r="D5043" s="3" t="s">
        <v>5047</v>
      </c>
      <c r="E5043" s="4" t="n">
        <v>31</v>
      </c>
    </row>
    <row r="5044" customFormat="false" ht="15" hidden="false" customHeight="false" outlineLevel="0" collapsed="false">
      <c r="A5044" s="3" t="n">
        <v>2025</v>
      </c>
      <c r="B5044" s="3" t="n">
        <v>10</v>
      </c>
      <c r="C5044" s="3" t="n">
        <v>21</v>
      </c>
      <c r="D5044" s="3" t="s">
        <v>5048</v>
      </c>
      <c r="E5044" s="4" t="n">
        <v>0</v>
      </c>
    </row>
    <row r="5045" customFormat="false" ht="15" hidden="false" customHeight="false" outlineLevel="0" collapsed="false">
      <c r="A5045" s="3" t="n">
        <v>2025</v>
      </c>
      <c r="B5045" s="3" t="n">
        <v>10</v>
      </c>
      <c r="C5045" s="3" t="n">
        <v>22</v>
      </c>
      <c r="D5045" s="3" t="s">
        <v>5049</v>
      </c>
      <c r="E5045" s="4" t="n">
        <v>34</v>
      </c>
    </row>
    <row r="5046" customFormat="false" ht="15" hidden="false" customHeight="false" outlineLevel="0" collapsed="false">
      <c r="A5046" s="3" t="n">
        <v>2025</v>
      </c>
      <c r="B5046" s="3" t="n">
        <v>10</v>
      </c>
      <c r="C5046" s="3" t="n">
        <v>23</v>
      </c>
      <c r="D5046" s="3" t="s">
        <v>5050</v>
      </c>
      <c r="E5046" s="4" t="n">
        <v>3</v>
      </c>
    </row>
    <row r="5047" customFormat="false" ht="15" hidden="false" customHeight="false" outlineLevel="0" collapsed="false">
      <c r="A5047" s="3" t="n">
        <v>2025</v>
      </c>
      <c r="B5047" s="3" t="n">
        <v>10</v>
      </c>
      <c r="C5047" s="3" t="n">
        <v>24</v>
      </c>
      <c r="D5047" s="3" t="s">
        <v>5051</v>
      </c>
      <c r="E5047" s="4" t="n">
        <v>25</v>
      </c>
    </row>
    <row r="5048" customFormat="false" ht="15" hidden="false" customHeight="false" outlineLevel="0" collapsed="false">
      <c r="A5048" s="3" t="n">
        <v>2025</v>
      </c>
      <c r="B5048" s="3" t="n">
        <v>10</v>
      </c>
      <c r="C5048" s="3" t="n">
        <v>25</v>
      </c>
      <c r="D5048" s="3" t="s">
        <v>5052</v>
      </c>
      <c r="E5048" s="4" t="n">
        <v>4</v>
      </c>
    </row>
    <row r="5049" customFormat="false" ht="15" hidden="false" customHeight="false" outlineLevel="0" collapsed="false">
      <c r="A5049" s="3" t="n">
        <v>2025</v>
      </c>
      <c r="B5049" s="3" t="n">
        <v>10</v>
      </c>
      <c r="C5049" s="3" t="n">
        <v>26</v>
      </c>
      <c r="D5049" s="3" t="s">
        <v>5053</v>
      </c>
      <c r="E5049" s="4" t="n">
        <v>2</v>
      </c>
    </row>
    <row r="5050" customFormat="false" ht="15" hidden="false" customHeight="false" outlineLevel="0" collapsed="false">
      <c r="A5050" s="3" t="n">
        <v>2025</v>
      </c>
      <c r="B5050" s="3" t="n">
        <v>10</v>
      </c>
      <c r="C5050" s="3" t="n">
        <v>27</v>
      </c>
      <c r="D5050" s="3" t="s">
        <v>5054</v>
      </c>
      <c r="E5050" s="4" t="n">
        <v>10</v>
      </c>
    </row>
    <row r="5051" customFormat="false" ht="15" hidden="false" customHeight="false" outlineLevel="0" collapsed="false">
      <c r="A5051" s="3" t="n">
        <v>2025</v>
      </c>
      <c r="B5051" s="3" t="n">
        <v>10</v>
      </c>
      <c r="C5051" s="3" t="n">
        <v>28</v>
      </c>
      <c r="D5051" s="3" t="s">
        <v>5055</v>
      </c>
      <c r="E5051" s="4" t="n">
        <v>0</v>
      </c>
    </row>
    <row r="5052" customFormat="false" ht="15" hidden="false" customHeight="false" outlineLevel="0" collapsed="false">
      <c r="A5052" s="3" t="n">
        <v>2025</v>
      </c>
      <c r="B5052" s="3" t="n">
        <v>10</v>
      </c>
      <c r="C5052" s="3" t="n">
        <v>29</v>
      </c>
      <c r="D5052" s="3" t="s">
        <v>5056</v>
      </c>
      <c r="E5052" s="4" t="n">
        <v>0</v>
      </c>
    </row>
    <row r="5053" customFormat="false" ht="15" hidden="false" customHeight="false" outlineLevel="0" collapsed="false">
      <c r="A5053" s="3" t="n">
        <v>2025</v>
      </c>
      <c r="B5053" s="3" t="n">
        <v>10</v>
      </c>
      <c r="C5053" s="3" t="n">
        <v>30</v>
      </c>
      <c r="D5053" s="3" t="s">
        <v>5057</v>
      </c>
      <c r="E5053" s="4" t="n">
        <v>0</v>
      </c>
    </row>
    <row r="5054" customFormat="false" ht="15" hidden="false" customHeight="false" outlineLevel="0" collapsed="false">
      <c r="A5054" s="3" t="n">
        <v>2025</v>
      </c>
      <c r="B5054" s="3" t="n">
        <v>10</v>
      </c>
      <c r="C5054" s="3" t="n">
        <v>31</v>
      </c>
      <c r="D5054" s="3" t="s">
        <v>5058</v>
      </c>
      <c r="E5054" s="4" t="n">
        <v>41</v>
      </c>
    </row>
    <row r="5055" customFormat="false" ht="15" hidden="false" customHeight="false" outlineLevel="0" collapsed="false">
      <c r="A5055" s="3" t="n">
        <v>2025</v>
      </c>
      <c r="B5055" s="3" t="n">
        <v>11</v>
      </c>
      <c r="C5055" s="3" t="n">
        <v>1</v>
      </c>
      <c r="D5055" s="3" t="s">
        <v>5059</v>
      </c>
      <c r="E5055" s="4" t="n">
        <v>0</v>
      </c>
    </row>
    <row r="5056" customFormat="false" ht="15" hidden="false" customHeight="false" outlineLevel="0" collapsed="false">
      <c r="A5056" s="3" t="n">
        <v>2025</v>
      </c>
      <c r="B5056" s="3" t="n">
        <v>11</v>
      </c>
      <c r="C5056" s="3" t="n">
        <v>2</v>
      </c>
      <c r="D5056" s="3" t="s">
        <v>5060</v>
      </c>
      <c r="E5056" s="4" t="n">
        <v>0</v>
      </c>
    </row>
    <row r="5057" customFormat="false" ht="15" hidden="false" customHeight="false" outlineLevel="0" collapsed="false">
      <c r="A5057" s="3" t="n">
        <v>2025</v>
      </c>
      <c r="B5057" s="3" t="n">
        <v>11</v>
      </c>
      <c r="C5057" s="3" t="n">
        <v>3</v>
      </c>
      <c r="D5057" s="3" t="s">
        <v>5061</v>
      </c>
      <c r="E5057" s="4" t="n">
        <v>0</v>
      </c>
    </row>
    <row r="5058" customFormat="false" ht="15" hidden="false" customHeight="false" outlineLevel="0" collapsed="false">
      <c r="A5058" s="3" t="n">
        <v>2025</v>
      </c>
      <c r="B5058" s="3" t="n">
        <v>11</v>
      </c>
      <c r="C5058" s="3" t="n">
        <v>4</v>
      </c>
      <c r="D5058" s="3" t="s">
        <v>5062</v>
      </c>
      <c r="E5058" s="4" t="n">
        <v>16</v>
      </c>
    </row>
    <row r="5059" customFormat="false" ht="15" hidden="false" customHeight="false" outlineLevel="0" collapsed="false">
      <c r="A5059" s="3" t="n">
        <v>2025</v>
      </c>
      <c r="B5059" s="3" t="n">
        <v>11</v>
      </c>
      <c r="C5059" s="3" t="n">
        <v>5</v>
      </c>
      <c r="D5059" s="3" t="s">
        <v>5063</v>
      </c>
      <c r="E5059" s="4" t="n">
        <v>2</v>
      </c>
    </row>
    <row r="5060" customFormat="false" ht="15" hidden="false" customHeight="false" outlineLevel="0" collapsed="false">
      <c r="A5060" s="3" t="n">
        <v>2025</v>
      </c>
      <c r="B5060" s="3" t="n">
        <v>11</v>
      </c>
      <c r="C5060" s="3" t="n">
        <v>6</v>
      </c>
      <c r="D5060" s="3" t="s">
        <v>5064</v>
      </c>
      <c r="E5060" s="4" t="n">
        <v>0</v>
      </c>
    </row>
    <row r="5061" customFormat="false" ht="15" hidden="false" customHeight="false" outlineLevel="0" collapsed="false">
      <c r="A5061" s="3" t="n">
        <v>2025</v>
      </c>
      <c r="B5061" s="3" t="n">
        <v>11</v>
      </c>
      <c r="C5061" s="3" t="n">
        <v>7</v>
      </c>
      <c r="D5061" s="3" t="s">
        <v>5065</v>
      </c>
      <c r="E5061" s="4" t="n">
        <v>0</v>
      </c>
    </row>
    <row r="5062" customFormat="false" ht="15" hidden="false" customHeight="false" outlineLevel="0" collapsed="false">
      <c r="A5062" s="3" t="n">
        <v>2025</v>
      </c>
      <c r="B5062" s="3" t="n">
        <v>11</v>
      </c>
      <c r="C5062" s="3" t="n">
        <v>8</v>
      </c>
      <c r="D5062" s="3" t="s">
        <v>5066</v>
      </c>
      <c r="E5062" s="4" t="n">
        <v>0</v>
      </c>
    </row>
    <row r="5063" customFormat="false" ht="15" hidden="false" customHeight="false" outlineLevel="0" collapsed="false">
      <c r="A5063" s="3" t="n">
        <v>2025</v>
      </c>
      <c r="B5063" s="3" t="n">
        <v>11</v>
      </c>
      <c r="C5063" s="3" t="n">
        <v>9</v>
      </c>
      <c r="D5063" s="3" t="s">
        <v>5067</v>
      </c>
      <c r="E5063" s="4" t="n">
        <v>0</v>
      </c>
    </row>
    <row r="5064" customFormat="false" ht="15" hidden="false" customHeight="false" outlineLevel="0" collapsed="false">
      <c r="A5064" s="3" t="n">
        <v>2025</v>
      </c>
      <c r="B5064" s="3" t="n">
        <v>11</v>
      </c>
      <c r="C5064" s="3" t="n">
        <v>10</v>
      </c>
      <c r="D5064" s="3" t="s">
        <v>5068</v>
      </c>
      <c r="E5064" s="4" t="n">
        <v>2</v>
      </c>
    </row>
    <row r="5065" customFormat="false" ht="15" hidden="false" customHeight="false" outlineLevel="0" collapsed="false">
      <c r="A5065" s="3" t="n">
        <v>2025</v>
      </c>
      <c r="B5065" s="3" t="n">
        <v>11</v>
      </c>
      <c r="C5065" s="3" t="n">
        <v>11</v>
      </c>
      <c r="D5065" s="3" t="s">
        <v>5069</v>
      </c>
      <c r="E5065" s="4" t="n">
        <v>2</v>
      </c>
    </row>
    <row r="5066" customFormat="false" ht="15" hidden="false" customHeight="false" outlineLevel="0" collapsed="false">
      <c r="A5066" s="3" t="n">
        <v>2025</v>
      </c>
      <c r="B5066" s="3" t="n">
        <v>11</v>
      </c>
      <c r="C5066" s="3" t="n">
        <v>12</v>
      </c>
      <c r="D5066" s="3" t="s">
        <v>5070</v>
      </c>
      <c r="E5066" s="4" t="n">
        <v>41</v>
      </c>
    </row>
    <row r="5067" customFormat="false" ht="15" hidden="false" customHeight="false" outlineLevel="0" collapsed="false">
      <c r="A5067" s="3" t="n">
        <v>2025</v>
      </c>
      <c r="B5067" s="3" t="n">
        <v>11</v>
      </c>
      <c r="C5067" s="3" t="n">
        <v>13</v>
      </c>
      <c r="D5067" s="3" t="s">
        <v>5071</v>
      </c>
      <c r="E5067" s="4" t="n">
        <v>12</v>
      </c>
    </row>
    <row r="5068" customFormat="false" ht="15" hidden="false" customHeight="false" outlineLevel="0" collapsed="false">
      <c r="A5068" s="3" t="n">
        <v>2025</v>
      </c>
      <c r="B5068" s="3" t="n">
        <v>11</v>
      </c>
      <c r="C5068" s="3" t="n">
        <v>14</v>
      </c>
      <c r="D5068" s="3" t="s">
        <v>5072</v>
      </c>
      <c r="E5068" s="4" t="n">
        <v>0</v>
      </c>
    </row>
    <row r="5069" customFormat="false" ht="15" hidden="false" customHeight="false" outlineLevel="0" collapsed="false">
      <c r="A5069" s="3" t="n">
        <v>2025</v>
      </c>
      <c r="B5069" s="3" t="n">
        <v>11</v>
      </c>
      <c r="C5069" s="3" t="n">
        <v>15</v>
      </c>
      <c r="D5069" s="3" t="s">
        <v>5073</v>
      </c>
      <c r="E5069" s="4" t="n">
        <v>11</v>
      </c>
    </row>
    <row r="5070" customFormat="false" ht="15" hidden="false" customHeight="false" outlineLevel="0" collapsed="false">
      <c r="A5070" s="3" t="n">
        <v>2025</v>
      </c>
      <c r="B5070" s="3" t="n">
        <v>11</v>
      </c>
      <c r="C5070" s="3" t="n">
        <v>16</v>
      </c>
      <c r="D5070" s="3" t="s">
        <v>5074</v>
      </c>
      <c r="E5070" s="4" t="n">
        <v>0</v>
      </c>
    </row>
    <row r="5071" customFormat="false" ht="15" hidden="false" customHeight="false" outlineLevel="0" collapsed="false">
      <c r="A5071" s="3" t="n">
        <v>2025</v>
      </c>
      <c r="B5071" s="3" t="n">
        <v>11</v>
      </c>
      <c r="C5071" s="3" t="n">
        <v>17</v>
      </c>
      <c r="D5071" s="3" t="s">
        <v>5075</v>
      </c>
      <c r="E5071" s="4" t="n">
        <v>0</v>
      </c>
    </row>
    <row r="5072" customFormat="false" ht="15" hidden="false" customHeight="false" outlineLevel="0" collapsed="false">
      <c r="A5072" s="3" t="n">
        <v>2025</v>
      </c>
      <c r="B5072" s="3" t="n">
        <v>11</v>
      </c>
      <c r="C5072" s="3" t="n">
        <v>18</v>
      </c>
      <c r="D5072" s="3" t="s">
        <v>5076</v>
      </c>
      <c r="E5072" s="4" t="n">
        <v>0</v>
      </c>
    </row>
    <row r="5073" customFormat="false" ht="15" hidden="false" customHeight="false" outlineLevel="0" collapsed="false">
      <c r="A5073" s="3" t="n">
        <v>2025</v>
      </c>
      <c r="B5073" s="3" t="n">
        <v>11</v>
      </c>
      <c r="C5073" s="3" t="n">
        <v>19</v>
      </c>
      <c r="D5073" s="3" t="s">
        <v>5077</v>
      </c>
      <c r="E5073" s="4" t="n">
        <v>0</v>
      </c>
    </row>
    <row r="5074" customFormat="false" ht="15" hidden="false" customHeight="false" outlineLevel="0" collapsed="false">
      <c r="A5074" s="3" t="n">
        <v>2025</v>
      </c>
      <c r="B5074" s="3" t="n">
        <v>11</v>
      </c>
      <c r="C5074" s="3" t="n">
        <v>20</v>
      </c>
      <c r="D5074" s="3" t="s">
        <v>5078</v>
      </c>
      <c r="E5074" s="4" t="n">
        <v>14</v>
      </c>
    </row>
    <row r="5075" customFormat="false" ht="15" hidden="false" customHeight="false" outlineLevel="0" collapsed="false">
      <c r="A5075" s="3" t="n">
        <v>2025</v>
      </c>
      <c r="B5075" s="3" t="n">
        <v>11</v>
      </c>
      <c r="C5075" s="3" t="n">
        <v>21</v>
      </c>
      <c r="D5075" s="3" t="s">
        <v>5079</v>
      </c>
      <c r="E5075" s="4" t="n">
        <v>3</v>
      </c>
    </row>
    <row r="5076" customFormat="false" ht="15" hidden="false" customHeight="false" outlineLevel="0" collapsed="false">
      <c r="A5076" s="3" t="n">
        <v>2025</v>
      </c>
      <c r="B5076" s="3" t="n">
        <v>11</v>
      </c>
      <c r="C5076" s="3" t="n">
        <v>22</v>
      </c>
      <c r="D5076" s="3" t="s">
        <v>5080</v>
      </c>
      <c r="E5076" s="4" t="n">
        <v>56</v>
      </c>
    </row>
    <row r="5077" customFormat="false" ht="15" hidden="false" customHeight="false" outlineLevel="0" collapsed="false">
      <c r="A5077" s="3" t="n">
        <v>2025</v>
      </c>
      <c r="B5077" s="3" t="n">
        <v>11</v>
      </c>
      <c r="C5077" s="3" t="n">
        <v>23</v>
      </c>
      <c r="D5077" s="3" t="s">
        <v>5081</v>
      </c>
      <c r="E5077" s="4" t="n">
        <v>2</v>
      </c>
    </row>
    <row r="5078" customFormat="false" ht="15" hidden="false" customHeight="false" outlineLevel="0" collapsed="false">
      <c r="A5078" s="3" t="n">
        <v>2025</v>
      </c>
      <c r="B5078" s="3" t="n">
        <v>11</v>
      </c>
      <c r="C5078" s="3" t="n">
        <v>24</v>
      </c>
      <c r="D5078" s="3" t="s">
        <v>5082</v>
      </c>
      <c r="E5078" s="4" t="n">
        <v>6</v>
      </c>
    </row>
    <row r="5079" customFormat="false" ht="15" hidden="false" customHeight="false" outlineLevel="0" collapsed="false">
      <c r="A5079" s="3" t="n">
        <v>2025</v>
      </c>
      <c r="B5079" s="3" t="n">
        <v>11</v>
      </c>
      <c r="C5079" s="3" t="n">
        <v>25</v>
      </c>
      <c r="D5079" s="3" t="s">
        <v>5083</v>
      </c>
      <c r="E5079" s="4" t="n">
        <v>35</v>
      </c>
    </row>
    <row r="5080" customFormat="false" ht="15" hidden="false" customHeight="false" outlineLevel="0" collapsed="false">
      <c r="A5080" s="3" t="n">
        <v>2025</v>
      </c>
      <c r="B5080" s="3" t="n">
        <v>11</v>
      </c>
      <c r="C5080" s="3" t="n">
        <v>26</v>
      </c>
      <c r="D5080" s="3" t="s">
        <v>5084</v>
      </c>
      <c r="E5080" s="4" t="n">
        <v>0</v>
      </c>
    </row>
    <row r="5081" customFormat="false" ht="15" hidden="false" customHeight="false" outlineLevel="0" collapsed="false">
      <c r="A5081" s="3" t="n">
        <v>2025</v>
      </c>
      <c r="B5081" s="3" t="n">
        <v>11</v>
      </c>
      <c r="C5081" s="3" t="n">
        <v>27</v>
      </c>
      <c r="D5081" s="3" t="s">
        <v>5085</v>
      </c>
      <c r="E5081" s="4" t="n">
        <v>0</v>
      </c>
    </row>
    <row r="5082" customFormat="false" ht="15" hidden="false" customHeight="false" outlineLevel="0" collapsed="false">
      <c r="A5082" s="3" t="n">
        <v>2025</v>
      </c>
      <c r="B5082" s="3" t="n">
        <v>11</v>
      </c>
      <c r="C5082" s="3" t="n">
        <v>28</v>
      </c>
      <c r="D5082" s="3" t="s">
        <v>5086</v>
      </c>
      <c r="E5082" s="4" t="n">
        <v>23</v>
      </c>
    </row>
    <row r="5083" customFormat="false" ht="15" hidden="false" customHeight="false" outlineLevel="0" collapsed="false">
      <c r="A5083" s="3" t="n">
        <v>2025</v>
      </c>
      <c r="B5083" s="3" t="n">
        <v>11</v>
      </c>
      <c r="C5083" s="3" t="n">
        <v>29</v>
      </c>
      <c r="D5083" s="3" t="s">
        <v>5087</v>
      </c>
      <c r="E5083" s="4" t="n">
        <v>2</v>
      </c>
    </row>
    <row r="5084" customFormat="false" ht="15" hidden="false" customHeight="false" outlineLevel="0" collapsed="false">
      <c r="A5084" s="3" t="n">
        <v>2025</v>
      </c>
      <c r="B5084" s="3" t="n">
        <v>11</v>
      </c>
      <c r="C5084" s="3" t="n">
        <v>30</v>
      </c>
      <c r="D5084" s="3" t="s">
        <v>5088</v>
      </c>
      <c r="E5084" s="4" t="n">
        <v>100</v>
      </c>
    </row>
    <row r="5085" customFormat="false" ht="15" hidden="false" customHeight="false" outlineLevel="0" collapsed="false">
      <c r="A5085" s="3" t="n">
        <v>2025</v>
      </c>
      <c r="B5085" s="3" t="n">
        <v>12</v>
      </c>
      <c r="C5085" s="3" t="n">
        <v>1</v>
      </c>
      <c r="D5085" s="3" t="s">
        <v>5089</v>
      </c>
      <c r="E5085" s="4" t="n">
        <v>25</v>
      </c>
    </row>
    <row r="5086" customFormat="false" ht="15" hidden="false" customHeight="false" outlineLevel="0" collapsed="false">
      <c r="A5086" s="3" t="n">
        <v>2025</v>
      </c>
      <c r="B5086" s="3" t="n">
        <v>12</v>
      </c>
      <c r="C5086" s="3" t="n">
        <v>2</v>
      </c>
      <c r="D5086" s="3" t="s">
        <v>5090</v>
      </c>
      <c r="E5086" s="4" t="n">
        <v>5</v>
      </c>
    </row>
    <row r="5087" customFormat="false" ht="15" hidden="false" customHeight="false" outlineLevel="0" collapsed="false">
      <c r="A5087" s="3" t="n">
        <v>2025</v>
      </c>
      <c r="B5087" s="3" t="n">
        <v>12</v>
      </c>
      <c r="C5087" s="3" t="n">
        <v>3</v>
      </c>
      <c r="D5087" s="3" t="s">
        <v>5091</v>
      </c>
      <c r="E5087" s="4" t="n">
        <v>19</v>
      </c>
    </row>
    <row r="5088" customFormat="false" ht="15" hidden="false" customHeight="false" outlineLevel="0" collapsed="false">
      <c r="A5088" s="3" t="n">
        <v>2025</v>
      </c>
      <c r="B5088" s="3" t="n">
        <v>12</v>
      </c>
      <c r="C5088" s="3" t="n">
        <v>4</v>
      </c>
      <c r="D5088" s="3" t="s">
        <v>5092</v>
      </c>
      <c r="E5088" s="4" t="n">
        <v>12</v>
      </c>
    </row>
    <row r="5089" customFormat="false" ht="15" hidden="false" customHeight="false" outlineLevel="0" collapsed="false">
      <c r="A5089" s="3" t="n">
        <v>2025</v>
      </c>
      <c r="B5089" s="3" t="n">
        <v>12</v>
      </c>
      <c r="C5089" s="3" t="n">
        <v>5</v>
      </c>
      <c r="D5089" s="3" t="s">
        <v>5093</v>
      </c>
      <c r="E5089" s="4" t="n">
        <v>0</v>
      </c>
    </row>
    <row r="5090" customFormat="false" ht="15" hidden="false" customHeight="false" outlineLevel="0" collapsed="false">
      <c r="A5090" s="3" t="n">
        <v>2025</v>
      </c>
      <c r="B5090" s="3" t="n">
        <v>12</v>
      </c>
      <c r="C5090" s="3" t="n">
        <v>6</v>
      </c>
      <c r="D5090" s="3" t="s">
        <v>5094</v>
      </c>
      <c r="E5090" s="4" t="n">
        <v>3</v>
      </c>
    </row>
    <row r="5091" customFormat="false" ht="15" hidden="false" customHeight="false" outlineLevel="0" collapsed="false">
      <c r="A5091" s="3" t="n">
        <v>2025</v>
      </c>
      <c r="B5091" s="3" t="n">
        <v>12</v>
      </c>
      <c r="C5091" s="3" t="n">
        <v>7</v>
      </c>
      <c r="D5091" s="3" t="s">
        <v>5095</v>
      </c>
      <c r="E5091" s="4" t="n">
        <v>0</v>
      </c>
    </row>
    <row r="5092" customFormat="false" ht="15" hidden="false" customHeight="false" outlineLevel="0" collapsed="false">
      <c r="A5092" s="3" t="n">
        <v>2025</v>
      </c>
      <c r="B5092" s="3" t="n">
        <v>12</v>
      </c>
      <c r="C5092" s="3" t="n">
        <v>8</v>
      </c>
      <c r="D5092" s="3" t="s">
        <v>5096</v>
      </c>
      <c r="E5092" s="4" t="n">
        <v>0</v>
      </c>
    </row>
    <row r="5093" customFormat="false" ht="15" hidden="false" customHeight="false" outlineLevel="0" collapsed="false">
      <c r="A5093" s="3" t="n">
        <v>2025</v>
      </c>
      <c r="B5093" s="3" t="n">
        <v>12</v>
      </c>
      <c r="C5093" s="3" t="n">
        <v>9</v>
      </c>
      <c r="D5093" s="3" t="s">
        <v>5097</v>
      </c>
      <c r="E5093" s="4" t="n">
        <v>0</v>
      </c>
    </row>
    <row r="5094" customFormat="false" ht="15" hidden="false" customHeight="false" outlineLevel="0" collapsed="false">
      <c r="A5094" s="3" t="n">
        <v>2025</v>
      </c>
      <c r="B5094" s="3" t="n">
        <v>12</v>
      </c>
      <c r="C5094" s="3" t="n">
        <v>10</v>
      </c>
      <c r="D5094" s="3" t="s">
        <v>5098</v>
      </c>
      <c r="E5094" s="4" t="n">
        <v>0</v>
      </c>
    </row>
    <row r="5095" customFormat="false" ht="15" hidden="false" customHeight="false" outlineLevel="0" collapsed="false">
      <c r="A5095" s="3" t="n">
        <v>2025</v>
      </c>
      <c r="B5095" s="3" t="n">
        <v>12</v>
      </c>
      <c r="C5095" s="3" t="n">
        <v>11</v>
      </c>
      <c r="D5095" s="3" t="s">
        <v>5099</v>
      </c>
      <c r="E5095" s="4" t="n">
        <v>0</v>
      </c>
    </row>
    <row r="5096" customFormat="false" ht="15" hidden="false" customHeight="false" outlineLevel="0" collapsed="false">
      <c r="A5096" s="3" t="n">
        <v>2025</v>
      </c>
      <c r="B5096" s="3" t="n">
        <v>12</v>
      </c>
      <c r="C5096" s="3" t="n">
        <v>12</v>
      </c>
      <c r="D5096" s="3" t="s">
        <v>5100</v>
      </c>
      <c r="E5096" s="4" t="n">
        <v>2</v>
      </c>
    </row>
    <row r="5097" customFormat="false" ht="15" hidden="false" customHeight="false" outlineLevel="0" collapsed="false">
      <c r="A5097" s="3" t="n">
        <v>2025</v>
      </c>
      <c r="B5097" s="3" t="n">
        <v>12</v>
      </c>
      <c r="C5097" s="3" t="n">
        <v>13</v>
      </c>
      <c r="D5097" s="3" t="s">
        <v>5101</v>
      </c>
      <c r="E5097" s="4" t="n">
        <v>0</v>
      </c>
    </row>
    <row r="5098" customFormat="false" ht="15" hidden="false" customHeight="false" outlineLevel="0" collapsed="false">
      <c r="A5098" s="3" t="n">
        <v>2025</v>
      </c>
      <c r="B5098" s="3" t="n">
        <v>12</v>
      </c>
      <c r="C5098" s="3" t="n">
        <v>14</v>
      </c>
      <c r="D5098" s="3" t="s">
        <v>5102</v>
      </c>
      <c r="E5098" s="4" t="n">
        <v>0</v>
      </c>
    </row>
    <row r="5099" customFormat="false" ht="15" hidden="false" customHeight="false" outlineLevel="0" collapsed="false">
      <c r="A5099" s="3" t="n">
        <v>2025</v>
      </c>
      <c r="B5099" s="3" t="n">
        <v>12</v>
      </c>
      <c r="C5099" s="3" t="n">
        <v>15</v>
      </c>
      <c r="D5099" s="3" t="s">
        <v>5103</v>
      </c>
      <c r="E5099" s="4" t="n">
        <v>13</v>
      </c>
    </row>
    <row r="5100" customFormat="false" ht="15" hidden="false" customHeight="false" outlineLevel="0" collapsed="false">
      <c r="A5100" s="3" t="n">
        <v>2025</v>
      </c>
      <c r="B5100" s="3" t="n">
        <v>12</v>
      </c>
      <c r="C5100" s="3" t="n">
        <v>16</v>
      </c>
      <c r="D5100" s="3" t="s">
        <v>5104</v>
      </c>
      <c r="E5100" s="4" t="n">
        <v>0</v>
      </c>
    </row>
    <row r="5101" customFormat="false" ht="15" hidden="false" customHeight="false" outlineLevel="0" collapsed="false">
      <c r="A5101" s="3" t="n">
        <v>2025</v>
      </c>
      <c r="B5101" s="3" t="n">
        <v>12</v>
      </c>
      <c r="C5101" s="3" t="n">
        <v>17</v>
      </c>
      <c r="D5101" s="3" t="s">
        <v>5105</v>
      </c>
      <c r="E5101" s="4" t="n">
        <v>0</v>
      </c>
    </row>
    <row r="5102" customFormat="false" ht="15" hidden="false" customHeight="false" outlineLevel="0" collapsed="false">
      <c r="A5102" s="3" t="n">
        <v>2025</v>
      </c>
      <c r="B5102" s="3" t="n">
        <v>12</v>
      </c>
      <c r="C5102" s="3" t="n">
        <v>18</v>
      </c>
      <c r="D5102" s="3" t="s">
        <v>5106</v>
      </c>
      <c r="E5102" s="4" t="n">
        <v>0</v>
      </c>
    </row>
    <row r="5103" customFormat="false" ht="15" hidden="false" customHeight="false" outlineLevel="0" collapsed="false">
      <c r="A5103" s="3" t="n">
        <v>2025</v>
      </c>
      <c r="B5103" s="3" t="n">
        <v>12</v>
      </c>
      <c r="C5103" s="3" t="n">
        <v>19</v>
      </c>
      <c r="D5103" s="3" t="s">
        <v>5107</v>
      </c>
      <c r="E5103" s="4" t="n">
        <v>0</v>
      </c>
    </row>
    <row r="5104" customFormat="false" ht="15" hidden="false" customHeight="false" outlineLevel="0" collapsed="false">
      <c r="A5104" s="3" t="n">
        <v>2025</v>
      </c>
      <c r="B5104" s="3" t="n">
        <v>12</v>
      </c>
      <c r="C5104" s="3" t="n">
        <v>20</v>
      </c>
      <c r="D5104" s="3" t="s">
        <v>5108</v>
      </c>
      <c r="E5104" s="4" t="n">
        <v>2</v>
      </c>
    </row>
    <row r="5105" customFormat="false" ht="15" hidden="false" customHeight="false" outlineLevel="0" collapsed="false">
      <c r="A5105" s="3" t="n">
        <v>2025</v>
      </c>
      <c r="B5105" s="3" t="n">
        <v>12</v>
      </c>
      <c r="C5105" s="3" t="n">
        <v>21</v>
      </c>
      <c r="D5105" s="3" t="s">
        <v>5109</v>
      </c>
      <c r="E5105" s="4" t="n">
        <v>0</v>
      </c>
    </row>
    <row r="5106" customFormat="false" ht="15" hidden="false" customHeight="false" outlineLevel="0" collapsed="false">
      <c r="A5106" s="3" t="n">
        <v>2025</v>
      </c>
      <c r="B5106" s="3" t="n">
        <v>12</v>
      </c>
      <c r="C5106" s="3" t="n">
        <v>22</v>
      </c>
      <c r="D5106" s="3" t="s">
        <v>5110</v>
      </c>
      <c r="E5106" s="4" t="n">
        <v>2</v>
      </c>
    </row>
    <row r="5107" customFormat="false" ht="15" hidden="false" customHeight="false" outlineLevel="0" collapsed="false">
      <c r="A5107" s="3" t="n">
        <v>2025</v>
      </c>
      <c r="B5107" s="3" t="n">
        <v>12</v>
      </c>
      <c r="C5107" s="3" t="n">
        <v>23</v>
      </c>
      <c r="D5107" s="3" t="s">
        <v>5111</v>
      </c>
      <c r="E5107" s="4" t="n">
        <v>0</v>
      </c>
    </row>
    <row r="5108" customFormat="false" ht="15" hidden="false" customHeight="false" outlineLevel="0" collapsed="false">
      <c r="A5108" s="3" t="n">
        <v>2025</v>
      </c>
      <c r="B5108" s="3" t="n">
        <v>12</v>
      </c>
      <c r="C5108" s="3" t="n">
        <v>24</v>
      </c>
      <c r="D5108" s="3" t="s">
        <v>5112</v>
      </c>
      <c r="E5108" s="4" t="n">
        <v>0</v>
      </c>
    </row>
    <row r="5109" customFormat="false" ht="15" hidden="false" customHeight="false" outlineLevel="0" collapsed="false">
      <c r="A5109" s="3" t="n">
        <v>2025</v>
      </c>
      <c r="B5109" s="3" t="n">
        <v>12</v>
      </c>
      <c r="C5109" s="3" t="n">
        <v>25</v>
      </c>
      <c r="D5109" s="3" t="s">
        <v>5113</v>
      </c>
      <c r="E5109" s="4" t="n">
        <v>0</v>
      </c>
    </row>
    <row r="5110" customFormat="false" ht="15" hidden="false" customHeight="false" outlineLevel="0" collapsed="false">
      <c r="A5110" s="3" t="n">
        <v>2025</v>
      </c>
      <c r="B5110" s="3" t="n">
        <v>12</v>
      </c>
      <c r="C5110" s="3" t="n">
        <v>26</v>
      </c>
      <c r="D5110" s="3" t="s">
        <v>5114</v>
      </c>
      <c r="E5110" s="4" t="n">
        <v>34</v>
      </c>
    </row>
    <row r="5111" customFormat="false" ht="15" hidden="false" customHeight="false" outlineLevel="0" collapsed="false">
      <c r="A5111" s="3" t="n">
        <v>2025</v>
      </c>
      <c r="B5111" s="3" t="n">
        <v>12</v>
      </c>
      <c r="C5111" s="3" t="n">
        <v>27</v>
      </c>
      <c r="D5111" s="3" t="s">
        <v>5115</v>
      </c>
      <c r="E5111" s="4" t="n">
        <v>0</v>
      </c>
    </row>
    <row r="5112" customFormat="false" ht="15" hidden="false" customHeight="false" outlineLevel="0" collapsed="false">
      <c r="A5112" s="3" t="n">
        <v>2025</v>
      </c>
      <c r="B5112" s="3" t="n">
        <v>12</v>
      </c>
      <c r="C5112" s="3" t="n">
        <v>28</v>
      </c>
      <c r="D5112" s="3" t="s">
        <v>5116</v>
      </c>
      <c r="E5112" s="4" t="n">
        <v>0</v>
      </c>
    </row>
    <row r="5113" customFormat="false" ht="15" hidden="false" customHeight="false" outlineLevel="0" collapsed="false">
      <c r="A5113" s="3" t="n">
        <v>2025</v>
      </c>
      <c r="B5113" s="3" t="n">
        <v>12</v>
      </c>
      <c r="C5113" s="3" t="n">
        <v>29</v>
      </c>
      <c r="D5113" s="3" t="s">
        <v>5117</v>
      </c>
      <c r="E5113" s="4" t="n">
        <v>0</v>
      </c>
    </row>
    <row r="5114" customFormat="false" ht="15" hidden="false" customHeight="false" outlineLevel="0" collapsed="false">
      <c r="A5114" s="3" t="n">
        <v>2025</v>
      </c>
      <c r="B5114" s="3" t="n">
        <v>12</v>
      </c>
      <c r="C5114" s="3" t="n">
        <v>30</v>
      </c>
      <c r="D5114" s="3" t="s">
        <v>5118</v>
      </c>
      <c r="E5114" s="4" t="n">
        <v>0</v>
      </c>
    </row>
    <row r="5115" customFormat="false" ht="15" hidden="false" customHeight="false" outlineLevel="0" collapsed="false">
      <c r="A5115" s="3" t="n">
        <v>2025</v>
      </c>
      <c r="B5115" s="3" t="n">
        <v>12</v>
      </c>
      <c r="C5115" s="3" t="n">
        <v>31</v>
      </c>
      <c r="D5115" s="3" t="s">
        <v>5119</v>
      </c>
      <c r="E5115" s="4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1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5" t="s">
        <v>5120</v>
      </c>
    </row>
    <row r="2" customFormat="false" ht="23.85" hidden="false" customHeight="false" outlineLevel="0" collapsed="false">
      <c r="A2" s="1" t="s">
        <v>0</v>
      </c>
      <c r="B2" s="1" t="s">
        <v>5121</v>
      </c>
      <c r="C2" s="1" t="s">
        <v>5122</v>
      </c>
      <c r="D2" s="1" t="s">
        <v>5123</v>
      </c>
      <c r="E2" s="1" t="s">
        <v>5124</v>
      </c>
      <c r="F2" s="1" t="s">
        <v>5125</v>
      </c>
      <c r="G2" s="1" t="s">
        <v>5126</v>
      </c>
    </row>
    <row r="3" customFormat="false" ht="15" hidden="false" customHeight="false" outlineLevel="0" collapsed="false">
      <c r="A3" s="3" t="n">
        <v>2012</v>
      </c>
      <c r="B3" s="6" t="n">
        <f aca="false">COUNTIFS(Data_Harian!$A$2:$A$5115,$A3)</f>
        <v>366</v>
      </c>
      <c r="C3" s="6" t="n">
        <f aca="false">COUNTIFS(Data_Harian!$A$2:$A$5115,$A3,Data_Harian!$E$2:$E$5115,"&gt;=0")</f>
        <v>366</v>
      </c>
      <c r="D3" s="6" t="n">
        <f aca="false">B3-C3</f>
        <v>0</v>
      </c>
      <c r="E3" s="4" t="n">
        <f aca="false">SUMIFS(Data_Harian!$E$2:$E$5115,Data_Harian!$A$2:$A$5115,$A3)</f>
        <v>3109</v>
      </c>
      <c r="F3" s="4" t="n">
        <f aca="false">_xlfn.MAXIFS(Data_Harian!$E$2:$E$5115,Data_Harian!$A$2:$A$5115,$A3)</f>
        <v>81</v>
      </c>
      <c r="G3" s="6" t="n">
        <f aca="false">COUNTIFS(Data_Harian!$A$2:$A$5115,$A3,Data_Harian!$E$2:$E$5115,"&gt;0")</f>
        <v>142</v>
      </c>
    </row>
    <row r="4" customFormat="false" ht="15" hidden="false" customHeight="false" outlineLevel="0" collapsed="false">
      <c r="A4" s="3" t="n">
        <v>2013</v>
      </c>
      <c r="B4" s="6" t="n">
        <f aca="false">COUNTIFS(Data_Harian!$A$2:$A$5115,$A4)</f>
        <v>365</v>
      </c>
      <c r="C4" s="6" t="n">
        <f aca="false">COUNTIFS(Data_Harian!$A$2:$A$5115,$A4,Data_Harian!$E$2:$E$5115,"&gt;=0")</f>
        <v>364</v>
      </c>
      <c r="D4" s="6" t="n">
        <f aca="false">B4-C4</f>
        <v>1</v>
      </c>
      <c r="E4" s="4" t="n">
        <f aca="false">SUMIFS(Data_Harian!$E$2:$E$5115,Data_Harian!$A$2:$A$5115,$A4)</f>
        <v>2916</v>
      </c>
      <c r="F4" s="4" t="n">
        <f aca="false">_xlfn.MAXIFS(Data_Harian!$E$2:$E$5115,Data_Harian!$A$2:$A$5115,$A4)</f>
        <v>120</v>
      </c>
      <c r="G4" s="6" t="n">
        <f aca="false">COUNTIFS(Data_Harian!$A$2:$A$5115,$A4,Data_Harian!$E$2:$E$5115,"&gt;0")</f>
        <v>154</v>
      </c>
    </row>
    <row r="5" customFormat="false" ht="15" hidden="false" customHeight="false" outlineLevel="0" collapsed="false">
      <c r="A5" s="3" t="n">
        <v>2014</v>
      </c>
      <c r="B5" s="6" t="n">
        <f aca="false">COUNTIFS(Data_Harian!$A$2:$A$5115,$A5)</f>
        <v>365</v>
      </c>
      <c r="C5" s="6" t="n">
        <f aca="false">COUNTIFS(Data_Harian!$A$2:$A$5115,$A5,Data_Harian!$E$2:$E$5115,"&gt;=0")</f>
        <v>365</v>
      </c>
      <c r="D5" s="6" t="n">
        <f aca="false">B5-C5</f>
        <v>0</v>
      </c>
      <c r="E5" s="4" t="n">
        <f aca="false">SUMIFS(Data_Harian!$E$2:$E$5115,Data_Harian!$A$2:$A$5115,$A5)</f>
        <v>2386</v>
      </c>
      <c r="F5" s="4" t="n">
        <f aca="false">_xlfn.MAXIFS(Data_Harian!$E$2:$E$5115,Data_Harian!$A$2:$A$5115,$A5)</f>
        <v>120</v>
      </c>
      <c r="G5" s="6" t="n">
        <f aca="false">COUNTIFS(Data_Harian!$A$2:$A$5115,$A5,Data_Harian!$E$2:$E$5115,"&gt;0")</f>
        <v>123</v>
      </c>
    </row>
    <row r="6" customFormat="false" ht="15" hidden="false" customHeight="false" outlineLevel="0" collapsed="false">
      <c r="A6" s="3" t="n">
        <v>2015</v>
      </c>
      <c r="B6" s="6" t="n">
        <f aca="false">COUNTIFS(Data_Harian!$A$2:$A$5115,$A6)</f>
        <v>365</v>
      </c>
      <c r="C6" s="6" t="n">
        <f aca="false">COUNTIFS(Data_Harian!$A$2:$A$5115,$A6,Data_Harian!$E$2:$E$5115,"&gt;=0")</f>
        <v>365</v>
      </c>
      <c r="D6" s="6" t="n">
        <f aca="false">B6-C6</f>
        <v>0</v>
      </c>
      <c r="E6" s="4" t="n">
        <f aca="false">SUMIFS(Data_Harian!$E$2:$E$5115,Data_Harian!$A$2:$A$5115,$A6)</f>
        <v>2961</v>
      </c>
      <c r="F6" s="4" t="n">
        <f aca="false">_xlfn.MAXIFS(Data_Harian!$E$2:$E$5115,Data_Harian!$A$2:$A$5115,$A6)</f>
        <v>91</v>
      </c>
      <c r="G6" s="6" t="n">
        <f aca="false">COUNTIFS(Data_Harian!$A$2:$A$5115,$A6,Data_Harian!$E$2:$E$5115,"&gt;0")</f>
        <v>127</v>
      </c>
    </row>
    <row r="7" customFormat="false" ht="15" hidden="false" customHeight="false" outlineLevel="0" collapsed="false">
      <c r="A7" s="3" t="n">
        <v>2016</v>
      </c>
      <c r="B7" s="6" t="n">
        <f aca="false">COUNTIFS(Data_Harian!$A$2:$A$5115,$A7)</f>
        <v>366</v>
      </c>
      <c r="C7" s="6" t="n">
        <f aca="false">COUNTIFS(Data_Harian!$A$2:$A$5115,$A7,Data_Harian!$E$2:$E$5115,"&gt;=0")</f>
        <v>366</v>
      </c>
      <c r="D7" s="6" t="n">
        <f aca="false">B7-C7</f>
        <v>0</v>
      </c>
      <c r="E7" s="4" t="n">
        <f aca="false">SUMIFS(Data_Harian!$E$2:$E$5115,Data_Harian!$A$2:$A$5115,$A7)</f>
        <v>3228</v>
      </c>
      <c r="F7" s="4" t="n">
        <f aca="false">_xlfn.MAXIFS(Data_Harian!$E$2:$E$5115,Data_Harian!$A$2:$A$5115,$A7)</f>
        <v>88</v>
      </c>
      <c r="G7" s="6" t="n">
        <f aca="false">COUNTIFS(Data_Harian!$A$2:$A$5115,$A7,Data_Harian!$E$2:$E$5115,"&gt;0")</f>
        <v>145</v>
      </c>
    </row>
    <row r="8" customFormat="false" ht="15" hidden="false" customHeight="false" outlineLevel="0" collapsed="false">
      <c r="A8" s="3" t="n">
        <v>2017</v>
      </c>
      <c r="B8" s="6" t="n">
        <f aca="false">COUNTIFS(Data_Harian!$A$2:$A$5115,$A8)</f>
        <v>365</v>
      </c>
      <c r="C8" s="6" t="n">
        <f aca="false">COUNTIFS(Data_Harian!$A$2:$A$5115,$A8,Data_Harian!$E$2:$E$5115,"&gt;=0")</f>
        <v>364</v>
      </c>
      <c r="D8" s="6" t="n">
        <f aca="false">B8-C8</f>
        <v>1</v>
      </c>
      <c r="E8" s="4" t="n">
        <f aca="false">SUMIFS(Data_Harian!$E$2:$E$5115,Data_Harian!$A$2:$A$5115,$A8)</f>
        <v>2631</v>
      </c>
      <c r="F8" s="4" t="n">
        <f aca="false">_xlfn.MAXIFS(Data_Harian!$E$2:$E$5115,Data_Harian!$A$2:$A$5115,$A8)</f>
        <v>86</v>
      </c>
      <c r="G8" s="6" t="n">
        <f aca="false">COUNTIFS(Data_Harian!$A$2:$A$5115,$A8,Data_Harian!$E$2:$E$5115,"&gt;0")</f>
        <v>168</v>
      </c>
    </row>
    <row r="9" customFormat="false" ht="15" hidden="false" customHeight="false" outlineLevel="0" collapsed="false">
      <c r="A9" s="3" t="n">
        <v>2018</v>
      </c>
      <c r="B9" s="6" t="n">
        <f aca="false">COUNTIFS(Data_Harian!$A$2:$A$5115,$A9)</f>
        <v>365</v>
      </c>
      <c r="C9" s="6" t="n">
        <f aca="false">COUNTIFS(Data_Harian!$A$2:$A$5115,$A9,Data_Harian!$E$2:$E$5115,"&gt;=0")</f>
        <v>365</v>
      </c>
      <c r="D9" s="6" t="n">
        <f aca="false">B9-C9</f>
        <v>0</v>
      </c>
      <c r="E9" s="4" t="n">
        <f aca="false">SUMIFS(Data_Harian!$E$2:$E$5115,Data_Harian!$A$2:$A$5115,$A9)</f>
        <v>1654</v>
      </c>
      <c r="F9" s="4" t="n">
        <f aca="false">_xlfn.MAXIFS(Data_Harian!$E$2:$E$5115,Data_Harian!$A$2:$A$5115,$A9)</f>
        <v>62</v>
      </c>
      <c r="G9" s="6" t="n">
        <f aca="false">COUNTIFS(Data_Harian!$A$2:$A$5115,$A9,Data_Harian!$E$2:$E$5115,"&gt;0")</f>
        <v>155</v>
      </c>
    </row>
    <row r="10" customFormat="false" ht="15" hidden="false" customHeight="false" outlineLevel="0" collapsed="false">
      <c r="A10" s="3" t="n">
        <v>2019</v>
      </c>
      <c r="B10" s="6" t="n">
        <f aca="false">COUNTIFS(Data_Harian!$A$2:$A$5115,$A10)</f>
        <v>365</v>
      </c>
      <c r="C10" s="6" t="n">
        <f aca="false">COUNTIFS(Data_Harian!$A$2:$A$5115,$A10,Data_Harian!$E$2:$E$5115,"&gt;=0")</f>
        <v>363</v>
      </c>
      <c r="D10" s="6" t="n">
        <f aca="false">B10-C10</f>
        <v>2</v>
      </c>
      <c r="E10" s="4" t="n">
        <f aca="false">SUMIFS(Data_Harian!$E$2:$E$5115,Data_Harian!$A$2:$A$5115,$A10)</f>
        <v>2313</v>
      </c>
      <c r="F10" s="4" t="n">
        <f aca="false">_xlfn.MAXIFS(Data_Harian!$E$2:$E$5115,Data_Harian!$A$2:$A$5115,$A10)</f>
        <v>88</v>
      </c>
      <c r="G10" s="6" t="n">
        <f aca="false">COUNTIFS(Data_Harian!$A$2:$A$5115,$A10,Data_Harian!$E$2:$E$5115,"&gt;0")</f>
        <v>161</v>
      </c>
    </row>
    <row r="11" customFormat="false" ht="15" hidden="false" customHeight="false" outlineLevel="0" collapsed="false">
      <c r="A11" s="3" t="n">
        <v>2020</v>
      </c>
      <c r="B11" s="6" t="n">
        <f aca="false">COUNTIFS(Data_Harian!$A$2:$A$5115,$A11)</f>
        <v>366</v>
      </c>
      <c r="C11" s="6" t="n">
        <f aca="false">COUNTIFS(Data_Harian!$A$2:$A$5115,$A11,Data_Harian!$E$2:$E$5115,"&gt;=0")</f>
        <v>366</v>
      </c>
      <c r="D11" s="6" t="n">
        <f aca="false">B11-C11</f>
        <v>0</v>
      </c>
      <c r="E11" s="4" t="n">
        <f aca="false">SUMIFS(Data_Harian!$E$2:$E$5115,Data_Harian!$A$2:$A$5115,$A11)</f>
        <v>4189</v>
      </c>
      <c r="F11" s="4" t="n">
        <f aca="false">_xlfn.MAXIFS(Data_Harian!$E$2:$E$5115,Data_Harian!$A$2:$A$5115,$A11)</f>
        <v>220</v>
      </c>
      <c r="G11" s="6" t="n">
        <f aca="false">COUNTIFS(Data_Harian!$A$2:$A$5115,$A11,Data_Harian!$E$2:$E$5115,"&gt;0")</f>
        <v>192</v>
      </c>
    </row>
    <row r="12" customFormat="false" ht="15" hidden="false" customHeight="false" outlineLevel="0" collapsed="false">
      <c r="A12" s="3" t="n">
        <v>2021</v>
      </c>
      <c r="B12" s="6" t="n">
        <f aca="false">COUNTIFS(Data_Harian!$A$2:$A$5115,$A12)</f>
        <v>365</v>
      </c>
      <c r="C12" s="6" t="n">
        <f aca="false">COUNTIFS(Data_Harian!$A$2:$A$5115,$A12,Data_Harian!$E$2:$E$5115,"&gt;=0")</f>
        <v>365</v>
      </c>
      <c r="D12" s="6" t="n">
        <f aca="false">B12-C12</f>
        <v>0</v>
      </c>
      <c r="E12" s="4" t="n">
        <f aca="false">SUMIFS(Data_Harian!$E$2:$E$5115,Data_Harian!$A$2:$A$5115,$A12)</f>
        <v>3696</v>
      </c>
      <c r="F12" s="4" t="n">
        <f aca="false">_xlfn.MAXIFS(Data_Harian!$E$2:$E$5115,Data_Harian!$A$2:$A$5115,$A12)</f>
        <v>151</v>
      </c>
      <c r="G12" s="6" t="n">
        <f aca="false">COUNTIFS(Data_Harian!$A$2:$A$5115,$A12,Data_Harian!$E$2:$E$5115,"&gt;0")</f>
        <v>181</v>
      </c>
    </row>
    <row r="13" customFormat="false" ht="15" hidden="false" customHeight="false" outlineLevel="0" collapsed="false">
      <c r="A13" s="3" t="n">
        <v>2022</v>
      </c>
      <c r="B13" s="6" t="n">
        <f aca="false">COUNTIFS(Data_Harian!$A$2:$A$5115,$A13)</f>
        <v>365</v>
      </c>
      <c r="C13" s="6" t="n">
        <f aca="false">COUNTIFS(Data_Harian!$A$2:$A$5115,$A13,Data_Harian!$E$2:$E$5115,"&gt;=0")</f>
        <v>365</v>
      </c>
      <c r="D13" s="6" t="n">
        <f aca="false">B13-C13</f>
        <v>0</v>
      </c>
      <c r="E13" s="4" t="n">
        <f aca="false">SUMIFS(Data_Harian!$E$2:$E$5115,Data_Harian!$A$2:$A$5115,$A13)</f>
        <v>2926</v>
      </c>
      <c r="F13" s="4" t="n">
        <f aca="false">_xlfn.MAXIFS(Data_Harian!$E$2:$E$5115,Data_Harian!$A$2:$A$5115,$A13)</f>
        <v>91</v>
      </c>
      <c r="G13" s="6" t="n">
        <f aca="false">COUNTIFS(Data_Harian!$A$2:$A$5115,$A13,Data_Harian!$E$2:$E$5115,"&gt;0")</f>
        <v>220</v>
      </c>
    </row>
    <row r="14" customFormat="false" ht="15" hidden="false" customHeight="false" outlineLevel="0" collapsed="false">
      <c r="A14" s="3" t="n">
        <v>2023</v>
      </c>
      <c r="B14" s="6" t="n">
        <f aca="false">COUNTIFS(Data_Harian!$A$2:$A$5115,$A14)</f>
        <v>365</v>
      </c>
      <c r="C14" s="6" t="n">
        <f aca="false">COUNTIFS(Data_Harian!$A$2:$A$5115,$A14,Data_Harian!$E$2:$E$5115,"&gt;=0")</f>
        <v>357</v>
      </c>
      <c r="D14" s="6" t="n">
        <f aca="false">B14-C14</f>
        <v>8</v>
      </c>
      <c r="E14" s="4" t="n">
        <f aca="false">SUMIFS(Data_Harian!$E$2:$E$5115,Data_Harian!$A$2:$A$5115,$A14)</f>
        <v>3260</v>
      </c>
      <c r="F14" s="4" t="n">
        <f aca="false">_xlfn.MAXIFS(Data_Harian!$E$2:$E$5115,Data_Harian!$A$2:$A$5115,$A14)</f>
        <v>100</v>
      </c>
      <c r="G14" s="6" t="n">
        <f aca="false">COUNTIFS(Data_Harian!$A$2:$A$5115,$A14,Data_Harian!$E$2:$E$5115,"&gt;0")</f>
        <v>204</v>
      </c>
    </row>
    <row r="15" customFormat="false" ht="15" hidden="false" customHeight="false" outlineLevel="0" collapsed="false">
      <c r="A15" s="3" t="n">
        <v>2024</v>
      </c>
      <c r="B15" s="6" t="n">
        <f aca="false">COUNTIFS(Data_Harian!$A$2:$A$5115,$A15)</f>
        <v>366</v>
      </c>
      <c r="C15" s="6" t="n">
        <f aca="false">COUNTIFS(Data_Harian!$A$2:$A$5115,$A15,Data_Harian!$E$2:$E$5115,"&gt;=0")</f>
        <v>366</v>
      </c>
      <c r="D15" s="6" t="n">
        <f aca="false">B15-C15</f>
        <v>0</v>
      </c>
      <c r="E15" s="4" t="n">
        <f aca="false">SUMIFS(Data_Harian!$E$2:$E$5115,Data_Harian!$A$2:$A$5115,$A15)</f>
        <v>3711</v>
      </c>
      <c r="F15" s="4" t="n">
        <f aca="false">_xlfn.MAXIFS(Data_Harian!$E$2:$E$5115,Data_Harian!$A$2:$A$5115,$A15)</f>
        <v>160</v>
      </c>
      <c r="G15" s="6" t="n">
        <f aca="false">COUNTIFS(Data_Harian!$A$2:$A$5115,$A15,Data_Harian!$E$2:$E$5115,"&gt;0")</f>
        <v>229</v>
      </c>
    </row>
    <row r="16" customFormat="false" ht="15" hidden="false" customHeight="false" outlineLevel="0" collapsed="false">
      <c r="A16" s="3" t="n">
        <v>2025</v>
      </c>
      <c r="B16" s="6" t="n">
        <f aca="false">COUNTIFS(Data_Harian!$A$2:$A$5115,$A16)</f>
        <v>365</v>
      </c>
      <c r="C16" s="6" t="n">
        <f aca="false">COUNTIFS(Data_Harian!$A$2:$A$5115,$A16,Data_Harian!$E$2:$E$5115,"&gt;=0")</f>
        <v>365</v>
      </c>
      <c r="D16" s="6" t="n">
        <f aca="false">B16-C16</f>
        <v>0</v>
      </c>
      <c r="E16" s="4" t="n">
        <f aca="false">SUMIFS(Data_Harian!$E$2:$E$5115,Data_Harian!$A$2:$A$5115,$A16)</f>
        <v>3310</v>
      </c>
      <c r="F16" s="4" t="n">
        <f aca="false">_xlfn.MAXIFS(Data_Harian!$E$2:$E$5115,Data_Harian!$A$2:$A$5115,$A16)</f>
        <v>100</v>
      </c>
      <c r="G16" s="6" t="n">
        <f aca="false">COUNTIFS(Data_Harian!$A$2:$A$5115,$A16,Data_Harian!$E$2:$E$5115,"&gt;0")</f>
        <v>206</v>
      </c>
    </row>
    <row r="17" customFormat="false" ht="15" hidden="false" customHeight="false" outlineLevel="0" collapsed="false">
      <c r="A17" s="7" t="s">
        <v>5127</v>
      </c>
      <c r="E17" s="8" t="n">
        <f aca="false">SUM(E3:E16)</f>
        <v>42290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5128</v>
      </c>
    </row>
    <row r="2" customFormat="false" ht="23.85" hidden="false" customHeight="false" outlineLevel="0" collapsed="false">
      <c r="A2" s="1" t="s">
        <v>5129</v>
      </c>
      <c r="B2" s="1" t="s">
        <v>5130</v>
      </c>
    </row>
    <row r="3" customFormat="false" ht="15" hidden="false" customHeight="false" outlineLevel="0" collapsed="false">
      <c r="A3" s="2" t="s">
        <v>5131</v>
      </c>
      <c r="B3" s="9" t="n">
        <f aca="false">COUNT(Statistik_Tahunan!$F$3:$F$16)</f>
        <v>14</v>
      </c>
      <c r="C3" s="2" t="s">
        <v>5132</v>
      </c>
    </row>
    <row r="4" customFormat="false" ht="15" hidden="false" customHeight="false" outlineLevel="0" collapsed="false">
      <c r="A4" s="2" t="s">
        <v>5133</v>
      </c>
      <c r="B4" s="10" t="n">
        <f aca="false">AVERAGE(Statistik_Tahunan!$F$3:$F$16)</f>
        <v>111.285714285714</v>
      </c>
      <c r="C4" s="2" t="s">
        <v>5134</v>
      </c>
    </row>
    <row r="5" customFormat="false" ht="15" hidden="false" customHeight="false" outlineLevel="0" collapsed="false">
      <c r="A5" s="2" t="s">
        <v>5135</v>
      </c>
      <c r="B5" s="10" t="n">
        <f aca="false">STDEV(Statistik_Tahunan!$F$3:$F$16)</f>
        <v>41.201995043983</v>
      </c>
      <c r="C5" s="2" t="s">
        <v>5134</v>
      </c>
    </row>
    <row r="6" customFormat="false" ht="15" hidden="false" customHeight="false" outlineLevel="0" collapsed="false">
      <c r="A6" s="2" t="s">
        <v>5136</v>
      </c>
      <c r="B6" s="10" t="n">
        <f aca="false">B5/B4</f>
        <v>0.370236155722568</v>
      </c>
    </row>
    <row r="7" customFormat="false" ht="15" hidden="false" customHeight="false" outlineLevel="0" collapsed="false">
      <c r="A7" s="2" t="s">
        <v>5137</v>
      </c>
      <c r="B7" s="10" t="n">
        <f aca="false">B3/((B3-1)*(B3-2))*SUMPRODUCT(((Statistik_Tahunan!$F$3:$F$16-B4)/B5)^3)</f>
        <v>1.61146501579493</v>
      </c>
    </row>
    <row r="8" customFormat="false" ht="15" hidden="false" customHeight="false" outlineLevel="0" collapsed="false">
      <c r="A8" s="2" t="s">
        <v>5138</v>
      </c>
      <c r="B8" s="10" t="n">
        <f aca="false">(1/B3)*SUMPRODUCT(((Statistik_Tahunan!$F$3:$F$16-B4)/B5)^4)</f>
        <v>3.86467313260414</v>
      </c>
    </row>
    <row r="9" customFormat="false" ht="15" hidden="false" customHeight="false" outlineLevel="0" collapsed="false">
      <c r="A9" s="2" t="s">
        <v>5139</v>
      </c>
      <c r="B9" s="10" t="n">
        <f aca="false">SUMPRODUCT(LOG10(Statistik_Tahunan!$F$3:$F$16))/B3</f>
        <v>2.02330752795925</v>
      </c>
    </row>
    <row r="10" customFormat="false" ht="15" hidden="false" customHeight="false" outlineLevel="0" collapsed="false">
      <c r="A10" s="2" t="s">
        <v>5140</v>
      </c>
      <c r="B10" s="10" t="n">
        <f aca="false">SQRT(SUMPRODUCT((LOG10(Statistik_Tahunan!$F$3:$F$16)-B9)^2)/(B3-1))</f>
        <v>0.141739520697515</v>
      </c>
    </row>
    <row r="11" customFormat="false" ht="15" hidden="false" customHeight="false" outlineLevel="0" collapsed="false">
      <c r="A11" s="2" t="s">
        <v>5141</v>
      </c>
      <c r="B11" s="10" t="n">
        <f aca="false">B3/((B3-1)*(B3-2))*SUMPRODUCT(((LOG10(Statistik_Tahunan!$F$3:$F$16)-B9)/B10)^3)</f>
        <v>0.834117973767271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5142</v>
      </c>
    </row>
    <row r="2" customFormat="false" ht="15" hidden="false" customHeight="false" outlineLevel="0" collapsed="false">
      <c r="A2" s="1" t="s">
        <v>5129</v>
      </c>
      <c r="B2" s="1" t="s">
        <v>5143</v>
      </c>
    </row>
    <row r="3" customFormat="false" ht="15" hidden="false" customHeight="false" outlineLevel="0" collapsed="false">
      <c r="A3" s="2" t="s">
        <v>5144</v>
      </c>
      <c r="B3" s="9" t="n">
        <f aca="false">COUNT(Statistik_Tahunan!$F$3:$F$9)</f>
        <v>7</v>
      </c>
      <c r="C3" s="2" t="s">
        <v>5145</v>
      </c>
    </row>
    <row r="4" customFormat="false" ht="15" hidden="false" customHeight="false" outlineLevel="0" collapsed="false">
      <c r="A4" s="2" t="s">
        <v>5146</v>
      </c>
      <c r="B4" s="9" t="n">
        <f aca="false">COUNT(Statistik_Tahunan!$F$10:$F$16)</f>
        <v>7</v>
      </c>
      <c r="C4" s="2" t="s">
        <v>5147</v>
      </c>
    </row>
    <row r="5" customFormat="false" ht="15" hidden="false" customHeight="false" outlineLevel="0" collapsed="false">
      <c r="A5" s="2" t="s">
        <v>5148</v>
      </c>
      <c r="B5" s="10" t="n">
        <f aca="false">AVERAGE(Statistik_Tahunan!$F$3:$F$9)</f>
        <v>92.5714285714286</v>
      </c>
    </row>
    <row r="6" customFormat="false" ht="15" hidden="false" customHeight="false" outlineLevel="0" collapsed="false">
      <c r="A6" s="2" t="s">
        <v>5149</v>
      </c>
      <c r="B6" s="10" t="n">
        <f aca="false">AVERAGE(Statistik_Tahunan!$F$10:$F$16)</f>
        <v>130</v>
      </c>
    </row>
    <row r="7" customFormat="false" ht="15" hidden="false" customHeight="false" outlineLevel="0" collapsed="false">
      <c r="A7" s="2" t="s">
        <v>5150</v>
      </c>
      <c r="B7" s="10" t="n">
        <f aca="false">SQRT(SUMPRODUCT((Statistik_Tahunan!$F$3:$F$9-B5)^2)/B3)</f>
        <v>19.4191153458732</v>
      </c>
    </row>
    <row r="8" customFormat="false" ht="15" hidden="false" customHeight="false" outlineLevel="0" collapsed="false">
      <c r="A8" s="2" t="s">
        <v>5151</v>
      </c>
      <c r="B8" s="10" t="n">
        <f aca="false">SQRT(SUMPRODUCT((Statistik_Tahunan!$F$10:$F$16-B6)^2)/B4)</f>
        <v>45.5537359295904</v>
      </c>
    </row>
    <row r="9" customFormat="false" ht="15" hidden="false" customHeight="false" outlineLevel="0" collapsed="false">
      <c r="A9" s="2" t="s">
        <v>5152</v>
      </c>
      <c r="B9" s="10" t="n">
        <f aca="false">SQRT((B3*B7^2+B4*B8^2)/(B3+B4-2))</f>
        <v>37.821636538841</v>
      </c>
    </row>
    <row r="10" customFormat="false" ht="15" hidden="false" customHeight="false" outlineLevel="0" collapsed="false">
      <c r="A10" s="2" t="s">
        <v>5153</v>
      </c>
      <c r="B10" s="10" t="n">
        <f aca="false">ABS(B5-B6)/(B9*SQRT(1/B3+1/B4))</f>
        <v>1.85138592057341</v>
      </c>
    </row>
    <row r="11" customFormat="false" ht="15" hidden="false" customHeight="false" outlineLevel="0" collapsed="false">
      <c r="A11" s="2" t="s">
        <v>5154</v>
      </c>
      <c r="B11" s="9" t="n">
        <f aca="false">B3+B4-2</f>
        <v>12</v>
      </c>
    </row>
    <row r="12" customFormat="false" ht="15" hidden="false" customHeight="false" outlineLevel="0" collapsed="false">
      <c r="A12" s="2" t="s">
        <v>5155</v>
      </c>
      <c r="B12" s="11" t="n">
        <f aca="false">INDEX(Koefisien!$C$5:$C$34,MATCH(MIN(B11,30),Koefisien!$A$5:$A$34,1))</f>
        <v>2.179</v>
      </c>
      <c r="C12" s="2" t="s">
        <v>5156</v>
      </c>
    </row>
    <row r="13" customFormat="false" ht="15" hidden="false" customHeight="false" outlineLevel="0" collapsed="false">
      <c r="A13" s="2" t="s">
        <v>5157</v>
      </c>
      <c r="B13" s="11" t="n">
        <f aca="false">INDEX(Koefisien!$B$5:$B$34,MATCH(MIN(B11,30),Koefisien!$A$5:$A$34,1))</f>
        <v>1.782</v>
      </c>
    </row>
    <row r="14" customFormat="false" ht="15" hidden="false" customHeight="false" outlineLevel="0" collapsed="false">
      <c r="A14" s="2" t="s">
        <v>5158</v>
      </c>
      <c r="B14" s="7" t="str">
        <f aca="false">IF(B10&lt;B12,"HOMOGEN","TIDAK HOMOGEN")</f>
        <v>HOMOGEN</v>
      </c>
    </row>
    <row r="15" customFormat="false" ht="15" hidden="false" customHeight="false" outlineLevel="0" collapsed="false">
      <c r="A15" s="2" t="s">
        <v>5159</v>
      </c>
      <c r="B15" s="7" t="str">
        <f aca="false">IF(B10&lt;B13,"HOMOGEN","TIDAK HOMOGEN")</f>
        <v>TIDAK HOMOGEN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5160</v>
      </c>
    </row>
    <row r="2" customFormat="false" ht="15" hidden="false" customHeight="false" outlineLevel="0" collapsed="false">
      <c r="A2" s="1" t="s">
        <v>5129</v>
      </c>
      <c r="B2" s="1" t="s">
        <v>5143</v>
      </c>
    </row>
    <row r="3" customFormat="false" ht="15" hidden="false" customHeight="false" outlineLevel="0" collapsed="false">
      <c r="A3" s="2" t="s">
        <v>5161</v>
      </c>
      <c r="B3" s="9" t="n">
        <f aca="false">Statistik!B3</f>
        <v>14</v>
      </c>
    </row>
    <row r="4" customFormat="false" ht="15" hidden="false" customHeight="false" outlineLevel="0" collapsed="false">
      <c r="A4" s="2" t="s">
        <v>5162</v>
      </c>
      <c r="B4" s="10" t="n">
        <f aca="false">Statistik!B4</f>
        <v>111.285714285714</v>
      </c>
    </row>
    <row r="5" customFormat="false" ht="15" hidden="false" customHeight="false" outlineLevel="0" collapsed="false">
      <c r="A5" s="2" t="s">
        <v>5163</v>
      </c>
      <c r="B5" s="10" t="n">
        <f aca="false">SQRT(SUMPRODUCT($C$13:$C$26^2)/B3)</f>
        <v>39.7032358728544</v>
      </c>
    </row>
    <row r="6" customFormat="false" ht="15" hidden="false" customHeight="false" outlineLevel="0" collapsed="false">
      <c r="A6" s="2" t="s">
        <v>5164</v>
      </c>
      <c r="B6" s="10" t="n">
        <f aca="false">MAX(MAX($E$13:$E$26),-MIN($E$13:$E$26))</f>
        <v>3.88597329396019</v>
      </c>
    </row>
    <row r="7" customFormat="false" ht="15" hidden="false" customHeight="false" outlineLevel="0" collapsed="false">
      <c r="A7" s="2" t="s">
        <v>5165</v>
      </c>
      <c r="B7" s="10" t="n">
        <f aca="false">B6/SQRT(B3)</f>
        <v>1.03857004858232</v>
      </c>
    </row>
    <row r="8" customFormat="false" ht="15" hidden="false" customHeight="false" outlineLevel="0" collapsed="false">
      <c r="A8" s="2" t="s">
        <v>5166</v>
      </c>
      <c r="B8" s="10" t="n">
        <f aca="false">Koefisien!$B$38+(B3-Koefisien!$A$38)/(Koefisien!$A$39-Koefisien!$A$38)*(Koefisien!$B$39-Koefisien!$B$38)</f>
        <v>1.172</v>
      </c>
    </row>
    <row r="9" customFormat="false" ht="15" hidden="false" customHeight="false" outlineLevel="0" collapsed="false">
      <c r="A9" s="2" t="s">
        <v>5167</v>
      </c>
      <c r="B9" s="10" t="n">
        <f aca="false">Koefisien!$C$38+(B3-Koefisien!$A$38)/(Koefisien!$A$39-Koefisien!$A$38)*(Koefisien!$C$39-Koefisien!$C$38)</f>
        <v>1.342</v>
      </c>
    </row>
    <row r="10" customFormat="false" ht="15" hidden="false" customHeight="false" outlineLevel="0" collapsed="false">
      <c r="A10" s="2" t="s">
        <v>5168</v>
      </c>
      <c r="B10" s="7" t="str">
        <f aca="false">IF(B7&lt;B8,"KONSISTEN","TIDAK KONSISTEN")</f>
        <v>KONSISTEN</v>
      </c>
    </row>
    <row r="11" customFormat="false" ht="15" hidden="false" customHeight="false" outlineLevel="0" collapsed="false">
      <c r="A11" s="2" t="s">
        <v>5169</v>
      </c>
      <c r="B11" s="7" t="str">
        <f aca="false">IF(B7&lt;B9,"KONSISTEN","TIDAK KONSISTEN")</f>
        <v>KONSISTEN</v>
      </c>
    </row>
    <row r="12" customFormat="false" ht="15" hidden="false" customHeight="false" outlineLevel="0" collapsed="false">
      <c r="A12" s="1" t="s">
        <v>0</v>
      </c>
      <c r="B12" s="1" t="s">
        <v>5170</v>
      </c>
      <c r="C12" s="1" t="s">
        <v>5171</v>
      </c>
      <c r="D12" s="1" t="s">
        <v>5172</v>
      </c>
      <c r="E12" s="1" t="s">
        <v>5173</v>
      </c>
    </row>
    <row r="13" customFormat="false" ht="15" hidden="false" customHeight="false" outlineLevel="0" collapsed="false">
      <c r="A13" s="3" t="n">
        <f aca="false">Statistik_Tahunan!A3</f>
        <v>2012</v>
      </c>
      <c r="B13" s="4" t="n">
        <f aca="false">Statistik_Tahunan!F3</f>
        <v>81</v>
      </c>
      <c r="C13" s="12" t="n">
        <f aca="false">B13-$B$4</f>
        <v>-30.2857142857143</v>
      </c>
      <c r="D13" s="12" t="n">
        <f aca="false">C13</f>
        <v>-30.2857142857143</v>
      </c>
      <c r="E13" s="12" t="n">
        <f aca="false">D13/$B$5</f>
        <v>-0.762802165110704</v>
      </c>
    </row>
    <row r="14" customFormat="false" ht="15" hidden="false" customHeight="false" outlineLevel="0" collapsed="false">
      <c r="A14" s="3" t="n">
        <f aca="false">Statistik_Tahunan!A4</f>
        <v>2013</v>
      </c>
      <c r="B14" s="4" t="n">
        <f aca="false">Statistik_Tahunan!F4</f>
        <v>120</v>
      </c>
      <c r="C14" s="12" t="n">
        <f aca="false">B14-$B$4</f>
        <v>8.71428571428571</v>
      </c>
      <c r="D14" s="12" t="n">
        <f aca="false">D13+C14</f>
        <v>-21.5714285714286</v>
      </c>
      <c r="E14" s="12" t="n">
        <f aca="false">D14/$B$5</f>
        <v>-0.54331663647036</v>
      </c>
    </row>
    <row r="15" customFormat="false" ht="15" hidden="false" customHeight="false" outlineLevel="0" collapsed="false">
      <c r="A15" s="3" t="n">
        <f aca="false">Statistik_Tahunan!A5</f>
        <v>2014</v>
      </c>
      <c r="B15" s="4" t="n">
        <f aca="false">Statistik_Tahunan!F5</f>
        <v>120</v>
      </c>
      <c r="C15" s="12" t="n">
        <f aca="false">B15-$B$4</f>
        <v>8.71428571428571</v>
      </c>
      <c r="D15" s="12" t="n">
        <f aca="false">D14+C15</f>
        <v>-12.8571428571429</v>
      </c>
      <c r="E15" s="12" t="n">
        <f aca="false">D15/$B$5</f>
        <v>-0.323831107830016</v>
      </c>
    </row>
    <row r="16" customFormat="false" ht="15" hidden="false" customHeight="false" outlineLevel="0" collapsed="false">
      <c r="A16" s="3" t="n">
        <f aca="false">Statistik_Tahunan!A6</f>
        <v>2015</v>
      </c>
      <c r="B16" s="4" t="n">
        <f aca="false">Statistik_Tahunan!F6</f>
        <v>91</v>
      </c>
      <c r="C16" s="12" t="n">
        <f aca="false">B16-$B$4</f>
        <v>-20.2857142857143</v>
      </c>
      <c r="D16" s="12" t="n">
        <f aca="false">D15+C16</f>
        <v>-33.1428571428572</v>
      </c>
      <c r="E16" s="12" t="n">
        <f aca="false">D16/$B$5</f>
        <v>-0.834764633517375</v>
      </c>
    </row>
    <row r="17" customFormat="false" ht="15" hidden="false" customHeight="false" outlineLevel="0" collapsed="false">
      <c r="A17" s="3" t="n">
        <f aca="false">Statistik_Tahunan!A7</f>
        <v>2016</v>
      </c>
      <c r="B17" s="4" t="n">
        <f aca="false">Statistik_Tahunan!F7</f>
        <v>88</v>
      </c>
      <c r="C17" s="12" t="n">
        <f aca="false">B17-$B$4</f>
        <v>-23.2857142857143</v>
      </c>
      <c r="D17" s="12" t="n">
        <f aca="false">D16+C17</f>
        <v>-56.4285714285715</v>
      </c>
      <c r="E17" s="12" t="n">
        <f aca="false">D17/$B$5</f>
        <v>-1.42125875103174</v>
      </c>
    </row>
    <row r="18" customFormat="false" ht="15" hidden="false" customHeight="false" outlineLevel="0" collapsed="false">
      <c r="A18" s="3" t="n">
        <f aca="false">Statistik_Tahunan!A8</f>
        <v>2017</v>
      </c>
      <c r="B18" s="4" t="n">
        <f aca="false">Statistik_Tahunan!F8</f>
        <v>86</v>
      </c>
      <c r="C18" s="12" t="n">
        <f aca="false">B18-$B$4</f>
        <v>-25.2857142857143</v>
      </c>
      <c r="D18" s="12" t="n">
        <f aca="false">D17+C18</f>
        <v>-81.7142857142858</v>
      </c>
      <c r="E18" s="12" t="n">
        <f aca="false">D18/$B$5</f>
        <v>-2.05812659643077</v>
      </c>
    </row>
    <row r="19" customFormat="false" ht="15" hidden="false" customHeight="false" outlineLevel="0" collapsed="false">
      <c r="A19" s="3" t="n">
        <f aca="false">Statistik_Tahunan!A9</f>
        <v>2018</v>
      </c>
      <c r="B19" s="4" t="n">
        <f aca="false">Statistik_Tahunan!F9</f>
        <v>62</v>
      </c>
      <c r="C19" s="12" t="n">
        <f aca="false">B19-$B$4</f>
        <v>-49.2857142857143</v>
      </c>
      <c r="D19" s="12" t="n">
        <f aca="false">D18+C19</f>
        <v>-131</v>
      </c>
      <c r="E19" s="12" t="n">
        <f aca="false">D19/$B$5</f>
        <v>-3.29947917644583</v>
      </c>
    </row>
    <row r="20" customFormat="false" ht="15" hidden="false" customHeight="false" outlineLevel="0" collapsed="false">
      <c r="A20" s="3" t="n">
        <f aca="false">Statistik_Tahunan!A10</f>
        <v>2019</v>
      </c>
      <c r="B20" s="4" t="n">
        <f aca="false">Statistik_Tahunan!F10</f>
        <v>88</v>
      </c>
      <c r="C20" s="12" t="n">
        <f aca="false">B20-$B$4</f>
        <v>-23.2857142857143</v>
      </c>
      <c r="D20" s="12" t="n">
        <f aca="false">D19+C20</f>
        <v>-154.285714285714</v>
      </c>
      <c r="E20" s="12" t="n">
        <f aca="false">D20/$B$5</f>
        <v>-3.88597329396019</v>
      </c>
    </row>
    <row r="21" customFormat="false" ht="15" hidden="false" customHeight="false" outlineLevel="0" collapsed="false">
      <c r="A21" s="3" t="n">
        <f aca="false">Statistik_Tahunan!A11</f>
        <v>2020</v>
      </c>
      <c r="B21" s="4" t="n">
        <f aca="false">Statistik_Tahunan!F11</f>
        <v>220</v>
      </c>
      <c r="C21" s="12" t="n">
        <f aca="false">B21-$B$4</f>
        <v>108.714285714286</v>
      </c>
      <c r="D21" s="12" t="n">
        <f aca="false">D20+C21</f>
        <v>-45.5714285714286</v>
      </c>
      <c r="E21" s="12" t="n">
        <f aca="false">D21/$B$5</f>
        <v>-1.14780137108639</v>
      </c>
    </row>
    <row r="22" customFormat="false" ht="15" hidden="false" customHeight="false" outlineLevel="0" collapsed="false">
      <c r="A22" s="3" t="n">
        <f aca="false">Statistik_Tahunan!A12</f>
        <v>2021</v>
      </c>
      <c r="B22" s="4" t="n">
        <f aca="false">Statistik_Tahunan!F12</f>
        <v>151</v>
      </c>
      <c r="C22" s="12" t="n">
        <f aca="false">B22-$B$4</f>
        <v>39.7142857142857</v>
      </c>
      <c r="D22" s="12" t="n">
        <f aca="false">D21+C22</f>
        <v>-5.85714285714292</v>
      </c>
      <c r="E22" s="12" t="n">
        <f aca="false">D22/$B$5</f>
        <v>-0.147523060233675</v>
      </c>
    </row>
    <row r="23" customFormat="false" ht="15" hidden="false" customHeight="false" outlineLevel="0" collapsed="false">
      <c r="A23" s="3" t="n">
        <f aca="false">Statistik_Tahunan!A13</f>
        <v>2022</v>
      </c>
      <c r="B23" s="4" t="n">
        <f aca="false">Statistik_Tahunan!F13</f>
        <v>91</v>
      </c>
      <c r="C23" s="12" t="n">
        <f aca="false">B23-$B$4</f>
        <v>-20.2857142857143</v>
      </c>
      <c r="D23" s="12" t="n">
        <f aca="false">D22+C23</f>
        <v>-26.1428571428572</v>
      </c>
      <c r="E23" s="12" t="n">
        <f aca="false">D23/$B$5</f>
        <v>-0.658456585921034</v>
      </c>
    </row>
    <row r="24" customFormat="false" ht="15" hidden="false" customHeight="false" outlineLevel="0" collapsed="false">
      <c r="A24" s="3" t="n">
        <f aca="false">Statistik_Tahunan!A14</f>
        <v>2023</v>
      </c>
      <c r="B24" s="4" t="n">
        <f aca="false">Statistik_Tahunan!F14</f>
        <v>100</v>
      </c>
      <c r="C24" s="12" t="n">
        <f aca="false">B24-$B$4</f>
        <v>-11.2857142857143</v>
      </c>
      <c r="D24" s="12" t="n">
        <f aca="false">D23+C24</f>
        <v>-37.4285714285715</v>
      </c>
      <c r="E24" s="12" t="n">
        <f aca="false">D24/$B$5</f>
        <v>-0.942708336127381</v>
      </c>
    </row>
    <row r="25" customFormat="false" ht="15" hidden="false" customHeight="false" outlineLevel="0" collapsed="false">
      <c r="A25" s="3" t="n">
        <f aca="false">Statistik_Tahunan!A15</f>
        <v>2024</v>
      </c>
      <c r="B25" s="4" t="n">
        <f aca="false">Statistik_Tahunan!F15</f>
        <v>160</v>
      </c>
      <c r="C25" s="12" t="n">
        <f aca="false">B25-$B$4</f>
        <v>48.7142857142857</v>
      </c>
      <c r="D25" s="12" t="n">
        <f aca="false">D24+C25</f>
        <v>11.2857142857142</v>
      </c>
      <c r="E25" s="12" t="n">
        <f aca="false">D25/$B$5</f>
        <v>0.284251750206345</v>
      </c>
    </row>
    <row r="26" customFormat="false" ht="15" hidden="false" customHeight="false" outlineLevel="0" collapsed="false">
      <c r="A26" s="3" t="n">
        <f aca="false">Statistik_Tahunan!A16</f>
        <v>2025</v>
      </c>
      <c r="B26" s="4" t="n">
        <f aca="false">Statistik_Tahunan!F16</f>
        <v>100</v>
      </c>
      <c r="C26" s="12" t="n">
        <f aca="false">B26-$B$4</f>
        <v>-11.2857142857143</v>
      </c>
      <c r="D26" s="12" t="n">
        <f aca="false">D25+C26</f>
        <v>-8.5265128291212E-014</v>
      </c>
      <c r="E26" s="12" t="n">
        <f aca="false">D26/$B$5</f>
        <v>-2.14756118529646E-015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5" t="s">
        <v>5174</v>
      </c>
    </row>
    <row r="3" customFormat="false" ht="15" hidden="false" customHeight="false" outlineLevel="0" collapsed="false">
      <c r="A3" s="2" t="s">
        <v>5175</v>
      </c>
      <c r="B3" s="10" t="n">
        <f aca="false">Statistik!$B$5/1.283</f>
        <v>32.1137919282798</v>
      </c>
    </row>
    <row r="4" customFormat="false" ht="15" hidden="false" customHeight="false" outlineLevel="0" collapsed="false">
      <c r="A4" s="2" t="s">
        <v>5176</v>
      </c>
      <c r="B4" s="10" t="n">
        <f aca="false">Statistik!$B$4-0.577*B3</f>
        <v>92.7560563430969</v>
      </c>
    </row>
    <row r="5" customFormat="false" ht="15" hidden="false" customHeight="false" outlineLevel="0" collapsed="false">
      <c r="A5" s="2" t="s">
        <v>5177</v>
      </c>
      <c r="B5" s="10" t="n">
        <f aca="false">Statistik!$B$11</f>
        <v>0.834117973767271</v>
      </c>
    </row>
    <row r="7" customFormat="false" ht="15" hidden="false" customHeight="false" outlineLevel="0" collapsed="false">
      <c r="A7" s="1" t="s">
        <v>5178</v>
      </c>
      <c r="B7" s="1" t="s">
        <v>5179</v>
      </c>
      <c r="C7" s="1" t="s">
        <v>5180</v>
      </c>
      <c r="D7" s="1" t="s">
        <v>5181</v>
      </c>
      <c r="E7" s="1" t="s">
        <v>5182</v>
      </c>
      <c r="F7" s="1" t="s">
        <v>5183</v>
      </c>
      <c r="G7" s="1" t="s">
        <v>5184</v>
      </c>
    </row>
    <row r="8" customFormat="false" ht="15" hidden="false" customHeight="false" outlineLevel="0" collapsed="false">
      <c r="A8" s="3" t="n">
        <v>2</v>
      </c>
      <c r="B8" s="13" t="n">
        <f aca="false">INDEX(Koefisien!$B$44:$B$49,MATCH($A8,Koefisien!$A$44:$A$49,0))</f>
        <v>0</v>
      </c>
      <c r="C8" s="13" t="n">
        <f aca="false">Statistik!$B$4+B8*Statistik!$B$5</f>
        <v>111.285714285714</v>
      </c>
      <c r="D8" s="13" t="n">
        <f aca="false">INDEX(Koefisien!$B$53:$B$58,MATCH($A8,Koefisien!$A$53:$A$58,0))</f>
        <v>0.366</v>
      </c>
      <c r="E8" s="13" t="n">
        <f aca="false">$B$4+D8*$B$3</f>
        <v>104.509704188847</v>
      </c>
      <c r="F8" s="12" t="n">
        <f aca="false">INDEX(Koefisien!B$62:B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B$62:B$98,MIN(IFERROR(MATCH($B$5,Koefisien!$A$62:$A$98,1),1),36)+1)-INDEX(Koefisien!B$62:B$98,MIN(IFERROR(MATCH($B$5,Koefisien!$A$62:$A$98,1),1),36)))</f>
        <v>-0.137458875802763</v>
      </c>
      <c r="G8" s="13" t="n">
        <f aca="false">10^(Statistik!$B$9+F8*Statistik!$B$10)</f>
        <v>100.88443655629</v>
      </c>
    </row>
    <row r="9" customFormat="false" ht="15" hidden="false" customHeight="false" outlineLevel="0" collapsed="false">
      <c r="A9" s="3" t="n">
        <v>5</v>
      </c>
      <c r="B9" s="13" t="n">
        <f aca="false">INDEX(Koefisien!$B$44:$B$49,MATCH($A9,Koefisien!$A$44:$A$49,0))</f>
        <v>0.84</v>
      </c>
      <c r="C9" s="13" t="n">
        <f aca="false">Statistik!$B$4+B9*Statistik!$B$5</f>
        <v>145.89539012266</v>
      </c>
      <c r="D9" s="13" t="n">
        <f aca="false">INDEX(Koefisien!$B$53:$B$58,MATCH($A9,Koefisien!$A$53:$A$58,0))</f>
        <v>1.51</v>
      </c>
      <c r="E9" s="13" t="n">
        <f aca="false">$B$4+D9*$B$3</f>
        <v>141.247882154799</v>
      </c>
      <c r="F9" s="12" t="n">
        <f aca="false">INDEX(Koefisien!C$62:C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C$62:C$98,MIN(IFERROR(MATCH($B$5,Koefisien!$A$62:$A$98,1),1),36)+1)-INDEX(Koefisien!C$62:C$98,MIN(IFERROR(MATCH($B$5,Koefisien!$A$62:$A$98,1),1),36)))</f>
        <v>0.7762470228856</v>
      </c>
      <c r="G9" s="13" t="n">
        <f aca="false">10^(Statistik!$B$9+F9*Statistik!$B$10)</f>
        <v>135.935349745523</v>
      </c>
    </row>
    <row r="10" customFormat="false" ht="15" hidden="false" customHeight="false" outlineLevel="0" collapsed="false">
      <c r="A10" s="3" t="n">
        <v>10</v>
      </c>
      <c r="B10" s="13" t="n">
        <f aca="false">INDEX(Koefisien!$B$44:$B$49,MATCH($A10,Koefisien!$A$44:$A$49,0))</f>
        <v>1.28</v>
      </c>
      <c r="C10" s="13" t="n">
        <f aca="false">Statistik!$B$4+B10*Statistik!$B$5</f>
        <v>164.024267942012</v>
      </c>
      <c r="D10" s="13" t="n">
        <f aca="false">INDEX(Koefisien!$B$53:$B$58,MATCH($A10,Koefisien!$A$53:$A$58,0))</f>
        <v>2.25</v>
      </c>
      <c r="E10" s="13" t="n">
        <f aca="false">$B$4+D10*$B$3</f>
        <v>165.012088181726</v>
      </c>
      <c r="F10" s="12" t="n">
        <f aca="false">INDEX(Koefisien!D$62:D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D$62:D$98,MIN(IFERROR(MATCH($B$5,Koefisien!$A$62:$A$98,1),1),36)+1)-INDEX(Koefisien!D$62:D$98,MIN(IFERROR(MATCH($B$5,Koefisien!$A$62:$A$98,1),1),36)))</f>
        <v>1.33702353921302</v>
      </c>
      <c r="G10" s="13" t="n">
        <f aca="false">10^(Statistik!$B$9+F10*Statistik!$B$10)</f>
        <v>163.236247868746</v>
      </c>
    </row>
    <row r="11" customFormat="false" ht="15" hidden="false" customHeight="false" outlineLevel="0" collapsed="false">
      <c r="A11" s="3" t="n">
        <v>25</v>
      </c>
      <c r="B11" s="13" t="n">
        <f aca="false">INDEX(Koefisien!$B$44:$B$49,MATCH($A11,Koefisien!$A$44:$A$49,0))</f>
        <v>1.64</v>
      </c>
      <c r="C11" s="13" t="n">
        <f aca="false">Statistik!$B$4+B11*Statistik!$B$5</f>
        <v>178.856986157846</v>
      </c>
      <c r="D11" s="13" t="n">
        <f aca="false">INDEX(Koefisien!$B$53:$B$58,MATCH($A11,Koefisien!$A$53:$A$58,0))</f>
        <v>3.9</v>
      </c>
      <c r="E11" s="13" t="n">
        <f aca="false">$B$4+D11*$B$3</f>
        <v>217.999844863388</v>
      </c>
      <c r="F11" s="12" t="n">
        <f aca="false">INDEX(Koefisien!E$62:E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E$62:E$98,MIN(IFERROR(MATCH($B$5,Koefisien!$A$62:$A$98,1),1),36)+1)-INDEX(Koefisien!E$62:E$98,MIN(IFERROR(MATCH($B$5,Koefisien!$A$62:$A$98,1),1),36)))</f>
        <v>2.00482359475345</v>
      </c>
      <c r="G11" s="13" t="n">
        <f aca="false">10^(Statistik!$B$9+F11*Statistik!$B$10)</f>
        <v>202.987952694039</v>
      </c>
    </row>
    <row r="12" customFormat="false" ht="15" hidden="false" customHeight="false" outlineLevel="0" collapsed="false">
      <c r="A12" s="3" t="n">
        <v>50</v>
      </c>
      <c r="B12" s="13" t="n">
        <f aca="false">INDEX(Koefisien!$B$44:$B$49,MATCH($A12,Koefisien!$A$44:$A$49,0))</f>
        <v>2.05</v>
      </c>
      <c r="C12" s="13" t="n">
        <f aca="false">Statistik!$B$4+B12*Statistik!$B$5</f>
        <v>195.749804125879</v>
      </c>
      <c r="D12" s="13" t="n">
        <f aca="false">INDEX(Koefisien!$B$53:$B$58,MATCH($A12,Koefisien!$A$53:$A$58,0))</f>
        <v>4.6</v>
      </c>
      <c r="E12" s="13" t="n">
        <f aca="false">$B$4+D12*$B$3</f>
        <v>240.479499213184</v>
      </c>
      <c r="F12" s="12" t="n">
        <f aca="false">INDEX(Koefisien!F$62:F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F$62:F$98,MIN(IFERROR(MATCH($B$5,Koefisien!$A$62:$A$98,1),1),36)+1)-INDEX(Koefisien!F$62:F$98,MIN(IFERROR(MATCH($B$5,Koefisien!$A$62:$A$98,1),1),36)))</f>
        <v>2.46835308819527</v>
      </c>
      <c r="G12" s="13" t="n">
        <f aca="false">10^(Statistik!$B$9+F12*Statistik!$B$10)</f>
        <v>236.140626754999</v>
      </c>
    </row>
    <row r="13" customFormat="false" ht="15" hidden="false" customHeight="false" outlineLevel="0" collapsed="false">
      <c r="A13" s="3" t="n">
        <v>100</v>
      </c>
      <c r="B13" s="13" t="n">
        <f aca="false">INDEX(Koefisien!$B$44:$B$49,MATCH($A13,Koefisien!$A$44:$A$49,0))</f>
        <v>2.33</v>
      </c>
      <c r="C13" s="13" t="n">
        <f aca="false">Statistik!$B$4+B13*Statistik!$B$5</f>
        <v>207.286362738195</v>
      </c>
      <c r="D13" s="13" t="n">
        <f aca="false">INDEX(Koefisien!$B$53:$B$58,MATCH($A13,Koefisien!$A$53:$A$58,0))</f>
        <v>5.29</v>
      </c>
      <c r="E13" s="13" t="n">
        <f aca="false">$B$4+D13*$B$3</f>
        <v>262.638015643697</v>
      </c>
      <c r="F13" s="12" t="n">
        <f aca="false">INDEX(Koefisien!G$62:G$98,MIN(IFERROR(MATCH($B$5,Koefisien!$A$62:$A$98,1),1),36))+($B$5-INDEX(Koefisien!$A$62:$A$98,MIN(IFERROR(MATCH($B$5,Koefisien!$A$62:$A$98,1),1),36)))/(INDEX(Koefisien!$A$62:$A$98,MIN(IFERROR(MATCH($B$5,Koefisien!$A$62:$A$98,1),1),36)+1)-INDEX(Koefisien!$A$62:$A$98,MIN(IFERROR(MATCH($B$5,Koefisien!$A$62:$A$98,1),1),36)))*(INDEX(Koefisien!G$62:G$98,MIN(IFERROR(MATCH($B$5,Koefisien!$A$62:$A$98,1),1),36)+1)-INDEX(Koefisien!G$62:G$98,MIN(IFERROR(MATCH($B$5,Koefisien!$A$62:$A$98,1),1),36)))</f>
        <v>2.9135178626864</v>
      </c>
      <c r="G13" s="13" t="n">
        <f aca="false">10^(Statistik!$B$9+F13*Statistik!$B$10)</f>
        <v>273.066329933594</v>
      </c>
    </row>
    <row r="15" customFormat="false" ht="15" hidden="false" customHeight="false" outlineLevel="0" collapsed="false">
      <c r="A15" s="2" t="s">
        <v>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5" t="s">
        <v>5186</v>
      </c>
    </row>
    <row r="2" customFormat="false" ht="15" hidden="false" customHeight="false" outlineLevel="0" collapsed="false">
      <c r="A2" s="2" t="s">
        <v>5187</v>
      </c>
    </row>
    <row r="6" customFormat="false" ht="15" hidden="false" customHeight="false" outlineLevel="0" collapsed="false">
      <c r="A6" s="7" t="s">
        <v>5188</v>
      </c>
    </row>
    <row r="7" customFormat="false" ht="15" hidden="false" customHeight="false" outlineLevel="0" collapsed="false">
      <c r="A7" s="1" t="s">
        <v>5189</v>
      </c>
      <c r="B7" s="1" t="s">
        <v>5190</v>
      </c>
      <c r="C7" s="1" t="s">
        <v>5191</v>
      </c>
      <c r="D7" s="1" t="s">
        <v>5192</v>
      </c>
      <c r="E7" s="1" t="s">
        <v>5193</v>
      </c>
    </row>
    <row r="8" customFormat="false" ht="15" hidden="false" customHeight="false" outlineLevel="0" collapsed="false">
      <c r="A8" s="3" t="s">
        <v>5194</v>
      </c>
      <c r="B8" s="13" t="n">
        <f aca="false">Frekuensi!$C$8</f>
        <v>111.285714285714</v>
      </c>
      <c r="C8" s="6" t="n">
        <f aca="false">COUNTIFS(Statistik_Tahunan!$F$3:$F$16,"&lt;="&amp;B8)</f>
        <v>9</v>
      </c>
      <c r="D8" s="13" t="n">
        <f aca="false">Statistik!$B$3*Koefisien!$B$102</f>
        <v>7</v>
      </c>
      <c r="E8" s="12" t="n">
        <f aca="false">(C8-D8)^2/D8</f>
        <v>0.571428571428571</v>
      </c>
    </row>
    <row r="9" customFormat="false" ht="15" hidden="false" customHeight="false" outlineLevel="0" collapsed="false">
      <c r="A9" s="3" t="s">
        <v>5195</v>
      </c>
      <c r="B9" s="13" t="n">
        <f aca="false">Frekuensi!$C$9</f>
        <v>145.89539012266</v>
      </c>
      <c r="C9" s="6" t="n">
        <f aca="false">COUNTIFS(Statistik_Tahunan!$F$3:$F$16,"&gt;"&amp;B8,Statistik_Tahunan!$F$3:$F$16,"&lt;="&amp;B9)</f>
        <v>2</v>
      </c>
      <c r="D9" s="13" t="n">
        <f aca="false">Statistik!$B$3*Koefisien!$B$103</f>
        <v>2.8</v>
      </c>
      <c r="E9" s="12" t="n">
        <f aca="false">(C9-D9)^2/D9</f>
        <v>0.228571428571429</v>
      </c>
    </row>
    <row r="10" customFormat="false" ht="15" hidden="false" customHeight="false" outlineLevel="0" collapsed="false">
      <c r="A10" s="3" t="s">
        <v>5196</v>
      </c>
      <c r="B10" s="13" t="n">
        <f aca="false">Frekuensi!$C$10</f>
        <v>164.024267942012</v>
      </c>
      <c r="C10" s="6" t="n">
        <f aca="false">COUNTIFS(Statistik_Tahunan!$F$3:$F$16,"&gt;"&amp;B9,Statistik_Tahunan!$F$3:$F$16,"&lt;="&amp;B10)</f>
        <v>2</v>
      </c>
      <c r="D10" s="13" t="n">
        <f aca="false">Statistik!$B$3*Koefisien!$B$104</f>
        <v>1.4</v>
      </c>
      <c r="E10" s="12" t="n">
        <f aca="false">(C10-D10)^2/D10</f>
        <v>0.257142857142857</v>
      </c>
    </row>
    <row r="11" customFormat="false" ht="15" hidden="false" customHeight="false" outlineLevel="0" collapsed="false">
      <c r="A11" s="3" t="s">
        <v>5197</v>
      </c>
      <c r="B11" s="13" t="n">
        <f aca="false">Frekuensi!$C$11</f>
        <v>178.856986157846</v>
      </c>
      <c r="C11" s="6" t="n">
        <f aca="false">COUNTIFS(Statistik_Tahunan!$F$3:$F$16,"&gt;"&amp;B10,Statistik_Tahunan!$F$3:$F$16,"&lt;="&amp;B11)</f>
        <v>0</v>
      </c>
      <c r="D11" s="13" t="n">
        <f aca="false">Statistik!$B$3*Koefisien!$B$105</f>
        <v>0.84</v>
      </c>
      <c r="E11" s="12" t="n">
        <f aca="false">(C11-D11)^2/D11</f>
        <v>0.84</v>
      </c>
    </row>
    <row r="12" customFormat="false" ht="15" hidden="false" customHeight="false" outlineLevel="0" collapsed="false">
      <c r="A12" s="3" t="s">
        <v>5198</v>
      </c>
      <c r="B12" s="14" t="s">
        <v>5199</v>
      </c>
      <c r="C12" s="6" t="n">
        <f aca="false">COUNTIFS(Statistik_Tahunan!$F$3:$F$16,"&gt;"&amp;B11)</f>
        <v>1</v>
      </c>
      <c r="D12" s="13" t="n">
        <f aca="false">Statistik!$B$3*Koefisien!$B$106</f>
        <v>1.96</v>
      </c>
      <c r="E12" s="12" t="n">
        <f aca="false">(C12-D12)^2/D12</f>
        <v>0.470204081632653</v>
      </c>
    </row>
    <row r="13" customFormat="false" ht="15" hidden="false" customHeight="false" outlineLevel="0" collapsed="false">
      <c r="A13" s="2" t="s">
        <v>5200</v>
      </c>
      <c r="B13" s="10" t="n">
        <f aca="false">SUM(E8:E12)</f>
        <v>2.36734693877551</v>
      </c>
    </row>
    <row r="14" customFormat="false" ht="15" hidden="false" customHeight="false" outlineLevel="0" collapsed="false">
      <c r="A14" s="2" t="s">
        <v>5201</v>
      </c>
      <c r="B14" s="9" t="n">
        <f aca="false">4-2</f>
        <v>2</v>
      </c>
    </row>
    <row r="15" customFormat="false" ht="15" hidden="false" customHeight="false" outlineLevel="0" collapsed="false">
      <c r="A15" s="2" t="s">
        <v>5202</v>
      </c>
      <c r="B15" s="11" t="n">
        <f aca="false">INDEX(Koefisien!$B$110:$B$111,MATCH(B14,Koefisien!$A$110:$A$111,0))</f>
        <v>5.991</v>
      </c>
    </row>
    <row r="16" customFormat="false" ht="15" hidden="false" customHeight="false" outlineLevel="0" collapsed="false">
      <c r="A16" s="2" t="s">
        <v>5203</v>
      </c>
      <c r="B16" s="7" t="str">
        <f aca="false">IF(B13&lt;=B15,"LOLOS","GAGAL")</f>
        <v>LOLOS</v>
      </c>
    </row>
    <row r="17" customFormat="false" ht="15" hidden="false" customHeight="false" outlineLevel="0" collapsed="false">
      <c r="A17" s="2" t="s">
        <v>5204</v>
      </c>
      <c r="B17" s="10" t="n">
        <f aca="false">IF(B16="LOLOS",B13,999)</f>
        <v>2.36734693877551</v>
      </c>
    </row>
    <row r="19" customFormat="false" ht="15" hidden="false" customHeight="false" outlineLevel="0" collapsed="false">
      <c r="A19" s="7" t="s">
        <v>5205</v>
      </c>
    </row>
    <row r="20" customFormat="false" ht="15" hidden="false" customHeight="false" outlineLevel="0" collapsed="false">
      <c r="A20" s="1" t="s">
        <v>5189</v>
      </c>
      <c r="B20" s="1" t="s">
        <v>5190</v>
      </c>
      <c r="C20" s="1" t="s">
        <v>5191</v>
      </c>
      <c r="D20" s="1" t="s">
        <v>5192</v>
      </c>
      <c r="E20" s="1" t="s">
        <v>5193</v>
      </c>
    </row>
    <row r="21" customFormat="false" ht="15" hidden="false" customHeight="false" outlineLevel="0" collapsed="false">
      <c r="A21" s="3" t="s">
        <v>5194</v>
      </c>
      <c r="B21" s="13" t="n">
        <f aca="false">Frekuensi!$E$8</f>
        <v>104.509704188847</v>
      </c>
      <c r="C21" s="6" t="n">
        <f aca="false">COUNTIFS(Statistik_Tahunan!$F$3:$F$16,"&lt;="&amp;B21)</f>
        <v>9</v>
      </c>
      <c r="D21" s="13" t="n">
        <f aca="false">Statistik!$B$3*Koefisien!$B$102</f>
        <v>7</v>
      </c>
      <c r="E21" s="12" t="n">
        <f aca="false">(C21-D21)^2/D21</f>
        <v>0.571428571428571</v>
      </c>
    </row>
    <row r="22" customFormat="false" ht="15" hidden="false" customHeight="false" outlineLevel="0" collapsed="false">
      <c r="A22" s="3" t="s">
        <v>5195</v>
      </c>
      <c r="B22" s="13" t="n">
        <f aca="false">Frekuensi!$E$9</f>
        <v>141.247882154799</v>
      </c>
      <c r="C22" s="6" t="n">
        <f aca="false">COUNTIFS(Statistik_Tahunan!$F$3:$F$16,"&gt;"&amp;B8,Statistik_Tahunan!$F$3:$F$16,"&lt;="&amp;B22)</f>
        <v>2</v>
      </c>
      <c r="D22" s="13" t="n">
        <f aca="false">Statistik!$B$3*Koefisien!$B$103</f>
        <v>2.8</v>
      </c>
      <c r="E22" s="12" t="n">
        <f aca="false">(C22-D22)^2/D22</f>
        <v>0.228571428571429</v>
      </c>
    </row>
    <row r="23" customFormat="false" ht="15" hidden="false" customHeight="false" outlineLevel="0" collapsed="false">
      <c r="A23" s="3" t="s">
        <v>5196</v>
      </c>
      <c r="B23" s="13" t="n">
        <f aca="false">Frekuensi!$E$10</f>
        <v>165.012088181726</v>
      </c>
      <c r="C23" s="6" t="n">
        <f aca="false">COUNTIFS(Statistik_Tahunan!$F$3:$F$16,"&gt;"&amp;B9,Statistik_Tahunan!$F$3:$F$16,"&lt;="&amp;B23)</f>
        <v>2</v>
      </c>
      <c r="D23" s="13" t="n">
        <f aca="false">Statistik!$B$3*Koefisien!$B$104</f>
        <v>1.4</v>
      </c>
      <c r="E23" s="12" t="n">
        <f aca="false">(C23-D23)^2/D23</f>
        <v>0.257142857142857</v>
      </c>
    </row>
    <row r="24" customFormat="false" ht="15" hidden="false" customHeight="false" outlineLevel="0" collapsed="false">
      <c r="A24" s="3" t="s">
        <v>5197</v>
      </c>
      <c r="B24" s="13" t="n">
        <f aca="false">Frekuensi!$E$11</f>
        <v>217.999844863388</v>
      </c>
      <c r="C24" s="6" t="n">
        <f aca="false">COUNTIFS(Statistik_Tahunan!$F$3:$F$16,"&gt;"&amp;B10,Statistik_Tahunan!$F$3:$F$16,"&lt;="&amp;B24)</f>
        <v>0</v>
      </c>
      <c r="D24" s="13" t="n">
        <f aca="false">Statistik!$B$3*Koefisien!$B$105</f>
        <v>0.84</v>
      </c>
      <c r="E24" s="12" t="n">
        <f aca="false">(C24-D24)^2/D24</f>
        <v>0.84</v>
      </c>
    </row>
    <row r="25" customFormat="false" ht="15" hidden="false" customHeight="false" outlineLevel="0" collapsed="false">
      <c r="A25" s="3" t="s">
        <v>5198</v>
      </c>
      <c r="B25" s="14" t="s">
        <v>5199</v>
      </c>
      <c r="C25" s="6" t="n">
        <f aca="false">COUNTIFS(Statistik_Tahunan!$F$3:$F$16,"&gt;"&amp;B11)</f>
        <v>1</v>
      </c>
      <c r="D25" s="13" t="n">
        <f aca="false">Statistik!$B$3*Koefisien!$B$106</f>
        <v>1.96</v>
      </c>
      <c r="E25" s="12" t="n">
        <f aca="false">(C25-D25)^2/D25</f>
        <v>0.470204081632653</v>
      </c>
    </row>
    <row r="26" customFormat="false" ht="15" hidden="false" customHeight="false" outlineLevel="0" collapsed="false">
      <c r="A26" s="2" t="s">
        <v>5200</v>
      </c>
      <c r="B26" s="10" t="n">
        <f aca="false">SUM(E21:E25)</f>
        <v>2.36734693877551</v>
      </c>
    </row>
    <row r="27" customFormat="false" ht="15" hidden="false" customHeight="false" outlineLevel="0" collapsed="false">
      <c r="A27" s="2" t="s">
        <v>5201</v>
      </c>
      <c r="B27" s="9" t="n">
        <f aca="false">4-2</f>
        <v>2</v>
      </c>
    </row>
    <row r="28" customFormat="false" ht="15" hidden="false" customHeight="false" outlineLevel="0" collapsed="false">
      <c r="A28" s="2" t="s">
        <v>5202</v>
      </c>
      <c r="B28" s="11" t="n">
        <f aca="false">INDEX(Koefisien!$B$110:$B$111,MATCH(B27,Koefisien!$A$110:$A$111,0))</f>
        <v>5.991</v>
      </c>
    </row>
    <row r="29" customFormat="false" ht="15" hidden="false" customHeight="false" outlineLevel="0" collapsed="false">
      <c r="A29" s="2" t="s">
        <v>5203</v>
      </c>
      <c r="B29" s="7" t="str">
        <f aca="false">IF(B26&lt;=B28,"LOLOS","GAGAL")</f>
        <v>LOLOS</v>
      </c>
    </row>
    <row r="30" customFormat="false" ht="15" hidden="false" customHeight="false" outlineLevel="0" collapsed="false">
      <c r="A30" s="2" t="s">
        <v>5204</v>
      </c>
      <c r="B30" s="10" t="n">
        <f aca="false">IF(B29="LOLOS",B26,999)</f>
        <v>2.36734693877551</v>
      </c>
    </row>
    <row r="32" customFormat="false" ht="15" hidden="false" customHeight="false" outlineLevel="0" collapsed="false">
      <c r="A32" s="7" t="s">
        <v>5206</v>
      </c>
    </row>
    <row r="33" customFormat="false" ht="15" hidden="false" customHeight="false" outlineLevel="0" collapsed="false">
      <c r="A33" s="1" t="s">
        <v>5189</v>
      </c>
      <c r="B33" s="1" t="s">
        <v>5190</v>
      </c>
      <c r="C33" s="1" t="s">
        <v>5191</v>
      </c>
      <c r="D33" s="1" t="s">
        <v>5192</v>
      </c>
      <c r="E33" s="1" t="s">
        <v>5193</v>
      </c>
    </row>
    <row r="34" customFormat="false" ht="15" hidden="false" customHeight="false" outlineLevel="0" collapsed="false">
      <c r="A34" s="3" t="s">
        <v>5194</v>
      </c>
      <c r="B34" s="13" t="n">
        <f aca="false">Frekuensi!$G$8</f>
        <v>100.88443655629</v>
      </c>
      <c r="C34" s="6" t="n">
        <f aca="false">COUNTIFS(Statistik_Tahunan!$F$3:$F$16,"&lt;="&amp;B34)</f>
        <v>9</v>
      </c>
      <c r="D34" s="13" t="n">
        <f aca="false">Statistik!$B$3*Koefisien!$B$102</f>
        <v>7</v>
      </c>
      <c r="E34" s="12" t="n">
        <f aca="false">(C34-D34)^2/D34</f>
        <v>0.571428571428571</v>
      </c>
    </row>
    <row r="35" customFormat="false" ht="15" hidden="false" customHeight="false" outlineLevel="0" collapsed="false">
      <c r="A35" s="3" t="s">
        <v>5195</v>
      </c>
      <c r="B35" s="13" t="n">
        <f aca="false">Frekuensi!$G$9</f>
        <v>135.935349745523</v>
      </c>
      <c r="C35" s="6" t="n">
        <f aca="false">COUNTIFS(Statistik_Tahunan!$F$3:$F$16,"&gt;"&amp;B8,Statistik_Tahunan!$F$3:$F$16,"&lt;="&amp;B35)</f>
        <v>2</v>
      </c>
      <c r="D35" s="13" t="n">
        <f aca="false">Statistik!$B$3*Koefisien!$B$103</f>
        <v>2.8</v>
      </c>
      <c r="E35" s="12" t="n">
        <f aca="false">(C35-D35)^2/D35</f>
        <v>0.228571428571429</v>
      </c>
    </row>
    <row r="36" customFormat="false" ht="15" hidden="false" customHeight="false" outlineLevel="0" collapsed="false">
      <c r="A36" s="3" t="s">
        <v>5196</v>
      </c>
      <c r="B36" s="13" t="n">
        <f aca="false">Frekuensi!$G$10</f>
        <v>163.236247868746</v>
      </c>
      <c r="C36" s="6" t="n">
        <f aca="false">COUNTIFS(Statistik_Tahunan!$F$3:$F$16,"&gt;"&amp;B9,Statistik_Tahunan!$F$3:$F$16,"&lt;="&amp;B36)</f>
        <v>2</v>
      </c>
      <c r="D36" s="13" t="n">
        <f aca="false">Statistik!$B$3*Koefisien!$B$104</f>
        <v>1.4</v>
      </c>
      <c r="E36" s="12" t="n">
        <f aca="false">(C36-D36)^2/D36</f>
        <v>0.257142857142857</v>
      </c>
    </row>
    <row r="37" customFormat="false" ht="15" hidden="false" customHeight="false" outlineLevel="0" collapsed="false">
      <c r="A37" s="3" t="s">
        <v>5197</v>
      </c>
      <c r="B37" s="13" t="n">
        <f aca="false">Frekuensi!$G$11</f>
        <v>202.987952694039</v>
      </c>
      <c r="C37" s="6" t="n">
        <f aca="false">COUNTIFS(Statistik_Tahunan!$F$3:$F$16,"&gt;"&amp;B10,Statistik_Tahunan!$F$3:$F$16,"&lt;="&amp;B37)</f>
        <v>0</v>
      </c>
      <c r="D37" s="13" t="n">
        <f aca="false">Statistik!$B$3*Koefisien!$B$105</f>
        <v>0.84</v>
      </c>
      <c r="E37" s="12" t="n">
        <f aca="false">(C37-D37)^2/D37</f>
        <v>0.84</v>
      </c>
    </row>
    <row r="38" customFormat="false" ht="15" hidden="false" customHeight="false" outlineLevel="0" collapsed="false">
      <c r="A38" s="3" t="s">
        <v>5198</v>
      </c>
      <c r="B38" s="14" t="s">
        <v>5199</v>
      </c>
      <c r="C38" s="6" t="n">
        <f aca="false">COUNTIFS(Statistik_Tahunan!$F$3:$F$16,"&gt;"&amp;B11)</f>
        <v>1</v>
      </c>
      <c r="D38" s="13" t="n">
        <f aca="false">Statistik!$B$3*Koefisien!$B$106</f>
        <v>1.96</v>
      </c>
      <c r="E38" s="12" t="n">
        <f aca="false">(C38-D38)^2/D38</f>
        <v>0.470204081632653</v>
      </c>
    </row>
    <row r="39" customFormat="false" ht="15" hidden="false" customHeight="false" outlineLevel="0" collapsed="false">
      <c r="A39" s="2" t="s">
        <v>5200</v>
      </c>
      <c r="B39" s="10" t="n">
        <f aca="false">SUM(E34:E38)</f>
        <v>2.36734693877551</v>
      </c>
    </row>
    <row r="40" customFormat="false" ht="15" hidden="false" customHeight="false" outlineLevel="0" collapsed="false">
      <c r="A40" s="2" t="s">
        <v>5201</v>
      </c>
      <c r="B40" s="9" t="n">
        <f aca="false">4-3</f>
        <v>1</v>
      </c>
    </row>
    <row r="41" customFormat="false" ht="15" hidden="false" customHeight="false" outlineLevel="0" collapsed="false">
      <c r="A41" s="2" t="s">
        <v>5202</v>
      </c>
      <c r="B41" s="11" t="n">
        <f aca="false">INDEX(Koefisien!$B$110:$B$111,MATCH(B40,Koefisien!$A$110:$A$111,0))</f>
        <v>3.841</v>
      </c>
    </row>
    <row r="42" customFormat="false" ht="15" hidden="false" customHeight="false" outlineLevel="0" collapsed="false">
      <c r="A42" s="2" t="s">
        <v>5203</v>
      </c>
      <c r="B42" s="7" t="str">
        <f aca="false">IF(B39&lt;=B41,"LOLOS","GAGAL")</f>
        <v>LOLOS</v>
      </c>
    </row>
    <row r="43" customFormat="false" ht="15" hidden="false" customHeight="false" outlineLevel="0" collapsed="false">
      <c r="A43" s="2" t="s">
        <v>5204</v>
      </c>
      <c r="B43" s="10" t="n">
        <f aca="false">IF(B42="LOLOS",B39,999)</f>
        <v>2.36734693877551</v>
      </c>
    </row>
    <row r="45" customFormat="false" ht="15" hidden="false" customHeight="false" outlineLevel="0" collapsed="false">
      <c r="A45" s="2" t="s">
        <v>5207</v>
      </c>
    </row>
    <row r="46" customFormat="false" ht="15" hidden="false" customHeight="false" outlineLevel="0" collapsed="false">
      <c r="A46" s="2" t="s">
        <v>5208</v>
      </c>
      <c r="B46" s="10" t="n">
        <f aca="false">MIN(B17,B30,B43)</f>
        <v>2.36734693877551</v>
      </c>
    </row>
    <row r="47" customFormat="false" ht="15" hidden="false" customHeight="false" outlineLevel="0" collapsed="false">
      <c r="A47" s="7" t="s">
        <v>5209</v>
      </c>
      <c r="B47" s="7" t="str">
        <f aca="false">IF(B43=B46,"LP3",IF(B30=B46,"Gumbel",IF(B17=B46,"Normal","-")))</f>
        <v>LP3</v>
      </c>
    </row>
    <row r="48" customFormat="false" ht="15" hidden="false" customHeight="false" outlineLevel="0" collapsed="false">
      <c r="A48" s="2" t="s">
        <v>5210</v>
      </c>
      <c r="B48" s="10" t="n">
        <f aca="false">IF(B47="LP3",B39,IF(B47="Gumbel",B26,B13))</f>
        <v>2.36734693877551</v>
      </c>
    </row>
    <row r="50" customFormat="false" ht="15" hidden="false" customHeight="false" outlineLevel="0" collapsed="false">
      <c r="A50" s="2" t="s">
        <v>5211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5" t="s">
        <v>5212</v>
      </c>
    </row>
    <row r="2" customFormat="false" ht="15" hidden="false" customHeight="false" outlineLevel="0" collapsed="false">
      <c r="A2" s="2" t="s">
        <v>5213</v>
      </c>
    </row>
    <row r="3" customFormat="false" ht="15" hidden="false" customHeight="false" outlineLevel="0" collapsed="false">
      <c r="A3" s="1" t="s">
        <v>5214</v>
      </c>
      <c r="B3" s="1" t="s">
        <v>5129</v>
      </c>
      <c r="C3" s="1" t="s">
        <v>5215</v>
      </c>
      <c r="D3" s="1" t="s">
        <v>5216</v>
      </c>
    </row>
    <row r="4" customFormat="false" ht="15" hidden="false" customHeight="false" outlineLevel="0" collapsed="false">
      <c r="A4" s="3" t="s">
        <v>5217</v>
      </c>
      <c r="B4" s="15" t="n">
        <v>8</v>
      </c>
      <c r="C4" s="3" t="s">
        <v>5218</v>
      </c>
      <c r="D4" s="3" t="s">
        <v>5219</v>
      </c>
    </row>
    <row r="5" customFormat="false" ht="15" hidden="false" customHeight="false" outlineLevel="0" collapsed="false">
      <c r="A5" s="3" t="s">
        <v>5220</v>
      </c>
      <c r="B5" s="16" t="n">
        <v>0.3</v>
      </c>
      <c r="C5" s="3" t="s">
        <v>5221</v>
      </c>
      <c r="D5" s="3" t="s">
        <v>5222</v>
      </c>
    </row>
    <row r="6" customFormat="false" ht="15" hidden="false" customHeight="false" outlineLevel="0" collapsed="false">
      <c r="A6" s="3" t="s">
        <v>5223</v>
      </c>
      <c r="B6" s="15" t="n">
        <v>330</v>
      </c>
      <c r="C6" s="3" t="s">
        <v>5218</v>
      </c>
      <c r="D6" s="3" t="s">
        <v>5224</v>
      </c>
    </row>
    <row r="7" customFormat="false" ht="15" hidden="false" customHeight="false" outlineLevel="0" collapsed="false">
      <c r="A7" s="3" t="s">
        <v>5225</v>
      </c>
      <c r="B7" s="16" t="n">
        <v>0.003</v>
      </c>
      <c r="C7" s="3" t="s">
        <v>5221</v>
      </c>
      <c r="D7" s="3" t="s">
        <v>5226</v>
      </c>
    </row>
    <row r="8" customFormat="false" ht="15" hidden="false" customHeight="false" outlineLevel="0" collapsed="false">
      <c r="A8" s="3" t="s">
        <v>5227</v>
      </c>
      <c r="B8" s="16" t="n">
        <v>0.011</v>
      </c>
      <c r="C8" s="3" t="s">
        <v>5199</v>
      </c>
      <c r="D8" s="3" t="s">
        <v>5228</v>
      </c>
    </row>
    <row r="9" customFormat="false" ht="15" hidden="false" customHeight="false" outlineLevel="0" collapsed="false">
      <c r="A9" s="3" t="s">
        <v>5229</v>
      </c>
      <c r="B9" s="17" t="n">
        <f aca="false">Kawasan!$B$11</f>
        <v>0.8</v>
      </c>
      <c r="C9" s="3" t="s">
        <v>5199</v>
      </c>
      <c r="D9" s="3" t="s">
        <v>5230</v>
      </c>
    </row>
    <row r="10" customFormat="false" ht="15" hidden="false" customHeight="false" outlineLevel="0" collapsed="false">
      <c r="A10" s="3" t="s">
        <v>5231</v>
      </c>
      <c r="B10" s="6" t="n">
        <f aca="false">Kawasan!$B$9</f>
        <v>10400</v>
      </c>
      <c r="C10" s="3" t="s">
        <v>5232</v>
      </c>
      <c r="D10" s="3" t="s">
        <v>5233</v>
      </c>
    </row>
    <row r="11" customFormat="false" ht="15" hidden="false" customHeight="false" outlineLevel="0" collapsed="false">
      <c r="A11" s="3" t="s">
        <v>5234</v>
      </c>
      <c r="B11" s="4" t="n">
        <f aca="false">Kawasan!$B$15</f>
        <v>1</v>
      </c>
      <c r="C11" s="3" t="s">
        <v>5235</v>
      </c>
      <c r="D11" s="3" t="s">
        <v>5236</v>
      </c>
    </row>
    <row r="14" customFormat="false" ht="15" hidden="false" customHeight="false" outlineLevel="0" collapsed="false">
      <c r="A14" s="7" t="s">
        <v>5237</v>
      </c>
    </row>
    <row r="15" customFormat="false" ht="15" hidden="false" customHeight="false" outlineLevel="0" collapsed="false">
      <c r="A15" s="1" t="s">
        <v>5238</v>
      </c>
      <c r="B15" s="1" t="s">
        <v>5129</v>
      </c>
      <c r="C15" s="1" t="s">
        <v>5215</v>
      </c>
      <c r="D15" s="1" t="s">
        <v>5239</v>
      </c>
    </row>
    <row r="16" customFormat="false" ht="15" hidden="false" customHeight="false" outlineLevel="0" collapsed="false">
      <c r="A16" s="3" t="s">
        <v>5240</v>
      </c>
      <c r="B16" s="13" t="n">
        <f aca="false">IF(Chi_Kuadrat!$B$47="LP3",Frekuensi!$G$10,IF(Chi_Kuadrat!$B$47="Gumbel",Frekuensi!$E$10,Frekuensi!$C$10))</f>
        <v>163.236247868746</v>
      </c>
      <c r="C16" s="3" t="s">
        <v>5134</v>
      </c>
      <c r="D16" s="3" t="s">
        <v>5241</v>
      </c>
    </row>
    <row r="17" customFormat="false" ht="15" hidden="false" customHeight="false" outlineLevel="0" collapsed="false">
      <c r="A17" s="3" t="s">
        <v>5242</v>
      </c>
      <c r="B17" s="12" t="n">
        <f aca="false">Hidrolika_Pipa!$B$10</f>
        <v>0.153717112647791</v>
      </c>
      <c r="C17" s="3" t="s">
        <v>5243</v>
      </c>
      <c r="D17" s="3" t="s">
        <v>5244</v>
      </c>
    </row>
    <row r="18" customFormat="false" ht="15" hidden="false" customHeight="false" outlineLevel="0" collapsed="false">
      <c r="A18" s="3" t="s">
        <v>5245</v>
      </c>
      <c r="B18" s="12" t="n">
        <f aca="false">Hidrolika_Pipa!$B$58</f>
        <v>1.39304027340986</v>
      </c>
      <c r="C18" s="3" t="s">
        <v>5246</v>
      </c>
      <c r="D18" s="3" t="s">
        <v>5247</v>
      </c>
    </row>
    <row r="19" customFormat="false" ht="15" hidden="false" customHeight="false" outlineLevel="0" collapsed="false">
      <c r="A19" s="3" t="s">
        <v>5248</v>
      </c>
      <c r="B19" s="13" t="n">
        <f aca="false">Hidrolika_Pipa!$B$53</f>
        <v>3.25204930983826</v>
      </c>
      <c r="C19" s="3" t="s">
        <v>5243</v>
      </c>
      <c r="D19" s="3" t="s">
        <v>5247</v>
      </c>
    </row>
    <row r="20" customFormat="false" ht="15" hidden="false" customHeight="false" outlineLevel="0" collapsed="false">
      <c r="A20" s="3" t="s">
        <v>5249</v>
      </c>
      <c r="B20" s="18" t="n">
        <f aca="false">Hidrolika_Pipa!$B$54</f>
        <v>0.0567627737081008</v>
      </c>
      <c r="C20" s="3" t="s">
        <v>5235</v>
      </c>
      <c r="D20" s="3" t="s">
        <v>5247</v>
      </c>
    </row>
    <row r="21" customFormat="false" ht="15" hidden="false" customHeight="false" outlineLevel="0" collapsed="false">
      <c r="A21" s="3" t="s">
        <v>5250</v>
      </c>
      <c r="B21" s="17" t="n">
        <f aca="false">Hidrolika_Pipa!$B$52</f>
        <v>383.15142957188</v>
      </c>
      <c r="C21" s="3" t="s">
        <v>5251</v>
      </c>
      <c r="D21" s="3" t="s">
        <v>5252</v>
      </c>
    </row>
    <row r="22" customFormat="false" ht="15" hidden="false" customHeight="false" outlineLevel="0" collapsed="false">
      <c r="A22" s="3" t="s">
        <v>5253</v>
      </c>
      <c r="B22" s="12" t="n">
        <f aca="false">Hidrolika_Pipa!$B$51</f>
        <v>0.886213930542575</v>
      </c>
      <c r="C22" s="3" t="s">
        <v>5254</v>
      </c>
      <c r="D22" s="3" t="s">
        <v>5255</v>
      </c>
    </row>
    <row r="23" customFormat="false" ht="15" hidden="false" customHeight="false" outlineLevel="0" collapsed="false">
      <c r="A23" s="3" t="s">
        <v>5256</v>
      </c>
      <c r="B23" s="4" t="n">
        <f aca="false">Desain_Kolam!$B$13</f>
        <v>3190.37014995327</v>
      </c>
      <c r="C23" s="3" t="s">
        <v>5257</v>
      </c>
      <c r="D23" s="3" t="s">
        <v>5258</v>
      </c>
    </row>
    <row r="25" customFormat="false" ht="15" hidden="false" customHeight="false" outlineLevel="0" collapsed="false">
      <c r="A25" s="2" t="s">
        <v>5259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5260</v>
      </c>
    </row>
    <row r="2" customFormat="false" ht="15" hidden="false" customHeight="false" outlineLevel="0" collapsed="false">
      <c r="A2" s="1" t="s">
        <v>5261</v>
      </c>
      <c r="B2" s="1" t="s">
        <v>5129</v>
      </c>
      <c r="C2" s="1" t="s">
        <v>5215</v>
      </c>
      <c r="D2" s="1" t="s">
        <v>5262</v>
      </c>
    </row>
    <row r="3" customFormat="false" ht="15" hidden="false" customHeight="false" outlineLevel="0" collapsed="false">
      <c r="A3" s="3" t="s">
        <v>5263</v>
      </c>
      <c r="B3" s="3" t="s">
        <v>5264</v>
      </c>
      <c r="C3" s="3" t="s">
        <v>5199</v>
      </c>
      <c r="D3" s="3" t="s">
        <v>5265</v>
      </c>
    </row>
    <row r="4" customFormat="false" ht="15" hidden="false" customHeight="false" outlineLevel="0" collapsed="false">
      <c r="A4" s="3" t="s">
        <v>5266</v>
      </c>
      <c r="B4" s="3" t="s">
        <v>5267</v>
      </c>
      <c r="C4" s="3" t="s">
        <v>5199</v>
      </c>
      <c r="D4" s="3" t="s">
        <v>5268</v>
      </c>
    </row>
    <row r="5" customFormat="false" ht="15" hidden="false" customHeight="false" outlineLevel="0" collapsed="false">
      <c r="A5" s="3" t="s">
        <v>5269</v>
      </c>
      <c r="B5" s="19" t="n">
        <v>28800</v>
      </c>
      <c r="C5" s="3" t="s">
        <v>5232</v>
      </c>
      <c r="D5" s="3" t="s">
        <v>5270</v>
      </c>
    </row>
    <row r="6" customFormat="false" ht="15" hidden="false" customHeight="false" outlineLevel="0" collapsed="false">
      <c r="A6" s="3" t="s">
        <v>5271</v>
      </c>
      <c r="B6" s="19" t="n">
        <v>160</v>
      </c>
      <c r="C6" s="3" t="s">
        <v>5272</v>
      </c>
      <c r="D6" s="3" t="s">
        <v>5273</v>
      </c>
    </row>
    <row r="7" customFormat="false" ht="15" hidden="false" customHeight="false" outlineLevel="0" collapsed="false">
      <c r="A7" s="3" t="s">
        <v>5274</v>
      </c>
      <c r="B7" s="19" t="n">
        <v>4</v>
      </c>
      <c r="C7" s="3" t="s">
        <v>5275</v>
      </c>
      <c r="D7" s="3" t="s">
        <v>5276</v>
      </c>
    </row>
    <row r="8" customFormat="false" ht="15" hidden="false" customHeight="false" outlineLevel="0" collapsed="false">
      <c r="A8" s="3" t="s">
        <v>5277</v>
      </c>
      <c r="B8" s="19" t="n">
        <v>65</v>
      </c>
      <c r="C8" s="3" t="s">
        <v>5232</v>
      </c>
      <c r="D8" s="3" t="s">
        <v>5276</v>
      </c>
    </row>
    <row r="9" customFormat="false" ht="15" hidden="false" customHeight="false" outlineLevel="0" collapsed="false">
      <c r="A9" s="3" t="s">
        <v>5278</v>
      </c>
      <c r="B9" s="19" t="n">
        <v>10400</v>
      </c>
      <c r="C9" s="3" t="s">
        <v>5232</v>
      </c>
      <c r="D9" s="3" t="s">
        <v>5279</v>
      </c>
    </row>
    <row r="10" customFormat="false" ht="15" hidden="false" customHeight="false" outlineLevel="0" collapsed="false">
      <c r="A10" s="3" t="s">
        <v>5280</v>
      </c>
      <c r="B10" s="19" t="n">
        <v>120</v>
      </c>
      <c r="C10" s="3" t="s">
        <v>5281</v>
      </c>
      <c r="D10" s="3" t="s">
        <v>5282</v>
      </c>
    </row>
    <row r="11" customFormat="false" ht="15" hidden="false" customHeight="false" outlineLevel="0" collapsed="false">
      <c r="A11" s="3" t="s">
        <v>5283</v>
      </c>
      <c r="B11" s="19" t="n">
        <v>0.8</v>
      </c>
      <c r="C11" s="3" t="s">
        <v>5199</v>
      </c>
      <c r="D11" s="3" t="s">
        <v>5284</v>
      </c>
    </row>
    <row r="12" customFormat="false" ht="15" hidden="false" customHeight="false" outlineLevel="0" collapsed="false">
      <c r="A12" s="3" t="s">
        <v>5285</v>
      </c>
      <c r="B12" s="19" t="n">
        <v>0.65</v>
      </c>
      <c r="C12" s="3" t="s">
        <v>5199</v>
      </c>
      <c r="D12" s="3" t="s">
        <v>5286</v>
      </c>
    </row>
    <row r="13" customFormat="false" ht="15" hidden="false" customHeight="false" outlineLevel="0" collapsed="false">
      <c r="A13" s="3" t="s">
        <v>5287</v>
      </c>
      <c r="B13" s="3" t="s">
        <v>5288</v>
      </c>
      <c r="C13" s="3" t="s">
        <v>5199</v>
      </c>
      <c r="D13" s="3" t="s">
        <v>5289</v>
      </c>
    </row>
    <row r="14" customFormat="false" ht="15" hidden="false" customHeight="false" outlineLevel="0" collapsed="false">
      <c r="A14" s="3" t="s">
        <v>5290</v>
      </c>
      <c r="B14" s="19" t="n">
        <v>0.5</v>
      </c>
      <c r="C14" s="3" t="s">
        <v>5218</v>
      </c>
      <c r="D14" s="3" t="s">
        <v>5291</v>
      </c>
    </row>
    <row r="15" customFormat="false" ht="15" hidden="false" customHeight="false" outlineLevel="0" collapsed="false">
      <c r="A15" s="3" t="s">
        <v>5292</v>
      </c>
      <c r="B15" s="19" t="n">
        <v>1</v>
      </c>
      <c r="C15" s="3" t="s">
        <v>5235</v>
      </c>
      <c r="D15" s="3" t="s">
        <v>5293</v>
      </c>
    </row>
    <row r="17" customFormat="false" ht="15" hidden="false" customHeight="false" outlineLevel="0" collapsed="false">
      <c r="A17" s="7" t="s">
        <v>5294</v>
      </c>
    </row>
    <row r="18" customFormat="false" ht="15" hidden="false" customHeight="false" outlineLevel="0" collapsed="false">
      <c r="A18" s="1" t="s">
        <v>5238</v>
      </c>
      <c r="B18" s="1" t="s">
        <v>5129</v>
      </c>
      <c r="C18" s="1" t="s">
        <v>5215</v>
      </c>
      <c r="D18" s="1" t="s">
        <v>5239</v>
      </c>
    </row>
    <row r="19" customFormat="false" ht="15" hidden="false" customHeight="false" outlineLevel="0" collapsed="false">
      <c r="A19" s="3" t="s">
        <v>5295</v>
      </c>
      <c r="B19" s="6" t="n">
        <f aca="false">B6*B7*B10</f>
        <v>76800</v>
      </c>
      <c r="C19" s="3" t="s">
        <v>5296</v>
      </c>
      <c r="D19" s="3" t="s">
        <v>5297</v>
      </c>
    </row>
    <row r="20" customFormat="false" ht="15" hidden="false" customHeight="false" outlineLevel="0" collapsed="false">
      <c r="A20" s="3" t="s">
        <v>5298</v>
      </c>
      <c r="B20" s="13" t="n">
        <f aca="false">B19/1000</f>
        <v>76.8</v>
      </c>
      <c r="C20" s="3" t="s">
        <v>5299</v>
      </c>
      <c r="D20" s="3" t="s">
        <v>5300</v>
      </c>
    </row>
    <row r="21" customFormat="false" ht="15" hidden="false" customHeight="false" outlineLevel="0" collapsed="false">
      <c r="A21" s="3" t="s">
        <v>5301</v>
      </c>
      <c r="B21" s="20" t="n">
        <f aca="false">B9/1000000</f>
        <v>0.0104</v>
      </c>
      <c r="C21" s="3" t="s">
        <v>5302</v>
      </c>
    </row>
    <row r="22" customFormat="false" ht="15" hidden="false" customHeight="false" outlineLevel="0" collapsed="false">
      <c r="A22" s="3" t="s">
        <v>5303</v>
      </c>
      <c r="B22" s="21" t="n">
        <f aca="false">B9/B5</f>
        <v>0.361111111111111</v>
      </c>
    </row>
    <row r="24" customFormat="false" ht="15" hidden="false" customHeight="false" outlineLevel="0" collapsed="false">
      <c r="A24" s="7" t="s">
        <v>5304</v>
      </c>
    </row>
    <row r="25" customFormat="false" ht="23.85" hidden="false" customHeight="false" outlineLevel="0" collapsed="false">
      <c r="A25" s="1" t="s">
        <v>5305</v>
      </c>
      <c r="B25" s="1" t="s">
        <v>5306</v>
      </c>
      <c r="C25" s="1" t="s">
        <v>5307</v>
      </c>
    </row>
    <row r="26" customFormat="false" ht="15" hidden="false" customHeight="false" outlineLevel="0" collapsed="false">
      <c r="A26" s="22" t="n">
        <v>1</v>
      </c>
      <c r="B26" s="13" t="n">
        <f aca="false">$B$20*A26</f>
        <v>76.8</v>
      </c>
      <c r="C26" s="6" t="n">
        <f aca="false">A26*$B$19</f>
        <v>76800</v>
      </c>
    </row>
    <row r="27" customFormat="false" ht="15" hidden="false" customHeight="false" outlineLevel="0" collapsed="false">
      <c r="A27" s="22" t="n">
        <v>0.7</v>
      </c>
      <c r="B27" s="13" t="n">
        <f aca="false">$B$20*A27</f>
        <v>53.76</v>
      </c>
      <c r="C27" s="6" t="n">
        <f aca="false">A27*$B$19</f>
        <v>53760</v>
      </c>
    </row>
    <row r="28" customFormat="false" ht="15" hidden="false" customHeight="false" outlineLevel="0" collapsed="false">
      <c r="A28" s="23" t="n">
        <v>0.65</v>
      </c>
      <c r="B28" s="13" t="n">
        <f aca="false">$B$20*A28</f>
        <v>49.92</v>
      </c>
      <c r="C28" s="6" t="n">
        <f aca="false">A28*$B$19</f>
        <v>49920</v>
      </c>
      <c r="D28" s="7" t="s">
        <v>5308</v>
      </c>
    </row>
    <row r="29" customFormat="false" ht="15" hidden="false" customHeight="false" outlineLevel="0" collapsed="false">
      <c r="A29" s="22" t="n">
        <v>0.6</v>
      </c>
      <c r="B29" s="13" t="n">
        <f aca="false">$B$20*A29</f>
        <v>46.08</v>
      </c>
      <c r="C29" s="6" t="n">
        <f aca="false">A29*$B$19</f>
        <v>46080</v>
      </c>
    </row>
    <row r="30" customFormat="false" ht="15" hidden="false" customHeight="false" outlineLevel="0" collapsed="false">
      <c r="A30" s="22" t="n">
        <v>0.5</v>
      </c>
      <c r="B30" s="13" t="n">
        <f aca="false">$B$20*A30</f>
        <v>38.4</v>
      </c>
      <c r="C30" s="6" t="n">
        <f aca="false">A30*$B$19</f>
        <v>38400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5" t="s">
        <v>5309</v>
      </c>
    </row>
    <row r="2" customFormat="false" ht="15" hidden="false" customHeight="false" outlineLevel="0" collapsed="false">
      <c r="A2" s="2" t="s">
        <v>5310</v>
      </c>
    </row>
    <row r="4" customFormat="false" ht="23.85" hidden="false" customHeight="false" outlineLevel="0" collapsed="false">
      <c r="A4" s="1" t="s">
        <v>1</v>
      </c>
      <c r="B4" s="1" t="s">
        <v>5311</v>
      </c>
      <c r="C4" s="1" t="s">
        <v>5312</v>
      </c>
      <c r="D4" s="1" t="s">
        <v>5313</v>
      </c>
      <c r="E4" s="1" t="s">
        <v>5314</v>
      </c>
      <c r="F4" s="1" t="s">
        <v>5315</v>
      </c>
      <c r="G4" s="1" t="s">
        <v>5316</v>
      </c>
      <c r="H4" s="1" t="s">
        <v>5143</v>
      </c>
    </row>
    <row r="5" customFormat="false" ht="15" hidden="false" customHeight="false" outlineLevel="0" collapsed="false">
      <c r="A5" s="6" t="n">
        <v>1</v>
      </c>
      <c r="B5" s="15" t="n">
        <v>149.98</v>
      </c>
      <c r="C5" s="22" t="n">
        <v>4.838</v>
      </c>
      <c r="D5" s="24" t="n">
        <v>26.98</v>
      </c>
      <c r="E5" s="25" t="n">
        <v>84.1</v>
      </c>
      <c r="F5" s="22" t="n">
        <v>1.31</v>
      </c>
      <c r="G5" s="22" t="n">
        <v>17.5</v>
      </c>
      <c r="H5" s="3" t="s">
        <v>5317</v>
      </c>
    </row>
    <row r="6" customFormat="false" ht="15" hidden="false" customHeight="false" outlineLevel="0" collapsed="false">
      <c r="A6" s="6" t="n">
        <v>2</v>
      </c>
      <c r="B6" s="15" t="n">
        <v>148.64</v>
      </c>
      <c r="C6" s="22" t="n">
        <v>5.257</v>
      </c>
      <c r="D6" s="24" t="n">
        <v>27.08</v>
      </c>
      <c r="E6" s="25" t="n">
        <v>82.7</v>
      </c>
      <c r="F6" s="22" t="n">
        <v>1.29</v>
      </c>
      <c r="G6" s="22" t="n">
        <v>19.06</v>
      </c>
      <c r="H6" s="3" t="s">
        <v>5317</v>
      </c>
    </row>
    <row r="7" customFormat="false" ht="15" hidden="false" customHeight="false" outlineLevel="0" collapsed="false">
      <c r="A7" s="6" t="n">
        <v>3</v>
      </c>
      <c r="B7" s="15" t="n">
        <v>166.18</v>
      </c>
      <c r="C7" s="22" t="n">
        <v>5.361</v>
      </c>
      <c r="D7" s="24" t="n">
        <v>27.39</v>
      </c>
      <c r="E7" s="25" t="n">
        <v>82.5</v>
      </c>
      <c r="F7" s="22" t="n">
        <v>1.19</v>
      </c>
      <c r="G7" s="22" t="n">
        <v>19.38</v>
      </c>
      <c r="H7" s="3" t="s">
        <v>5317</v>
      </c>
    </row>
    <row r="8" customFormat="false" ht="15" hidden="false" customHeight="false" outlineLevel="0" collapsed="false">
      <c r="A8" s="6" t="n">
        <v>4</v>
      </c>
      <c r="B8" s="15" t="n">
        <v>157.75</v>
      </c>
      <c r="C8" s="22" t="n">
        <v>5.258</v>
      </c>
      <c r="D8" s="24" t="n">
        <v>27.54</v>
      </c>
      <c r="E8" s="25" t="n">
        <v>83.5</v>
      </c>
      <c r="F8" s="22" t="n">
        <v>1.14</v>
      </c>
      <c r="G8" s="22" t="n">
        <v>19.12</v>
      </c>
      <c r="H8" s="3" t="s">
        <v>5317</v>
      </c>
    </row>
    <row r="9" customFormat="false" ht="15" hidden="false" customHeight="false" outlineLevel="0" collapsed="false">
      <c r="A9" s="6" t="n">
        <v>5</v>
      </c>
      <c r="B9" s="15" t="n">
        <v>158.35</v>
      </c>
      <c r="C9" s="22" t="n">
        <v>5.108</v>
      </c>
      <c r="D9" s="24" t="n">
        <v>27.89</v>
      </c>
      <c r="E9" s="25" t="n">
        <v>83.3</v>
      </c>
      <c r="F9" s="22" t="n">
        <v>1.1</v>
      </c>
      <c r="G9" s="22" t="n">
        <v>18.57</v>
      </c>
      <c r="H9" s="3" t="s">
        <v>5317</v>
      </c>
    </row>
    <row r="10" customFormat="false" ht="15" hidden="false" customHeight="false" outlineLevel="0" collapsed="false">
      <c r="A10" s="6" t="n">
        <v>6</v>
      </c>
      <c r="B10" s="15" t="n">
        <v>150.17</v>
      </c>
      <c r="C10" s="22" t="n">
        <v>5.006</v>
      </c>
      <c r="D10" s="24" t="n">
        <v>27.68</v>
      </c>
      <c r="E10" s="25" t="n">
        <v>82.1</v>
      </c>
      <c r="F10" s="22" t="n">
        <v>1.17</v>
      </c>
      <c r="G10" s="22" t="n">
        <v>18.29</v>
      </c>
      <c r="H10" s="3" t="s">
        <v>5317</v>
      </c>
    </row>
    <row r="11" customFormat="false" ht="15" hidden="false" customHeight="false" outlineLevel="0" collapsed="false">
      <c r="A11" s="6" t="n">
        <v>7</v>
      </c>
      <c r="B11" s="15" t="n">
        <v>160.84</v>
      </c>
      <c r="C11" s="22" t="n">
        <v>5.188</v>
      </c>
      <c r="D11" s="24" t="n">
        <v>27.51</v>
      </c>
      <c r="E11" s="25" t="n">
        <v>80.7</v>
      </c>
      <c r="F11" s="22" t="n">
        <v>1.32</v>
      </c>
      <c r="G11" s="22" t="n">
        <v>18.86</v>
      </c>
      <c r="H11" s="3" t="s">
        <v>5317</v>
      </c>
    </row>
    <row r="12" customFormat="false" ht="15" hidden="false" customHeight="false" outlineLevel="0" collapsed="false">
      <c r="A12" s="6" t="n">
        <v>8</v>
      </c>
      <c r="B12" s="15" t="n">
        <v>161.16</v>
      </c>
      <c r="C12" s="22" t="n">
        <v>5.199</v>
      </c>
      <c r="D12" s="24" t="n">
        <v>27.38</v>
      </c>
      <c r="E12" s="25" t="n">
        <v>80.5</v>
      </c>
      <c r="F12" s="22" t="n">
        <v>1.38</v>
      </c>
      <c r="G12" s="22" t="n">
        <v>18.65</v>
      </c>
      <c r="H12" s="3" t="s">
        <v>5317</v>
      </c>
    </row>
    <row r="13" customFormat="false" ht="15" hidden="false" customHeight="false" outlineLevel="0" collapsed="false">
      <c r="A13" s="6" t="n">
        <v>9</v>
      </c>
      <c r="B13" s="15" t="n">
        <v>159.21</v>
      </c>
      <c r="C13" s="22" t="n">
        <v>5.307</v>
      </c>
      <c r="D13" s="24" t="n">
        <v>27.4</v>
      </c>
      <c r="E13" s="25" t="n">
        <v>80.6</v>
      </c>
      <c r="F13" s="22" t="n">
        <v>1.3</v>
      </c>
      <c r="G13" s="22" t="n">
        <v>18.97</v>
      </c>
      <c r="H13" s="3" t="s">
        <v>5317</v>
      </c>
    </row>
    <row r="14" customFormat="false" ht="15" hidden="false" customHeight="false" outlineLevel="0" collapsed="false">
      <c r="A14" s="6" t="n">
        <v>10</v>
      </c>
      <c r="B14" s="15" t="n">
        <v>151.5</v>
      </c>
      <c r="C14" s="22" t="n">
        <v>4.887</v>
      </c>
      <c r="D14" s="24" t="n">
        <v>27.12</v>
      </c>
      <c r="E14" s="25" t="n">
        <v>83.7</v>
      </c>
      <c r="F14" s="22" t="n">
        <v>1.15</v>
      </c>
      <c r="G14" s="22" t="n">
        <v>17.62</v>
      </c>
      <c r="H14" s="3" t="s">
        <v>5317</v>
      </c>
    </row>
    <row r="15" customFormat="false" ht="15" hidden="false" customHeight="false" outlineLevel="0" collapsed="false">
      <c r="A15" s="6" t="n">
        <v>11</v>
      </c>
      <c r="B15" s="15" t="n">
        <v>142.3</v>
      </c>
      <c r="C15" s="22" t="n">
        <v>4.743</v>
      </c>
      <c r="D15" s="24" t="n">
        <v>26.91</v>
      </c>
      <c r="E15" s="25" t="n">
        <v>85.5</v>
      </c>
      <c r="F15" s="22" t="n">
        <v>1.15</v>
      </c>
      <c r="G15" s="22" t="n">
        <v>17.34</v>
      </c>
      <c r="H15" s="3" t="s">
        <v>5317</v>
      </c>
    </row>
    <row r="16" customFormat="false" ht="15" hidden="false" customHeight="false" outlineLevel="0" collapsed="false">
      <c r="A16" s="6" t="n">
        <v>12</v>
      </c>
      <c r="B16" s="15" t="n">
        <v>145.07</v>
      </c>
      <c r="C16" s="22" t="n">
        <v>4.68</v>
      </c>
      <c r="D16" s="24" t="n">
        <v>26.92</v>
      </c>
      <c r="E16" s="25" t="n">
        <v>85.2</v>
      </c>
      <c r="F16" s="22" t="n">
        <v>1.27</v>
      </c>
      <c r="G16" s="22" t="n">
        <v>17.01</v>
      </c>
      <c r="H16" s="3" t="s">
        <v>5317</v>
      </c>
    </row>
    <row r="17" customFormat="false" ht="15" hidden="false" customHeight="false" outlineLevel="0" collapsed="false">
      <c r="A17" s="7" t="s">
        <v>5318</v>
      </c>
      <c r="B17" s="8" t="n">
        <f aca="false">SUM(B5:B16)</f>
        <v>1851.15</v>
      </c>
    </row>
    <row r="18" customFormat="false" ht="15" hidden="false" customHeight="false" outlineLevel="0" collapsed="false">
      <c r="A18" s="7" t="s">
        <v>5319</v>
      </c>
      <c r="B18" s="8" t="n">
        <f aca="false">AVERAGE(B5:B16)</f>
        <v>154.2625</v>
      </c>
      <c r="C18" s="2" t="s">
        <v>5320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9" min="5" style="0" width="12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5" t="s">
        <v>5321</v>
      </c>
    </row>
    <row r="2" customFormat="false" ht="15" hidden="false" customHeight="false" outlineLevel="0" collapsed="false">
      <c r="A2" s="2" t="s">
        <v>5322</v>
      </c>
    </row>
    <row r="4" customFormat="false" ht="15" hidden="false" customHeight="false" outlineLevel="0" collapsed="false">
      <c r="A4" s="1" t="s">
        <v>5214</v>
      </c>
      <c r="B4" s="1" t="s">
        <v>5129</v>
      </c>
      <c r="C4" s="1" t="s">
        <v>5215</v>
      </c>
      <c r="D4" s="1" t="s">
        <v>5323</v>
      </c>
    </row>
    <row r="5" customFormat="false" ht="15" hidden="false" customHeight="false" outlineLevel="0" collapsed="false">
      <c r="A5" s="3" t="s">
        <v>5217</v>
      </c>
      <c r="B5" s="15" t="n">
        <v>8</v>
      </c>
      <c r="C5" s="3" t="s">
        <v>5218</v>
      </c>
      <c r="D5" s="3" t="s">
        <v>5219</v>
      </c>
    </row>
    <row r="6" customFormat="false" ht="15" hidden="false" customHeight="false" outlineLevel="0" collapsed="false">
      <c r="A6" s="3" t="s">
        <v>5220</v>
      </c>
      <c r="B6" s="16" t="n">
        <v>0.3</v>
      </c>
      <c r="C6" s="3" t="s">
        <v>5221</v>
      </c>
      <c r="D6" s="3" t="s">
        <v>5222</v>
      </c>
    </row>
    <row r="7" customFormat="false" ht="15" hidden="false" customHeight="false" outlineLevel="0" collapsed="false">
      <c r="A7" s="3" t="s">
        <v>5223</v>
      </c>
      <c r="B7" s="15" t="n">
        <v>330</v>
      </c>
      <c r="C7" s="3" t="s">
        <v>5218</v>
      </c>
      <c r="D7" s="3" t="s">
        <v>5224</v>
      </c>
    </row>
    <row r="8" customFormat="false" ht="15" hidden="false" customHeight="false" outlineLevel="0" collapsed="false">
      <c r="A8" s="3" t="s">
        <v>5225</v>
      </c>
      <c r="B8" s="16" t="n">
        <v>0.003</v>
      </c>
      <c r="C8" s="3" t="s">
        <v>5221</v>
      </c>
      <c r="D8" s="3" t="s">
        <v>5226</v>
      </c>
    </row>
    <row r="9" customFormat="false" ht="15" hidden="false" customHeight="false" outlineLevel="0" collapsed="false">
      <c r="A9" s="3" t="s">
        <v>5227</v>
      </c>
      <c r="B9" s="16" t="n">
        <v>0.011</v>
      </c>
      <c r="C9" s="3" t="s">
        <v>5199</v>
      </c>
      <c r="D9" s="3" t="s">
        <v>5228</v>
      </c>
    </row>
    <row r="10" customFormat="false" ht="15" hidden="false" customHeight="false" outlineLevel="0" collapsed="false">
      <c r="A10" s="3" t="s">
        <v>5324</v>
      </c>
      <c r="B10" s="12" t="n">
        <f aca="false">0.0195*(B5/SQRT(B6))^0.77</f>
        <v>0.153717112647791</v>
      </c>
      <c r="C10" s="3" t="s">
        <v>5243</v>
      </c>
      <c r="D10" s="3" t="s">
        <v>5325</v>
      </c>
    </row>
    <row r="11" customFormat="false" ht="15" hidden="false" customHeight="false" outlineLevel="0" collapsed="false">
      <c r="A11" s="3" t="s">
        <v>5326</v>
      </c>
      <c r="B11" s="6" t="n">
        <f aca="false">Kawasan!$B$9</f>
        <v>10400</v>
      </c>
      <c r="C11" s="3" t="s">
        <v>5232</v>
      </c>
      <c r="D11" s="3" t="s">
        <v>5233</v>
      </c>
    </row>
    <row r="12" customFormat="false" ht="15" hidden="false" customHeight="false" outlineLevel="0" collapsed="false">
      <c r="A12" s="3" t="s">
        <v>5229</v>
      </c>
      <c r="B12" s="17" t="n">
        <f aca="false">Kawasan!$B$11</f>
        <v>0.8</v>
      </c>
      <c r="D12" s="3" t="s">
        <v>5230</v>
      </c>
    </row>
    <row r="13" customFormat="false" ht="15" hidden="false" customHeight="false" outlineLevel="0" collapsed="false">
      <c r="A13" s="3" t="s">
        <v>5231</v>
      </c>
      <c r="B13" s="20" t="n">
        <f aca="false">B11/1000000</f>
        <v>0.0104</v>
      </c>
      <c r="C13" s="3" t="s">
        <v>5302</v>
      </c>
    </row>
    <row r="14" customFormat="false" ht="15" hidden="false" customHeight="false" outlineLevel="0" collapsed="false">
      <c r="A14" s="3" t="s">
        <v>5327</v>
      </c>
      <c r="B14" s="13" t="n">
        <f aca="false">IF(Chi_Kuadrat!$B$47="LP3",Frekuensi!$G$10,IF(Chi_Kuadrat!$B$47="Gumbel",Frekuensi!$E$10,Frekuensi!$C$10))</f>
        <v>163.236247868746</v>
      </c>
      <c r="C14" s="3" t="s">
        <v>5134</v>
      </c>
      <c r="D14" s="3" t="s">
        <v>5241</v>
      </c>
    </row>
    <row r="16" customFormat="false" ht="15" hidden="false" customHeight="false" outlineLevel="0" collapsed="false">
      <c r="A16" s="7" t="s">
        <v>5328</v>
      </c>
    </row>
    <row r="17" customFormat="false" ht="23.85" hidden="false" customHeight="false" outlineLevel="0" collapsed="false">
      <c r="A17" s="1" t="s">
        <v>5329</v>
      </c>
      <c r="B17" s="1" t="s">
        <v>5330</v>
      </c>
      <c r="C17" s="1" t="s">
        <v>5331</v>
      </c>
      <c r="D17" s="1" t="s">
        <v>5332</v>
      </c>
      <c r="E17" s="1" t="s">
        <v>5333</v>
      </c>
      <c r="F17" s="1" t="s">
        <v>5334</v>
      </c>
      <c r="G17" s="1" t="s">
        <v>5335</v>
      </c>
      <c r="H17" s="1" t="s">
        <v>5336</v>
      </c>
      <c r="I17" s="1" t="s">
        <v>5337</v>
      </c>
      <c r="J17" s="1" t="s">
        <v>5338</v>
      </c>
    </row>
    <row r="18" customFormat="false" ht="15" hidden="false" customHeight="false" outlineLevel="0" collapsed="false">
      <c r="A18" s="6" t="n">
        <v>1</v>
      </c>
      <c r="B18" s="26" t="n">
        <v>1</v>
      </c>
      <c r="C18" s="13" t="n">
        <f aca="false">$B$7/(60*B18)</f>
        <v>5.5</v>
      </c>
      <c r="D18" s="18" t="n">
        <f aca="false">($B$10+C18)/60</f>
        <v>0.0942286185441299</v>
      </c>
      <c r="E18" s="17" t="n">
        <f aca="false">($B$14/24)*(24/D18)^(2/3)</f>
        <v>273.2903563467</v>
      </c>
      <c r="F18" s="12" t="n">
        <f aca="false">0.278*$B$12*E18*$B$13</f>
        <v>0.632109662615663</v>
      </c>
      <c r="G18" s="12" t="n">
        <f aca="false">(F18*$B$9/(0.312*SQRT($B$8)))^(3/8)</f>
        <v>0.713758362991822</v>
      </c>
      <c r="H18" s="6" t="n">
        <f aca="false">INDEX($B$33:$B$47,MIN(COUNTIF($B$33:$B$47,"&lt;"&amp;G18*1000)+1,15))</f>
        <v>750</v>
      </c>
      <c r="I18" s="20" t="n">
        <f aca="false">INDEX($C$33:$C$47,MATCH(H18,$B$33:$B$47,0))</f>
        <v>0.441786466911065</v>
      </c>
      <c r="J18" s="12" t="n">
        <f aca="false">F18/I18</f>
        <v>1.43080358942482</v>
      </c>
    </row>
    <row r="19" customFormat="false" ht="15" hidden="false" customHeight="false" outlineLevel="0" collapsed="false">
      <c r="A19" s="6" t="n">
        <v>2</v>
      </c>
      <c r="B19" s="12" t="n">
        <f aca="false">J18</f>
        <v>1.43080358942482</v>
      </c>
      <c r="C19" s="13" t="n">
        <f aca="false">$B$7/(60*B19)</f>
        <v>3.8439937114017</v>
      </c>
      <c r="D19" s="18" t="n">
        <f aca="false">($B$10+C19)/60</f>
        <v>0.0666285137341581</v>
      </c>
      <c r="E19" s="17" t="n">
        <f aca="false">($B$14/24)*(24/D19)^(2/3)</f>
        <v>344.328342928464</v>
      </c>
      <c r="F19" s="12" t="n">
        <f aca="false">0.278*$B$12*E19*$B$13</f>
        <v>0.79641768405982</v>
      </c>
      <c r="G19" s="12" t="n">
        <f aca="false">(F19*$B$9/(0.312*SQRT($B$8)))^(3/8)</f>
        <v>0.778362464432844</v>
      </c>
      <c r="H19" s="6" t="n">
        <f aca="false">INDEX($B$33:$B$47,MIN(COUNTIF($B$33:$B$47,"&lt;"&amp;G19*1000)+1,15))</f>
        <v>800</v>
      </c>
      <c r="I19" s="20" t="n">
        <f aca="false">INDEX($C$33:$C$47,MATCH(H19,$B$33:$B$47,0))</f>
        <v>0.502654824574367</v>
      </c>
      <c r="J19" s="12" t="n">
        <f aca="false">F19/I19</f>
        <v>1.584422639799</v>
      </c>
    </row>
    <row r="20" customFormat="false" ht="15" hidden="false" customHeight="false" outlineLevel="0" collapsed="false">
      <c r="A20" s="6" t="n">
        <v>3</v>
      </c>
      <c r="B20" s="12" t="n">
        <f aca="false">J19</f>
        <v>1.584422639799</v>
      </c>
      <c r="C20" s="13" t="n">
        <f aca="false">$B$7/(60*B20)</f>
        <v>3.4712960177707</v>
      </c>
      <c r="D20" s="18" t="n">
        <f aca="false">($B$10+C20)/60</f>
        <v>0.0604168855069749</v>
      </c>
      <c r="E20" s="17" t="n">
        <f aca="false">($B$14/24)*(24/D20)^(2/3)</f>
        <v>367.542276187875</v>
      </c>
      <c r="F20" s="12" t="n">
        <f aca="false">0.278*$B$12*E20*$B$13</f>
        <v>0.850110583131508</v>
      </c>
      <c r="G20" s="12" t="n">
        <f aca="false">(F20*$B$9/(0.312*SQRT($B$8)))^(3/8)</f>
        <v>0.797640748694062</v>
      </c>
      <c r="H20" s="6" t="n">
        <f aca="false">INDEX($B$33:$B$47,MIN(COUNTIF($B$33:$B$47,"&lt;"&amp;G20*1000)+1,15))</f>
        <v>800</v>
      </c>
      <c r="I20" s="20" t="n">
        <f aca="false">INDEX($C$33:$C$47,MATCH(H20,$B$33:$B$47,0))</f>
        <v>0.502654824574367</v>
      </c>
      <c r="J20" s="12" t="n">
        <f aca="false">F20/I20</f>
        <v>1.69124126850141</v>
      </c>
    </row>
    <row r="21" customFormat="false" ht="15" hidden="false" customHeight="false" outlineLevel="0" collapsed="false">
      <c r="A21" s="6" t="n">
        <v>4</v>
      </c>
      <c r="B21" s="12" t="n">
        <f aca="false">J20</f>
        <v>1.69124126850141</v>
      </c>
      <c r="C21" s="13" t="n">
        <f aca="false">$B$7/(60*B21)</f>
        <v>3.25204930983826</v>
      </c>
      <c r="D21" s="18" t="n">
        <f aca="false">($B$10+C21)/60</f>
        <v>0.0567627737081008</v>
      </c>
      <c r="E21" s="17" t="n">
        <f aca="false">($B$14/24)*(24/D21)^(2/3)</f>
        <v>383.15142957188</v>
      </c>
      <c r="F21" s="12" t="n">
        <f aca="false">0.278*$B$12*E21*$B$13</f>
        <v>0.886213930542575</v>
      </c>
      <c r="G21" s="12" t="n">
        <f aca="false">(F21*$B$9/(0.312*SQRT($B$8)))^(3/8)</f>
        <v>0.810179058966422</v>
      </c>
      <c r="H21" s="6" t="n">
        <f aca="false">INDEX($B$33:$B$47,MIN(COUNTIF($B$33:$B$47,"&lt;"&amp;G21*1000)+1,15))</f>
        <v>900</v>
      </c>
      <c r="I21" s="20" t="n">
        <f aca="false">INDEX($C$33:$C$47,MATCH(H21,$B$33:$B$47,0))</f>
        <v>0.636172512351933</v>
      </c>
      <c r="J21" s="12" t="n">
        <f aca="false">F21/I21</f>
        <v>1.39304027340986</v>
      </c>
    </row>
    <row r="22" customFormat="false" ht="15" hidden="false" customHeight="false" outlineLevel="0" collapsed="false">
      <c r="A22" s="6" t="n">
        <v>5</v>
      </c>
      <c r="B22" s="12" t="n">
        <f aca="false">J21</f>
        <v>1.39304027340986</v>
      </c>
      <c r="C22" s="13" t="n">
        <f aca="false">$B$7/(60*B22)</f>
        <v>3.9481988460658</v>
      </c>
      <c r="D22" s="18" t="n">
        <f aca="false">($B$10+C22)/60</f>
        <v>0.0683652659785598</v>
      </c>
      <c r="E22" s="17" t="n">
        <f aca="false">($B$14/24)*(24/D22)^(2/3)</f>
        <v>338.471820894555</v>
      </c>
      <c r="F22" s="12" t="n">
        <f aca="false">0.278*$B$12*E22*$B$13</f>
        <v>0.782871782856269</v>
      </c>
      <c r="G22" s="12" t="n">
        <f aca="false">(F22*$B$9/(0.312*SQRT($B$8)))^(3/8)</f>
        <v>0.773371278031686</v>
      </c>
      <c r="H22" s="6" t="n">
        <f aca="false">INDEX($B$33:$B$47,MIN(COUNTIF($B$33:$B$47,"&lt;"&amp;G22*1000)+1,15))</f>
        <v>800</v>
      </c>
      <c r="I22" s="20" t="n">
        <f aca="false">INDEX($C$33:$C$47,MATCH(H22,$B$33:$B$47,0))</f>
        <v>0.502654824574367</v>
      </c>
      <c r="J22" s="12" t="n">
        <f aca="false">F22/I22</f>
        <v>1.55747392560925</v>
      </c>
    </row>
    <row r="23" customFormat="false" ht="15" hidden="false" customHeight="false" outlineLevel="0" collapsed="false">
      <c r="A23" s="6" t="n">
        <v>6</v>
      </c>
      <c r="B23" s="12" t="n">
        <f aca="false">J22</f>
        <v>1.55747392560925</v>
      </c>
      <c r="C23" s="13" t="n">
        <f aca="false">$B$7/(60*B23)</f>
        <v>3.53135927964156</v>
      </c>
      <c r="D23" s="18" t="n">
        <f aca="false">($B$10+C23)/60</f>
        <v>0.0614179398714892</v>
      </c>
      <c r="E23" s="17" t="n">
        <f aca="false">($B$14/24)*(24/D23)^(2/3)</f>
        <v>363.537620056037</v>
      </c>
      <c r="F23" s="12" t="n">
        <f aca="false">0.278*$B$12*E23*$B$13</f>
        <v>0.840847973684812</v>
      </c>
      <c r="G23" s="12" t="n">
        <f aca="false">(F23*$B$9/(0.312*SQRT($B$8)))^(3/8)</f>
        <v>0.794370494434138</v>
      </c>
      <c r="H23" s="6" t="n">
        <f aca="false">INDEX($B$33:$B$47,MIN(COUNTIF($B$33:$B$47,"&lt;"&amp;G23*1000)+1,15))</f>
        <v>800</v>
      </c>
      <c r="I23" s="20" t="n">
        <f aca="false">INDEX($C$33:$C$47,MATCH(H23,$B$33:$B$47,0))</f>
        <v>0.502654824574367</v>
      </c>
      <c r="J23" s="12" t="n">
        <f aca="false">F23/I23</f>
        <v>1.67281389250927</v>
      </c>
    </row>
    <row r="24" customFormat="false" ht="15" hidden="false" customHeight="false" outlineLevel="0" collapsed="false">
      <c r="A24" s="6" t="n">
        <v>7</v>
      </c>
      <c r="B24" s="12" t="n">
        <f aca="false">J23</f>
        <v>1.67281389250927</v>
      </c>
      <c r="C24" s="13" t="n">
        <f aca="false">$B$7/(60*B24)</f>
        <v>3.28787322046318</v>
      </c>
      <c r="D24" s="18" t="n">
        <f aca="false">($B$10+C24)/60</f>
        <v>0.0573598388851828</v>
      </c>
      <c r="E24" s="17" t="n">
        <f aca="false">($B$14/24)*(24/D24)^(2/3)</f>
        <v>380.487950456935</v>
      </c>
      <c r="F24" s="12" t="n">
        <f aca="false">0.278*$B$12*E24*$B$13</f>
        <v>0.880053409888872</v>
      </c>
      <c r="G24" s="12" t="n">
        <f aca="false">(F24*$B$9/(0.312*SQRT($B$8)))^(3/8)</f>
        <v>0.808062467201585</v>
      </c>
      <c r="H24" s="6" t="n">
        <f aca="false">INDEX($B$33:$B$47,MIN(COUNTIF($B$33:$B$47,"&lt;"&amp;G24*1000)+1,15))</f>
        <v>900</v>
      </c>
      <c r="I24" s="20" t="n">
        <f aca="false">INDEX($C$33:$C$47,MATCH(H24,$B$33:$B$47,0))</f>
        <v>0.636172512351933</v>
      </c>
      <c r="J24" s="12" t="n">
        <f aca="false">F24/I24</f>
        <v>1.38335654685128</v>
      </c>
    </row>
    <row r="25" customFormat="false" ht="15" hidden="false" customHeight="false" outlineLevel="0" collapsed="false">
      <c r="A25" s="6" t="n">
        <v>8</v>
      </c>
      <c r="B25" s="12" t="n">
        <f aca="false">J24</f>
        <v>1.38335654685128</v>
      </c>
      <c r="C25" s="13" t="n">
        <f aca="false">$B$7/(60*B25)</f>
        <v>3.97583689651002</v>
      </c>
      <c r="D25" s="18" t="n">
        <f aca="false">($B$10+C25)/60</f>
        <v>0.0688259001526302</v>
      </c>
      <c r="E25" s="17" t="n">
        <f aca="false">($B$14/24)*(24/D25)^(2/3)</f>
        <v>336.959927653674</v>
      </c>
      <c r="F25" s="12" t="n">
        <f aca="false">0.278*$B$12*E25*$B$13</f>
        <v>0.779374834265841</v>
      </c>
      <c r="G25" s="12" t="n">
        <f aca="false">(F25*$B$9/(0.312*SQRT($B$8)))^(3/8)</f>
        <v>0.772074023536179</v>
      </c>
      <c r="H25" s="6" t="n">
        <f aca="false">INDEX($B$33:$B$47,MIN(COUNTIF($B$33:$B$47,"&lt;"&amp;G25*1000)+1,15))</f>
        <v>800</v>
      </c>
      <c r="I25" s="20" t="n">
        <f aca="false">INDEX($C$33:$C$47,MATCH(H25,$B$33:$B$47,0))</f>
        <v>0.502654824574367</v>
      </c>
      <c r="J25" s="12" t="n">
        <f aca="false">F25/I25</f>
        <v>1.55051696743544</v>
      </c>
    </row>
    <row r="26" customFormat="false" ht="15" hidden="false" customHeight="false" outlineLevel="0" collapsed="false">
      <c r="A26" s="6" t="n">
        <v>9</v>
      </c>
      <c r="B26" s="12" t="n">
        <f aca="false">J25</f>
        <v>1.55051696743544</v>
      </c>
      <c r="C26" s="13" t="n">
        <f aca="false">$B$7/(60*B26)</f>
        <v>3.54720400712352</v>
      </c>
      <c r="D26" s="18" t="n">
        <f aca="false">($B$10+C26)/60</f>
        <v>0.0616820186628551</v>
      </c>
      <c r="E26" s="17" t="n">
        <f aca="false">($B$14/24)*(24/D26)^(2/3)</f>
        <v>362.499270894745</v>
      </c>
      <c r="F26" s="12" t="n">
        <f aca="false">0.278*$B$12*E26*$B$13</f>
        <v>0.83844631360871</v>
      </c>
      <c r="G26" s="12" t="n">
        <f aca="false">(F26*$B$9/(0.312*SQRT($B$8)))^(3/8)</f>
        <v>0.793518892779992</v>
      </c>
      <c r="H26" s="6" t="n">
        <f aca="false">INDEX($B$33:$B$47,MIN(COUNTIF($B$33:$B$47,"&lt;"&amp;G26*1000)+1,15))</f>
        <v>800</v>
      </c>
      <c r="I26" s="20" t="n">
        <f aca="false">INDEX($C$33:$C$47,MATCH(H26,$B$33:$B$47,0))</f>
        <v>0.502654824574367</v>
      </c>
      <c r="J26" s="12" t="n">
        <f aca="false">F26/I26</f>
        <v>1.66803594160005</v>
      </c>
    </row>
    <row r="27" customFormat="false" ht="15" hidden="false" customHeight="false" outlineLevel="0" collapsed="false">
      <c r="A27" s="6" t="n">
        <v>10</v>
      </c>
      <c r="B27" s="12" t="n">
        <f aca="false">J26</f>
        <v>1.66803594160005</v>
      </c>
      <c r="C27" s="13" t="n">
        <f aca="false">$B$7/(60*B27)</f>
        <v>3.2972910612011</v>
      </c>
      <c r="D27" s="18" t="n">
        <f aca="false">($B$10+C27)/60</f>
        <v>0.0575168028974816</v>
      </c>
      <c r="E27" s="17" t="n">
        <f aca="false">($B$14/24)*(24/D27)^(2/3)</f>
        <v>379.795397910998</v>
      </c>
      <c r="F27" s="12" t="n">
        <f aca="false">0.278*$B$12*E27*$B$13</f>
        <v>0.878451563552222</v>
      </c>
      <c r="G27" s="12" t="n">
        <f aca="false">(F27*$B$9/(0.312*SQRT($B$8)))^(3/8)</f>
        <v>0.807510599183257</v>
      </c>
      <c r="H27" s="6" t="n">
        <f aca="false">INDEX($B$33:$B$47,MIN(COUNTIF($B$33:$B$47,"&lt;"&amp;G27*1000)+1,15))</f>
        <v>900</v>
      </c>
      <c r="I27" s="20" t="n">
        <f aca="false">INDEX($C$33:$C$47,MATCH(H27,$B$33:$B$47,0))</f>
        <v>0.636172512351933</v>
      </c>
      <c r="J27" s="12" t="n">
        <f aca="false">F27/I27</f>
        <v>1.38083860351744</v>
      </c>
    </row>
    <row r="28" customFormat="false" ht="15" hidden="false" customHeight="false" outlineLevel="0" collapsed="false">
      <c r="A28" s="6" t="n">
        <v>11</v>
      </c>
      <c r="B28" s="12" t="n">
        <f aca="false">J27</f>
        <v>1.38083860351744</v>
      </c>
      <c r="C28" s="13" t="n">
        <f aca="false">$B$7/(60*B28)</f>
        <v>3.98308678942618</v>
      </c>
      <c r="D28" s="18" t="n">
        <f aca="false">($B$10+C28)/60</f>
        <v>0.0689467317012329</v>
      </c>
      <c r="E28" s="17" t="n">
        <f aca="false">($B$14/24)*(24/D28)^(2/3)</f>
        <v>336.566123232335</v>
      </c>
      <c r="F28" s="12" t="n">
        <f aca="false">0.278*$B$12*E28*$B$13</f>
        <v>0.778463980391461</v>
      </c>
      <c r="G28" s="12" t="n">
        <f aca="false">(F28*$B$9/(0.312*SQRT($B$8)))^(3/8)</f>
        <v>0.771735529342246</v>
      </c>
      <c r="H28" s="6" t="n">
        <f aca="false">INDEX($B$33:$B$47,MIN(COUNTIF($B$33:$B$47,"&lt;"&amp;G28*1000)+1,15))</f>
        <v>800</v>
      </c>
      <c r="I28" s="20" t="n">
        <f aca="false">INDEX($C$33:$C$47,MATCH(H28,$B$33:$B$47,0))</f>
        <v>0.502654824574367</v>
      </c>
      <c r="J28" s="12" t="n">
        <f aca="false">F28/I28</f>
        <v>1.54870488122867</v>
      </c>
    </row>
    <row r="29" customFormat="false" ht="15" hidden="false" customHeight="false" outlineLevel="0" collapsed="false">
      <c r="A29" s="6" t="n">
        <v>12</v>
      </c>
      <c r="B29" s="12" t="n">
        <f aca="false">J28</f>
        <v>1.54870488122867</v>
      </c>
      <c r="C29" s="13" t="n">
        <f aca="false">$B$7/(60*B29)</f>
        <v>3.55135446828099</v>
      </c>
      <c r="D29" s="18" t="n">
        <f aca="false">($B$10+C29)/60</f>
        <v>0.0617511930154796</v>
      </c>
      <c r="E29" s="17" t="n">
        <f aca="false">($B$14/24)*(24/D29)^(2/3)</f>
        <v>362.22850326346</v>
      </c>
      <c r="F29" s="12" t="n">
        <f aca="false">0.278*$B$12*E29*$B$13</f>
        <v>0.837820038908253</v>
      </c>
      <c r="G29" s="12" t="n">
        <f aca="false">(F29*$B$9/(0.312*SQRT($B$8)))^(3/8)</f>
        <v>0.793296572259831</v>
      </c>
      <c r="H29" s="6" t="n">
        <f aca="false">INDEX($B$33:$B$47,MIN(COUNTIF($B$33:$B$47,"&lt;"&amp;G29*1000)+1,15))</f>
        <v>800</v>
      </c>
      <c r="I29" s="20" t="n">
        <f aca="false">INDEX($C$33:$C$47,MATCH(H29,$B$33:$B$47,0))</f>
        <v>0.502654824574367</v>
      </c>
      <c r="J29" s="12" t="n">
        <f aca="false">F29/I29</f>
        <v>1.66679000767116</v>
      </c>
    </row>
    <row r="31" customFormat="false" ht="15" hidden="false" customHeight="false" outlineLevel="0" collapsed="false">
      <c r="A31" s="7" t="s">
        <v>5339</v>
      </c>
    </row>
    <row r="32" customFormat="false" ht="15" hidden="false" customHeight="false" outlineLevel="0" collapsed="false">
      <c r="A32" s="1" t="s">
        <v>5340</v>
      </c>
      <c r="B32" s="1" t="s">
        <v>5341</v>
      </c>
      <c r="C32" s="1" t="s">
        <v>5342</v>
      </c>
    </row>
    <row r="33" customFormat="false" ht="15" hidden="false" customHeight="false" outlineLevel="0" collapsed="false">
      <c r="A33" s="3" t="s">
        <v>5343</v>
      </c>
      <c r="B33" s="25" t="n">
        <v>110</v>
      </c>
      <c r="C33" s="20" t="n">
        <f aca="false">PI()*(B33/1000)^2/4</f>
        <v>0.00950331777710912</v>
      </c>
    </row>
    <row r="34" customFormat="false" ht="15" hidden="false" customHeight="false" outlineLevel="0" collapsed="false">
      <c r="A34" s="3" t="s">
        <v>5344</v>
      </c>
      <c r="B34" s="25" t="n">
        <v>160</v>
      </c>
      <c r="C34" s="20" t="n">
        <f aca="false">PI()*(B34/1000)^2/4</f>
        <v>0.0201061929829747</v>
      </c>
    </row>
    <row r="35" customFormat="false" ht="15" hidden="false" customHeight="false" outlineLevel="0" collapsed="false">
      <c r="A35" s="3" t="s">
        <v>5345</v>
      </c>
      <c r="B35" s="25" t="n">
        <v>200</v>
      </c>
      <c r="C35" s="20" t="n">
        <f aca="false">PI()*(B35/1000)^2/4</f>
        <v>0.0314159265358979</v>
      </c>
    </row>
    <row r="36" customFormat="false" ht="15" hidden="false" customHeight="false" outlineLevel="0" collapsed="false">
      <c r="A36" s="3" t="s">
        <v>5346</v>
      </c>
      <c r="B36" s="25" t="n">
        <v>250</v>
      </c>
      <c r="C36" s="20" t="n">
        <f aca="false">PI()*(B36/1000)^2/4</f>
        <v>0.0490873852123405</v>
      </c>
    </row>
    <row r="37" customFormat="false" ht="15" hidden="false" customHeight="false" outlineLevel="0" collapsed="false">
      <c r="A37" s="3" t="s">
        <v>5347</v>
      </c>
      <c r="B37" s="25" t="n">
        <v>315</v>
      </c>
      <c r="C37" s="20" t="n">
        <f aca="false">PI()*(B37/1000)^2/4</f>
        <v>0.0779311327631118</v>
      </c>
    </row>
    <row r="38" customFormat="false" ht="15" hidden="false" customHeight="false" outlineLevel="0" collapsed="false">
      <c r="A38" s="3" t="s">
        <v>5348</v>
      </c>
      <c r="B38" s="25" t="n">
        <v>355</v>
      </c>
      <c r="C38" s="20" t="n">
        <f aca="false">PI()*(B38/1000)^2/4</f>
        <v>0.0989798035421634</v>
      </c>
    </row>
    <row r="39" customFormat="false" ht="15" hidden="false" customHeight="false" outlineLevel="0" collapsed="false">
      <c r="A39" s="3" t="s">
        <v>5349</v>
      </c>
      <c r="B39" s="25" t="n">
        <v>400</v>
      </c>
      <c r="C39" s="20" t="n">
        <f aca="false">PI()*(B39/1000)^2/4</f>
        <v>0.125663706143592</v>
      </c>
    </row>
    <row r="40" customFormat="false" ht="15" hidden="false" customHeight="false" outlineLevel="0" collapsed="false">
      <c r="A40" s="3" t="s">
        <v>5350</v>
      </c>
      <c r="B40" s="25" t="n">
        <v>450</v>
      </c>
      <c r="C40" s="20" t="n">
        <f aca="false">PI()*(B40/1000)^2/4</f>
        <v>0.159043128087983</v>
      </c>
    </row>
    <row r="41" customFormat="false" ht="15" hidden="false" customHeight="false" outlineLevel="0" collapsed="false">
      <c r="A41" s="3" t="s">
        <v>5351</v>
      </c>
      <c r="B41" s="25" t="n">
        <v>500</v>
      </c>
      <c r="C41" s="20" t="n">
        <f aca="false">PI()*(B41/1000)^2/4</f>
        <v>0.196349540849362</v>
      </c>
    </row>
    <row r="42" customFormat="false" ht="15" hidden="false" customHeight="false" outlineLevel="0" collapsed="false">
      <c r="A42" s="3" t="s">
        <v>5352</v>
      </c>
      <c r="B42" s="25" t="n">
        <v>600</v>
      </c>
      <c r="C42" s="20" t="n">
        <f aca="false">PI()*(B42/1000)^2/4</f>
        <v>0.282743338823081</v>
      </c>
    </row>
    <row r="43" customFormat="false" ht="15" hidden="false" customHeight="false" outlineLevel="0" collapsed="false">
      <c r="A43" s="3" t="s">
        <v>5353</v>
      </c>
      <c r="B43" s="25" t="n">
        <v>750</v>
      </c>
      <c r="C43" s="20" t="n">
        <f aca="false">PI()*(B43/1000)^2/4</f>
        <v>0.441786466911065</v>
      </c>
    </row>
    <row r="44" customFormat="false" ht="15" hidden="false" customHeight="false" outlineLevel="0" collapsed="false">
      <c r="A44" s="3" t="s">
        <v>5354</v>
      </c>
      <c r="B44" s="25" t="n">
        <v>800</v>
      </c>
      <c r="C44" s="20" t="n">
        <f aca="false">PI()*(B44/1000)^2/4</f>
        <v>0.502654824574367</v>
      </c>
    </row>
    <row r="45" customFormat="false" ht="15" hidden="false" customHeight="false" outlineLevel="0" collapsed="false">
      <c r="A45" s="3" t="s">
        <v>5355</v>
      </c>
      <c r="B45" s="25" t="n">
        <v>900</v>
      </c>
      <c r="C45" s="20" t="n">
        <f aca="false">PI()*(B45/1000)^2/4</f>
        <v>0.636172512351933</v>
      </c>
    </row>
    <row r="46" customFormat="false" ht="15" hidden="false" customHeight="false" outlineLevel="0" collapsed="false">
      <c r="A46" s="3" t="s">
        <v>5356</v>
      </c>
      <c r="B46" s="25" t="n">
        <v>1000</v>
      </c>
      <c r="C46" s="20" t="n">
        <f aca="false">PI()*(B46/1000)^2/4</f>
        <v>0.785398163397448</v>
      </c>
    </row>
    <row r="47" customFormat="false" ht="15" hidden="false" customHeight="false" outlineLevel="0" collapsed="false">
      <c r="A47" s="3" t="s">
        <v>5357</v>
      </c>
      <c r="B47" s="25" t="n">
        <v>1200</v>
      </c>
      <c r="C47" s="20" t="n">
        <f aca="false">PI()*(B47/1000)^2/4</f>
        <v>1.13097335529233</v>
      </c>
    </row>
    <row r="49" customFormat="false" ht="15" hidden="false" customHeight="false" outlineLevel="0" collapsed="false">
      <c r="A49" s="7" t="s">
        <v>5358</v>
      </c>
    </row>
    <row r="50" customFormat="false" ht="15" hidden="false" customHeight="false" outlineLevel="0" collapsed="false">
      <c r="A50" s="1" t="s">
        <v>5238</v>
      </c>
      <c r="B50" s="1" t="s">
        <v>5129</v>
      </c>
      <c r="C50" s="1" t="s">
        <v>5215</v>
      </c>
      <c r="D50" s="1" t="s">
        <v>5359</v>
      </c>
    </row>
    <row r="51" customFormat="false" ht="15" hidden="false" customHeight="false" outlineLevel="0" collapsed="false">
      <c r="A51" s="3" t="s">
        <v>5360</v>
      </c>
      <c r="B51" s="27" t="n">
        <f aca="false">MAX(F18:F29)</f>
        <v>0.886213930542575</v>
      </c>
      <c r="C51" s="3" t="s">
        <v>5254</v>
      </c>
      <c r="D51" s="3" t="s">
        <v>5361</v>
      </c>
    </row>
    <row r="52" customFormat="false" ht="15" hidden="false" customHeight="false" outlineLevel="0" collapsed="false">
      <c r="A52" s="3" t="s">
        <v>5362</v>
      </c>
      <c r="B52" s="17" t="n">
        <f aca="false">INDEX($E$18:$E$29,MATCH(B51,$F$18:$F$29,0))</f>
        <v>383.15142957188</v>
      </c>
      <c r="C52" s="3" t="s">
        <v>5251</v>
      </c>
      <c r="D52" s="3" t="s">
        <v>5363</v>
      </c>
    </row>
    <row r="53" customFormat="false" ht="15" hidden="false" customHeight="false" outlineLevel="0" collapsed="false">
      <c r="A53" s="3" t="s">
        <v>5364</v>
      </c>
      <c r="B53" s="13" t="n">
        <f aca="false">INDEX($C$18:$C$29,MATCH(B51,$F$18:$F$29,0))</f>
        <v>3.25204930983826</v>
      </c>
      <c r="C53" s="3" t="s">
        <v>5243</v>
      </c>
      <c r="D53" s="3" t="s">
        <v>5365</v>
      </c>
    </row>
    <row r="54" customFormat="false" ht="15" hidden="false" customHeight="false" outlineLevel="0" collapsed="false">
      <c r="A54" s="3" t="s">
        <v>5366</v>
      </c>
      <c r="B54" s="18" t="n">
        <f aca="false">INDEX($D$18:$D$29,MATCH(B51,$F$18:$F$29,0))</f>
        <v>0.0567627737081008</v>
      </c>
      <c r="C54" s="3" t="s">
        <v>5235</v>
      </c>
      <c r="D54" s="3" t="s">
        <v>5367</v>
      </c>
    </row>
    <row r="55" customFormat="false" ht="15" hidden="false" customHeight="false" outlineLevel="0" collapsed="false">
      <c r="A55" s="3" t="s">
        <v>5368</v>
      </c>
      <c r="B55" s="12" t="n">
        <f aca="false">(B51*$B$9/(0.312*SQRT($B$8)))^(3/8)</f>
        <v>0.810179058966422</v>
      </c>
      <c r="C55" s="3" t="s">
        <v>5218</v>
      </c>
      <c r="D55" s="3" t="s">
        <v>5369</v>
      </c>
    </row>
    <row r="56" customFormat="false" ht="15" hidden="false" customHeight="false" outlineLevel="0" collapsed="false">
      <c r="A56" s="3" t="s">
        <v>5370</v>
      </c>
      <c r="B56" s="6" t="n">
        <f aca="false">INDEX($B$33:$B$47,MIN(COUNTIF($B$33:$B$47,"&lt;"&amp;B55*1000)+1,15))</f>
        <v>900</v>
      </c>
      <c r="C56" s="3" t="s">
        <v>5134</v>
      </c>
      <c r="D56" s="3" t="s">
        <v>5371</v>
      </c>
    </row>
    <row r="57" customFormat="false" ht="15" hidden="false" customHeight="false" outlineLevel="0" collapsed="false">
      <c r="A57" s="3" t="s">
        <v>5372</v>
      </c>
      <c r="B57" s="20" t="n">
        <f aca="false">INDEX($C$33:$C$47,MATCH(B56,$B$33:$B$47,0))</f>
        <v>0.636172512351933</v>
      </c>
      <c r="C57" s="3" t="s">
        <v>5232</v>
      </c>
      <c r="D57" s="3" t="s">
        <v>5373</v>
      </c>
    </row>
    <row r="58" customFormat="false" ht="15" hidden="false" customHeight="false" outlineLevel="0" collapsed="false">
      <c r="A58" s="3" t="s">
        <v>5374</v>
      </c>
      <c r="B58" s="12" t="n">
        <f aca="false">B51/B57</f>
        <v>1.39304027340986</v>
      </c>
      <c r="C58" s="3" t="s">
        <v>5246</v>
      </c>
      <c r="D58" s="3" t="s">
        <v>5375</v>
      </c>
    </row>
    <row r="59" customFormat="false" ht="15" hidden="false" customHeight="false" outlineLevel="0" collapsed="false">
      <c r="A59" s="3" t="s">
        <v>5376</v>
      </c>
      <c r="B59" s="12" t="n">
        <f aca="false">(1/$B$9)*B57*(B56/1000/4)^(2/3)*SQRT($B$8)</f>
        <v>1.17182975448148</v>
      </c>
      <c r="C59" s="3" t="s">
        <v>5254</v>
      </c>
      <c r="D59" s="3" t="s">
        <v>5377</v>
      </c>
    </row>
    <row r="60" customFormat="false" ht="15" hidden="false" customHeight="false" outlineLevel="0" collapsed="false">
      <c r="A60" s="3" t="s">
        <v>5378</v>
      </c>
      <c r="B60" s="3" t="str">
        <f aca="false">IF(B59&gt;=B51,"AMAN","TIDAK AMAN")</f>
        <v>AMAN</v>
      </c>
      <c r="C60" s="3" t="s">
        <v>5199</v>
      </c>
      <c r="D60" s="3" t="s">
        <v>5379</v>
      </c>
    </row>
    <row r="61" customFormat="false" ht="15" hidden="false" customHeight="false" outlineLevel="0" collapsed="false">
      <c r="A61" s="3" t="s">
        <v>5380</v>
      </c>
      <c r="B61" s="6" t="n">
        <f aca="false">B56</f>
        <v>900</v>
      </c>
      <c r="C61" s="3" t="s">
        <v>5134</v>
      </c>
      <c r="D61" s="3" t="s">
        <v>5381</v>
      </c>
    </row>
    <row r="63" customFormat="false" ht="15" hidden="false" customHeight="false" outlineLevel="0" collapsed="false">
      <c r="A63" s="7" t="s">
        <v>5382</v>
      </c>
    </row>
    <row r="64" customFormat="false" ht="15" hidden="false" customHeight="false" outlineLevel="0" collapsed="false">
      <c r="A64" s="1" t="s">
        <v>5238</v>
      </c>
      <c r="B64" s="1" t="s">
        <v>5129</v>
      </c>
      <c r="C64" s="1" t="s">
        <v>5215</v>
      </c>
      <c r="D64" s="1" t="s">
        <v>5359</v>
      </c>
    </row>
    <row r="65" customFormat="false" ht="15" hidden="false" customHeight="false" outlineLevel="0" collapsed="false">
      <c r="A65" s="3" t="s">
        <v>5383</v>
      </c>
      <c r="B65" s="4" t="n">
        <f aca="false">Kawasan!$B$8</f>
        <v>65</v>
      </c>
      <c r="C65" s="3" t="s">
        <v>5232</v>
      </c>
      <c r="D65" s="3" t="s">
        <v>5233</v>
      </c>
    </row>
    <row r="66" customFormat="false" ht="15" hidden="false" customHeight="false" outlineLevel="0" collapsed="false">
      <c r="A66" s="3" t="s">
        <v>5384</v>
      </c>
      <c r="B66" s="18" t="n">
        <f aca="false">0.278*$B$12*$B$52*(B65/1000000)</f>
        <v>0.0055388370658911</v>
      </c>
      <c r="C66" s="3" t="s">
        <v>5254</v>
      </c>
      <c r="D66" s="3" t="s">
        <v>5385</v>
      </c>
    </row>
    <row r="67" customFormat="false" ht="15" hidden="false" customHeight="false" outlineLevel="0" collapsed="false">
      <c r="A67" s="3" t="s">
        <v>5386</v>
      </c>
      <c r="B67" s="12" t="n">
        <f aca="false">(B66*$B$9/(0.312*SQRT($B$8)))^(3/8)</f>
        <v>0.12079140145704</v>
      </c>
      <c r="C67" s="3" t="s">
        <v>5218</v>
      </c>
      <c r="D67" s="3" t="s">
        <v>5387</v>
      </c>
    </row>
    <row r="68" customFormat="false" ht="15" hidden="false" customHeight="false" outlineLevel="0" collapsed="false">
      <c r="A68" s="3" t="s">
        <v>5388</v>
      </c>
      <c r="B68" s="6" t="n">
        <f aca="false">INDEX($B$33:$B$47,MIN(COUNTIF($B$33:$B$47,"&lt;"&amp;B67*1000)+1,15))</f>
        <v>160</v>
      </c>
      <c r="C68" s="3" t="s">
        <v>5134</v>
      </c>
      <c r="D68" s="3" t="s">
        <v>5389</v>
      </c>
    </row>
    <row r="69" customFormat="false" ht="15" hidden="false" customHeight="false" outlineLevel="0" collapsed="false">
      <c r="A69" s="3" t="s">
        <v>5390</v>
      </c>
      <c r="B69" s="20" t="n">
        <f aca="false">INDEX($C$33:$C$47,MATCH(B68,$B$33:$B$47,0))</f>
        <v>0.0201061929829747</v>
      </c>
      <c r="C69" s="3" t="s">
        <v>5232</v>
      </c>
      <c r="D69" s="3" t="s">
        <v>5391</v>
      </c>
    </row>
    <row r="70" customFormat="false" ht="15" hidden="false" customHeight="false" outlineLevel="0" collapsed="false">
      <c r="A70" s="3" t="s">
        <v>5392</v>
      </c>
      <c r="B70" s="12" t="n">
        <f aca="false">B66/B69</f>
        <v>0.275479155630368</v>
      </c>
      <c r="C70" s="3" t="s">
        <v>5246</v>
      </c>
      <c r="D70" s="3" t="s">
        <v>5375</v>
      </c>
    </row>
    <row r="71" customFormat="false" ht="15" hidden="false" customHeight="false" outlineLevel="0" collapsed="false">
      <c r="A71" s="3" t="s">
        <v>5393</v>
      </c>
      <c r="B71" s="23" t="n">
        <v>0.15</v>
      </c>
      <c r="C71" s="3" t="s">
        <v>5218</v>
      </c>
      <c r="D71" s="3" t="s">
        <v>5394</v>
      </c>
    </row>
    <row r="72" customFormat="false" ht="15" hidden="false" customHeight="false" outlineLevel="0" collapsed="false">
      <c r="A72" s="3" t="s">
        <v>5395</v>
      </c>
      <c r="B72" s="23" t="n">
        <v>0.1</v>
      </c>
      <c r="C72" s="3" t="s">
        <v>5218</v>
      </c>
      <c r="D72" s="3" t="s">
        <v>5396</v>
      </c>
    </row>
    <row r="73" customFormat="false" ht="15" hidden="false" customHeight="false" outlineLevel="0" collapsed="false">
      <c r="A73" s="3" t="s">
        <v>5397</v>
      </c>
      <c r="B73" s="16" t="n">
        <v>0.005</v>
      </c>
      <c r="C73" s="3" t="s">
        <v>5221</v>
      </c>
      <c r="D73" s="3" t="s">
        <v>5396</v>
      </c>
    </row>
    <row r="74" customFormat="false" ht="15" hidden="false" customHeight="false" outlineLevel="0" collapsed="false">
      <c r="A74" s="3" t="s">
        <v>5398</v>
      </c>
      <c r="B74" s="16" t="n">
        <v>0.012</v>
      </c>
      <c r="C74" s="3" t="s">
        <v>5199</v>
      </c>
      <c r="D74" s="3" t="s">
        <v>5399</v>
      </c>
    </row>
    <row r="75" customFormat="false" ht="15" hidden="false" customHeight="false" outlineLevel="0" collapsed="false">
      <c r="A75" s="3" t="s">
        <v>5400</v>
      </c>
      <c r="B75" s="12" t="n">
        <f aca="false">B71*B72</f>
        <v>0.015</v>
      </c>
      <c r="C75" s="3" t="s">
        <v>5232</v>
      </c>
      <c r="D75" s="3" t="s">
        <v>5401</v>
      </c>
    </row>
    <row r="76" customFormat="false" ht="15" hidden="false" customHeight="false" outlineLevel="0" collapsed="false">
      <c r="A76" s="3" t="s">
        <v>5402</v>
      </c>
      <c r="B76" s="12" t="n">
        <f aca="false">B71+2*B72</f>
        <v>0.35</v>
      </c>
      <c r="C76" s="3" t="s">
        <v>5218</v>
      </c>
      <c r="D76" s="3" t="s">
        <v>5403</v>
      </c>
    </row>
    <row r="77" customFormat="false" ht="15" hidden="false" customHeight="false" outlineLevel="0" collapsed="false">
      <c r="A77" s="3" t="s">
        <v>5404</v>
      </c>
      <c r="B77" s="12" t="n">
        <f aca="false">B75/B76</f>
        <v>0.0428571428571429</v>
      </c>
      <c r="C77" s="3" t="s">
        <v>5218</v>
      </c>
      <c r="D77" s="3" t="s">
        <v>5405</v>
      </c>
    </row>
    <row r="78" customFormat="false" ht="15" hidden="false" customHeight="false" outlineLevel="0" collapsed="false">
      <c r="A78" s="3" t="s">
        <v>5406</v>
      </c>
      <c r="B78" s="18" t="n">
        <f aca="false">(1/B74)*B75*B77^(2/3)*SQRT(B73)</f>
        <v>0.0108245659718065</v>
      </c>
      <c r="C78" s="3" t="s">
        <v>5254</v>
      </c>
      <c r="D78" s="3" t="s">
        <v>5407</v>
      </c>
    </row>
    <row r="79" customFormat="false" ht="15" hidden="false" customHeight="false" outlineLevel="0" collapsed="false">
      <c r="A79" s="3" t="s">
        <v>5408</v>
      </c>
      <c r="B79" s="12" t="n">
        <f aca="false">B78/B75</f>
        <v>0.721637731453767</v>
      </c>
      <c r="C79" s="3" t="s">
        <v>5246</v>
      </c>
      <c r="D79" s="3" t="s">
        <v>5375</v>
      </c>
    </row>
    <row r="80" customFormat="false" ht="15" hidden="false" customHeight="false" outlineLevel="0" collapsed="false">
      <c r="A80" s="3" t="s">
        <v>5409</v>
      </c>
      <c r="B80" s="4" t="n">
        <f aca="false">CEILING(Kawasan!$B$7*Kawasan!$B$10*Kawasan!$B$12*1.5/1000,0.1)</f>
        <v>0.5</v>
      </c>
      <c r="C80" s="3" t="s">
        <v>5257</v>
      </c>
      <c r="D80" s="3" t="s">
        <v>5410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9" min="7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5" t="s">
        <v>5411</v>
      </c>
    </row>
    <row r="2" customFormat="false" ht="15" hidden="false" customHeight="false" outlineLevel="0" collapsed="false">
      <c r="A2" s="2" t="s">
        <v>5412</v>
      </c>
    </row>
    <row r="4" customFormat="false" ht="15" hidden="false" customHeight="false" outlineLevel="0" collapsed="false">
      <c r="A4" s="7" t="s">
        <v>5413</v>
      </c>
    </row>
    <row r="5" customFormat="false" ht="23.85" hidden="false" customHeight="false" outlineLevel="0" collapsed="false">
      <c r="A5" s="1" t="s">
        <v>0</v>
      </c>
      <c r="B5" s="1" t="s">
        <v>1</v>
      </c>
      <c r="C5" s="1" t="s">
        <v>5414</v>
      </c>
      <c r="D5" s="1" t="s">
        <v>5415</v>
      </c>
      <c r="E5" s="1" t="s">
        <v>5416</v>
      </c>
      <c r="F5" s="1" t="s">
        <v>5417</v>
      </c>
      <c r="G5" s="1" t="s">
        <v>5418</v>
      </c>
      <c r="H5" s="1" t="s">
        <v>5419</v>
      </c>
      <c r="I5" s="1" t="s">
        <v>5420</v>
      </c>
      <c r="J5" s="1" t="s">
        <v>5421</v>
      </c>
      <c r="K5" s="1" t="s">
        <v>5422</v>
      </c>
      <c r="L5" s="1" t="s">
        <v>5423</v>
      </c>
      <c r="M5" s="1" t="s">
        <v>5424</v>
      </c>
      <c r="N5" s="1" t="s">
        <v>5425</v>
      </c>
      <c r="O5" s="1" t="s">
        <v>5426</v>
      </c>
    </row>
    <row r="6" customFormat="false" ht="15" hidden="false" customHeight="false" outlineLevel="0" collapsed="false">
      <c r="A6" s="6" t="n">
        <v>2012</v>
      </c>
      <c r="B6" s="6" t="n">
        <v>1</v>
      </c>
      <c r="C6" s="4" t="n">
        <v>349</v>
      </c>
      <c r="D6" s="6" t="n">
        <v>31</v>
      </c>
      <c r="E6" s="4" t="n">
        <f aca="false">INDEX(Evaporasi!$B$5:$B$16,MATCH(B6,Evaporasi!$A$5:$A$16,0))</f>
        <v>149.98</v>
      </c>
      <c r="F6" s="17" t="n">
        <f aca="false">Kawasan!$B$11*Kawasan!$B$9*C6/1000</f>
        <v>2903.68</v>
      </c>
      <c r="G6" s="17" t="n">
        <f aca="false">C6*Desain_Kolam!$B$9/1000</f>
        <v>1847.0825</v>
      </c>
      <c r="H6" s="17" t="n">
        <f aca="false">Kawasan!$B$26*D6</f>
        <v>2380.8</v>
      </c>
      <c r="I6" s="17" t="n">
        <f aca="false">E6*Desain_Kolam!$B$9/1000</f>
        <v>793.76915</v>
      </c>
      <c r="J6" s="17" t="n">
        <f aca="false">F6+G6-H6-I6</f>
        <v>1576.19335</v>
      </c>
      <c r="K6" s="17" t="n">
        <f aca="false">J6</f>
        <v>1576.19335</v>
      </c>
      <c r="L6" s="17" t="n">
        <f aca="false">MAX(0,K6)</f>
        <v>1576.19335</v>
      </c>
      <c r="M6" s="17" t="n">
        <f aca="false">L6-K6</f>
        <v>0</v>
      </c>
      <c r="N6" s="17" t="n">
        <f aca="false">MIN(Desain_Kolam!$B$21,MAX(0,F6+G6-H6-I6))</f>
        <v>1576.19335</v>
      </c>
      <c r="O6" s="6" t="n">
        <f aca="false">IF(F6+G6-I6&gt;=H6,1,0)</f>
        <v>1</v>
      </c>
    </row>
    <row r="7" customFormat="false" ht="15" hidden="false" customHeight="false" outlineLevel="0" collapsed="false">
      <c r="A7" s="6" t="n">
        <v>2012</v>
      </c>
      <c r="B7" s="6" t="n">
        <v>2</v>
      </c>
      <c r="C7" s="4" t="n">
        <v>340</v>
      </c>
      <c r="D7" s="6" t="n">
        <v>29</v>
      </c>
      <c r="E7" s="4" t="n">
        <f aca="false">INDEX(Evaporasi!$B$5:$B$16,MATCH(B7,Evaporasi!$A$5:$A$16,0))</f>
        <v>148.64</v>
      </c>
      <c r="F7" s="17" t="n">
        <f aca="false">Kawasan!$B$11*Kawasan!$B$9*C7/1000</f>
        <v>2828.8</v>
      </c>
      <c r="G7" s="17" t="n">
        <f aca="false">C7*Desain_Kolam!$B$9/1000</f>
        <v>1799.45</v>
      </c>
      <c r="H7" s="17" t="n">
        <f aca="false">Kawasan!$B$26*D7</f>
        <v>2227.2</v>
      </c>
      <c r="I7" s="17" t="n">
        <f aca="false">E7*Desain_Kolam!$B$9/1000</f>
        <v>786.6772</v>
      </c>
      <c r="J7" s="17" t="n">
        <f aca="false">F7+G7-H7-I7</f>
        <v>1614.3728</v>
      </c>
      <c r="K7" s="17" t="n">
        <f aca="false">K6+J7</f>
        <v>3190.56615</v>
      </c>
      <c r="L7" s="17" t="n">
        <f aca="false">MAX(L6,K7)</f>
        <v>3190.56615</v>
      </c>
      <c r="M7" s="17" t="n">
        <f aca="false">L7-K7</f>
        <v>0</v>
      </c>
      <c r="N7" s="17" t="n">
        <f aca="false">MIN(Desain_Kolam!$B$21,MAX(0,N6+F7+G7-H7-I7))</f>
        <v>3190.56615</v>
      </c>
      <c r="O7" s="6" t="n">
        <f aca="false">IF(N6+F7+G7-I7&gt;=H7,1,0)</f>
        <v>1</v>
      </c>
    </row>
    <row r="8" customFormat="false" ht="15" hidden="false" customHeight="false" outlineLevel="0" collapsed="false">
      <c r="A8" s="6" t="n">
        <v>2012</v>
      </c>
      <c r="B8" s="6" t="n">
        <v>3</v>
      </c>
      <c r="C8" s="4" t="n">
        <v>244</v>
      </c>
      <c r="D8" s="6" t="n">
        <v>31</v>
      </c>
      <c r="E8" s="4" t="n">
        <f aca="false">INDEX(Evaporasi!$B$5:$B$16,MATCH(B8,Evaporasi!$A$5:$A$16,0))</f>
        <v>166.18</v>
      </c>
      <c r="F8" s="17" t="n">
        <f aca="false">Kawasan!$B$11*Kawasan!$B$9*C8/1000</f>
        <v>2030.08</v>
      </c>
      <c r="G8" s="17" t="n">
        <f aca="false">C8*Desain_Kolam!$B$9/1000</f>
        <v>1291.37</v>
      </c>
      <c r="H8" s="17" t="n">
        <f aca="false">Kawasan!$B$26*D8</f>
        <v>2380.8</v>
      </c>
      <c r="I8" s="17" t="n">
        <f aca="false">E8*Desain_Kolam!$B$9/1000</f>
        <v>879.50765</v>
      </c>
      <c r="J8" s="17" t="n">
        <f aca="false">F8+G8-H8-I8</f>
        <v>61.1423500000001</v>
      </c>
      <c r="K8" s="17" t="n">
        <f aca="false">K7+J8</f>
        <v>3251.7085</v>
      </c>
      <c r="L8" s="17" t="n">
        <f aca="false">MAX(L7,K8)</f>
        <v>3251.7085</v>
      </c>
      <c r="M8" s="17" t="n">
        <f aca="false">L8-K8</f>
        <v>0</v>
      </c>
      <c r="N8" s="17" t="n">
        <f aca="false">MIN(Desain_Kolam!$B$21,MAX(0,N7+F8+G8-H8-I8))</f>
        <v>3251.7085</v>
      </c>
      <c r="O8" s="6" t="n">
        <f aca="false">IF(N7+F8+G8-I8&gt;=H8,1,0)</f>
        <v>1</v>
      </c>
    </row>
    <row r="9" customFormat="false" ht="15" hidden="false" customHeight="false" outlineLevel="0" collapsed="false">
      <c r="A9" s="6" t="n">
        <v>2012</v>
      </c>
      <c r="B9" s="6" t="n">
        <v>4</v>
      </c>
      <c r="C9" s="4" t="n">
        <v>282</v>
      </c>
      <c r="D9" s="6" t="n">
        <v>30</v>
      </c>
      <c r="E9" s="4" t="n">
        <f aca="false">INDEX(Evaporasi!$B$5:$B$16,MATCH(B9,Evaporasi!$A$5:$A$16,0))</f>
        <v>157.75</v>
      </c>
      <c r="F9" s="17" t="n">
        <f aca="false">Kawasan!$B$11*Kawasan!$B$9*C9/1000</f>
        <v>2346.24</v>
      </c>
      <c r="G9" s="17" t="n">
        <f aca="false">C9*Desain_Kolam!$B$9/1000</f>
        <v>1492.485</v>
      </c>
      <c r="H9" s="17" t="n">
        <f aca="false">Kawasan!$B$26*D9</f>
        <v>2304</v>
      </c>
      <c r="I9" s="17" t="n">
        <f aca="false">E9*Desain_Kolam!$B$9/1000</f>
        <v>834.891875</v>
      </c>
      <c r="J9" s="17" t="n">
        <f aca="false">F9+G9-H9-I9</f>
        <v>699.833124999999</v>
      </c>
      <c r="K9" s="17" t="n">
        <f aca="false">K8+J9</f>
        <v>3951.541625</v>
      </c>
      <c r="L9" s="17" t="n">
        <f aca="false">MAX(L8,K9)</f>
        <v>3951.541625</v>
      </c>
      <c r="M9" s="17" t="n">
        <f aca="false">L9-K9</f>
        <v>0</v>
      </c>
      <c r="N9" s="17" t="n">
        <f aca="false">MIN(Desain_Kolam!$B$21,MAX(0,N8+F9+G9-H9-I9))</f>
        <v>3951.541625</v>
      </c>
      <c r="O9" s="6" t="n">
        <f aca="false">IF(N8+F9+G9-I9&gt;=H9,1,0)</f>
        <v>1</v>
      </c>
    </row>
    <row r="10" customFormat="false" ht="15" hidden="false" customHeight="false" outlineLevel="0" collapsed="false">
      <c r="A10" s="6" t="n">
        <v>2012</v>
      </c>
      <c r="B10" s="6" t="n">
        <v>5</v>
      </c>
      <c r="C10" s="4" t="n">
        <v>319</v>
      </c>
      <c r="D10" s="6" t="n">
        <v>31</v>
      </c>
      <c r="E10" s="4" t="n">
        <f aca="false">INDEX(Evaporasi!$B$5:$B$16,MATCH(B10,Evaporasi!$A$5:$A$16,0))</f>
        <v>158.35</v>
      </c>
      <c r="F10" s="17" t="n">
        <f aca="false">Kawasan!$B$11*Kawasan!$B$9*C10/1000</f>
        <v>2654.08</v>
      </c>
      <c r="G10" s="17" t="n">
        <f aca="false">C10*Desain_Kolam!$B$9/1000</f>
        <v>1688.3075</v>
      </c>
      <c r="H10" s="17" t="n">
        <f aca="false">Kawasan!$B$26*D10</f>
        <v>2380.8</v>
      </c>
      <c r="I10" s="17" t="n">
        <f aca="false">E10*Desain_Kolam!$B$9/1000</f>
        <v>838.067375</v>
      </c>
      <c r="J10" s="17" t="n">
        <f aca="false">F10+G10-H10-I10</f>
        <v>1123.520125</v>
      </c>
      <c r="K10" s="17" t="n">
        <f aca="false">K9+J10</f>
        <v>5075.06175</v>
      </c>
      <c r="L10" s="17" t="n">
        <f aca="false">MAX(L9,K10)</f>
        <v>5075.06175</v>
      </c>
      <c r="M10" s="17" t="n">
        <f aca="false">L10-K10</f>
        <v>0</v>
      </c>
      <c r="N10" s="17" t="n">
        <f aca="false">MIN(Desain_Kolam!$B$21,MAX(0,N9+F10+G10-H10-I10))</f>
        <v>5075.06175</v>
      </c>
      <c r="O10" s="6" t="n">
        <f aca="false">IF(N9+F10+G10-I10&gt;=H10,1,0)</f>
        <v>1</v>
      </c>
    </row>
    <row r="11" customFormat="false" ht="15" hidden="false" customHeight="false" outlineLevel="0" collapsed="false">
      <c r="A11" s="6" t="n">
        <v>2012</v>
      </c>
      <c r="B11" s="6" t="n">
        <v>6</v>
      </c>
      <c r="C11" s="4" t="n">
        <v>107</v>
      </c>
      <c r="D11" s="6" t="n">
        <v>30</v>
      </c>
      <c r="E11" s="4" t="n">
        <f aca="false">INDEX(Evaporasi!$B$5:$B$16,MATCH(B11,Evaporasi!$A$5:$A$16,0))</f>
        <v>150.17</v>
      </c>
      <c r="F11" s="17" t="n">
        <f aca="false">Kawasan!$B$11*Kawasan!$B$9*C11/1000</f>
        <v>890.24</v>
      </c>
      <c r="G11" s="17" t="n">
        <f aca="false">C11*Desain_Kolam!$B$9/1000</f>
        <v>566.2975</v>
      </c>
      <c r="H11" s="17" t="n">
        <f aca="false">Kawasan!$B$26*D11</f>
        <v>2304</v>
      </c>
      <c r="I11" s="17" t="n">
        <f aca="false">E11*Desain_Kolam!$B$9/1000</f>
        <v>794.774725</v>
      </c>
      <c r="J11" s="17" t="n">
        <f aca="false">F11+G11-H11-I11</f>
        <v>-1642.237225</v>
      </c>
      <c r="K11" s="17" t="n">
        <f aca="false">K10+J11</f>
        <v>3432.824525</v>
      </c>
      <c r="L11" s="17" t="n">
        <f aca="false">MAX(L10,K11)</f>
        <v>5075.06175</v>
      </c>
      <c r="M11" s="17" t="n">
        <f aca="false">L11-K11</f>
        <v>1642.237225</v>
      </c>
      <c r="N11" s="17" t="n">
        <f aca="false">MIN(Desain_Kolam!$B$21,MAX(0,N10+F11+G11-H11-I11))</f>
        <v>3432.824525</v>
      </c>
      <c r="O11" s="6" t="n">
        <f aca="false">IF(N10+F11+G11-I11&gt;=H11,1,0)</f>
        <v>1</v>
      </c>
    </row>
    <row r="12" customFormat="false" ht="15" hidden="false" customHeight="false" outlineLevel="0" collapsed="false">
      <c r="A12" s="6" t="n">
        <v>2012</v>
      </c>
      <c r="B12" s="6" t="n">
        <v>7</v>
      </c>
      <c r="C12" s="4" t="n">
        <v>133</v>
      </c>
      <c r="D12" s="6" t="n">
        <v>31</v>
      </c>
      <c r="E12" s="4" t="n">
        <f aca="false">INDEX(Evaporasi!$B$5:$B$16,MATCH(B12,Evaporasi!$A$5:$A$16,0))</f>
        <v>160.84</v>
      </c>
      <c r="F12" s="17" t="n">
        <f aca="false">Kawasan!$B$11*Kawasan!$B$9*C12/1000</f>
        <v>1106.56</v>
      </c>
      <c r="G12" s="17" t="n">
        <f aca="false">C12*Desain_Kolam!$B$9/1000</f>
        <v>703.9025</v>
      </c>
      <c r="H12" s="17" t="n">
        <f aca="false">Kawasan!$B$26*D12</f>
        <v>2380.8</v>
      </c>
      <c r="I12" s="17" t="n">
        <f aca="false">E12*Desain_Kolam!$B$9/1000</f>
        <v>851.2457</v>
      </c>
      <c r="J12" s="17" t="n">
        <f aca="false">F12+G12-H12-I12</f>
        <v>-1421.5832</v>
      </c>
      <c r="K12" s="17" t="n">
        <f aca="false">K11+J12</f>
        <v>2011.241325</v>
      </c>
      <c r="L12" s="17" t="n">
        <f aca="false">MAX(L11,K12)</f>
        <v>5075.06175</v>
      </c>
      <c r="M12" s="17" t="n">
        <f aca="false">L12-K12</f>
        <v>3063.820425</v>
      </c>
      <c r="N12" s="17" t="n">
        <f aca="false">MIN(Desain_Kolam!$B$21,MAX(0,N11+F12+G12-H12-I12))</f>
        <v>2011.241325</v>
      </c>
      <c r="O12" s="6" t="n">
        <f aca="false">IF(N11+F12+G12-I12&gt;=H12,1,0)</f>
        <v>1</v>
      </c>
    </row>
    <row r="13" customFormat="false" ht="15" hidden="false" customHeight="false" outlineLevel="0" collapsed="false">
      <c r="A13" s="6" t="n">
        <v>2012</v>
      </c>
      <c r="B13" s="6" t="n">
        <v>8</v>
      </c>
      <c r="C13" s="4" t="n">
        <v>105</v>
      </c>
      <c r="D13" s="6" t="n">
        <v>31</v>
      </c>
      <c r="E13" s="4" t="n">
        <f aca="false">INDEX(Evaporasi!$B$5:$B$16,MATCH(B13,Evaporasi!$A$5:$A$16,0))</f>
        <v>161.16</v>
      </c>
      <c r="F13" s="17" t="n">
        <f aca="false">Kawasan!$B$11*Kawasan!$B$9*C13/1000</f>
        <v>873.6</v>
      </c>
      <c r="G13" s="17" t="n">
        <f aca="false">C13*Desain_Kolam!$B$9/1000</f>
        <v>555.7125</v>
      </c>
      <c r="H13" s="17" t="n">
        <f aca="false">Kawasan!$B$26*D13</f>
        <v>2380.8</v>
      </c>
      <c r="I13" s="17" t="n">
        <f aca="false">E13*Desain_Kolam!$B$9/1000</f>
        <v>852.9393</v>
      </c>
      <c r="J13" s="17" t="n">
        <f aca="false">F13+G13-H13-I13</f>
        <v>-1804.4268</v>
      </c>
      <c r="K13" s="17" t="n">
        <f aca="false">K12+J13</f>
        <v>206.814525000001</v>
      </c>
      <c r="L13" s="17" t="n">
        <f aca="false">MAX(L12,K13)</f>
        <v>5075.06175</v>
      </c>
      <c r="M13" s="17" t="n">
        <f aca="false">L13-K13</f>
        <v>4868.247225</v>
      </c>
      <c r="N13" s="17" t="n">
        <f aca="false">MIN(Desain_Kolam!$B$21,MAX(0,N12+F13+G13-H13-I13))</f>
        <v>206.814525</v>
      </c>
      <c r="O13" s="6" t="n">
        <f aca="false">IF(N12+F13+G13-I13&gt;=H13,1,0)</f>
        <v>1</v>
      </c>
    </row>
    <row r="14" customFormat="false" ht="15" hidden="false" customHeight="false" outlineLevel="0" collapsed="false">
      <c r="A14" s="6" t="n">
        <v>2012</v>
      </c>
      <c r="B14" s="6" t="n">
        <v>9</v>
      </c>
      <c r="C14" s="4" t="n">
        <v>174</v>
      </c>
      <c r="D14" s="6" t="n">
        <v>30</v>
      </c>
      <c r="E14" s="4" t="n">
        <f aca="false">INDEX(Evaporasi!$B$5:$B$16,MATCH(B14,Evaporasi!$A$5:$A$16,0))</f>
        <v>159.21</v>
      </c>
      <c r="F14" s="17" t="n">
        <f aca="false">Kawasan!$B$11*Kawasan!$B$9*C14/1000</f>
        <v>1447.68</v>
      </c>
      <c r="G14" s="17" t="n">
        <f aca="false">C14*Desain_Kolam!$B$9/1000</f>
        <v>920.895</v>
      </c>
      <c r="H14" s="17" t="n">
        <f aca="false">Kawasan!$B$26*D14</f>
        <v>2304</v>
      </c>
      <c r="I14" s="17" t="n">
        <f aca="false">E14*Desain_Kolam!$B$9/1000</f>
        <v>842.618925</v>
      </c>
      <c r="J14" s="17" t="n">
        <f aca="false">F14+G14-H14-I14</f>
        <v>-778.043925</v>
      </c>
      <c r="K14" s="17" t="n">
        <f aca="false">K13+J14</f>
        <v>-571.2294</v>
      </c>
      <c r="L14" s="17" t="n">
        <f aca="false">MAX(L13,K14)</f>
        <v>5075.06175</v>
      </c>
      <c r="M14" s="17" t="n">
        <f aca="false">L14-K14</f>
        <v>5646.29115</v>
      </c>
      <c r="N14" s="17" t="n">
        <f aca="false">MIN(Desain_Kolam!$B$21,MAX(0,N13+F14+G14-H14-I14))</f>
        <v>0</v>
      </c>
      <c r="O14" s="6" t="n">
        <f aca="false">IF(N13+F14+G14-I14&gt;=H14,1,0)</f>
        <v>0</v>
      </c>
    </row>
    <row r="15" customFormat="false" ht="15" hidden="false" customHeight="false" outlineLevel="0" collapsed="false">
      <c r="A15" s="6" t="n">
        <v>2012</v>
      </c>
      <c r="B15" s="6" t="n">
        <v>10</v>
      </c>
      <c r="C15" s="4" t="n">
        <v>436</v>
      </c>
      <c r="D15" s="6" t="n">
        <v>31</v>
      </c>
      <c r="E15" s="4" t="n">
        <f aca="false">INDEX(Evaporasi!$B$5:$B$16,MATCH(B15,Evaporasi!$A$5:$A$16,0))</f>
        <v>151.5</v>
      </c>
      <c r="F15" s="17" t="n">
        <f aca="false">Kawasan!$B$11*Kawasan!$B$9*C15/1000</f>
        <v>3627.52</v>
      </c>
      <c r="G15" s="17" t="n">
        <f aca="false">C15*Desain_Kolam!$B$9/1000</f>
        <v>2307.53</v>
      </c>
      <c r="H15" s="17" t="n">
        <f aca="false">Kawasan!$B$26*D15</f>
        <v>2380.8</v>
      </c>
      <c r="I15" s="17" t="n">
        <f aca="false">E15*Desain_Kolam!$B$9/1000</f>
        <v>801.81375</v>
      </c>
      <c r="J15" s="17" t="n">
        <f aca="false">F15+G15-H15-I15</f>
        <v>2752.43625</v>
      </c>
      <c r="K15" s="17" t="n">
        <f aca="false">K14+J15</f>
        <v>2181.20685</v>
      </c>
      <c r="L15" s="17" t="n">
        <f aca="false">MAX(L14,K15)</f>
        <v>5075.06175</v>
      </c>
      <c r="M15" s="17" t="n">
        <f aca="false">L15-K15</f>
        <v>2893.8549</v>
      </c>
      <c r="N15" s="17" t="n">
        <f aca="false">MIN(Desain_Kolam!$B$21,MAX(0,N14+F15+G15-H15-I15))</f>
        <v>2752.43625</v>
      </c>
      <c r="O15" s="6" t="n">
        <f aca="false">IF(N14+F15+G15-I15&gt;=H15,1,0)</f>
        <v>1</v>
      </c>
    </row>
    <row r="16" customFormat="false" ht="15" hidden="false" customHeight="false" outlineLevel="0" collapsed="false">
      <c r="A16" s="6" t="n">
        <v>2012</v>
      </c>
      <c r="B16" s="6" t="n">
        <v>11</v>
      </c>
      <c r="C16" s="4" t="n">
        <v>323</v>
      </c>
      <c r="D16" s="6" t="n">
        <v>30</v>
      </c>
      <c r="E16" s="4" t="n">
        <f aca="false">INDEX(Evaporasi!$B$5:$B$16,MATCH(B16,Evaporasi!$A$5:$A$16,0))</f>
        <v>142.3</v>
      </c>
      <c r="F16" s="17" t="n">
        <f aca="false">Kawasan!$B$11*Kawasan!$B$9*C16/1000</f>
        <v>2687.36</v>
      </c>
      <c r="G16" s="17" t="n">
        <f aca="false">C16*Desain_Kolam!$B$9/1000</f>
        <v>1709.4775</v>
      </c>
      <c r="H16" s="17" t="n">
        <f aca="false">Kawasan!$B$26*D16</f>
        <v>2304</v>
      </c>
      <c r="I16" s="17" t="n">
        <f aca="false">E16*Desain_Kolam!$B$9/1000</f>
        <v>753.12275</v>
      </c>
      <c r="J16" s="17" t="n">
        <f aca="false">F16+G16-H16-I16</f>
        <v>1339.71475</v>
      </c>
      <c r="K16" s="17" t="n">
        <f aca="false">K15+J16</f>
        <v>3520.9216</v>
      </c>
      <c r="L16" s="17" t="n">
        <f aca="false">MAX(L15,K16)</f>
        <v>5075.06175</v>
      </c>
      <c r="M16" s="17" t="n">
        <f aca="false">L16-K16</f>
        <v>1554.14015</v>
      </c>
      <c r="N16" s="17" t="n">
        <f aca="false">MIN(Desain_Kolam!$B$21,MAX(0,N15+F16+G16-H16-I16))</f>
        <v>4092.151</v>
      </c>
      <c r="O16" s="6" t="n">
        <f aca="false">IF(N15+F16+G16-I16&gt;=H16,1,0)</f>
        <v>1</v>
      </c>
    </row>
    <row r="17" customFormat="false" ht="15" hidden="false" customHeight="false" outlineLevel="0" collapsed="false">
      <c r="A17" s="6" t="n">
        <v>2012</v>
      </c>
      <c r="B17" s="6" t="n">
        <v>12</v>
      </c>
      <c r="C17" s="4" t="n">
        <v>297</v>
      </c>
      <c r="D17" s="6" t="n">
        <v>31</v>
      </c>
      <c r="E17" s="4" t="n">
        <f aca="false">INDEX(Evaporasi!$B$5:$B$16,MATCH(B17,Evaporasi!$A$5:$A$16,0))</f>
        <v>145.07</v>
      </c>
      <c r="F17" s="17" t="n">
        <f aca="false">Kawasan!$B$11*Kawasan!$B$9*C17/1000</f>
        <v>2471.04</v>
      </c>
      <c r="G17" s="17" t="n">
        <f aca="false">C17*Desain_Kolam!$B$9/1000</f>
        <v>1571.8725</v>
      </c>
      <c r="H17" s="17" t="n">
        <f aca="false">Kawasan!$B$26*D17</f>
        <v>2380.8</v>
      </c>
      <c r="I17" s="17" t="n">
        <f aca="false">E17*Desain_Kolam!$B$9/1000</f>
        <v>767.782975</v>
      </c>
      <c r="J17" s="17" t="n">
        <f aca="false">F17+G17-H17-I17</f>
        <v>894.329525</v>
      </c>
      <c r="K17" s="17" t="n">
        <f aca="false">K16+J17</f>
        <v>4415.251125</v>
      </c>
      <c r="L17" s="17" t="n">
        <f aca="false">MAX(L16,K17)</f>
        <v>5075.06175</v>
      </c>
      <c r="M17" s="17" t="n">
        <f aca="false">L17-K17</f>
        <v>659.810624999998</v>
      </c>
      <c r="N17" s="17" t="n">
        <f aca="false">MIN(Desain_Kolam!$B$21,MAX(0,N16+F17+G17-H17-I17))</f>
        <v>4986.480525</v>
      </c>
      <c r="O17" s="6" t="n">
        <f aca="false">IF(N16+F17+G17-I17&gt;=H17,1,0)</f>
        <v>1</v>
      </c>
    </row>
    <row r="18" customFormat="false" ht="15" hidden="false" customHeight="false" outlineLevel="0" collapsed="false">
      <c r="A18" s="6" t="n">
        <v>2013</v>
      </c>
      <c r="B18" s="6" t="n">
        <v>1</v>
      </c>
      <c r="C18" s="4" t="n">
        <v>141</v>
      </c>
      <c r="D18" s="6" t="n">
        <v>31</v>
      </c>
      <c r="E18" s="4" t="n">
        <f aca="false">INDEX(Evaporasi!$B$5:$B$16,MATCH(B18,Evaporasi!$A$5:$A$16,0))</f>
        <v>149.98</v>
      </c>
      <c r="F18" s="17" t="n">
        <f aca="false">Kawasan!$B$11*Kawasan!$B$9*C18/1000</f>
        <v>1173.12</v>
      </c>
      <c r="G18" s="17" t="n">
        <f aca="false">C18*Desain_Kolam!$B$9/1000</f>
        <v>746.2425</v>
      </c>
      <c r="H18" s="17" t="n">
        <f aca="false">Kawasan!$B$26*D18</f>
        <v>2380.8</v>
      </c>
      <c r="I18" s="17" t="n">
        <f aca="false">E18*Desain_Kolam!$B$9/1000</f>
        <v>793.76915</v>
      </c>
      <c r="J18" s="17" t="n">
        <f aca="false">F18+G18-H18-I18</f>
        <v>-1255.20665</v>
      </c>
      <c r="K18" s="17" t="n">
        <f aca="false">K17+J18</f>
        <v>3160.044475</v>
      </c>
      <c r="L18" s="17" t="n">
        <f aca="false">MAX(L17,K18)</f>
        <v>5075.06175</v>
      </c>
      <c r="M18" s="17" t="n">
        <f aca="false">L18-K18</f>
        <v>1915.017275</v>
      </c>
      <c r="N18" s="17" t="n">
        <f aca="false">MIN(Desain_Kolam!$B$21,MAX(0,N17+F18+G18-H18-I18))</f>
        <v>3731.273875</v>
      </c>
      <c r="O18" s="6" t="n">
        <f aca="false">IF(N17+F18+G18-I18&gt;=H18,1,0)</f>
        <v>1</v>
      </c>
    </row>
    <row r="19" customFormat="false" ht="15" hidden="false" customHeight="false" outlineLevel="0" collapsed="false">
      <c r="A19" s="6" t="n">
        <v>2013</v>
      </c>
      <c r="B19" s="6" t="n">
        <v>2</v>
      </c>
      <c r="C19" s="4" t="n">
        <v>291</v>
      </c>
      <c r="D19" s="6" t="n">
        <v>28</v>
      </c>
      <c r="E19" s="4" t="n">
        <f aca="false">INDEX(Evaporasi!$B$5:$B$16,MATCH(B19,Evaporasi!$A$5:$A$16,0))</f>
        <v>148.64</v>
      </c>
      <c r="F19" s="17" t="n">
        <f aca="false">Kawasan!$B$11*Kawasan!$B$9*C19/1000</f>
        <v>2421.12</v>
      </c>
      <c r="G19" s="17" t="n">
        <f aca="false">C19*Desain_Kolam!$B$9/1000</f>
        <v>1540.1175</v>
      </c>
      <c r="H19" s="17" t="n">
        <f aca="false">Kawasan!$B$26*D19</f>
        <v>2150.4</v>
      </c>
      <c r="I19" s="17" t="n">
        <f aca="false">E19*Desain_Kolam!$B$9/1000</f>
        <v>786.6772</v>
      </c>
      <c r="J19" s="17" t="n">
        <f aca="false">F19+G19-H19-I19</f>
        <v>1024.1603</v>
      </c>
      <c r="K19" s="17" t="n">
        <f aca="false">K18+J19</f>
        <v>4184.204775</v>
      </c>
      <c r="L19" s="17" t="n">
        <f aca="false">MAX(L18,K19)</f>
        <v>5075.06175</v>
      </c>
      <c r="M19" s="17" t="n">
        <f aca="false">L19-K19</f>
        <v>890.856974999998</v>
      </c>
      <c r="N19" s="17" t="n">
        <f aca="false">MIN(Desain_Kolam!$B$21,MAX(0,N18+F19+G19-H19-I19))</f>
        <v>4755.434175</v>
      </c>
      <c r="O19" s="6" t="n">
        <f aca="false">IF(N18+F19+G19-I19&gt;=H19,1,0)</f>
        <v>1</v>
      </c>
    </row>
    <row r="20" customFormat="false" ht="15" hidden="false" customHeight="false" outlineLevel="0" collapsed="false">
      <c r="A20" s="6" t="n">
        <v>2013</v>
      </c>
      <c r="B20" s="6" t="n">
        <v>3</v>
      </c>
      <c r="C20" s="4" t="n">
        <v>152</v>
      </c>
      <c r="D20" s="6" t="n">
        <v>31</v>
      </c>
      <c r="E20" s="4" t="n">
        <f aca="false">INDEX(Evaporasi!$B$5:$B$16,MATCH(B20,Evaporasi!$A$5:$A$16,0))</f>
        <v>166.18</v>
      </c>
      <c r="F20" s="17" t="n">
        <f aca="false">Kawasan!$B$11*Kawasan!$B$9*C20/1000</f>
        <v>1264.64</v>
      </c>
      <c r="G20" s="17" t="n">
        <f aca="false">C20*Desain_Kolam!$B$9/1000</f>
        <v>804.46</v>
      </c>
      <c r="H20" s="17" t="n">
        <f aca="false">Kawasan!$B$26*D20</f>
        <v>2380.8</v>
      </c>
      <c r="I20" s="17" t="n">
        <f aca="false">E20*Desain_Kolam!$B$9/1000</f>
        <v>879.50765</v>
      </c>
      <c r="J20" s="17" t="n">
        <f aca="false">F20+G20-H20-I20</f>
        <v>-1191.20765</v>
      </c>
      <c r="K20" s="17" t="n">
        <f aca="false">K19+J20</f>
        <v>2992.997125</v>
      </c>
      <c r="L20" s="17" t="n">
        <f aca="false">MAX(L19,K20)</f>
        <v>5075.06175</v>
      </c>
      <c r="M20" s="17" t="n">
        <f aca="false">L20-K20</f>
        <v>2082.064625</v>
      </c>
      <c r="N20" s="17" t="n">
        <f aca="false">MIN(Desain_Kolam!$B$21,MAX(0,N19+F20+G20-H20-I20))</f>
        <v>3564.226525</v>
      </c>
      <c r="O20" s="6" t="n">
        <f aca="false">IF(N19+F20+G20-I20&gt;=H20,1,0)</f>
        <v>1</v>
      </c>
    </row>
    <row r="21" customFormat="false" ht="15" hidden="false" customHeight="false" outlineLevel="0" collapsed="false">
      <c r="A21" s="6" t="n">
        <v>2013</v>
      </c>
      <c r="B21" s="6" t="n">
        <v>4</v>
      </c>
      <c r="C21" s="4" t="n">
        <v>435</v>
      </c>
      <c r="D21" s="6" t="n">
        <v>30</v>
      </c>
      <c r="E21" s="4" t="n">
        <f aca="false">INDEX(Evaporasi!$B$5:$B$16,MATCH(B21,Evaporasi!$A$5:$A$16,0))</f>
        <v>157.75</v>
      </c>
      <c r="F21" s="17" t="n">
        <f aca="false">Kawasan!$B$11*Kawasan!$B$9*C21/1000</f>
        <v>3619.2</v>
      </c>
      <c r="G21" s="17" t="n">
        <f aca="false">C21*Desain_Kolam!$B$9/1000</f>
        <v>2302.2375</v>
      </c>
      <c r="H21" s="17" t="n">
        <f aca="false">Kawasan!$B$26*D21</f>
        <v>2304</v>
      </c>
      <c r="I21" s="17" t="n">
        <f aca="false">E21*Desain_Kolam!$B$9/1000</f>
        <v>834.891875</v>
      </c>
      <c r="J21" s="17" t="n">
        <f aca="false">F21+G21-H21-I21</f>
        <v>2782.545625</v>
      </c>
      <c r="K21" s="17" t="n">
        <f aca="false">K20+J21</f>
        <v>5775.54275</v>
      </c>
      <c r="L21" s="17" t="n">
        <f aca="false">MAX(L20,K21)</f>
        <v>5775.54275</v>
      </c>
      <c r="M21" s="17" t="n">
        <f aca="false">L21-K21</f>
        <v>0</v>
      </c>
      <c r="N21" s="17" t="n">
        <f aca="false">MIN(Desain_Kolam!$B$21,MAX(0,N20+F21+G21-H21-I21))</f>
        <v>6346.77215</v>
      </c>
      <c r="O21" s="6" t="n">
        <f aca="false">IF(N20+F21+G21-I21&gt;=H21,1,0)</f>
        <v>1</v>
      </c>
    </row>
    <row r="22" customFormat="false" ht="15" hidden="false" customHeight="false" outlineLevel="0" collapsed="false">
      <c r="A22" s="6" t="n">
        <v>2013</v>
      </c>
      <c r="B22" s="6" t="n">
        <v>5</v>
      </c>
      <c r="C22" s="4" t="n">
        <v>358</v>
      </c>
      <c r="D22" s="6" t="n">
        <v>31</v>
      </c>
      <c r="E22" s="4" t="n">
        <f aca="false">INDEX(Evaporasi!$B$5:$B$16,MATCH(B22,Evaporasi!$A$5:$A$16,0))</f>
        <v>158.35</v>
      </c>
      <c r="F22" s="17" t="n">
        <f aca="false">Kawasan!$B$11*Kawasan!$B$9*C22/1000</f>
        <v>2978.56</v>
      </c>
      <c r="G22" s="17" t="n">
        <f aca="false">C22*Desain_Kolam!$B$9/1000</f>
        <v>1894.715</v>
      </c>
      <c r="H22" s="17" t="n">
        <f aca="false">Kawasan!$B$26*D22</f>
        <v>2380.8</v>
      </c>
      <c r="I22" s="17" t="n">
        <f aca="false">E22*Desain_Kolam!$B$9/1000</f>
        <v>838.067375</v>
      </c>
      <c r="J22" s="17" t="n">
        <f aca="false">F22+G22-H22-I22</f>
        <v>1654.407625</v>
      </c>
      <c r="K22" s="17" t="n">
        <f aca="false">K21+J22</f>
        <v>7429.950375</v>
      </c>
      <c r="L22" s="17" t="n">
        <f aca="false">MAX(L21,K22)</f>
        <v>7429.950375</v>
      </c>
      <c r="M22" s="17" t="n">
        <f aca="false">L22-K22</f>
        <v>0</v>
      </c>
      <c r="N22" s="17" t="n">
        <f aca="false">MIN(Desain_Kolam!$B$21,MAX(0,N21+F22+G22-H22-I22))</f>
        <v>8001.179775</v>
      </c>
      <c r="O22" s="6" t="n">
        <f aca="false">IF(N21+F22+G22-I22&gt;=H22,1,0)</f>
        <v>1</v>
      </c>
    </row>
    <row r="23" customFormat="false" ht="15" hidden="false" customHeight="false" outlineLevel="0" collapsed="false">
      <c r="A23" s="6" t="n">
        <v>2013</v>
      </c>
      <c r="B23" s="6" t="n">
        <v>6</v>
      </c>
      <c r="C23" s="4" t="n">
        <v>212</v>
      </c>
      <c r="D23" s="6" t="n">
        <v>30</v>
      </c>
      <c r="E23" s="4" t="n">
        <f aca="false">INDEX(Evaporasi!$B$5:$B$16,MATCH(B23,Evaporasi!$A$5:$A$16,0))</f>
        <v>150.17</v>
      </c>
      <c r="F23" s="17" t="n">
        <f aca="false">Kawasan!$B$11*Kawasan!$B$9*C23/1000</f>
        <v>1763.84</v>
      </c>
      <c r="G23" s="17" t="n">
        <f aca="false">C23*Desain_Kolam!$B$9/1000</f>
        <v>1122.01</v>
      </c>
      <c r="H23" s="17" t="n">
        <f aca="false">Kawasan!$B$26*D23</f>
        <v>2304</v>
      </c>
      <c r="I23" s="17" t="n">
        <f aca="false">E23*Desain_Kolam!$B$9/1000</f>
        <v>794.774725</v>
      </c>
      <c r="J23" s="17" t="n">
        <f aca="false">F23+G23-H23-I23</f>
        <v>-212.924725</v>
      </c>
      <c r="K23" s="17" t="n">
        <f aca="false">K22+J23</f>
        <v>7217.02565</v>
      </c>
      <c r="L23" s="17" t="n">
        <f aca="false">MAX(L22,K23)</f>
        <v>7429.950375</v>
      </c>
      <c r="M23" s="17" t="n">
        <f aca="false">L23-K23</f>
        <v>212.924725</v>
      </c>
      <c r="N23" s="17" t="n">
        <f aca="false">MIN(Desain_Kolam!$B$21,MAX(0,N22+F23+G23-H23-I23))</f>
        <v>7788.25505</v>
      </c>
      <c r="O23" s="6" t="n">
        <f aca="false">IF(N22+F23+G23-I23&gt;=H23,1,0)</f>
        <v>1</v>
      </c>
    </row>
    <row r="24" customFormat="false" ht="15" hidden="false" customHeight="false" outlineLevel="0" collapsed="false">
      <c r="A24" s="6" t="n">
        <v>2013</v>
      </c>
      <c r="B24" s="6" t="n">
        <v>7</v>
      </c>
      <c r="C24" s="4" t="n">
        <v>320</v>
      </c>
      <c r="D24" s="6" t="n">
        <v>31</v>
      </c>
      <c r="E24" s="4" t="n">
        <f aca="false">INDEX(Evaporasi!$B$5:$B$16,MATCH(B24,Evaporasi!$A$5:$A$16,0))</f>
        <v>160.84</v>
      </c>
      <c r="F24" s="17" t="n">
        <f aca="false">Kawasan!$B$11*Kawasan!$B$9*C24/1000</f>
        <v>2662.4</v>
      </c>
      <c r="G24" s="17" t="n">
        <f aca="false">C24*Desain_Kolam!$B$9/1000</f>
        <v>1693.6</v>
      </c>
      <c r="H24" s="17" t="n">
        <f aca="false">Kawasan!$B$26*D24</f>
        <v>2380.8</v>
      </c>
      <c r="I24" s="17" t="n">
        <f aca="false">E24*Desain_Kolam!$B$9/1000</f>
        <v>851.2457</v>
      </c>
      <c r="J24" s="17" t="n">
        <f aca="false">F24+G24-H24-I24</f>
        <v>1123.9543</v>
      </c>
      <c r="K24" s="17" t="n">
        <f aca="false">K23+J24</f>
        <v>8340.97995</v>
      </c>
      <c r="L24" s="17" t="n">
        <f aca="false">MAX(L23,K24)</f>
        <v>8340.97995</v>
      </c>
      <c r="M24" s="17" t="n">
        <f aca="false">L24-K24</f>
        <v>0</v>
      </c>
      <c r="N24" s="17" t="n">
        <f aca="false">MIN(Desain_Kolam!$B$21,MAX(0,N23+F24+G24-H24-I24))</f>
        <v>8912.20935000001</v>
      </c>
      <c r="O24" s="6" t="n">
        <f aca="false">IF(N23+F24+G24-I24&gt;=H24,1,0)</f>
        <v>1</v>
      </c>
    </row>
    <row r="25" customFormat="false" ht="15" hidden="false" customHeight="false" outlineLevel="0" collapsed="false">
      <c r="A25" s="6" t="n">
        <v>2013</v>
      </c>
      <c r="B25" s="6" t="n">
        <v>8</v>
      </c>
      <c r="C25" s="4" t="n">
        <v>167</v>
      </c>
      <c r="D25" s="6" t="n">
        <v>31</v>
      </c>
      <c r="E25" s="4" t="n">
        <f aca="false">INDEX(Evaporasi!$B$5:$B$16,MATCH(B25,Evaporasi!$A$5:$A$16,0))</f>
        <v>161.16</v>
      </c>
      <c r="F25" s="17" t="n">
        <f aca="false">Kawasan!$B$11*Kawasan!$B$9*C25/1000</f>
        <v>1389.44</v>
      </c>
      <c r="G25" s="17" t="n">
        <f aca="false">C25*Desain_Kolam!$B$9/1000</f>
        <v>883.8475</v>
      </c>
      <c r="H25" s="17" t="n">
        <f aca="false">Kawasan!$B$26*D25</f>
        <v>2380.8</v>
      </c>
      <c r="I25" s="17" t="n">
        <f aca="false">E25*Desain_Kolam!$B$9/1000</f>
        <v>852.9393</v>
      </c>
      <c r="J25" s="17" t="n">
        <f aca="false">F25+G25-H25-I25</f>
        <v>-960.4518</v>
      </c>
      <c r="K25" s="17" t="n">
        <f aca="false">K24+J25</f>
        <v>7380.52815</v>
      </c>
      <c r="L25" s="17" t="n">
        <f aca="false">MAX(L24,K25)</f>
        <v>8340.97995</v>
      </c>
      <c r="M25" s="17" t="n">
        <f aca="false">L25-K25</f>
        <v>960.4518</v>
      </c>
      <c r="N25" s="17" t="n">
        <f aca="false">MIN(Desain_Kolam!$B$21,MAX(0,N24+F25+G25-H25-I25))</f>
        <v>7951.75755000001</v>
      </c>
      <c r="O25" s="6" t="n">
        <f aca="false">IF(N24+F25+G25-I25&gt;=H25,1,0)</f>
        <v>1</v>
      </c>
    </row>
    <row r="26" customFormat="false" ht="15" hidden="false" customHeight="false" outlineLevel="0" collapsed="false">
      <c r="A26" s="6" t="n">
        <v>2013</v>
      </c>
      <c r="B26" s="6" t="n">
        <v>9</v>
      </c>
      <c r="C26" s="4" t="n">
        <v>129</v>
      </c>
      <c r="D26" s="6" t="n">
        <v>30</v>
      </c>
      <c r="E26" s="4" t="n">
        <f aca="false">INDEX(Evaporasi!$B$5:$B$16,MATCH(B26,Evaporasi!$A$5:$A$16,0))</f>
        <v>159.21</v>
      </c>
      <c r="F26" s="17" t="n">
        <f aca="false">Kawasan!$B$11*Kawasan!$B$9*C26/1000</f>
        <v>1073.28</v>
      </c>
      <c r="G26" s="17" t="n">
        <f aca="false">C26*Desain_Kolam!$B$9/1000</f>
        <v>682.7325</v>
      </c>
      <c r="H26" s="17" t="n">
        <f aca="false">Kawasan!$B$26*D26</f>
        <v>2304</v>
      </c>
      <c r="I26" s="17" t="n">
        <f aca="false">E26*Desain_Kolam!$B$9/1000</f>
        <v>842.618925</v>
      </c>
      <c r="J26" s="17" t="n">
        <f aca="false">F26+G26-H26-I26</f>
        <v>-1390.606425</v>
      </c>
      <c r="K26" s="17" t="n">
        <f aca="false">K25+J26</f>
        <v>5989.921725</v>
      </c>
      <c r="L26" s="17" t="n">
        <f aca="false">MAX(L25,K26)</f>
        <v>8340.97995</v>
      </c>
      <c r="M26" s="17" t="n">
        <f aca="false">L26-K26</f>
        <v>2351.058225</v>
      </c>
      <c r="N26" s="17" t="n">
        <f aca="false">MIN(Desain_Kolam!$B$21,MAX(0,N25+F26+G26-H26-I26))</f>
        <v>6561.15112500001</v>
      </c>
      <c r="O26" s="6" t="n">
        <f aca="false">IF(N25+F26+G26-I26&gt;=H26,1,0)</f>
        <v>1</v>
      </c>
    </row>
    <row r="27" customFormat="false" ht="15" hidden="false" customHeight="false" outlineLevel="0" collapsed="false">
      <c r="A27" s="6" t="n">
        <v>2013</v>
      </c>
      <c r="B27" s="6" t="n">
        <v>10</v>
      </c>
      <c r="C27" s="4" t="n">
        <v>151</v>
      </c>
      <c r="D27" s="6" t="n">
        <v>31</v>
      </c>
      <c r="E27" s="4" t="n">
        <f aca="false">INDEX(Evaporasi!$B$5:$B$16,MATCH(B27,Evaporasi!$A$5:$A$16,0))</f>
        <v>151.5</v>
      </c>
      <c r="F27" s="17" t="n">
        <f aca="false">Kawasan!$B$11*Kawasan!$B$9*C27/1000</f>
        <v>1256.32</v>
      </c>
      <c r="G27" s="17" t="n">
        <f aca="false">C27*Desain_Kolam!$B$9/1000</f>
        <v>799.1675</v>
      </c>
      <c r="H27" s="17" t="n">
        <f aca="false">Kawasan!$B$26*D27</f>
        <v>2380.8</v>
      </c>
      <c r="I27" s="17" t="n">
        <f aca="false">E27*Desain_Kolam!$B$9/1000</f>
        <v>801.81375</v>
      </c>
      <c r="J27" s="17" t="n">
        <f aca="false">F27+G27-H27-I27</f>
        <v>-1127.12625</v>
      </c>
      <c r="K27" s="17" t="n">
        <f aca="false">K26+J27</f>
        <v>4862.795475</v>
      </c>
      <c r="L27" s="17" t="n">
        <f aca="false">MAX(L26,K27)</f>
        <v>8340.97995</v>
      </c>
      <c r="M27" s="17" t="n">
        <f aca="false">L27-K27</f>
        <v>3478.184475</v>
      </c>
      <c r="N27" s="17" t="n">
        <f aca="false">MIN(Desain_Kolam!$B$21,MAX(0,N26+F27+G27-H27-I27))</f>
        <v>5434.02487500001</v>
      </c>
      <c r="O27" s="6" t="n">
        <f aca="false">IF(N26+F27+G27-I27&gt;=H27,1,0)</f>
        <v>1</v>
      </c>
    </row>
    <row r="28" customFormat="false" ht="15" hidden="false" customHeight="false" outlineLevel="0" collapsed="false">
      <c r="A28" s="6" t="n">
        <v>2013</v>
      </c>
      <c r="B28" s="6" t="n">
        <v>11</v>
      </c>
      <c r="C28" s="4" t="n">
        <v>280</v>
      </c>
      <c r="D28" s="6" t="n">
        <v>30</v>
      </c>
      <c r="E28" s="4" t="n">
        <f aca="false">INDEX(Evaporasi!$B$5:$B$16,MATCH(B28,Evaporasi!$A$5:$A$16,0))</f>
        <v>142.3</v>
      </c>
      <c r="F28" s="17" t="n">
        <f aca="false">Kawasan!$B$11*Kawasan!$B$9*C28/1000</f>
        <v>2329.6</v>
      </c>
      <c r="G28" s="17" t="n">
        <f aca="false">C28*Desain_Kolam!$B$9/1000</f>
        <v>1481.9</v>
      </c>
      <c r="H28" s="17" t="n">
        <f aca="false">Kawasan!$B$26*D28</f>
        <v>2304</v>
      </c>
      <c r="I28" s="17" t="n">
        <f aca="false">E28*Desain_Kolam!$B$9/1000</f>
        <v>753.12275</v>
      </c>
      <c r="J28" s="17" t="n">
        <f aca="false">F28+G28-H28-I28</f>
        <v>754.37725</v>
      </c>
      <c r="K28" s="17" t="n">
        <f aca="false">K27+J28</f>
        <v>5617.172725</v>
      </c>
      <c r="L28" s="17" t="n">
        <f aca="false">MAX(L27,K28)</f>
        <v>8340.97995</v>
      </c>
      <c r="M28" s="17" t="n">
        <f aca="false">L28-K28</f>
        <v>2723.807225</v>
      </c>
      <c r="N28" s="17" t="n">
        <f aca="false">MIN(Desain_Kolam!$B$21,MAX(0,N27+F28+G28-H28-I28))</f>
        <v>6188.40212500001</v>
      </c>
      <c r="O28" s="6" t="n">
        <f aca="false">IF(N27+F28+G28-I28&gt;=H28,1,0)</f>
        <v>1</v>
      </c>
    </row>
    <row r="29" customFormat="false" ht="15" hidden="false" customHeight="false" outlineLevel="0" collapsed="false">
      <c r="A29" s="6" t="n">
        <v>2013</v>
      </c>
      <c r="B29" s="6" t="n">
        <v>12</v>
      </c>
      <c r="C29" s="4" t="n">
        <v>280</v>
      </c>
      <c r="D29" s="6" t="n">
        <v>31</v>
      </c>
      <c r="E29" s="4" t="n">
        <f aca="false">INDEX(Evaporasi!$B$5:$B$16,MATCH(B29,Evaporasi!$A$5:$A$16,0))</f>
        <v>145.07</v>
      </c>
      <c r="F29" s="17" t="n">
        <f aca="false">Kawasan!$B$11*Kawasan!$B$9*C29/1000</f>
        <v>2329.6</v>
      </c>
      <c r="G29" s="17" t="n">
        <f aca="false">C29*Desain_Kolam!$B$9/1000</f>
        <v>1481.9</v>
      </c>
      <c r="H29" s="17" t="n">
        <f aca="false">Kawasan!$B$26*D29</f>
        <v>2380.8</v>
      </c>
      <c r="I29" s="17" t="n">
        <f aca="false">E29*Desain_Kolam!$B$9/1000</f>
        <v>767.782975</v>
      </c>
      <c r="J29" s="17" t="n">
        <f aca="false">F29+G29-H29-I29</f>
        <v>662.917025</v>
      </c>
      <c r="K29" s="17" t="n">
        <f aca="false">K28+J29</f>
        <v>6280.08975</v>
      </c>
      <c r="L29" s="17" t="n">
        <f aca="false">MAX(L28,K29)</f>
        <v>8340.97995</v>
      </c>
      <c r="M29" s="17" t="n">
        <f aca="false">L29-K29</f>
        <v>2060.8902</v>
      </c>
      <c r="N29" s="17" t="n">
        <f aca="false">MIN(Desain_Kolam!$B$21,MAX(0,N28+F29+G29-H29-I29))</f>
        <v>6851.31915000001</v>
      </c>
      <c r="O29" s="6" t="n">
        <f aca="false">IF(N28+F29+G29-I29&gt;=H29,1,0)</f>
        <v>1</v>
      </c>
    </row>
    <row r="30" customFormat="false" ht="15" hidden="false" customHeight="false" outlineLevel="0" collapsed="false">
      <c r="A30" s="6" t="n">
        <v>2014</v>
      </c>
      <c r="B30" s="6" t="n">
        <v>1</v>
      </c>
      <c r="C30" s="4" t="n">
        <v>66</v>
      </c>
      <c r="D30" s="6" t="n">
        <v>31</v>
      </c>
      <c r="E30" s="4" t="n">
        <f aca="false">INDEX(Evaporasi!$B$5:$B$16,MATCH(B30,Evaporasi!$A$5:$A$16,0))</f>
        <v>149.98</v>
      </c>
      <c r="F30" s="17" t="n">
        <f aca="false">Kawasan!$B$11*Kawasan!$B$9*C30/1000</f>
        <v>549.12</v>
      </c>
      <c r="G30" s="17" t="n">
        <f aca="false">C30*Desain_Kolam!$B$9/1000</f>
        <v>349.305</v>
      </c>
      <c r="H30" s="17" t="n">
        <f aca="false">Kawasan!$B$26*D30</f>
        <v>2380.8</v>
      </c>
      <c r="I30" s="17" t="n">
        <f aca="false">E30*Desain_Kolam!$B$9/1000</f>
        <v>793.76915</v>
      </c>
      <c r="J30" s="17" t="n">
        <f aca="false">F30+G30-H30-I30</f>
        <v>-2276.14415</v>
      </c>
      <c r="K30" s="17" t="n">
        <f aca="false">K29+J30</f>
        <v>4003.9456</v>
      </c>
      <c r="L30" s="17" t="n">
        <f aca="false">MAX(L29,K30)</f>
        <v>8340.97995</v>
      </c>
      <c r="M30" s="17" t="n">
        <f aca="false">L30-K30</f>
        <v>4337.03435</v>
      </c>
      <c r="N30" s="17" t="n">
        <f aca="false">MIN(Desain_Kolam!$B$21,MAX(0,N29+F30+G30-H30-I30))</f>
        <v>4575.17500000001</v>
      </c>
      <c r="O30" s="6" t="n">
        <f aca="false">IF(N29+F30+G30-I30&gt;=H30,1,0)</f>
        <v>1</v>
      </c>
    </row>
    <row r="31" customFormat="false" ht="15" hidden="false" customHeight="false" outlineLevel="0" collapsed="false">
      <c r="A31" s="6" t="n">
        <v>2014</v>
      </c>
      <c r="B31" s="6" t="n">
        <v>2</v>
      </c>
      <c r="C31" s="4" t="n">
        <v>24</v>
      </c>
      <c r="D31" s="6" t="n">
        <v>28</v>
      </c>
      <c r="E31" s="4" t="n">
        <f aca="false">INDEX(Evaporasi!$B$5:$B$16,MATCH(B31,Evaporasi!$A$5:$A$16,0))</f>
        <v>148.64</v>
      </c>
      <c r="F31" s="17" t="n">
        <f aca="false">Kawasan!$B$11*Kawasan!$B$9*C31/1000</f>
        <v>199.68</v>
      </c>
      <c r="G31" s="17" t="n">
        <f aca="false">C31*Desain_Kolam!$B$9/1000</f>
        <v>127.02</v>
      </c>
      <c r="H31" s="17" t="n">
        <f aca="false">Kawasan!$B$26*D31</f>
        <v>2150.4</v>
      </c>
      <c r="I31" s="17" t="n">
        <f aca="false">E31*Desain_Kolam!$B$9/1000</f>
        <v>786.6772</v>
      </c>
      <c r="J31" s="17" t="n">
        <f aca="false">F31+G31-H31-I31</f>
        <v>-2610.3772</v>
      </c>
      <c r="K31" s="17" t="n">
        <f aca="false">K30+J31</f>
        <v>1393.5684</v>
      </c>
      <c r="L31" s="17" t="n">
        <f aca="false">MAX(L30,K31)</f>
        <v>8340.97995</v>
      </c>
      <c r="M31" s="17" t="n">
        <f aca="false">L31-K31</f>
        <v>6947.41155</v>
      </c>
      <c r="N31" s="17" t="n">
        <f aca="false">MIN(Desain_Kolam!$B$21,MAX(0,N30+F31+G31-H31-I31))</f>
        <v>1964.79780000001</v>
      </c>
      <c r="O31" s="6" t="n">
        <f aca="false">IF(N30+F31+G31-I31&gt;=H31,1,0)</f>
        <v>1</v>
      </c>
    </row>
    <row r="32" customFormat="false" ht="15" hidden="false" customHeight="false" outlineLevel="0" collapsed="false">
      <c r="A32" s="6" t="n">
        <v>2014</v>
      </c>
      <c r="B32" s="6" t="n">
        <v>3</v>
      </c>
      <c r="C32" s="4" t="n">
        <v>141</v>
      </c>
      <c r="D32" s="6" t="n">
        <v>31</v>
      </c>
      <c r="E32" s="4" t="n">
        <f aca="false">INDEX(Evaporasi!$B$5:$B$16,MATCH(B32,Evaporasi!$A$5:$A$16,0))</f>
        <v>166.18</v>
      </c>
      <c r="F32" s="17" t="n">
        <f aca="false">Kawasan!$B$11*Kawasan!$B$9*C32/1000</f>
        <v>1173.12</v>
      </c>
      <c r="G32" s="17" t="n">
        <f aca="false">C32*Desain_Kolam!$B$9/1000</f>
        <v>746.2425</v>
      </c>
      <c r="H32" s="17" t="n">
        <f aca="false">Kawasan!$B$26*D32</f>
        <v>2380.8</v>
      </c>
      <c r="I32" s="17" t="n">
        <f aca="false">E32*Desain_Kolam!$B$9/1000</f>
        <v>879.50765</v>
      </c>
      <c r="J32" s="17" t="n">
        <f aca="false">F32+G32-H32-I32</f>
        <v>-1340.94515</v>
      </c>
      <c r="K32" s="17" t="n">
        <f aca="false">K31+J32</f>
        <v>52.6232500000042</v>
      </c>
      <c r="L32" s="17" t="n">
        <f aca="false">MAX(L31,K32)</f>
        <v>8340.97995</v>
      </c>
      <c r="M32" s="17" t="n">
        <f aca="false">L32-K32</f>
        <v>8288.3567</v>
      </c>
      <c r="N32" s="17" t="n">
        <f aca="false">MIN(Desain_Kolam!$B$21,MAX(0,N31+F32+G32-H32-I32))</f>
        <v>623.852650000007</v>
      </c>
      <c r="O32" s="6" t="n">
        <f aca="false">IF(N31+F32+G32-I32&gt;=H32,1,0)</f>
        <v>1</v>
      </c>
    </row>
    <row r="33" customFormat="false" ht="15" hidden="false" customHeight="false" outlineLevel="0" collapsed="false">
      <c r="A33" s="6" t="n">
        <v>2014</v>
      </c>
      <c r="B33" s="6" t="n">
        <v>4</v>
      </c>
      <c r="C33" s="4" t="n">
        <v>129</v>
      </c>
      <c r="D33" s="6" t="n">
        <v>30</v>
      </c>
      <c r="E33" s="4" t="n">
        <f aca="false">INDEX(Evaporasi!$B$5:$B$16,MATCH(B33,Evaporasi!$A$5:$A$16,0))</f>
        <v>157.75</v>
      </c>
      <c r="F33" s="17" t="n">
        <f aca="false">Kawasan!$B$11*Kawasan!$B$9*C33/1000</f>
        <v>1073.28</v>
      </c>
      <c r="G33" s="17" t="n">
        <f aca="false">C33*Desain_Kolam!$B$9/1000</f>
        <v>682.7325</v>
      </c>
      <c r="H33" s="17" t="n">
        <f aca="false">Kawasan!$B$26*D33</f>
        <v>2304</v>
      </c>
      <c r="I33" s="17" t="n">
        <f aca="false">E33*Desain_Kolam!$B$9/1000</f>
        <v>834.891875</v>
      </c>
      <c r="J33" s="17" t="n">
        <f aca="false">F33+G33-H33-I33</f>
        <v>-1382.879375</v>
      </c>
      <c r="K33" s="17" t="n">
        <f aca="false">K32+J33</f>
        <v>-1330.256125</v>
      </c>
      <c r="L33" s="17" t="n">
        <f aca="false">MAX(L32,K33)</f>
        <v>8340.97995</v>
      </c>
      <c r="M33" s="17" t="n">
        <f aca="false">L33-K33</f>
        <v>9671.236075</v>
      </c>
      <c r="N33" s="17" t="n">
        <f aca="false">MIN(Desain_Kolam!$B$21,MAX(0,N32+F33+G33-H33-I33))</f>
        <v>0</v>
      </c>
      <c r="O33" s="6" t="n">
        <f aca="false">IF(N32+F33+G33-I33&gt;=H33,1,0)</f>
        <v>0</v>
      </c>
    </row>
    <row r="34" customFormat="false" ht="15" hidden="false" customHeight="false" outlineLevel="0" collapsed="false">
      <c r="A34" s="6" t="n">
        <v>2014</v>
      </c>
      <c r="B34" s="6" t="n">
        <v>5</v>
      </c>
      <c r="C34" s="4" t="n">
        <v>279</v>
      </c>
      <c r="D34" s="6" t="n">
        <v>31</v>
      </c>
      <c r="E34" s="4" t="n">
        <f aca="false">INDEX(Evaporasi!$B$5:$B$16,MATCH(B34,Evaporasi!$A$5:$A$16,0))</f>
        <v>158.35</v>
      </c>
      <c r="F34" s="17" t="n">
        <f aca="false">Kawasan!$B$11*Kawasan!$B$9*C34/1000</f>
        <v>2321.28</v>
      </c>
      <c r="G34" s="17" t="n">
        <f aca="false">C34*Desain_Kolam!$B$9/1000</f>
        <v>1476.6075</v>
      </c>
      <c r="H34" s="17" t="n">
        <f aca="false">Kawasan!$B$26*D34</f>
        <v>2380.8</v>
      </c>
      <c r="I34" s="17" t="n">
        <f aca="false">E34*Desain_Kolam!$B$9/1000</f>
        <v>838.067375</v>
      </c>
      <c r="J34" s="17" t="n">
        <f aca="false">F34+G34-H34-I34</f>
        <v>579.020125000001</v>
      </c>
      <c r="K34" s="17" t="n">
        <f aca="false">K33+J34</f>
        <v>-751.235999999995</v>
      </c>
      <c r="L34" s="17" t="n">
        <f aca="false">MAX(L33,K34)</f>
        <v>8340.97995</v>
      </c>
      <c r="M34" s="17" t="n">
        <f aca="false">L34-K34</f>
        <v>9092.21595</v>
      </c>
      <c r="N34" s="17" t="n">
        <f aca="false">MIN(Desain_Kolam!$B$21,MAX(0,N33+F34+G34-H34-I34))</f>
        <v>579.020125000001</v>
      </c>
      <c r="O34" s="6" t="n">
        <f aca="false">IF(N33+F34+G34-I34&gt;=H34,1,0)</f>
        <v>1</v>
      </c>
    </row>
    <row r="35" customFormat="false" ht="15" hidden="false" customHeight="false" outlineLevel="0" collapsed="false">
      <c r="A35" s="6" t="n">
        <v>2014</v>
      </c>
      <c r="B35" s="6" t="n">
        <v>6</v>
      </c>
      <c r="C35" s="4" t="n">
        <v>231</v>
      </c>
      <c r="D35" s="6" t="n">
        <v>30</v>
      </c>
      <c r="E35" s="4" t="n">
        <f aca="false">INDEX(Evaporasi!$B$5:$B$16,MATCH(B35,Evaporasi!$A$5:$A$16,0))</f>
        <v>150.17</v>
      </c>
      <c r="F35" s="17" t="n">
        <f aca="false">Kawasan!$B$11*Kawasan!$B$9*C35/1000</f>
        <v>1921.92</v>
      </c>
      <c r="G35" s="17" t="n">
        <f aca="false">C35*Desain_Kolam!$B$9/1000</f>
        <v>1222.5675</v>
      </c>
      <c r="H35" s="17" t="n">
        <f aca="false">Kawasan!$B$26*D35</f>
        <v>2304</v>
      </c>
      <c r="I35" s="17" t="n">
        <f aca="false">E35*Desain_Kolam!$B$9/1000</f>
        <v>794.774725</v>
      </c>
      <c r="J35" s="17" t="n">
        <f aca="false">F35+G35-H35-I35</f>
        <v>45.7127750000002</v>
      </c>
      <c r="K35" s="17" t="n">
        <f aca="false">K34+J35</f>
        <v>-705.523224999995</v>
      </c>
      <c r="L35" s="17" t="n">
        <f aca="false">MAX(L34,K35)</f>
        <v>8340.97995</v>
      </c>
      <c r="M35" s="17" t="n">
        <f aca="false">L35-K35</f>
        <v>9046.503175</v>
      </c>
      <c r="N35" s="17" t="n">
        <f aca="false">MIN(Desain_Kolam!$B$21,MAX(0,N34+F35+G35-H35-I35))</f>
        <v>624.732900000001</v>
      </c>
      <c r="O35" s="6" t="n">
        <f aca="false">IF(N34+F35+G35-I35&gt;=H35,1,0)</f>
        <v>1</v>
      </c>
    </row>
    <row r="36" customFormat="false" ht="15" hidden="false" customHeight="false" outlineLevel="0" collapsed="false">
      <c r="A36" s="6" t="n">
        <v>2014</v>
      </c>
      <c r="B36" s="6" t="n">
        <v>7</v>
      </c>
      <c r="C36" s="4" t="n">
        <v>93</v>
      </c>
      <c r="D36" s="6" t="n">
        <v>31</v>
      </c>
      <c r="E36" s="4" t="n">
        <f aca="false">INDEX(Evaporasi!$B$5:$B$16,MATCH(B36,Evaporasi!$A$5:$A$16,0))</f>
        <v>160.84</v>
      </c>
      <c r="F36" s="17" t="n">
        <f aca="false">Kawasan!$B$11*Kawasan!$B$9*C36/1000</f>
        <v>773.76</v>
      </c>
      <c r="G36" s="17" t="n">
        <f aca="false">C36*Desain_Kolam!$B$9/1000</f>
        <v>492.2025</v>
      </c>
      <c r="H36" s="17" t="n">
        <f aca="false">Kawasan!$B$26*D36</f>
        <v>2380.8</v>
      </c>
      <c r="I36" s="17" t="n">
        <f aca="false">E36*Desain_Kolam!$B$9/1000</f>
        <v>851.2457</v>
      </c>
      <c r="J36" s="17" t="n">
        <f aca="false">F36+G36-H36-I36</f>
        <v>-1966.0832</v>
      </c>
      <c r="K36" s="17" t="n">
        <f aca="false">K35+J36</f>
        <v>-2671.606425</v>
      </c>
      <c r="L36" s="17" t="n">
        <f aca="false">MAX(L35,K36)</f>
        <v>8340.97995</v>
      </c>
      <c r="M36" s="17" t="n">
        <f aca="false">L36-K36</f>
        <v>11012.586375</v>
      </c>
      <c r="N36" s="17" t="n">
        <f aca="false">MIN(Desain_Kolam!$B$21,MAX(0,N35+F36+G36-H36-I36))</f>
        <v>0</v>
      </c>
      <c r="O36" s="6" t="n">
        <f aca="false">IF(N35+F36+G36-I36&gt;=H36,1,0)</f>
        <v>0</v>
      </c>
    </row>
    <row r="37" customFormat="false" ht="15" hidden="false" customHeight="false" outlineLevel="0" collapsed="false">
      <c r="A37" s="6" t="n">
        <v>2014</v>
      </c>
      <c r="B37" s="6" t="n">
        <v>8</v>
      </c>
      <c r="C37" s="4" t="n">
        <v>303</v>
      </c>
      <c r="D37" s="6" t="n">
        <v>31</v>
      </c>
      <c r="E37" s="4" t="n">
        <f aca="false">INDEX(Evaporasi!$B$5:$B$16,MATCH(B37,Evaporasi!$A$5:$A$16,0))</f>
        <v>161.16</v>
      </c>
      <c r="F37" s="17" t="n">
        <f aca="false">Kawasan!$B$11*Kawasan!$B$9*C37/1000</f>
        <v>2520.96</v>
      </c>
      <c r="G37" s="17" t="n">
        <f aca="false">C37*Desain_Kolam!$B$9/1000</f>
        <v>1603.6275</v>
      </c>
      <c r="H37" s="17" t="n">
        <f aca="false">Kawasan!$B$26*D37</f>
        <v>2380.8</v>
      </c>
      <c r="I37" s="17" t="n">
        <f aca="false">E37*Desain_Kolam!$B$9/1000</f>
        <v>852.9393</v>
      </c>
      <c r="J37" s="17" t="n">
        <f aca="false">F37+G37-H37-I37</f>
        <v>890.8482</v>
      </c>
      <c r="K37" s="17" t="n">
        <f aca="false">K36+J37</f>
        <v>-1780.758225</v>
      </c>
      <c r="L37" s="17" t="n">
        <f aca="false">MAX(L36,K37)</f>
        <v>8340.97995</v>
      </c>
      <c r="M37" s="17" t="n">
        <f aca="false">L37-K37</f>
        <v>10121.738175</v>
      </c>
      <c r="N37" s="17" t="n">
        <f aca="false">MIN(Desain_Kolam!$B$21,MAX(0,N36+F37+G37-H37-I37))</f>
        <v>890.8482</v>
      </c>
      <c r="O37" s="6" t="n">
        <f aca="false">IF(N36+F37+G37-I37&gt;=H37,1,0)</f>
        <v>1</v>
      </c>
    </row>
    <row r="38" customFormat="false" ht="15" hidden="false" customHeight="false" outlineLevel="0" collapsed="false">
      <c r="A38" s="6" t="n">
        <v>2014</v>
      </c>
      <c r="B38" s="6" t="n">
        <v>9</v>
      </c>
      <c r="C38" s="4" t="n">
        <v>156</v>
      </c>
      <c r="D38" s="6" t="n">
        <v>30</v>
      </c>
      <c r="E38" s="4" t="n">
        <f aca="false">INDEX(Evaporasi!$B$5:$B$16,MATCH(B38,Evaporasi!$A$5:$A$16,0))</f>
        <v>159.21</v>
      </c>
      <c r="F38" s="17" t="n">
        <f aca="false">Kawasan!$B$11*Kawasan!$B$9*C38/1000</f>
        <v>1297.92</v>
      </c>
      <c r="G38" s="17" t="n">
        <f aca="false">C38*Desain_Kolam!$B$9/1000</f>
        <v>825.63</v>
      </c>
      <c r="H38" s="17" t="n">
        <f aca="false">Kawasan!$B$26*D38</f>
        <v>2304</v>
      </c>
      <c r="I38" s="17" t="n">
        <f aca="false">E38*Desain_Kolam!$B$9/1000</f>
        <v>842.618925</v>
      </c>
      <c r="J38" s="17" t="n">
        <f aca="false">F38+G38-H38-I38</f>
        <v>-1023.068925</v>
      </c>
      <c r="K38" s="17" t="n">
        <f aca="false">K37+J38</f>
        <v>-2803.82714999999</v>
      </c>
      <c r="L38" s="17" t="n">
        <f aca="false">MAX(L37,K38)</f>
        <v>8340.97995</v>
      </c>
      <c r="M38" s="17" t="n">
        <f aca="false">L38-K38</f>
        <v>11144.8071</v>
      </c>
      <c r="N38" s="17" t="n">
        <f aca="false">MIN(Desain_Kolam!$B$21,MAX(0,N37+F38+G38-H38-I38))</f>
        <v>0</v>
      </c>
      <c r="O38" s="6" t="n">
        <f aca="false">IF(N37+F38+G38-I38&gt;=H38,1,0)</f>
        <v>0</v>
      </c>
    </row>
    <row r="39" customFormat="false" ht="15" hidden="false" customHeight="false" outlineLevel="0" collapsed="false">
      <c r="A39" s="6" t="n">
        <v>2014</v>
      </c>
      <c r="B39" s="6" t="n">
        <v>10</v>
      </c>
      <c r="C39" s="4" t="n">
        <v>226</v>
      </c>
      <c r="D39" s="6" t="n">
        <v>31</v>
      </c>
      <c r="E39" s="4" t="n">
        <f aca="false">INDEX(Evaporasi!$B$5:$B$16,MATCH(B39,Evaporasi!$A$5:$A$16,0))</f>
        <v>151.5</v>
      </c>
      <c r="F39" s="17" t="n">
        <f aca="false">Kawasan!$B$11*Kawasan!$B$9*C39/1000</f>
        <v>1880.32</v>
      </c>
      <c r="G39" s="17" t="n">
        <f aca="false">C39*Desain_Kolam!$B$9/1000</f>
        <v>1196.105</v>
      </c>
      <c r="H39" s="17" t="n">
        <f aca="false">Kawasan!$B$26*D39</f>
        <v>2380.8</v>
      </c>
      <c r="I39" s="17" t="n">
        <f aca="false">E39*Desain_Kolam!$B$9/1000</f>
        <v>801.81375</v>
      </c>
      <c r="J39" s="17" t="n">
        <f aca="false">F39+G39-H39-I39</f>
        <v>-106.18875</v>
      </c>
      <c r="K39" s="17" t="n">
        <f aca="false">K38+J39</f>
        <v>-2910.01589999999</v>
      </c>
      <c r="L39" s="17" t="n">
        <f aca="false">MAX(L38,K39)</f>
        <v>8340.97995</v>
      </c>
      <c r="M39" s="17" t="n">
        <f aca="false">L39-K39</f>
        <v>11250.99585</v>
      </c>
      <c r="N39" s="17" t="n">
        <f aca="false">MIN(Desain_Kolam!$B$21,MAX(0,N38+F39+G39-H39-I39))</f>
        <v>0</v>
      </c>
      <c r="O39" s="6" t="n">
        <f aca="false">IF(N38+F39+G39-I39&gt;=H39,1,0)</f>
        <v>0</v>
      </c>
    </row>
    <row r="40" customFormat="false" ht="15" hidden="false" customHeight="false" outlineLevel="0" collapsed="false">
      <c r="A40" s="6" t="n">
        <v>2014</v>
      </c>
      <c r="B40" s="6" t="n">
        <v>11</v>
      </c>
      <c r="C40" s="4" t="n">
        <v>290</v>
      </c>
      <c r="D40" s="6" t="n">
        <v>30</v>
      </c>
      <c r="E40" s="4" t="n">
        <f aca="false">INDEX(Evaporasi!$B$5:$B$16,MATCH(B40,Evaporasi!$A$5:$A$16,0))</f>
        <v>142.3</v>
      </c>
      <c r="F40" s="17" t="n">
        <f aca="false">Kawasan!$B$11*Kawasan!$B$9*C40/1000</f>
        <v>2412.8</v>
      </c>
      <c r="G40" s="17" t="n">
        <f aca="false">C40*Desain_Kolam!$B$9/1000</f>
        <v>1534.825</v>
      </c>
      <c r="H40" s="17" t="n">
        <f aca="false">Kawasan!$B$26*D40</f>
        <v>2304</v>
      </c>
      <c r="I40" s="17" t="n">
        <f aca="false">E40*Desain_Kolam!$B$9/1000</f>
        <v>753.12275</v>
      </c>
      <c r="J40" s="17" t="n">
        <f aca="false">F40+G40-H40-I40</f>
        <v>890.50225</v>
      </c>
      <c r="K40" s="17" t="n">
        <f aca="false">K39+J40</f>
        <v>-2019.51364999999</v>
      </c>
      <c r="L40" s="17" t="n">
        <f aca="false">MAX(L39,K40)</f>
        <v>8340.97995</v>
      </c>
      <c r="M40" s="17" t="n">
        <f aca="false">L40-K40</f>
        <v>10360.4936</v>
      </c>
      <c r="N40" s="17" t="n">
        <f aca="false">MIN(Desain_Kolam!$B$21,MAX(0,N39+F40+G40-H40-I40))</f>
        <v>890.50225</v>
      </c>
      <c r="O40" s="6" t="n">
        <f aca="false">IF(N39+F40+G40-I40&gt;=H40,1,0)</f>
        <v>1</v>
      </c>
    </row>
    <row r="41" customFormat="false" ht="15" hidden="false" customHeight="false" outlineLevel="0" collapsed="false">
      <c r="A41" s="6" t="n">
        <v>2014</v>
      </c>
      <c r="B41" s="6" t="n">
        <v>12</v>
      </c>
      <c r="C41" s="4" t="n">
        <v>448</v>
      </c>
      <c r="D41" s="6" t="n">
        <v>31</v>
      </c>
      <c r="E41" s="4" t="n">
        <f aca="false">INDEX(Evaporasi!$B$5:$B$16,MATCH(B41,Evaporasi!$A$5:$A$16,0))</f>
        <v>145.07</v>
      </c>
      <c r="F41" s="17" t="n">
        <f aca="false">Kawasan!$B$11*Kawasan!$B$9*C41/1000</f>
        <v>3727.36</v>
      </c>
      <c r="G41" s="17" t="n">
        <f aca="false">C41*Desain_Kolam!$B$9/1000</f>
        <v>2371.04</v>
      </c>
      <c r="H41" s="17" t="n">
        <f aca="false">Kawasan!$B$26*D41</f>
        <v>2380.8</v>
      </c>
      <c r="I41" s="17" t="n">
        <f aca="false">E41*Desain_Kolam!$B$9/1000</f>
        <v>767.782975</v>
      </c>
      <c r="J41" s="17" t="n">
        <f aca="false">F41+G41-H41-I41</f>
        <v>2949.817025</v>
      </c>
      <c r="K41" s="17" t="n">
        <f aca="false">K40+J41</f>
        <v>930.303375000006</v>
      </c>
      <c r="L41" s="17" t="n">
        <f aca="false">MAX(L40,K41)</f>
        <v>8340.97995</v>
      </c>
      <c r="M41" s="17" t="n">
        <f aca="false">L41-K41</f>
        <v>7410.676575</v>
      </c>
      <c r="N41" s="17" t="n">
        <f aca="false">MIN(Desain_Kolam!$B$21,MAX(0,N40+F41+G41-H41-I41))</f>
        <v>3840.319275</v>
      </c>
      <c r="O41" s="6" t="n">
        <f aca="false">IF(N40+F41+G41-I41&gt;=H41,1,0)</f>
        <v>1</v>
      </c>
    </row>
    <row r="42" customFormat="false" ht="15" hidden="false" customHeight="false" outlineLevel="0" collapsed="false">
      <c r="A42" s="6" t="n">
        <v>2015</v>
      </c>
      <c r="B42" s="6" t="n">
        <v>1</v>
      </c>
      <c r="C42" s="4" t="n">
        <v>266</v>
      </c>
      <c r="D42" s="6" t="n">
        <v>31</v>
      </c>
      <c r="E42" s="4" t="n">
        <f aca="false">INDEX(Evaporasi!$B$5:$B$16,MATCH(B42,Evaporasi!$A$5:$A$16,0))</f>
        <v>149.98</v>
      </c>
      <c r="F42" s="17" t="n">
        <f aca="false">Kawasan!$B$11*Kawasan!$B$9*C42/1000</f>
        <v>2213.12</v>
      </c>
      <c r="G42" s="17" t="n">
        <f aca="false">C42*Desain_Kolam!$B$9/1000</f>
        <v>1407.805</v>
      </c>
      <c r="H42" s="17" t="n">
        <f aca="false">Kawasan!$B$26*D42</f>
        <v>2380.8</v>
      </c>
      <c r="I42" s="17" t="n">
        <f aca="false">E42*Desain_Kolam!$B$9/1000</f>
        <v>793.76915</v>
      </c>
      <c r="J42" s="17" t="n">
        <f aca="false">F42+G42-H42-I42</f>
        <v>446.355850000001</v>
      </c>
      <c r="K42" s="17" t="n">
        <f aca="false">K41+J42</f>
        <v>1376.65922500001</v>
      </c>
      <c r="L42" s="17" t="n">
        <f aca="false">MAX(L41,K42)</f>
        <v>8340.97995</v>
      </c>
      <c r="M42" s="17" t="n">
        <f aca="false">L42-K42</f>
        <v>6964.320725</v>
      </c>
      <c r="N42" s="17" t="n">
        <f aca="false">MIN(Desain_Kolam!$B$21,MAX(0,N41+F42+G42-H42-I42))</f>
        <v>4286.675125</v>
      </c>
      <c r="O42" s="6" t="n">
        <f aca="false">IF(N41+F42+G42-I42&gt;=H42,1,0)</f>
        <v>1</v>
      </c>
    </row>
    <row r="43" customFormat="false" ht="15" hidden="false" customHeight="false" outlineLevel="0" collapsed="false">
      <c r="A43" s="6" t="n">
        <v>2015</v>
      </c>
      <c r="B43" s="6" t="n">
        <v>2</v>
      </c>
      <c r="C43" s="4" t="n">
        <v>351</v>
      </c>
      <c r="D43" s="6" t="n">
        <v>28</v>
      </c>
      <c r="E43" s="4" t="n">
        <f aca="false">INDEX(Evaporasi!$B$5:$B$16,MATCH(B43,Evaporasi!$A$5:$A$16,0))</f>
        <v>148.64</v>
      </c>
      <c r="F43" s="17" t="n">
        <f aca="false">Kawasan!$B$11*Kawasan!$B$9*C43/1000</f>
        <v>2920.32</v>
      </c>
      <c r="G43" s="17" t="n">
        <f aca="false">C43*Desain_Kolam!$B$9/1000</f>
        <v>1857.6675</v>
      </c>
      <c r="H43" s="17" t="n">
        <f aca="false">Kawasan!$B$26*D43</f>
        <v>2150.4</v>
      </c>
      <c r="I43" s="17" t="n">
        <f aca="false">E43*Desain_Kolam!$B$9/1000</f>
        <v>786.6772</v>
      </c>
      <c r="J43" s="17" t="n">
        <f aca="false">F43+G43-H43-I43</f>
        <v>1840.9103</v>
      </c>
      <c r="K43" s="17" t="n">
        <f aca="false">K42+J43</f>
        <v>3217.56952500001</v>
      </c>
      <c r="L43" s="17" t="n">
        <f aca="false">MAX(L42,K43)</f>
        <v>8340.97995</v>
      </c>
      <c r="M43" s="17" t="n">
        <f aca="false">L43-K43</f>
        <v>5123.410425</v>
      </c>
      <c r="N43" s="17" t="n">
        <f aca="false">MIN(Desain_Kolam!$B$21,MAX(0,N42+F43+G43-H43-I43))</f>
        <v>6127.585425</v>
      </c>
      <c r="O43" s="6" t="n">
        <f aca="false">IF(N42+F43+G43-I43&gt;=H43,1,0)</f>
        <v>1</v>
      </c>
    </row>
    <row r="44" customFormat="false" ht="15" hidden="false" customHeight="false" outlineLevel="0" collapsed="false">
      <c r="A44" s="6" t="n">
        <v>2015</v>
      </c>
      <c r="B44" s="6" t="n">
        <v>3</v>
      </c>
      <c r="C44" s="4" t="n">
        <v>222</v>
      </c>
      <c r="D44" s="6" t="n">
        <v>31</v>
      </c>
      <c r="E44" s="4" t="n">
        <f aca="false">INDEX(Evaporasi!$B$5:$B$16,MATCH(B44,Evaporasi!$A$5:$A$16,0))</f>
        <v>166.18</v>
      </c>
      <c r="F44" s="17" t="n">
        <f aca="false">Kawasan!$B$11*Kawasan!$B$9*C44/1000</f>
        <v>1847.04</v>
      </c>
      <c r="G44" s="17" t="n">
        <f aca="false">C44*Desain_Kolam!$B$9/1000</f>
        <v>1174.935</v>
      </c>
      <c r="H44" s="17" t="n">
        <f aca="false">Kawasan!$B$26*D44</f>
        <v>2380.8</v>
      </c>
      <c r="I44" s="17" t="n">
        <f aca="false">E44*Desain_Kolam!$B$9/1000</f>
        <v>879.50765</v>
      </c>
      <c r="J44" s="17" t="n">
        <f aca="false">F44+G44-H44-I44</f>
        <v>-238.33265</v>
      </c>
      <c r="K44" s="17" t="n">
        <f aca="false">K43+J44</f>
        <v>2979.23687500001</v>
      </c>
      <c r="L44" s="17" t="n">
        <f aca="false">MAX(L43,K44)</f>
        <v>8340.97995</v>
      </c>
      <c r="M44" s="17" t="n">
        <f aca="false">L44-K44</f>
        <v>5361.743075</v>
      </c>
      <c r="N44" s="17" t="n">
        <f aca="false">MIN(Desain_Kolam!$B$21,MAX(0,N43+F44+G44-H44-I44))</f>
        <v>5889.252775</v>
      </c>
      <c r="O44" s="6" t="n">
        <f aca="false">IF(N43+F44+G44-I44&gt;=H44,1,0)</f>
        <v>1</v>
      </c>
    </row>
    <row r="45" customFormat="false" ht="15" hidden="false" customHeight="false" outlineLevel="0" collapsed="false">
      <c r="A45" s="6" t="n">
        <v>2015</v>
      </c>
      <c r="B45" s="6" t="n">
        <v>4</v>
      </c>
      <c r="C45" s="4" t="n">
        <v>202</v>
      </c>
      <c r="D45" s="6" t="n">
        <v>30</v>
      </c>
      <c r="E45" s="4" t="n">
        <f aca="false">INDEX(Evaporasi!$B$5:$B$16,MATCH(B45,Evaporasi!$A$5:$A$16,0))</f>
        <v>157.75</v>
      </c>
      <c r="F45" s="17" t="n">
        <f aca="false">Kawasan!$B$11*Kawasan!$B$9*C45/1000</f>
        <v>1680.64</v>
      </c>
      <c r="G45" s="17" t="n">
        <f aca="false">C45*Desain_Kolam!$B$9/1000</f>
        <v>1069.085</v>
      </c>
      <c r="H45" s="17" t="n">
        <f aca="false">Kawasan!$B$26*D45</f>
        <v>2304</v>
      </c>
      <c r="I45" s="17" t="n">
        <f aca="false">E45*Desain_Kolam!$B$9/1000</f>
        <v>834.891875</v>
      </c>
      <c r="J45" s="17" t="n">
        <f aca="false">F45+G45-H45-I45</f>
        <v>-389.166875</v>
      </c>
      <c r="K45" s="17" t="n">
        <f aca="false">K44+J45</f>
        <v>2590.07000000001</v>
      </c>
      <c r="L45" s="17" t="n">
        <f aca="false">MAX(L44,K45)</f>
        <v>8340.97995</v>
      </c>
      <c r="M45" s="17" t="n">
        <f aca="false">L45-K45</f>
        <v>5750.90995</v>
      </c>
      <c r="N45" s="17" t="n">
        <f aca="false">MIN(Desain_Kolam!$B$21,MAX(0,N44+F45+G45-H45-I45))</f>
        <v>5500.0859</v>
      </c>
      <c r="O45" s="6" t="n">
        <f aca="false">IF(N44+F45+G45-I45&gt;=H45,1,0)</f>
        <v>1</v>
      </c>
    </row>
    <row r="46" customFormat="false" ht="15" hidden="false" customHeight="false" outlineLevel="0" collapsed="false">
      <c r="A46" s="6" t="n">
        <v>2015</v>
      </c>
      <c r="B46" s="6" t="n">
        <v>5</v>
      </c>
      <c r="C46" s="4" t="n">
        <v>341</v>
      </c>
      <c r="D46" s="6" t="n">
        <v>31</v>
      </c>
      <c r="E46" s="4" t="n">
        <f aca="false">INDEX(Evaporasi!$B$5:$B$16,MATCH(B46,Evaporasi!$A$5:$A$16,0))</f>
        <v>158.35</v>
      </c>
      <c r="F46" s="17" t="n">
        <f aca="false">Kawasan!$B$11*Kawasan!$B$9*C46/1000</f>
        <v>2837.12</v>
      </c>
      <c r="G46" s="17" t="n">
        <f aca="false">C46*Desain_Kolam!$B$9/1000</f>
        <v>1804.7425</v>
      </c>
      <c r="H46" s="17" t="n">
        <f aca="false">Kawasan!$B$26*D46</f>
        <v>2380.8</v>
      </c>
      <c r="I46" s="17" t="n">
        <f aca="false">E46*Desain_Kolam!$B$9/1000</f>
        <v>838.067375</v>
      </c>
      <c r="J46" s="17" t="n">
        <f aca="false">F46+G46-H46-I46</f>
        <v>1422.995125</v>
      </c>
      <c r="K46" s="17" t="n">
        <f aca="false">K45+J46</f>
        <v>4013.06512500001</v>
      </c>
      <c r="L46" s="17" t="n">
        <f aca="false">MAX(L45,K46)</f>
        <v>8340.97995</v>
      </c>
      <c r="M46" s="17" t="n">
        <f aca="false">L46-K46</f>
        <v>4327.914825</v>
      </c>
      <c r="N46" s="17" t="n">
        <f aca="false">MIN(Desain_Kolam!$B$21,MAX(0,N45+F46+G46-H46-I46))</f>
        <v>6923.081025</v>
      </c>
      <c r="O46" s="6" t="n">
        <f aca="false">IF(N45+F46+G46-I46&gt;=H46,1,0)</f>
        <v>1</v>
      </c>
    </row>
    <row r="47" customFormat="false" ht="15" hidden="false" customHeight="false" outlineLevel="0" collapsed="false">
      <c r="A47" s="6" t="n">
        <v>2015</v>
      </c>
      <c r="B47" s="6" t="n">
        <v>6</v>
      </c>
      <c r="C47" s="4" t="n">
        <v>284</v>
      </c>
      <c r="D47" s="6" t="n">
        <v>30</v>
      </c>
      <c r="E47" s="4" t="n">
        <f aca="false">INDEX(Evaporasi!$B$5:$B$16,MATCH(B47,Evaporasi!$A$5:$A$16,0))</f>
        <v>150.17</v>
      </c>
      <c r="F47" s="17" t="n">
        <f aca="false">Kawasan!$B$11*Kawasan!$B$9*C47/1000</f>
        <v>2362.88</v>
      </c>
      <c r="G47" s="17" t="n">
        <f aca="false">C47*Desain_Kolam!$B$9/1000</f>
        <v>1503.07</v>
      </c>
      <c r="H47" s="17" t="n">
        <f aca="false">Kawasan!$B$26*D47</f>
        <v>2304</v>
      </c>
      <c r="I47" s="17" t="n">
        <f aca="false">E47*Desain_Kolam!$B$9/1000</f>
        <v>794.774725</v>
      </c>
      <c r="J47" s="17" t="n">
        <f aca="false">F47+G47-H47-I47</f>
        <v>767.175275</v>
      </c>
      <c r="K47" s="17" t="n">
        <f aca="false">K46+J47</f>
        <v>4780.24040000001</v>
      </c>
      <c r="L47" s="17" t="n">
        <f aca="false">MAX(L46,K47)</f>
        <v>8340.97995</v>
      </c>
      <c r="M47" s="17" t="n">
        <f aca="false">L47-K47</f>
        <v>3560.73955</v>
      </c>
      <c r="N47" s="17" t="n">
        <f aca="false">MIN(Desain_Kolam!$B$21,MAX(0,N46+F47+G47-H47-I47))</f>
        <v>7690.2563</v>
      </c>
      <c r="O47" s="6" t="n">
        <f aca="false">IF(N46+F47+G47-I47&gt;=H47,1,0)</f>
        <v>1</v>
      </c>
    </row>
    <row r="48" customFormat="false" ht="15" hidden="false" customHeight="false" outlineLevel="0" collapsed="false">
      <c r="A48" s="6" t="n">
        <v>2015</v>
      </c>
      <c r="B48" s="6" t="n">
        <v>7</v>
      </c>
      <c r="C48" s="4" t="n">
        <v>290</v>
      </c>
      <c r="D48" s="6" t="n">
        <v>31</v>
      </c>
      <c r="E48" s="4" t="n">
        <f aca="false">INDEX(Evaporasi!$B$5:$B$16,MATCH(B48,Evaporasi!$A$5:$A$16,0))</f>
        <v>160.84</v>
      </c>
      <c r="F48" s="17" t="n">
        <f aca="false">Kawasan!$B$11*Kawasan!$B$9*C48/1000</f>
        <v>2412.8</v>
      </c>
      <c r="G48" s="17" t="n">
        <f aca="false">C48*Desain_Kolam!$B$9/1000</f>
        <v>1534.825</v>
      </c>
      <c r="H48" s="17" t="n">
        <f aca="false">Kawasan!$B$26*D48</f>
        <v>2380.8</v>
      </c>
      <c r="I48" s="17" t="n">
        <f aca="false">E48*Desain_Kolam!$B$9/1000</f>
        <v>851.2457</v>
      </c>
      <c r="J48" s="17" t="n">
        <f aca="false">F48+G48-H48-I48</f>
        <v>715.5793</v>
      </c>
      <c r="K48" s="17" t="n">
        <f aca="false">K47+J48</f>
        <v>5495.81970000001</v>
      </c>
      <c r="L48" s="17" t="n">
        <f aca="false">MAX(L47,K48)</f>
        <v>8340.97995</v>
      </c>
      <c r="M48" s="17" t="n">
        <f aca="false">L48-K48</f>
        <v>2845.16025</v>
      </c>
      <c r="N48" s="17" t="n">
        <f aca="false">MIN(Desain_Kolam!$B$21,MAX(0,N47+F48+G48-H48-I48))</f>
        <v>8405.8356</v>
      </c>
      <c r="O48" s="6" t="n">
        <f aca="false">IF(N47+F48+G48-I48&gt;=H48,1,0)</f>
        <v>1</v>
      </c>
    </row>
    <row r="49" customFormat="false" ht="15" hidden="false" customHeight="false" outlineLevel="0" collapsed="false">
      <c r="A49" s="6" t="n">
        <v>2015</v>
      </c>
      <c r="B49" s="6" t="n">
        <v>8</v>
      </c>
      <c r="C49" s="4" t="n">
        <v>86</v>
      </c>
      <c r="D49" s="6" t="n">
        <v>31</v>
      </c>
      <c r="E49" s="4" t="n">
        <f aca="false">INDEX(Evaporasi!$B$5:$B$16,MATCH(B49,Evaporasi!$A$5:$A$16,0))</f>
        <v>161.16</v>
      </c>
      <c r="F49" s="17" t="n">
        <f aca="false">Kawasan!$B$11*Kawasan!$B$9*C49/1000</f>
        <v>715.52</v>
      </c>
      <c r="G49" s="17" t="n">
        <f aca="false">C49*Desain_Kolam!$B$9/1000</f>
        <v>455.155</v>
      </c>
      <c r="H49" s="17" t="n">
        <f aca="false">Kawasan!$B$26*D49</f>
        <v>2380.8</v>
      </c>
      <c r="I49" s="17" t="n">
        <f aca="false">E49*Desain_Kolam!$B$9/1000</f>
        <v>852.9393</v>
      </c>
      <c r="J49" s="17" t="n">
        <f aca="false">F49+G49-H49-I49</f>
        <v>-2063.0643</v>
      </c>
      <c r="K49" s="17" t="n">
        <f aca="false">K48+J49</f>
        <v>3432.75540000001</v>
      </c>
      <c r="L49" s="17" t="n">
        <f aca="false">MAX(L48,K49)</f>
        <v>8340.97995</v>
      </c>
      <c r="M49" s="17" t="n">
        <f aca="false">L49-K49</f>
        <v>4908.22455</v>
      </c>
      <c r="N49" s="17" t="n">
        <f aca="false">MIN(Desain_Kolam!$B$21,MAX(0,N48+F49+G49-H49-I49))</f>
        <v>6342.77130000001</v>
      </c>
      <c r="O49" s="6" t="n">
        <f aca="false">IF(N48+F49+G49-I49&gt;=H49,1,0)</f>
        <v>1</v>
      </c>
    </row>
    <row r="50" customFormat="false" ht="15" hidden="false" customHeight="false" outlineLevel="0" collapsed="false">
      <c r="A50" s="6" t="n">
        <v>2015</v>
      </c>
      <c r="B50" s="6" t="n">
        <v>9</v>
      </c>
      <c r="C50" s="4" t="n">
        <v>37</v>
      </c>
      <c r="D50" s="6" t="n">
        <v>30</v>
      </c>
      <c r="E50" s="4" t="n">
        <f aca="false">INDEX(Evaporasi!$B$5:$B$16,MATCH(B50,Evaporasi!$A$5:$A$16,0))</f>
        <v>159.21</v>
      </c>
      <c r="F50" s="17" t="n">
        <f aca="false">Kawasan!$B$11*Kawasan!$B$9*C50/1000</f>
        <v>307.84</v>
      </c>
      <c r="G50" s="17" t="n">
        <f aca="false">C50*Desain_Kolam!$B$9/1000</f>
        <v>195.8225</v>
      </c>
      <c r="H50" s="17" t="n">
        <f aca="false">Kawasan!$B$26*D50</f>
        <v>2304</v>
      </c>
      <c r="I50" s="17" t="n">
        <f aca="false">E50*Desain_Kolam!$B$9/1000</f>
        <v>842.618925</v>
      </c>
      <c r="J50" s="17" t="n">
        <f aca="false">F50+G50-H50-I50</f>
        <v>-2642.956425</v>
      </c>
      <c r="K50" s="17" t="n">
        <f aca="false">K49+J50</f>
        <v>789.798975000007</v>
      </c>
      <c r="L50" s="17" t="n">
        <f aca="false">MAX(L49,K50)</f>
        <v>8340.97995</v>
      </c>
      <c r="M50" s="17" t="n">
        <f aca="false">L50-K50</f>
        <v>7551.180975</v>
      </c>
      <c r="N50" s="17" t="n">
        <f aca="false">MIN(Desain_Kolam!$B$21,MAX(0,N49+F50+G50-H50-I50))</f>
        <v>3699.81487500001</v>
      </c>
      <c r="O50" s="6" t="n">
        <f aca="false">IF(N49+F50+G50-I50&gt;=H50,1,0)</f>
        <v>1</v>
      </c>
    </row>
    <row r="51" customFormat="false" ht="15" hidden="false" customHeight="false" outlineLevel="0" collapsed="false">
      <c r="A51" s="6" t="n">
        <v>2015</v>
      </c>
      <c r="B51" s="6" t="n">
        <v>10</v>
      </c>
      <c r="C51" s="4" t="n">
        <v>159</v>
      </c>
      <c r="D51" s="6" t="n">
        <v>31</v>
      </c>
      <c r="E51" s="4" t="n">
        <f aca="false">INDEX(Evaporasi!$B$5:$B$16,MATCH(B51,Evaporasi!$A$5:$A$16,0))</f>
        <v>151.5</v>
      </c>
      <c r="F51" s="17" t="n">
        <f aca="false">Kawasan!$B$11*Kawasan!$B$9*C51/1000</f>
        <v>1322.88</v>
      </c>
      <c r="G51" s="17" t="n">
        <f aca="false">C51*Desain_Kolam!$B$9/1000</f>
        <v>841.5075</v>
      </c>
      <c r="H51" s="17" t="n">
        <f aca="false">Kawasan!$B$26*D51</f>
        <v>2380.8</v>
      </c>
      <c r="I51" s="17" t="n">
        <f aca="false">E51*Desain_Kolam!$B$9/1000</f>
        <v>801.81375</v>
      </c>
      <c r="J51" s="17" t="n">
        <f aca="false">F51+G51-H51-I51</f>
        <v>-1018.22625</v>
      </c>
      <c r="K51" s="17" t="n">
        <f aca="false">K50+J51</f>
        <v>-228.427274999992</v>
      </c>
      <c r="L51" s="17" t="n">
        <f aca="false">MAX(L50,K51)</f>
        <v>8340.97995</v>
      </c>
      <c r="M51" s="17" t="n">
        <f aca="false">L51-K51</f>
        <v>8569.407225</v>
      </c>
      <c r="N51" s="17" t="n">
        <f aca="false">MIN(Desain_Kolam!$B$21,MAX(0,N50+F51+G51-H51-I51))</f>
        <v>2681.58862500001</v>
      </c>
      <c r="O51" s="6" t="n">
        <f aca="false">IF(N50+F51+G51-I51&gt;=H51,1,0)</f>
        <v>1</v>
      </c>
    </row>
    <row r="52" customFormat="false" ht="15" hidden="false" customHeight="false" outlineLevel="0" collapsed="false">
      <c r="A52" s="6" t="n">
        <v>2015</v>
      </c>
      <c r="B52" s="6" t="n">
        <v>11</v>
      </c>
      <c r="C52" s="4" t="n">
        <v>471</v>
      </c>
      <c r="D52" s="6" t="n">
        <v>30</v>
      </c>
      <c r="E52" s="4" t="n">
        <f aca="false">INDEX(Evaporasi!$B$5:$B$16,MATCH(B52,Evaporasi!$A$5:$A$16,0))</f>
        <v>142.3</v>
      </c>
      <c r="F52" s="17" t="n">
        <f aca="false">Kawasan!$B$11*Kawasan!$B$9*C52/1000</f>
        <v>3918.72</v>
      </c>
      <c r="G52" s="17" t="n">
        <f aca="false">C52*Desain_Kolam!$B$9/1000</f>
        <v>2492.7675</v>
      </c>
      <c r="H52" s="17" t="n">
        <f aca="false">Kawasan!$B$26*D52</f>
        <v>2304</v>
      </c>
      <c r="I52" s="17" t="n">
        <f aca="false">E52*Desain_Kolam!$B$9/1000</f>
        <v>753.12275</v>
      </c>
      <c r="J52" s="17" t="n">
        <f aca="false">F52+G52-H52-I52</f>
        <v>3354.36475</v>
      </c>
      <c r="K52" s="17" t="n">
        <f aca="false">K51+J52</f>
        <v>3125.93747500001</v>
      </c>
      <c r="L52" s="17" t="n">
        <f aca="false">MAX(L51,K52)</f>
        <v>8340.97995</v>
      </c>
      <c r="M52" s="17" t="n">
        <f aca="false">L52-K52</f>
        <v>5215.042475</v>
      </c>
      <c r="N52" s="17" t="n">
        <f aca="false">MIN(Desain_Kolam!$B$21,MAX(0,N51+F52+G52-H52-I52))</f>
        <v>6035.95337500001</v>
      </c>
      <c r="O52" s="6" t="n">
        <f aca="false">IF(N51+F52+G52-I52&gt;=H52,1,0)</f>
        <v>1</v>
      </c>
    </row>
    <row r="53" customFormat="false" ht="15" hidden="false" customHeight="false" outlineLevel="0" collapsed="false">
      <c r="A53" s="6" t="n">
        <v>2015</v>
      </c>
      <c r="B53" s="6" t="n">
        <v>12</v>
      </c>
      <c r="C53" s="4" t="n">
        <v>252</v>
      </c>
      <c r="D53" s="6" t="n">
        <v>31</v>
      </c>
      <c r="E53" s="4" t="n">
        <f aca="false">INDEX(Evaporasi!$B$5:$B$16,MATCH(B53,Evaporasi!$A$5:$A$16,0))</f>
        <v>145.07</v>
      </c>
      <c r="F53" s="17" t="n">
        <f aca="false">Kawasan!$B$11*Kawasan!$B$9*C53/1000</f>
        <v>2096.64</v>
      </c>
      <c r="G53" s="17" t="n">
        <f aca="false">C53*Desain_Kolam!$B$9/1000</f>
        <v>1333.71</v>
      </c>
      <c r="H53" s="17" t="n">
        <f aca="false">Kawasan!$B$26*D53</f>
        <v>2380.8</v>
      </c>
      <c r="I53" s="17" t="n">
        <f aca="false">E53*Desain_Kolam!$B$9/1000</f>
        <v>767.782975</v>
      </c>
      <c r="J53" s="17" t="n">
        <f aca="false">F53+G53-H53-I53</f>
        <v>281.767025</v>
      </c>
      <c r="K53" s="17" t="n">
        <f aca="false">K52+J53</f>
        <v>3407.70450000001</v>
      </c>
      <c r="L53" s="17" t="n">
        <f aca="false">MAX(L52,K53)</f>
        <v>8340.97995</v>
      </c>
      <c r="M53" s="17" t="n">
        <f aca="false">L53-K53</f>
        <v>4933.27545</v>
      </c>
      <c r="N53" s="17" t="n">
        <f aca="false">MIN(Desain_Kolam!$B$21,MAX(0,N52+F53+G53-H53-I53))</f>
        <v>6317.72040000001</v>
      </c>
      <c r="O53" s="6" t="n">
        <f aca="false">IF(N52+F53+G53-I53&gt;=H53,1,0)</f>
        <v>1</v>
      </c>
    </row>
    <row r="54" customFormat="false" ht="15" hidden="false" customHeight="false" outlineLevel="0" collapsed="false">
      <c r="A54" s="6" t="n">
        <v>2016</v>
      </c>
      <c r="B54" s="6" t="n">
        <v>1</v>
      </c>
      <c r="C54" s="4" t="n">
        <v>245</v>
      </c>
      <c r="D54" s="6" t="n">
        <v>31</v>
      </c>
      <c r="E54" s="4" t="n">
        <f aca="false">INDEX(Evaporasi!$B$5:$B$16,MATCH(B54,Evaporasi!$A$5:$A$16,0))</f>
        <v>149.98</v>
      </c>
      <c r="F54" s="17" t="n">
        <f aca="false">Kawasan!$B$11*Kawasan!$B$9*C54/1000</f>
        <v>2038.4</v>
      </c>
      <c r="G54" s="17" t="n">
        <f aca="false">C54*Desain_Kolam!$B$9/1000</f>
        <v>1296.6625</v>
      </c>
      <c r="H54" s="17" t="n">
        <f aca="false">Kawasan!$B$26*D54</f>
        <v>2380.8</v>
      </c>
      <c r="I54" s="17" t="n">
        <f aca="false">E54*Desain_Kolam!$B$9/1000</f>
        <v>793.76915</v>
      </c>
      <c r="J54" s="17" t="n">
        <f aca="false">F54+G54-H54-I54</f>
        <v>160.49335</v>
      </c>
      <c r="K54" s="17" t="n">
        <f aca="false">K53+J54</f>
        <v>3568.19785000001</v>
      </c>
      <c r="L54" s="17" t="n">
        <f aca="false">MAX(L53,K54)</f>
        <v>8340.97995</v>
      </c>
      <c r="M54" s="17" t="n">
        <f aca="false">L54-K54</f>
        <v>4772.7821</v>
      </c>
      <c r="N54" s="17" t="n">
        <f aca="false">MIN(Desain_Kolam!$B$21,MAX(0,N53+F54+G54-H54-I54))</f>
        <v>6478.21375000001</v>
      </c>
      <c r="O54" s="6" t="n">
        <f aca="false">IF(N53+F54+G54-I54&gt;=H54,1,0)</f>
        <v>1</v>
      </c>
    </row>
    <row r="55" customFormat="false" ht="15" hidden="false" customHeight="false" outlineLevel="0" collapsed="false">
      <c r="A55" s="6" t="n">
        <v>2016</v>
      </c>
      <c r="B55" s="6" t="n">
        <v>2</v>
      </c>
      <c r="C55" s="4" t="n">
        <v>204</v>
      </c>
      <c r="D55" s="6" t="n">
        <v>29</v>
      </c>
      <c r="E55" s="4" t="n">
        <f aca="false">INDEX(Evaporasi!$B$5:$B$16,MATCH(B55,Evaporasi!$A$5:$A$16,0))</f>
        <v>148.64</v>
      </c>
      <c r="F55" s="17" t="n">
        <f aca="false">Kawasan!$B$11*Kawasan!$B$9*C55/1000</f>
        <v>1697.28</v>
      </c>
      <c r="G55" s="17" t="n">
        <f aca="false">C55*Desain_Kolam!$B$9/1000</f>
        <v>1079.67</v>
      </c>
      <c r="H55" s="17" t="n">
        <f aca="false">Kawasan!$B$26*D55</f>
        <v>2227.2</v>
      </c>
      <c r="I55" s="17" t="n">
        <f aca="false">E55*Desain_Kolam!$B$9/1000</f>
        <v>786.6772</v>
      </c>
      <c r="J55" s="17" t="n">
        <f aca="false">F55+G55-H55-I55</f>
        <v>-236.9272</v>
      </c>
      <c r="K55" s="17" t="n">
        <f aca="false">K54+J55</f>
        <v>3331.27065000001</v>
      </c>
      <c r="L55" s="17" t="n">
        <f aca="false">MAX(L54,K55)</f>
        <v>8340.97995</v>
      </c>
      <c r="M55" s="17" t="n">
        <f aca="false">L55-K55</f>
        <v>5009.7093</v>
      </c>
      <c r="N55" s="17" t="n">
        <f aca="false">MIN(Desain_Kolam!$B$21,MAX(0,N54+F55+G55-H55-I55))</f>
        <v>6241.28655000001</v>
      </c>
      <c r="O55" s="6" t="n">
        <f aca="false">IF(N54+F55+G55-I55&gt;=H55,1,0)</f>
        <v>1</v>
      </c>
    </row>
    <row r="56" customFormat="false" ht="15" hidden="false" customHeight="false" outlineLevel="0" collapsed="false">
      <c r="A56" s="6" t="n">
        <v>2016</v>
      </c>
      <c r="B56" s="6" t="n">
        <v>3</v>
      </c>
      <c r="C56" s="4" t="n">
        <v>381</v>
      </c>
      <c r="D56" s="6" t="n">
        <v>31</v>
      </c>
      <c r="E56" s="4" t="n">
        <f aca="false">INDEX(Evaporasi!$B$5:$B$16,MATCH(B56,Evaporasi!$A$5:$A$16,0))</f>
        <v>166.18</v>
      </c>
      <c r="F56" s="17" t="n">
        <f aca="false">Kawasan!$B$11*Kawasan!$B$9*C56/1000</f>
        <v>3169.92</v>
      </c>
      <c r="G56" s="17" t="n">
        <f aca="false">C56*Desain_Kolam!$B$9/1000</f>
        <v>2016.4425</v>
      </c>
      <c r="H56" s="17" t="n">
        <f aca="false">Kawasan!$B$26*D56</f>
        <v>2380.8</v>
      </c>
      <c r="I56" s="17" t="n">
        <f aca="false">E56*Desain_Kolam!$B$9/1000</f>
        <v>879.50765</v>
      </c>
      <c r="J56" s="17" t="n">
        <f aca="false">F56+G56-H56-I56</f>
        <v>1926.05485</v>
      </c>
      <c r="K56" s="17" t="n">
        <f aca="false">K55+J56</f>
        <v>5257.32550000001</v>
      </c>
      <c r="L56" s="17" t="n">
        <f aca="false">MAX(L55,K56)</f>
        <v>8340.97995</v>
      </c>
      <c r="M56" s="17" t="n">
        <f aca="false">L56-K56</f>
        <v>3083.65444999999</v>
      </c>
      <c r="N56" s="17" t="n">
        <f aca="false">MIN(Desain_Kolam!$B$21,MAX(0,N55+F56+G56-H56-I56))</f>
        <v>8167.34140000001</v>
      </c>
      <c r="O56" s="6" t="n">
        <f aca="false">IF(N55+F56+G56-I56&gt;=H56,1,0)</f>
        <v>1</v>
      </c>
    </row>
    <row r="57" customFormat="false" ht="15" hidden="false" customHeight="false" outlineLevel="0" collapsed="false">
      <c r="A57" s="6" t="n">
        <v>2016</v>
      </c>
      <c r="B57" s="6" t="n">
        <v>4</v>
      </c>
      <c r="C57" s="4" t="n">
        <v>274</v>
      </c>
      <c r="D57" s="6" t="n">
        <v>30</v>
      </c>
      <c r="E57" s="4" t="n">
        <f aca="false">INDEX(Evaporasi!$B$5:$B$16,MATCH(B57,Evaporasi!$A$5:$A$16,0))</f>
        <v>157.75</v>
      </c>
      <c r="F57" s="17" t="n">
        <f aca="false">Kawasan!$B$11*Kawasan!$B$9*C57/1000</f>
        <v>2279.68</v>
      </c>
      <c r="G57" s="17" t="n">
        <f aca="false">C57*Desain_Kolam!$B$9/1000</f>
        <v>1450.145</v>
      </c>
      <c r="H57" s="17" t="n">
        <f aca="false">Kawasan!$B$26*D57</f>
        <v>2304</v>
      </c>
      <c r="I57" s="17" t="n">
        <f aca="false">E57*Desain_Kolam!$B$9/1000</f>
        <v>834.891875</v>
      </c>
      <c r="J57" s="17" t="n">
        <f aca="false">F57+G57-H57-I57</f>
        <v>590.933125</v>
      </c>
      <c r="K57" s="17" t="n">
        <f aca="false">K56+J57</f>
        <v>5848.25862500001</v>
      </c>
      <c r="L57" s="17" t="n">
        <f aca="false">MAX(L56,K57)</f>
        <v>8340.97995</v>
      </c>
      <c r="M57" s="17" t="n">
        <f aca="false">L57-K57</f>
        <v>2492.721325</v>
      </c>
      <c r="N57" s="17" t="n">
        <f aca="false">MIN(Desain_Kolam!$B$21,MAX(0,N56+F57+G57-H57-I57))</f>
        <v>8758.27452500001</v>
      </c>
      <c r="O57" s="6" t="n">
        <f aca="false">IF(N56+F57+G57-I57&gt;=H57,1,0)</f>
        <v>1</v>
      </c>
    </row>
    <row r="58" customFormat="false" ht="15" hidden="false" customHeight="false" outlineLevel="0" collapsed="false">
      <c r="A58" s="6" t="n">
        <v>2016</v>
      </c>
      <c r="B58" s="6" t="n">
        <v>5</v>
      </c>
      <c r="C58" s="4" t="n">
        <v>514</v>
      </c>
      <c r="D58" s="6" t="n">
        <v>31</v>
      </c>
      <c r="E58" s="4" t="n">
        <f aca="false">INDEX(Evaporasi!$B$5:$B$16,MATCH(B58,Evaporasi!$A$5:$A$16,0))</f>
        <v>158.35</v>
      </c>
      <c r="F58" s="17" t="n">
        <f aca="false">Kawasan!$B$11*Kawasan!$B$9*C58/1000</f>
        <v>4276.48</v>
      </c>
      <c r="G58" s="17" t="n">
        <f aca="false">C58*Desain_Kolam!$B$9/1000</f>
        <v>2720.345</v>
      </c>
      <c r="H58" s="17" t="n">
        <f aca="false">Kawasan!$B$26*D58</f>
        <v>2380.8</v>
      </c>
      <c r="I58" s="17" t="n">
        <f aca="false">E58*Desain_Kolam!$B$9/1000</f>
        <v>838.067375</v>
      </c>
      <c r="J58" s="17" t="n">
        <f aca="false">F58+G58-H58-I58</f>
        <v>3777.957625</v>
      </c>
      <c r="K58" s="17" t="n">
        <f aca="false">K57+J58</f>
        <v>9626.21625000001</v>
      </c>
      <c r="L58" s="17" t="n">
        <f aca="false">MAX(L57,K58)</f>
        <v>9626.21625000001</v>
      </c>
      <c r="M58" s="17" t="n">
        <f aca="false">L58-K58</f>
        <v>0</v>
      </c>
      <c r="N58" s="17" t="n">
        <f aca="false">MIN(Desain_Kolam!$B$21,MAX(0,N57+F58+G58-H58-I58))</f>
        <v>12536.23215</v>
      </c>
      <c r="O58" s="6" t="n">
        <f aca="false">IF(N57+F58+G58-I58&gt;=H58,1,0)</f>
        <v>1</v>
      </c>
    </row>
    <row r="59" customFormat="false" ht="15" hidden="false" customHeight="false" outlineLevel="0" collapsed="false">
      <c r="A59" s="6" t="n">
        <v>2016</v>
      </c>
      <c r="B59" s="6" t="n">
        <v>6</v>
      </c>
      <c r="C59" s="4" t="n">
        <v>279</v>
      </c>
      <c r="D59" s="6" t="n">
        <v>30</v>
      </c>
      <c r="E59" s="4" t="n">
        <f aca="false">INDEX(Evaporasi!$B$5:$B$16,MATCH(B59,Evaporasi!$A$5:$A$16,0))</f>
        <v>150.17</v>
      </c>
      <c r="F59" s="17" t="n">
        <f aca="false">Kawasan!$B$11*Kawasan!$B$9*C59/1000</f>
        <v>2321.28</v>
      </c>
      <c r="G59" s="17" t="n">
        <f aca="false">C59*Desain_Kolam!$B$9/1000</f>
        <v>1476.6075</v>
      </c>
      <c r="H59" s="17" t="n">
        <f aca="false">Kawasan!$B$26*D59</f>
        <v>2304</v>
      </c>
      <c r="I59" s="17" t="n">
        <f aca="false">E59*Desain_Kolam!$B$9/1000</f>
        <v>794.774725</v>
      </c>
      <c r="J59" s="17" t="n">
        <f aca="false">F59+G59-H59-I59</f>
        <v>699.112775</v>
      </c>
      <c r="K59" s="17" t="n">
        <f aca="false">K58+J59</f>
        <v>10325.329025</v>
      </c>
      <c r="L59" s="17" t="n">
        <f aca="false">MAX(L58,K59)</f>
        <v>10325.329025</v>
      </c>
      <c r="M59" s="17" t="n">
        <f aca="false">L59-K59</f>
        <v>0</v>
      </c>
      <c r="N59" s="17" t="n">
        <f aca="false">MIN(Desain_Kolam!$B$21,MAX(0,N58+F59+G59-H59-I59))</f>
        <v>13235.344925</v>
      </c>
      <c r="O59" s="6" t="n">
        <f aca="false">IF(N58+F59+G59-I59&gt;=H59,1,0)</f>
        <v>1</v>
      </c>
    </row>
    <row r="60" customFormat="false" ht="15" hidden="false" customHeight="false" outlineLevel="0" collapsed="false">
      <c r="A60" s="6" t="n">
        <v>2016</v>
      </c>
      <c r="B60" s="6" t="n">
        <v>7</v>
      </c>
      <c r="C60" s="4" t="n">
        <v>254</v>
      </c>
      <c r="D60" s="6" t="n">
        <v>31</v>
      </c>
      <c r="E60" s="4" t="n">
        <f aca="false">INDEX(Evaporasi!$B$5:$B$16,MATCH(B60,Evaporasi!$A$5:$A$16,0))</f>
        <v>160.84</v>
      </c>
      <c r="F60" s="17" t="n">
        <f aca="false">Kawasan!$B$11*Kawasan!$B$9*C60/1000</f>
        <v>2113.28</v>
      </c>
      <c r="G60" s="17" t="n">
        <f aca="false">C60*Desain_Kolam!$B$9/1000</f>
        <v>1344.295</v>
      </c>
      <c r="H60" s="17" t="n">
        <f aca="false">Kawasan!$B$26*D60</f>
        <v>2380.8</v>
      </c>
      <c r="I60" s="17" t="n">
        <f aca="false">E60*Desain_Kolam!$B$9/1000</f>
        <v>851.2457</v>
      </c>
      <c r="J60" s="17" t="n">
        <f aca="false">F60+G60-H60-I60</f>
        <v>225.529300000001</v>
      </c>
      <c r="K60" s="17" t="n">
        <f aca="false">K59+J60</f>
        <v>10550.858325</v>
      </c>
      <c r="L60" s="17" t="n">
        <f aca="false">MAX(L59,K60)</f>
        <v>10550.858325</v>
      </c>
      <c r="M60" s="17" t="n">
        <f aca="false">L60-K60</f>
        <v>0</v>
      </c>
      <c r="N60" s="17" t="n">
        <f aca="false">MIN(Desain_Kolam!$B$21,MAX(0,N59+F60+G60-H60-I60))</f>
        <v>13460.874225</v>
      </c>
      <c r="O60" s="6" t="n">
        <f aca="false">IF(N59+F60+G60-I60&gt;=H60,1,0)</f>
        <v>1</v>
      </c>
    </row>
    <row r="61" customFormat="false" ht="15" hidden="false" customHeight="false" outlineLevel="0" collapsed="false">
      <c r="A61" s="6" t="n">
        <v>2016</v>
      </c>
      <c r="B61" s="6" t="n">
        <v>8</v>
      </c>
      <c r="C61" s="4" t="n">
        <v>14</v>
      </c>
      <c r="D61" s="6" t="n">
        <v>31</v>
      </c>
      <c r="E61" s="4" t="n">
        <f aca="false">INDEX(Evaporasi!$B$5:$B$16,MATCH(B61,Evaporasi!$A$5:$A$16,0))</f>
        <v>161.16</v>
      </c>
      <c r="F61" s="17" t="n">
        <f aca="false">Kawasan!$B$11*Kawasan!$B$9*C61/1000</f>
        <v>116.48</v>
      </c>
      <c r="G61" s="17" t="n">
        <f aca="false">C61*Desain_Kolam!$B$9/1000</f>
        <v>74.095</v>
      </c>
      <c r="H61" s="17" t="n">
        <f aca="false">Kawasan!$B$26*D61</f>
        <v>2380.8</v>
      </c>
      <c r="I61" s="17" t="n">
        <f aca="false">E61*Desain_Kolam!$B$9/1000</f>
        <v>852.9393</v>
      </c>
      <c r="J61" s="17" t="n">
        <f aca="false">F61+G61-H61-I61</f>
        <v>-3043.1643</v>
      </c>
      <c r="K61" s="17" t="n">
        <f aca="false">K60+J61</f>
        <v>7507.69402500001</v>
      </c>
      <c r="L61" s="17" t="n">
        <f aca="false">MAX(L60,K61)</f>
        <v>10550.858325</v>
      </c>
      <c r="M61" s="17" t="n">
        <f aca="false">L61-K61</f>
        <v>3043.1643</v>
      </c>
      <c r="N61" s="17" t="n">
        <f aca="false">MIN(Desain_Kolam!$B$21,MAX(0,N60+F61+G61-H61-I61))</f>
        <v>10417.709925</v>
      </c>
      <c r="O61" s="6" t="n">
        <f aca="false">IF(N60+F61+G61-I61&gt;=H61,1,0)</f>
        <v>1</v>
      </c>
    </row>
    <row r="62" customFormat="false" ht="15" hidden="false" customHeight="false" outlineLevel="0" collapsed="false">
      <c r="A62" s="6" t="n">
        <v>2016</v>
      </c>
      <c r="B62" s="6" t="n">
        <v>9</v>
      </c>
      <c r="C62" s="4" t="n">
        <v>200</v>
      </c>
      <c r="D62" s="6" t="n">
        <v>30</v>
      </c>
      <c r="E62" s="4" t="n">
        <f aca="false">INDEX(Evaporasi!$B$5:$B$16,MATCH(B62,Evaporasi!$A$5:$A$16,0))</f>
        <v>159.21</v>
      </c>
      <c r="F62" s="17" t="n">
        <f aca="false">Kawasan!$B$11*Kawasan!$B$9*C62/1000</f>
        <v>1664</v>
      </c>
      <c r="G62" s="17" t="n">
        <f aca="false">C62*Desain_Kolam!$B$9/1000</f>
        <v>1058.5</v>
      </c>
      <c r="H62" s="17" t="n">
        <f aca="false">Kawasan!$B$26*D62</f>
        <v>2304</v>
      </c>
      <c r="I62" s="17" t="n">
        <f aca="false">E62*Desain_Kolam!$B$9/1000</f>
        <v>842.618925</v>
      </c>
      <c r="J62" s="17" t="n">
        <f aca="false">F62+G62-H62-I62</f>
        <v>-424.118925</v>
      </c>
      <c r="K62" s="17" t="n">
        <f aca="false">K61+J62</f>
        <v>7083.57510000001</v>
      </c>
      <c r="L62" s="17" t="n">
        <f aca="false">MAX(L61,K62)</f>
        <v>10550.858325</v>
      </c>
      <c r="M62" s="17" t="n">
        <f aca="false">L62-K62</f>
        <v>3467.283225</v>
      </c>
      <c r="N62" s="17" t="n">
        <f aca="false">MIN(Desain_Kolam!$B$21,MAX(0,N61+F62+G62-H62-I62))</f>
        <v>9993.59100000001</v>
      </c>
      <c r="O62" s="6" t="n">
        <f aca="false">IF(N61+F62+G62-I62&gt;=H62,1,0)</f>
        <v>1</v>
      </c>
    </row>
    <row r="63" customFormat="false" ht="15" hidden="false" customHeight="false" outlineLevel="0" collapsed="false">
      <c r="A63" s="6" t="n">
        <v>2016</v>
      </c>
      <c r="B63" s="6" t="n">
        <v>10</v>
      </c>
      <c r="C63" s="4" t="n">
        <v>302</v>
      </c>
      <c r="D63" s="6" t="n">
        <v>31</v>
      </c>
      <c r="E63" s="4" t="n">
        <f aca="false">INDEX(Evaporasi!$B$5:$B$16,MATCH(B63,Evaporasi!$A$5:$A$16,0))</f>
        <v>151.5</v>
      </c>
      <c r="F63" s="17" t="n">
        <f aca="false">Kawasan!$B$11*Kawasan!$B$9*C63/1000</f>
        <v>2512.64</v>
      </c>
      <c r="G63" s="17" t="n">
        <f aca="false">C63*Desain_Kolam!$B$9/1000</f>
        <v>1598.335</v>
      </c>
      <c r="H63" s="17" t="n">
        <f aca="false">Kawasan!$B$26*D63</f>
        <v>2380.8</v>
      </c>
      <c r="I63" s="17" t="n">
        <f aca="false">E63*Desain_Kolam!$B$9/1000</f>
        <v>801.81375</v>
      </c>
      <c r="J63" s="17" t="n">
        <f aca="false">F63+G63-H63-I63</f>
        <v>928.361250000001</v>
      </c>
      <c r="K63" s="17" t="n">
        <f aca="false">K62+J63</f>
        <v>8011.93635000001</v>
      </c>
      <c r="L63" s="17" t="n">
        <f aca="false">MAX(L62,K63)</f>
        <v>10550.858325</v>
      </c>
      <c r="M63" s="17" t="n">
        <f aca="false">L63-K63</f>
        <v>2538.921975</v>
      </c>
      <c r="N63" s="17" t="n">
        <f aca="false">MIN(Desain_Kolam!$B$21,MAX(0,N62+F63+G63-H63-I63))</f>
        <v>10921.95225</v>
      </c>
      <c r="O63" s="6" t="n">
        <f aca="false">IF(N62+F63+G63-I63&gt;=H63,1,0)</f>
        <v>1</v>
      </c>
    </row>
    <row r="64" customFormat="false" ht="15" hidden="false" customHeight="false" outlineLevel="0" collapsed="false">
      <c r="A64" s="6" t="n">
        <v>2016</v>
      </c>
      <c r="B64" s="6" t="n">
        <v>11</v>
      </c>
      <c r="C64" s="4" t="n">
        <v>256</v>
      </c>
      <c r="D64" s="6" t="n">
        <v>30</v>
      </c>
      <c r="E64" s="4" t="n">
        <f aca="false">INDEX(Evaporasi!$B$5:$B$16,MATCH(B64,Evaporasi!$A$5:$A$16,0))</f>
        <v>142.3</v>
      </c>
      <c r="F64" s="17" t="n">
        <f aca="false">Kawasan!$B$11*Kawasan!$B$9*C64/1000</f>
        <v>2129.92</v>
      </c>
      <c r="G64" s="17" t="n">
        <f aca="false">C64*Desain_Kolam!$B$9/1000</f>
        <v>1354.88</v>
      </c>
      <c r="H64" s="17" t="n">
        <f aca="false">Kawasan!$B$26*D64</f>
        <v>2304</v>
      </c>
      <c r="I64" s="17" t="n">
        <f aca="false">E64*Desain_Kolam!$B$9/1000</f>
        <v>753.12275</v>
      </c>
      <c r="J64" s="17" t="n">
        <f aca="false">F64+G64-H64-I64</f>
        <v>427.67725</v>
      </c>
      <c r="K64" s="17" t="n">
        <f aca="false">K63+J64</f>
        <v>8439.61360000001</v>
      </c>
      <c r="L64" s="17" t="n">
        <f aca="false">MAX(L63,K64)</f>
        <v>10550.858325</v>
      </c>
      <c r="M64" s="17" t="n">
        <f aca="false">L64-K64</f>
        <v>2111.244725</v>
      </c>
      <c r="N64" s="17" t="n">
        <f aca="false">MIN(Desain_Kolam!$B$21,MAX(0,N63+F64+G64-H64-I64))</f>
        <v>11349.6295</v>
      </c>
      <c r="O64" s="6" t="n">
        <f aca="false">IF(N63+F64+G64-I64&gt;=H64,1,0)</f>
        <v>1</v>
      </c>
    </row>
    <row r="65" customFormat="false" ht="15" hidden="false" customHeight="false" outlineLevel="0" collapsed="false">
      <c r="A65" s="6" t="n">
        <v>2016</v>
      </c>
      <c r="B65" s="6" t="n">
        <v>12</v>
      </c>
      <c r="C65" s="4" t="n">
        <v>305</v>
      </c>
      <c r="D65" s="6" t="n">
        <v>31</v>
      </c>
      <c r="E65" s="4" t="n">
        <f aca="false">INDEX(Evaporasi!$B$5:$B$16,MATCH(B65,Evaporasi!$A$5:$A$16,0))</f>
        <v>145.07</v>
      </c>
      <c r="F65" s="17" t="n">
        <f aca="false">Kawasan!$B$11*Kawasan!$B$9*C65/1000</f>
        <v>2537.6</v>
      </c>
      <c r="G65" s="17" t="n">
        <f aca="false">C65*Desain_Kolam!$B$9/1000</f>
        <v>1614.2125</v>
      </c>
      <c r="H65" s="17" t="n">
        <f aca="false">Kawasan!$B$26*D65</f>
        <v>2380.8</v>
      </c>
      <c r="I65" s="17" t="n">
        <f aca="false">E65*Desain_Kolam!$B$9/1000</f>
        <v>767.782975</v>
      </c>
      <c r="J65" s="17" t="n">
        <f aca="false">F65+G65-H65-I65</f>
        <v>1003.229525</v>
      </c>
      <c r="K65" s="17" t="n">
        <f aca="false">K64+J65</f>
        <v>9442.84312500001</v>
      </c>
      <c r="L65" s="17" t="n">
        <f aca="false">MAX(L64,K65)</f>
        <v>10550.858325</v>
      </c>
      <c r="M65" s="17" t="n">
        <f aca="false">L65-K65</f>
        <v>1108.0152</v>
      </c>
      <c r="N65" s="17" t="n">
        <f aca="false">MIN(Desain_Kolam!$B$21,MAX(0,N64+F65+G65-H65-I65))</f>
        <v>12352.859025</v>
      </c>
      <c r="O65" s="6" t="n">
        <f aca="false">IF(N64+F65+G65-I65&gt;=H65,1,0)</f>
        <v>1</v>
      </c>
    </row>
    <row r="66" customFormat="false" ht="15" hidden="false" customHeight="false" outlineLevel="0" collapsed="false">
      <c r="A66" s="6" t="n">
        <v>2017</v>
      </c>
      <c r="B66" s="6" t="n">
        <v>1</v>
      </c>
      <c r="C66" s="4" t="n">
        <v>212</v>
      </c>
      <c r="D66" s="6" t="n">
        <v>31</v>
      </c>
      <c r="E66" s="4" t="n">
        <f aca="false">INDEX(Evaporasi!$B$5:$B$16,MATCH(B66,Evaporasi!$A$5:$A$16,0))</f>
        <v>149.98</v>
      </c>
      <c r="F66" s="17" t="n">
        <f aca="false">Kawasan!$B$11*Kawasan!$B$9*C66/1000</f>
        <v>1763.84</v>
      </c>
      <c r="G66" s="17" t="n">
        <f aca="false">C66*Desain_Kolam!$B$9/1000</f>
        <v>1122.01</v>
      </c>
      <c r="H66" s="17" t="n">
        <f aca="false">Kawasan!$B$26*D66</f>
        <v>2380.8</v>
      </c>
      <c r="I66" s="17" t="n">
        <f aca="false">E66*Desain_Kolam!$B$9/1000</f>
        <v>793.76915</v>
      </c>
      <c r="J66" s="17" t="n">
        <f aca="false">F66+G66-H66-I66</f>
        <v>-288.71915</v>
      </c>
      <c r="K66" s="17" t="n">
        <f aca="false">K65+J66</f>
        <v>9154.12397500001</v>
      </c>
      <c r="L66" s="17" t="n">
        <f aca="false">MAX(L65,K66)</f>
        <v>10550.858325</v>
      </c>
      <c r="M66" s="17" t="n">
        <f aca="false">L66-K66</f>
        <v>1396.73435</v>
      </c>
      <c r="N66" s="17" t="n">
        <f aca="false">MIN(Desain_Kolam!$B$21,MAX(0,N65+F66+G66-H66-I66))</f>
        <v>12064.139875</v>
      </c>
      <c r="O66" s="6" t="n">
        <f aca="false">IF(N65+F66+G66-I66&gt;=H66,1,0)</f>
        <v>1</v>
      </c>
    </row>
    <row r="67" customFormat="false" ht="15" hidden="false" customHeight="false" outlineLevel="0" collapsed="false">
      <c r="A67" s="6" t="n">
        <v>2017</v>
      </c>
      <c r="B67" s="6" t="n">
        <v>2</v>
      </c>
      <c r="C67" s="4" t="n">
        <v>198</v>
      </c>
      <c r="D67" s="6" t="n">
        <v>28</v>
      </c>
      <c r="E67" s="4" t="n">
        <f aca="false">INDEX(Evaporasi!$B$5:$B$16,MATCH(B67,Evaporasi!$A$5:$A$16,0))</f>
        <v>148.64</v>
      </c>
      <c r="F67" s="17" t="n">
        <f aca="false">Kawasan!$B$11*Kawasan!$B$9*C67/1000</f>
        <v>1647.36</v>
      </c>
      <c r="G67" s="17" t="n">
        <f aca="false">C67*Desain_Kolam!$B$9/1000</f>
        <v>1047.915</v>
      </c>
      <c r="H67" s="17" t="n">
        <f aca="false">Kawasan!$B$26*D67</f>
        <v>2150.4</v>
      </c>
      <c r="I67" s="17" t="n">
        <f aca="false">E67*Desain_Kolam!$B$9/1000</f>
        <v>786.6772</v>
      </c>
      <c r="J67" s="17" t="n">
        <f aca="false">F67+G67-H67-I67</f>
        <v>-241.8022</v>
      </c>
      <c r="K67" s="17" t="n">
        <f aca="false">K66+J67</f>
        <v>8912.32177500001</v>
      </c>
      <c r="L67" s="17" t="n">
        <f aca="false">MAX(L66,K67)</f>
        <v>10550.858325</v>
      </c>
      <c r="M67" s="17" t="n">
        <f aca="false">L67-K67</f>
        <v>1638.53655</v>
      </c>
      <c r="N67" s="17" t="n">
        <f aca="false">MIN(Desain_Kolam!$B$21,MAX(0,N66+F67+G67-H67-I67))</f>
        <v>11822.337675</v>
      </c>
      <c r="O67" s="6" t="n">
        <f aca="false">IF(N66+F67+G67-I67&gt;=H67,1,0)</f>
        <v>1</v>
      </c>
    </row>
    <row r="68" customFormat="false" ht="15" hidden="false" customHeight="false" outlineLevel="0" collapsed="false">
      <c r="A68" s="6" t="n">
        <v>2017</v>
      </c>
      <c r="B68" s="6" t="n">
        <v>3</v>
      </c>
      <c r="C68" s="4" t="n">
        <v>310</v>
      </c>
      <c r="D68" s="6" t="n">
        <v>31</v>
      </c>
      <c r="E68" s="4" t="n">
        <f aca="false">INDEX(Evaporasi!$B$5:$B$16,MATCH(B68,Evaporasi!$A$5:$A$16,0))</f>
        <v>166.18</v>
      </c>
      <c r="F68" s="17" t="n">
        <f aca="false">Kawasan!$B$11*Kawasan!$B$9*C68/1000</f>
        <v>2579.2</v>
      </c>
      <c r="G68" s="17" t="n">
        <f aca="false">C68*Desain_Kolam!$B$9/1000</f>
        <v>1640.675</v>
      </c>
      <c r="H68" s="17" t="n">
        <f aca="false">Kawasan!$B$26*D68</f>
        <v>2380.8</v>
      </c>
      <c r="I68" s="17" t="n">
        <f aca="false">E68*Desain_Kolam!$B$9/1000</f>
        <v>879.50765</v>
      </c>
      <c r="J68" s="17" t="n">
        <f aca="false">F68+G68-H68-I68</f>
        <v>959.56735</v>
      </c>
      <c r="K68" s="17" t="n">
        <f aca="false">K67+J68</f>
        <v>9871.88912500001</v>
      </c>
      <c r="L68" s="17" t="n">
        <f aca="false">MAX(L67,K68)</f>
        <v>10550.858325</v>
      </c>
      <c r="M68" s="17" t="n">
        <f aca="false">L68-K68</f>
        <v>678.969199999998</v>
      </c>
      <c r="N68" s="17" t="n">
        <f aca="false">MIN(Desain_Kolam!$B$21,MAX(0,N67+F68+G68-H68-I68))</f>
        <v>12781.905025</v>
      </c>
      <c r="O68" s="6" t="n">
        <f aca="false">IF(N67+F68+G68-I68&gt;=H68,1,0)</f>
        <v>1</v>
      </c>
    </row>
    <row r="69" customFormat="false" ht="15" hidden="false" customHeight="false" outlineLevel="0" collapsed="false">
      <c r="A69" s="6" t="n">
        <v>2017</v>
      </c>
      <c r="B69" s="6" t="n">
        <v>4</v>
      </c>
      <c r="C69" s="4" t="n">
        <v>216</v>
      </c>
      <c r="D69" s="6" t="n">
        <v>30</v>
      </c>
      <c r="E69" s="4" t="n">
        <f aca="false">INDEX(Evaporasi!$B$5:$B$16,MATCH(B69,Evaporasi!$A$5:$A$16,0))</f>
        <v>157.75</v>
      </c>
      <c r="F69" s="17" t="n">
        <f aca="false">Kawasan!$B$11*Kawasan!$B$9*C69/1000</f>
        <v>1797.12</v>
      </c>
      <c r="G69" s="17" t="n">
        <f aca="false">C69*Desain_Kolam!$B$9/1000</f>
        <v>1143.18</v>
      </c>
      <c r="H69" s="17" t="n">
        <f aca="false">Kawasan!$B$26*D69</f>
        <v>2304</v>
      </c>
      <c r="I69" s="17" t="n">
        <f aca="false">E69*Desain_Kolam!$B$9/1000</f>
        <v>834.891875</v>
      </c>
      <c r="J69" s="17" t="n">
        <f aca="false">F69+G69-H69-I69</f>
        <v>-198.591875</v>
      </c>
      <c r="K69" s="17" t="n">
        <f aca="false">K68+J69</f>
        <v>9673.29725000001</v>
      </c>
      <c r="L69" s="17" t="n">
        <f aca="false">MAX(L68,K69)</f>
        <v>10550.858325</v>
      </c>
      <c r="M69" s="17" t="n">
        <f aca="false">L69-K69</f>
        <v>877.561074999998</v>
      </c>
      <c r="N69" s="17" t="n">
        <f aca="false">MIN(Desain_Kolam!$B$21,MAX(0,N68+F69+G69-H69-I69))</f>
        <v>12583.31315</v>
      </c>
      <c r="O69" s="6" t="n">
        <f aca="false">IF(N68+F69+G69-I69&gt;=H69,1,0)</f>
        <v>1</v>
      </c>
    </row>
    <row r="70" customFormat="false" ht="15" hidden="false" customHeight="false" outlineLevel="0" collapsed="false">
      <c r="A70" s="6" t="n">
        <v>2017</v>
      </c>
      <c r="B70" s="6" t="n">
        <v>5</v>
      </c>
      <c r="C70" s="4" t="n">
        <v>314</v>
      </c>
      <c r="D70" s="6" t="n">
        <v>31</v>
      </c>
      <c r="E70" s="4" t="n">
        <f aca="false">INDEX(Evaporasi!$B$5:$B$16,MATCH(B70,Evaporasi!$A$5:$A$16,0))</f>
        <v>158.35</v>
      </c>
      <c r="F70" s="17" t="n">
        <f aca="false">Kawasan!$B$11*Kawasan!$B$9*C70/1000</f>
        <v>2612.48</v>
      </c>
      <c r="G70" s="17" t="n">
        <f aca="false">C70*Desain_Kolam!$B$9/1000</f>
        <v>1661.845</v>
      </c>
      <c r="H70" s="17" t="n">
        <f aca="false">Kawasan!$B$26*D70</f>
        <v>2380.8</v>
      </c>
      <c r="I70" s="17" t="n">
        <f aca="false">E70*Desain_Kolam!$B$9/1000</f>
        <v>838.067375</v>
      </c>
      <c r="J70" s="17" t="n">
        <f aca="false">F70+G70-H70-I70</f>
        <v>1055.457625</v>
      </c>
      <c r="K70" s="17" t="n">
        <f aca="false">K69+J70</f>
        <v>10728.754875</v>
      </c>
      <c r="L70" s="17" t="n">
        <f aca="false">MAX(L69,K70)</f>
        <v>10728.754875</v>
      </c>
      <c r="M70" s="17" t="n">
        <f aca="false">L70-K70</f>
        <v>0</v>
      </c>
      <c r="N70" s="17" t="n">
        <f aca="false">MIN(Desain_Kolam!$B$21,MAX(0,N69+F70+G70-H70-I70))</f>
        <v>13638.770775</v>
      </c>
      <c r="O70" s="6" t="n">
        <f aca="false">IF(N69+F70+G70-I70&gt;=H70,1,0)</f>
        <v>1</v>
      </c>
    </row>
    <row r="71" customFormat="false" ht="15" hidden="false" customHeight="false" outlineLevel="0" collapsed="false">
      <c r="A71" s="6" t="n">
        <v>2017</v>
      </c>
      <c r="B71" s="6" t="n">
        <v>6</v>
      </c>
      <c r="C71" s="4" t="n">
        <v>248</v>
      </c>
      <c r="D71" s="6" t="n">
        <v>30</v>
      </c>
      <c r="E71" s="4" t="n">
        <f aca="false">INDEX(Evaporasi!$B$5:$B$16,MATCH(B71,Evaporasi!$A$5:$A$16,0))</f>
        <v>150.17</v>
      </c>
      <c r="F71" s="17" t="n">
        <f aca="false">Kawasan!$B$11*Kawasan!$B$9*C71/1000</f>
        <v>2063.36</v>
      </c>
      <c r="G71" s="17" t="n">
        <f aca="false">C71*Desain_Kolam!$B$9/1000</f>
        <v>1312.54</v>
      </c>
      <c r="H71" s="17" t="n">
        <f aca="false">Kawasan!$B$26*D71</f>
        <v>2304</v>
      </c>
      <c r="I71" s="17" t="n">
        <f aca="false">E71*Desain_Kolam!$B$9/1000</f>
        <v>794.774725</v>
      </c>
      <c r="J71" s="17" t="n">
        <f aca="false">F71+G71-H71-I71</f>
        <v>277.125275</v>
      </c>
      <c r="K71" s="17" t="n">
        <f aca="false">K70+J71</f>
        <v>11005.88015</v>
      </c>
      <c r="L71" s="17" t="n">
        <f aca="false">MAX(L70,K71)</f>
        <v>11005.88015</v>
      </c>
      <c r="M71" s="17" t="n">
        <f aca="false">L71-K71</f>
        <v>0</v>
      </c>
      <c r="N71" s="17" t="n">
        <f aca="false">MIN(Desain_Kolam!$B$21,MAX(0,N70+F71+G71-H71-I71))</f>
        <v>13915.89605</v>
      </c>
      <c r="O71" s="6" t="n">
        <f aca="false">IF(N70+F71+G71-I71&gt;=H71,1,0)</f>
        <v>1</v>
      </c>
    </row>
    <row r="72" customFormat="false" ht="15" hidden="false" customHeight="false" outlineLevel="0" collapsed="false">
      <c r="A72" s="6" t="n">
        <v>2017</v>
      </c>
      <c r="B72" s="6" t="n">
        <v>7</v>
      </c>
      <c r="C72" s="4" t="n">
        <v>279</v>
      </c>
      <c r="D72" s="6" t="n">
        <v>31</v>
      </c>
      <c r="E72" s="4" t="n">
        <f aca="false">INDEX(Evaporasi!$B$5:$B$16,MATCH(B72,Evaporasi!$A$5:$A$16,0))</f>
        <v>160.84</v>
      </c>
      <c r="F72" s="17" t="n">
        <f aca="false">Kawasan!$B$11*Kawasan!$B$9*C72/1000</f>
        <v>2321.28</v>
      </c>
      <c r="G72" s="17" t="n">
        <f aca="false">C72*Desain_Kolam!$B$9/1000</f>
        <v>1476.6075</v>
      </c>
      <c r="H72" s="17" t="n">
        <f aca="false">Kawasan!$B$26*D72</f>
        <v>2380.8</v>
      </c>
      <c r="I72" s="17" t="n">
        <f aca="false">E72*Desain_Kolam!$B$9/1000</f>
        <v>851.2457</v>
      </c>
      <c r="J72" s="17" t="n">
        <f aca="false">F72+G72-H72-I72</f>
        <v>565.841800000001</v>
      </c>
      <c r="K72" s="17" t="n">
        <f aca="false">K71+J72</f>
        <v>11571.72195</v>
      </c>
      <c r="L72" s="17" t="n">
        <f aca="false">MAX(L71,K72)</f>
        <v>11571.72195</v>
      </c>
      <c r="M72" s="17" t="n">
        <f aca="false">L72-K72</f>
        <v>0</v>
      </c>
      <c r="N72" s="17" t="n">
        <f aca="false">MIN(Desain_Kolam!$B$21,MAX(0,N71+F72+G72-H72-I72))</f>
        <v>14481.73785</v>
      </c>
      <c r="O72" s="6" t="n">
        <f aca="false">IF(N71+F72+G72-I72&gt;=H72,1,0)</f>
        <v>1</v>
      </c>
    </row>
    <row r="73" customFormat="false" ht="15" hidden="false" customHeight="false" outlineLevel="0" collapsed="false">
      <c r="A73" s="6" t="n">
        <v>2017</v>
      </c>
      <c r="B73" s="6" t="n">
        <v>8</v>
      </c>
      <c r="C73" s="4" t="n">
        <v>321</v>
      </c>
      <c r="D73" s="6" t="n">
        <v>31</v>
      </c>
      <c r="E73" s="4" t="n">
        <f aca="false">INDEX(Evaporasi!$B$5:$B$16,MATCH(B73,Evaporasi!$A$5:$A$16,0))</f>
        <v>161.16</v>
      </c>
      <c r="F73" s="17" t="n">
        <f aca="false">Kawasan!$B$11*Kawasan!$B$9*C73/1000</f>
        <v>2670.72</v>
      </c>
      <c r="G73" s="17" t="n">
        <f aca="false">C73*Desain_Kolam!$B$9/1000</f>
        <v>1698.8925</v>
      </c>
      <c r="H73" s="17" t="n">
        <f aca="false">Kawasan!$B$26*D73</f>
        <v>2380.8</v>
      </c>
      <c r="I73" s="17" t="n">
        <f aca="false">E73*Desain_Kolam!$B$9/1000</f>
        <v>852.9393</v>
      </c>
      <c r="J73" s="17" t="n">
        <f aca="false">F73+G73-H73-I73</f>
        <v>1135.8732</v>
      </c>
      <c r="K73" s="17" t="n">
        <f aca="false">K72+J73</f>
        <v>12707.59515</v>
      </c>
      <c r="L73" s="17" t="n">
        <f aca="false">MAX(L72,K73)</f>
        <v>12707.59515</v>
      </c>
      <c r="M73" s="17" t="n">
        <f aca="false">L73-K73</f>
        <v>0</v>
      </c>
      <c r="N73" s="17" t="n">
        <f aca="false">MIN(Desain_Kolam!$B$21,MAX(0,N72+F73+G73-H73-I73))</f>
        <v>15617.61105</v>
      </c>
      <c r="O73" s="6" t="n">
        <f aca="false">IF(N72+F73+G73-I73&gt;=H73,1,0)</f>
        <v>1</v>
      </c>
    </row>
    <row r="74" customFormat="false" ht="15" hidden="false" customHeight="false" outlineLevel="0" collapsed="false">
      <c r="A74" s="6" t="n">
        <v>2017</v>
      </c>
      <c r="B74" s="6" t="n">
        <v>9</v>
      </c>
      <c r="C74" s="4" t="n">
        <v>122</v>
      </c>
      <c r="D74" s="6" t="n">
        <v>30</v>
      </c>
      <c r="E74" s="4" t="n">
        <f aca="false">INDEX(Evaporasi!$B$5:$B$16,MATCH(B74,Evaporasi!$A$5:$A$16,0))</f>
        <v>159.21</v>
      </c>
      <c r="F74" s="17" t="n">
        <f aca="false">Kawasan!$B$11*Kawasan!$B$9*C74/1000</f>
        <v>1015.04</v>
      </c>
      <c r="G74" s="17" t="n">
        <f aca="false">C74*Desain_Kolam!$B$9/1000</f>
        <v>645.685</v>
      </c>
      <c r="H74" s="17" t="n">
        <f aca="false">Kawasan!$B$26*D74</f>
        <v>2304</v>
      </c>
      <c r="I74" s="17" t="n">
        <f aca="false">E74*Desain_Kolam!$B$9/1000</f>
        <v>842.618925</v>
      </c>
      <c r="J74" s="17" t="n">
        <f aca="false">F74+G74-H74-I74</f>
        <v>-1485.893925</v>
      </c>
      <c r="K74" s="17" t="n">
        <f aca="false">K73+J74</f>
        <v>11221.701225</v>
      </c>
      <c r="L74" s="17" t="n">
        <f aca="false">MAX(L73,K74)</f>
        <v>12707.59515</v>
      </c>
      <c r="M74" s="17" t="n">
        <f aca="false">L74-K74</f>
        <v>1485.893925</v>
      </c>
      <c r="N74" s="17" t="n">
        <f aca="false">MIN(Desain_Kolam!$B$21,MAX(0,N73+F74+G74-H74-I74))</f>
        <v>14131.717125</v>
      </c>
      <c r="O74" s="6" t="n">
        <f aca="false">IF(N73+F74+G74-I74&gt;=H74,1,0)</f>
        <v>1</v>
      </c>
    </row>
    <row r="75" customFormat="false" ht="15" hidden="false" customHeight="false" outlineLevel="0" collapsed="false">
      <c r="A75" s="6" t="n">
        <v>2017</v>
      </c>
      <c r="B75" s="6" t="n">
        <v>10</v>
      </c>
      <c r="C75" s="4" t="n">
        <v>107</v>
      </c>
      <c r="D75" s="6" t="n">
        <v>31</v>
      </c>
      <c r="E75" s="4" t="n">
        <f aca="false">INDEX(Evaporasi!$B$5:$B$16,MATCH(B75,Evaporasi!$A$5:$A$16,0))</f>
        <v>151.5</v>
      </c>
      <c r="F75" s="17" t="n">
        <f aca="false">Kawasan!$B$11*Kawasan!$B$9*C75/1000</f>
        <v>890.24</v>
      </c>
      <c r="G75" s="17" t="n">
        <f aca="false">C75*Desain_Kolam!$B$9/1000</f>
        <v>566.2975</v>
      </c>
      <c r="H75" s="17" t="n">
        <f aca="false">Kawasan!$B$26*D75</f>
        <v>2380.8</v>
      </c>
      <c r="I75" s="17" t="n">
        <f aca="false">E75*Desain_Kolam!$B$9/1000</f>
        <v>801.81375</v>
      </c>
      <c r="J75" s="17" t="n">
        <f aca="false">F75+G75-H75-I75</f>
        <v>-1726.07625</v>
      </c>
      <c r="K75" s="17" t="n">
        <f aca="false">K74+J75</f>
        <v>9495.62497500001</v>
      </c>
      <c r="L75" s="17" t="n">
        <f aca="false">MAX(L74,K75)</f>
        <v>12707.59515</v>
      </c>
      <c r="M75" s="17" t="n">
        <f aca="false">L75-K75</f>
        <v>3211.970175</v>
      </c>
      <c r="N75" s="17" t="n">
        <f aca="false">MIN(Desain_Kolam!$B$21,MAX(0,N74+F75+G75-H75-I75))</f>
        <v>12405.640875</v>
      </c>
      <c r="O75" s="6" t="n">
        <f aca="false">IF(N74+F75+G75-I75&gt;=H75,1,0)</f>
        <v>1</v>
      </c>
    </row>
    <row r="76" customFormat="false" ht="15" hidden="false" customHeight="false" outlineLevel="0" collapsed="false">
      <c r="A76" s="6" t="n">
        <v>2017</v>
      </c>
      <c r="B76" s="6" t="n">
        <v>11</v>
      </c>
      <c r="C76" s="4" t="n">
        <v>184</v>
      </c>
      <c r="D76" s="6" t="n">
        <v>30</v>
      </c>
      <c r="E76" s="4" t="n">
        <f aca="false">INDEX(Evaporasi!$B$5:$B$16,MATCH(B76,Evaporasi!$A$5:$A$16,0))</f>
        <v>142.3</v>
      </c>
      <c r="F76" s="17" t="n">
        <f aca="false">Kawasan!$B$11*Kawasan!$B$9*C76/1000</f>
        <v>1530.88</v>
      </c>
      <c r="G76" s="17" t="n">
        <f aca="false">C76*Desain_Kolam!$B$9/1000</f>
        <v>973.82</v>
      </c>
      <c r="H76" s="17" t="n">
        <f aca="false">Kawasan!$B$26*D76</f>
        <v>2304</v>
      </c>
      <c r="I76" s="17" t="n">
        <f aca="false">E76*Desain_Kolam!$B$9/1000</f>
        <v>753.12275</v>
      </c>
      <c r="J76" s="17" t="n">
        <f aca="false">F76+G76-H76-I76</f>
        <v>-552.42275</v>
      </c>
      <c r="K76" s="17" t="n">
        <f aca="false">K75+J76</f>
        <v>8943.20222500001</v>
      </c>
      <c r="L76" s="17" t="n">
        <f aca="false">MAX(L75,K76)</f>
        <v>12707.59515</v>
      </c>
      <c r="M76" s="17" t="n">
        <f aca="false">L76-K76</f>
        <v>3764.392925</v>
      </c>
      <c r="N76" s="17" t="n">
        <f aca="false">MIN(Desain_Kolam!$B$21,MAX(0,N75+F76+G76-H76-I76))</f>
        <v>11853.218125</v>
      </c>
      <c r="O76" s="6" t="n">
        <f aca="false">IF(N75+F76+G76-I76&gt;=H76,1,0)</f>
        <v>1</v>
      </c>
    </row>
    <row r="77" customFormat="false" ht="15" hidden="false" customHeight="false" outlineLevel="0" collapsed="false">
      <c r="A77" s="6" t="n">
        <v>2017</v>
      </c>
      <c r="B77" s="6" t="n">
        <v>12</v>
      </c>
      <c r="C77" s="4" t="n">
        <v>120</v>
      </c>
      <c r="D77" s="6" t="n">
        <v>31</v>
      </c>
      <c r="E77" s="4" t="n">
        <f aca="false">INDEX(Evaporasi!$B$5:$B$16,MATCH(B77,Evaporasi!$A$5:$A$16,0))</f>
        <v>145.07</v>
      </c>
      <c r="F77" s="17" t="n">
        <f aca="false">Kawasan!$B$11*Kawasan!$B$9*C77/1000</f>
        <v>998.4</v>
      </c>
      <c r="G77" s="17" t="n">
        <f aca="false">C77*Desain_Kolam!$B$9/1000</f>
        <v>635.1</v>
      </c>
      <c r="H77" s="17" t="n">
        <f aca="false">Kawasan!$B$26*D77</f>
        <v>2380.8</v>
      </c>
      <c r="I77" s="17" t="n">
        <f aca="false">E77*Desain_Kolam!$B$9/1000</f>
        <v>767.782975</v>
      </c>
      <c r="J77" s="17" t="n">
        <f aca="false">F77+G77-H77-I77</f>
        <v>-1515.082975</v>
      </c>
      <c r="K77" s="17" t="n">
        <f aca="false">K76+J77</f>
        <v>7428.11925000001</v>
      </c>
      <c r="L77" s="17" t="n">
        <f aca="false">MAX(L76,K77)</f>
        <v>12707.59515</v>
      </c>
      <c r="M77" s="17" t="n">
        <f aca="false">L77-K77</f>
        <v>5279.4759</v>
      </c>
      <c r="N77" s="17" t="n">
        <f aca="false">MIN(Desain_Kolam!$B$21,MAX(0,N76+F77+G77-H77-I77))</f>
        <v>10338.13515</v>
      </c>
      <c r="O77" s="6" t="n">
        <f aca="false">IF(N76+F77+G77-I77&gt;=H77,1,0)</f>
        <v>1</v>
      </c>
    </row>
    <row r="78" customFormat="false" ht="15" hidden="false" customHeight="false" outlineLevel="0" collapsed="false">
      <c r="A78" s="6" t="n">
        <v>2018</v>
      </c>
      <c r="B78" s="6" t="n">
        <v>1</v>
      </c>
      <c r="C78" s="4" t="n">
        <v>220</v>
      </c>
      <c r="D78" s="6" t="n">
        <v>31</v>
      </c>
      <c r="E78" s="4" t="n">
        <f aca="false">INDEX(Evaporasi!$B$5:$B$16,MATCH(B78,Evaporasi!$A$5:$A$16,0))</f>
        <v>149.98</v>
      </c>
      <c r="F78" s="17" t="n">
        <f aca="false">Kawasan!$B$11*Kawasan!$B$9*C78/1000</f>
        <v>1830.4</v>
      </c>
      <c r="G78" s="17" t="n">
        <f aca="false">C78*Desain_Kolam!$B$9/1000</f>
        <v>1164.35</v>
      </c>
      <c r="H78" s="17" t="n">
        <f aca="false">Kawasan!$B$26*D78</f>
        <v>2380.8</v>
      </c>
      <c r="I78" s="17" t="n">
        <f aca="false">E78*Desain_Kolam!$B$9/1000</f>
        <v>793.76915</v>
      </c>
      <c r="J78" s="17" t="n">
        <f aca="false">F78+G78-H78-I78</f>
        <v>-179.81915</v>
      </c>
      <c r="K78" s="17" t="n">
        <f aca="false">K77+J78</f>
        <v>7248.30010000001</v>
      </c>
      <c r="L78" s="17" t="n">
        <f aca="false">MAX(L77,K78)</f>
        <v>12707.59515</v>
      </c>
      <c r="M78" s="17" t="n">
        <f aca="false">L78-K78</f>
        <v>5459.29505</v>
      </c>
      <c r="N78" s="17" t="n">
        <f aca="false">MIN(Desain_Kolam!$B$21,MAX(0,N77+F78+G78-H78-I78))</f>
        <v>10158.316</v>
      </c>
      <c r="O78" s="6" t="n">
        <f aca="false">IF(N77+F78+G78-I78&gt;=H78,1,0)</f>
        <v>1</v>
      </c>
    </row>
    <row r="79" customFormat="false" ht="15" hidden="false" customHeight="false" outlineLevel="0" collapsed="false">
      <c r="A79" s="6" t="n">
        <v>2018</v>
      </c>
      <c r="B79" s="6" t="n">
        <v>2</v>
      </c>
      <c r="C79" s="4" t="n">
        <v>93</v>
      </c>
      <c r="D79" s="6" t="n">
        <v>28</v>
      </c>
      <c r="E79" s="4" t="n">
        <f aca="false">INDEX(Evaporasi!$B$5:$B$16,MATCH(B79,Evaporasi!$A$5:$A$16,0))</f>
        <v>148.64</v>
      </c>
      <c r="F79" s="17" t="n">
        <f aca="false">Kawasan!$B$11*Kawasan!$B$9*C79/1000</f>
        <v>773.76</v>
      </c>
      <c r="G79" s="17" t="n">
        <f aca="false">C79*Desain_Kolam!$B$9/1000</f>
        <v>492.2025</v>
      </c>
      <c r="H79" s="17" t="n">
        <f aca="false">Kawasan!$B$26*D79</f>
        <v>2150.4</v>
      </c>
      <c r="I79" s="17" t="n">
        <f aca="false">E79*Desain_Kolam!$B$9/1000</f>
        <v>786.6772</v>
      </c>
      <c r="J79" s="17" t="n">
        <f aca="false">F79+G79-H79-I79</f>
        <v>-1671.1147</v>
      </c>
      <c r="K79" s="17" t="n">
        <f aca="false">K78+J79</f>
        <v>5577.18540000001</v>
      </c>
      <c r="L79" s="17" t="n">
        <f aca="false">MAX(L78,K79)</f>
        <v>12707.59515</v>
      </c>
      <c r="M79" s="17" t="n">
        <f aca="false">L79-K79</f>
        <v>7130.40975</v>
      </c>
      <c r="N79" s="17" t="n">
        <f aca="false">MIN(Desain_Kolam!$B$21,MAX(0,N78+F79+G79-H79-I79))</f>
        <v>8487.20130000002</v>
      </c>
      <c r="O79" s="6" t="n">
        <f aca="false">IF(N78+F79+G79-I79&gt;=H79,1,0)</f>
        <v>1</v>
      </c>
    </row>
    <row r="80" customFormat="false" ht="15" hidden="false" customHeight="false" outlineLevel="0" collapsed="false">
      <c r="A80" s="6" t="n">
        <v>2018</v>
      </c>
      <c r="B80" s="6" t="n">
        <v>3</v>
      </c>
      <c r="C80" s="4" t="n">
        <v>162</v>
      </c>
      <c r="D80" s="6" t="n">
        <v>31</v>
      </c>
      <c r="E80" s="4" t="n">
        <f aca="false">INDEX(Evaporasi!$B$5:$B$16,MATCH(B80,Evaporasi!$A$5:$A$16,0))</f>
        <v>166.18</v>
      </c>
      <c r="F80" s="17" t="n">
        <f aca="false">Kawasan!$B$11*Kawasan!$B$9*C80/1000</f>
        <v>1347.84</v>
      </c>
      <c r="G80" s="17" t="n">
        <f aca="false">C80*Desain_Kolam!$B$9/1000</f>
        <v>857.385</v>
      </c>
      <c r="H80" s="17" t="n">
        <f aca="false">Kawasan!$B$26*D80</f>
        <v>2380.8</v>
      </c>
      <c r="I80" s="17" t="n">
        <f aca="false">E80*Desain_Kolam!$B$9/1000</f>
        <v>879.50765</v>
      </c>
      <c r="J80" s="17" t="n">
        <f aca="false">F80+G80-H80-I80</f>
        <v>-1055.08265</v>
      </c>
      <c r="K80" s="17" t="n">
        <f aca="false">K79+J80</f>
        <v>4522.10275000001</v>
      </c>
      <c r="L80" s="17" t="n">
        <f aca="false">MAX(L79,K80)</f>
        <v>12707.59515</v>
      </c>
      <c r="M80" s="17" t="n">
        <f aca="false">L80-K80</f>
        <v>8185.4924</v>
      </c>
      <c r="N80" s="17" t="n">
        <f aca="false">MIN(Desain_Kolam!$B$21,MAX(0,N79+F80+G80-H80-I80))</f>
        <v>7432.11865000002</v>
      </c>
      <c r="O80" s="6" t="n">
        <f aca="false">IF(N79+F80+G80-I80&gt;=H80,1,0)</f>
        <v>1</v>
      </c>
    </row>
    <row r="81" customFormat="false" ht="15" hidden="false" customHeight="false" outlineLevel="0" collapsed="false">
      <c r="A81" s="6" t="n">
        <v>2018</v>
      </c>
      <c r="B81" s="6" t="n">
        <v>4</v>
      </c>
      <c r="C81" s="4" t="n">
        <v>135</v>
      </c>
      <c r="D81" s="6" t="n">
        <v>30</v>
      </c>
      <c r="E81" s="4" t="n">
        <f aca="false">INDEX(Evaporasi!$B$5:$B$16,MATCH(B81,Evaporasi!$A$5:$A$16,0))</f>
        <v>157.75</v>
      </c>
      <c r="F81" s="17" t="n">
        <f aca="false">Kawasan!$B$11*Kawasan!$B$9*C81/1000</f>
        <v>1123.2</v>
      </c>
      <c r="G81" s="17" t="n">
        <f aca="false">C81*Desain_Kolam!$B$9/1000</f>
        <v>714.4875</v>
      </c>
      <c r="H81" s="17" t="n">
        <f aca="false">Kawasan!$B$26*D81</f>
        <v>2304</v>
      </c>
      <c r="I81" s="17" t="n">
        <f aca="false">E81*Desain_Kolam!$B$9/1000</f>
        <v>834.891875</v>
      </c>
      <c r="J81" s="17" t="n">
        <f aca="false">F81+G81-H81-I81</f>
        <v>-1301.204375</v>
      </c>
      <c r="K81" s="17" t="n">
        <f aca="false">K80+J81</f>
        <v>3220.89837500001</v>
      </c>
      <c r="L81" s="17" t="n">
        <f aca="false">MAX(L80,K81)</f>
        <v>12707.59515</v>
      </c>
      <c r="M81" s="17" t="n">
        <f aca="false">L81-K81</f>
        <v>9486.696775</v>
      </c>
      <c r="N81" s="17" t="n">
        <f aca="false">MIN(Desain_Kolam!$B$21,MAX(0,N80+F81+G81-H81-I81))</f>
        <v>6130.91427500002</v>
      </c>
      <c r="O81" s="6" t="n">
        <f aca="false">IF(N80+F81+G81-I81&gt;=H81,1,0)</f>
        <v>1</v>
      </c>
    </row>
    <row r="82" customFormat="false" ht="15" hidden="false" customHeight="false" outlineLevel="0" collapsed="false">
      <c r="A82" s="6" t="n">
        <v>2018</v>
      </c>
      <c r="B82" s="6" t="n">
        <v>5</v>
      </c>
      <c r="C82" s="4" t="n">
        <v>214</v>
      </c>
      <c r="D82" s="6" t="n">
        <v>31</v>
      </c>
      <c r="E82" s="4" t="n">
        <f aca="false">INDEX(Evaporasi!$B$5:$B$16,MATCH(B82,Evaporasi!$A$5:$A$16,0))</f>
        <v>158.35</v>
      </c>
      <c r="F82" s="17" t="n">
        <f aca="false">Kawasan!$B$11*Kawasan!$B$9*C82/1000</f>
        <v>1780.48</v>
      </c>
      <c r="G82" s="17" t="n">
        <f aca="false">C82*Desain_Kolam!$B$9/1000</f>
        <v>1132.595</v>
      </c>
      <c r="H82" s="17" t="n">
        <f aca="false">Kawasan!$B$26*D82</f>
        <v>2380.8</v>
      </c>
      <c r="I82" s="17" t="n">
        <f aca="false">E82*Desain_Kolam!$B$9/1000</f>
        <v>838.067375</v>
      </c>
      <c r="J82" s="17" t="n">
        <f aca="false">F82+G82-H82-I82</f>
        <v>-305.792375</v>
      </c>
      <c r="K82" s="17" t="n">
        <f aca="false">K81+J82</f>
        <v>2915.10600000001</v>
      </c>
      <c r="L82" s="17" t="n">
        <f aca="false">MAX(L81,K82)</f>
        <v>12707.59515</v>
      </c>
      <c r="M82" s="17" t="n">
        <f aca="false">L82-K82</f>
        <v>9792.48915</v>
      </c>
      <c r="N82" s="17" t="n">
        <f aca="false">MIN(Desain_Kolam!$B$21,MAX(0,N81+F82+G82-H82-I82))</f>
        <v>5825.12190000002</v>
      </c>
      <c r="O82" s="6" t="n">
        <f aca="false">IF(N81+F82+G82-I82&gt;=H82,1,0)</f>
        <v>1</v>
      </c>
    </row>
    <row r="83" customFormat="false" ht="15" hidden="false" customHeight="false" outlineLevel="0" collapsed="false">
      <c r="A83" s="6" t="n">
        <v>2018</v>
      </c>
      <c r="B83" s="6" t="n">
        <v>6</v>
      </c>
      <c r="C83" s="4" t="n">
        <v>125</v>
      </c>
      <c r="D83" s="6" t="n">
        <v>30</v>
      </c>
      <c r="E83" s="4" t="n">
        <f aca="false">INDEX(Evaporasi!$B$5:$B$16,MATCH(B83,Evaporasi!$A$5:$A$16,0))</f>
        <v>150.17</v>
      </c>
      <c r="F83" s="17" t="n">
        <f aca="false">Kawasan!$B$11*Kawasan!$B$9*C83/1000</f>
        <v>1040</v>
      </c>
      <c r="G83" s="17" t="n">
        <f aca="false">C83*Desain_Kolam!$B$9/1000</f>
        <v>661.5625</v>
      </c>
      <c r="H83" s="17" t="n">
        <f aca="false">Kawasan!$B$26*D83</f>
        <v>2304</v>
      </c>
      <c r="I83" s="17" t="n">
        <f aca="false">E83*Desain_Kolam!$B$9/1000</f>
        <v>794.774725</v>
      </c>
      <c r="J83" s="17" t="n">
        <f aca="false">F83+G83-H83-I83</f>
        <v>-1397.212225</v>
      </c>
      <c r="K83" s="17" t="n">
        <f aca="false">K82+J83</f>
        <v>1517.89377500001</v>
      </c>
      <c r="L83" s="17" t="n">
        <f aca="false">MAX(L82,K83)</f>
        <v>12707.59515</v>
      </c>
      <c r="M83" s="17" t="n">
        <f aca="false">L83-K83</f>
        <v>11189.701375</v>
      </c>
      <c r="N83" s="17" t="n">
        <f aca="false">MIN(Desain_Kolam!$B$21,MAX(0,N82+F83+G83-H83-I83))</f>
        <v>4427.90967500002</v>
      </c>
      <c r="O83" s="6" t="n">
        <f aca="false">IF(N82+F83+G83-I83&gt;=H83,1,0)</f>
        <v>1</v>
      </c>
    </row>
    <row r="84" customFormat="false" ht="15" hidden="false" customHeight="false" outlineLevel="0" collapsed="false">
      <c r="A84" s="6" t="n">
        <v>2018</v>
      </c>
      <c r="B84" s="6" t="n">
        <v>7</v>
      </c>
      <c r="C84" s="4" t="n">
        <v>24</v>
      </c>
      <c r="D84" s="6" t="n">
        <v>31</v>
      </c>
      <c r="E84" s="4" t="n">
        <f aca="false">INDEX(Evaporasi!$B$5:$B$16,MATCH(B84,Evaporasi!$A$5:$A$16,0))</f>
        <v>160.84</v>
      </c>
      <c r="F84" s="17" t="n">
        <f aca="false">Kawasan!$B$11*Kawasan!$B$9*C84/1000</f>
        <v>199.68</v>
      </c>
      <c r="G84" s="17" t="n">
        <f aca="false">C84*Desain_Kolam!$B$9/1000</f>
        <v>127.02</v>
      </c>
      <c r="H84" s="17" t="n">
        <f aca="false">Kawasan!$B$26*D84</f>
        <v>2380.8</v>
      </c>
      <c r="I84" s="17" t="n">
        <f aca="false">E84*Desain_Kolam!$B$9/1000</f>
        <v>851.2457</v>
      </c>
      <c r="J84" s="17" t="n">
        <f aca="false">F84+G84-H84-I84</f>
        <v>-2905.3457</v>
      </c>
      <c r="K84" s="17" t="n">
        <f aca="false">K83+J84</f>
        <v>-1387.45192499999</v>
      </c>
      <c r="L84" s="17" t="n">
        <f aca="false">MAX(L83,K84)</f>
        <v>12707.59515</v>
      </c>
      <c r="M84" s="17" t="n">
        <f aca="false">L84-K84</f>
        <v>14095.047075</v>
      </c>
      <c r="N84" s="17" t="n">
        <f aca="false">MIN(Desain_Kolam!$B$21,MAX(0,N83+F84+G84-H84-I84))</f>
        <v>1522.56397500002</v>
      </c>
      <c r="O84" s="6" t="n">
        <f aca="false">IF(N83+F84+G84-I84&gt;=H84,1,0)</f>
        <v>1</v>
      </c>
    </row>
    <row r="85" customFormat="false" ht="15" hidden="false" customHeight="false" outlineLevel="0" collapsed="false">
      <c r="A85" s="6" t="n">
        <v>2018</v>
      </c>
      <c r="B85" s="6" t="n">
        <v>8</v>
      </c>
      <c r="C85" s="4" t="n">
        <v>48</v>
      </c>
      <c r="D85" s="6" t="n">
        <v>31</v>
      </c>
      <c r="E85" s="4" t="n">
        <f aca="false">INDEX(Evaporasi!$B$5:$B$16,MATCH(B85,Evaporasi!$A$5:$A$16,0))</f>
        <v>161.16</v>
      </c>
      <c r="F85" s="17" t="n">
        <f aca="false">Kawasan!$B$11*Kawasan!$B$9*C85/1000</f>
        <v>399.36</v>
      </c>
      <c r="G85" s="17" t="n">
        <f aca="false">C85*Desain_Kolam!$B$9/1000</f>
        <v>254.04</v>
      </c>
      <c r="H85" s="17" t="n">
        <f aca="false">Kawasan!$B$26*D85</f>
        <v>2380.8</v>
      </c>
      <c r="I85" s="17" t="n">
        <f aca="false">E85*Desain_Kolam!$B$9/1000</f>
        <v>852.9393</v>
      </c>
      <c r="J85" s="17" t="n">
        <f aca="false">F85+G85-H85-I85</f>
        <v>-2580.3393</v>
      </c>
      <c r="K85" s="17" t="n">
        <f aca="false">K84+J85</f>
        <v>-3967.79122499999</v>
      </c>
      <c r="L85" s="17" t="n">
        <f aca="false">MAX(L84,K85)</f>
        <v>12707.59515</v>
      </c>
      <c r="M85" s="17" t="n">
        <f aca="false">L85-K85</f>
        <v>16675.386375</v>
      </c>
      <c r="N85" s="17" t="n">
        <f aca="false">MIN(Desain_Kolam!$B$21,MAX(0,N84+F85+G85-H85-I85))</f>
        <v>0</v>
      </c>
      <c r="O85" s="6" t="n">
        <f aca="false">IF(N84+F85+G85-I85&gt;=H85,1,0)</f>
        <v>0</v>
      </c>
    </row>
    <row r="86" customFormat="false" ht="15" hidden="false" customHeight="false" outlineLevel="0" collapsed="false">
      <c r="A86" s="6" t="n">
        <v>2018</v>
      </c>
      <c r="B86" s="6" t="n">
        <v>9</v>
      </c>
      <c r="C86" s="4" t="n">
        <v>103</v>
      </c>
      <c r="D86" s="6" t="n">
        <v>30</v>
      </c>
      <c r="E86" s="4" t="n">
        <f aca="false">INDEX(Evaporasi!$B$5:$B$16,MATCH(B86,Evaporasi!$A$5:$A$16,0))</f>
        <v>159.21</v>
      </c>
      <c r="F86" s="17" t="n">
        <f aca="false">Kawasan!$B$11*Kawasan!$B$9*C86/1000</f>
        <v>856.96</v>
      </c>
      <c r="G86" s="17" t="n">
        <f aca="false">C86*Desain_Kolam!$B$9/1000</f>
        <v>545.1275</v>
      </c>
      <c r="H86" s="17" t="n">
        <f aca="false">Kawasan!$B$26*D86</f>
        <v>2304</v>
      </c>
      <c r="I86" s="17" t="n">
        <f aca="false">E86*Desain_Kolam!$B$9/1000</f>
        <v>842.618925</v>
      </c>
      <c r="J86" s="17" t="n">
        <f aca="false">F86+G86-H86-I86</f>
        <v>-1744.531425</v>
      </c>
      <c r="K86" s="17" t="n">
        <f aca="false">K85+J86</f>
        <v>-5712.32264999999</v>
      </c>
      <c r="L86" s="17" t="n">
        <f aca="false">MAX(L85,K86)</f>
        <v>12707.59515</v>
      </c>
      <c r="M86" s="17" t="n">
        <f aca="false">L86-K86</f>
        <v>18419.9178</v>
      </c>
      <c r="N86" s="17" t="n">
        <f aca="false">MIN(Desain_Kolam!$B$21,MAX(0,N85+F86+G86-H86-I86))</f>
        <v>0</v>
      </c>
      <c r="O86" s="6" t="n">
        <f aca="false">IF(N85+F86+G86-I86&gt;=H86,1,0)</f>
        <v>0</v>
      </c>
    </row>
    <row r="87" customFormat="false" ht="15" hidden="false" customHeight="false" outlineLevel="0" collapsed="false">
      <c r="A87" s="6" t="n">
        <v>2018</v>
      </c>
      <c r="B87" s="6" t="n">
        <v>10</v>
      </c>
      <c r="C87" s="4" t="n">
        <v>176</v>
      </c>
      <c r="D87" s="6" t="n">
        <v>31</v>
      </c>
      <c r="E87" s="4" t="n">
        <f aca="false">INDEX(Evaporasi!$B$5:$B$16,MATCH(B87,Evaporasi!$A$5:$A$16,0))</f>
        <v>151.5</v>
      </c>
      <c r="F87" s="17" t="n">
        <f aca="false">Kawasan!$B$11*Kawasan!$B$9*C87/1000</f>
        <v>1464.32</v>
      </c>
      <c r="G87" s="17" t="n">
        <f aca="false">C87*Desain_Kolam!$B$9/1000</f>
        <v>931.48</v>
      </c>
      <c r="H87" s="17" t="n">
        <f aca="false">Kawasan!$B$26*D87</f>
        <v>2380.8</v>
      </c>
      <c r="I87" s="17" t="n">
        <f aca="false">E87*Desain_Kolam!$B$9/1000</f>
        <v>801.81375</v>
      </c>
      <c r="J87" s="17" t="n">
        <f aca="false">F87+G87-H87-I87</f>
        <v>-786.81375</v>
      </c>
      <c r="K87" s="17" t="n">
        <f aca="false">K86+J87</f>
        <v>-6499.13639999999</v>
      </c>
      <c r="L87" s="17" t="n">
        <f aca="false">MAX(L86,K87)</f>
        <v>12707.59515</v>
      </c>
      <c r="M87" s="17" t="n">
        <f aca="false">L87-K87</f>
        <v>19206.73155</v>
      </c>
      <c r="N87" s="17" t="n">
        <f aca="false">MIN(Desain_Kolam!$B$21,MAX(0,N86+F87+G87-H87-I87))</f>
        <v>0</v>
      </c>
      <c r="O87" s="6" t="n">
        <f aca="false">IF(N86+F87+G87-I87&gt;=H87,1,0)</f>
        <v>0</v>
      </c>
    </row>
    <row r="88" customFormat="false" ht="15" hidden="false" customHeight="false" outlineLevel="0" collapsed="false">
      <c r="A88" s="6" t="n">
        <v>2018</v>
      </c>
      <c r="B88" s="6" t="n">
        <v>11</v>
      </c>
      <c r="C88" s="4" t="n">
        <v>172</v>
      </c>
      <c r="D88" s="6" t="n">
        <v>30</v>
      </c>
      <c r="E88" s="4" t="n">
        <f aca="false">INDEX(Evaporasi!$B$5:$B$16,MATCH(B88,Evaporasi!$A$5:$A$16,0))</f>
        <v>142.3</v>
      </c>
      <c r="F88" s="17" t="n">
        <f aca="false">Kawasan!$B$11*Kawasan!$B$9*C88/1000</f>
        <v>1431.04</v>
      </c>
      <c r="G88" s="17" t="n">
        <f aca="false">C88*Desain_Kolam!$B$9/1000</f>
        <v>910.31</v>
      </c>
      <c r="H88" s="17" t="n">
        <f aca="false">Kawasan!$B$26*D88</f>
        <v>2304</v>
      </c>
      <c r="I88" s="17" t="n">
        <f aca="false">E88*Desain_Kolam!$B$9/1000</f>
        <v>753.12275</v>
      </c>
      <c r="J88" s="17" t="n">
        <f aca="false">F88+G88-H88-I88</f>
        <v>-715.77275</v>
      </c>
      <c r="K88" s="17" t="n">
        <f aca="false">K87+J88</f>
        <v>-7214.90914999999</v>
      </c>
      <c r="L88" s="17" t="n">
        <f aca="false">MAX(L87,K88)</f>
        <v>12707.59515</v>
      </c>
      <c r="M88" s="17" t="n">
        <f aca="false">L88-K88</f>
        <v>19922.5043</v>
      </c>
      <c r="N88" s="17" t="n">
        <f aca="false">MIN(Desain_Kolam!$B$21,MAX(0,N87+F88+G88-H88-I88))</f>
        <v>0</v>
      </c>
      <c r="O88" s="6" t="n">
        <f aca="false">IF(N87+F88+G88-I88&gt;=H88,1,0)</f>
        <v>0</v>
      </c>
    </row>
    <row r="89" customFormat="false" ht="15" hidden="false" customHeight="false" outlineLevel="0" collapsed="false">
      <c r="A89" s="6" t="n">
        <v>2018</v>
      </c>
      <c r="B89" s="6" t="n">
        <v>12</v>
      </c>
      <c r="C89" s="4" t="n">
        <v>182</v>
      </c>
      <c r="D89" s="6" t="n">
        <v>31</v>
      </c>
      <c r="E89" s="4" t="n">
        <f aca="false">INDEX(Evaporasi!$B$5:$B$16,MATCH(B89,Evaporasi!$A$5:$A$16,0))</f>
        <v>145.07</v>
      </c>
      <c r="F89" s="17" t="n">
        <f aca="false">Kawasan!$B$11*Kawasan!$B$9*C89/1000</f>
        <v>1514.24</v>
      </c>
      <c r="G89" s="17" t="n">
        <f aca="false">C89*Desain_Kolam!$B$9/1000</f>
        <v>963.235</v>
      </c>
      <c r="H89" s="17" t="n">
        <f aca="false">Kawasan!$B$26*D89</f>
        <v>2380.8</v>
      </c>
      <c r="I89" s="17" t="n">
        <f aca="false">E89*Desain_Kolam!$B$9/1000</f>
        <v>767.782975</v>
      </c>
      <c r="J89" s="17" t="n">
        <f aca="false">F89+G89-H89-I89</f>
        <v>-671.107975</v>
      </c>
      <c r="K89" s="17" t="n">
        <f aca="false">K88+J89</f>
        <v>-7886.01712499999</v>
      </c>
      <c r="L89" s="17" t="n">
        <f aca="false">MAX(L88,K89)</f>
        <v>12707.59515</v>
      </c>
      <c r="M89" s="17" t="n">
        <f aca="false">L89-K89</f>
        <v>20593.612275</v>
      </c>
      <c r="N89" s="17" t="n">
        <f aca="false">MIN(Desain_Kolam!$B$21,MAX(0,N88+F89+G89-H89-I89))</f>
        <v>0</v>
      </c>
      <c r="O89" s="6" t="n">
        <f aca="false">IF(N88+F89+G89-I89&gt;=H89,1,0)</f>
        <v>0</v>
      </c>
    </row>
    <row r="90" customFormat="false" ht="15" hidden="false" customHeight="false" outlineLevel="0" collapsed="false">
      <c r="A90" s="6" t="n">
        <v>2019</v>
      </c>
      <c r="B90" s="6" t="n">
        <v>1</v>
      </c>
      <c r="C90" s="4" t="n">
        <v>124</v>
      </c>
      <c r="D90" s="6" t="n">
        <v>31</v>
      </c>
      <c r="E90" s="4" t="n">
        <f aca="false">INDEX(Evaporasi!$B$5:$B$16,MATCH(B90,Evaporasi!$A$5:$A$16,0))</f>
        <v>149.98</v>
      </c>
      <c r="F90" s="17" t="n">
        <f aca="false">Kawasan!$B$11*Kawasan!$B$9*C90/1000</f>
        <v>1031.68</v>
      </c>
      <c r="G90" s="17" t="n">
        <f aca="false">C90*Desain_Kolam!$B$9/1000</f>
        <v>656.27</v>
      </c>
      <c r="H90" s="17" t="n">
        <f aca="false">Kawasan!$B$26*D90</f>
        <v>2380.8</v>
      </c>
      <c r="I90" s="17" t="n">
        <f aca="false">E90*Desain_Kolam!$B$9/1000</f>
        <v>793.76915</v>
      </c>
      <c r="J90" s="17" t="n">
        <f aca="false">F90+G90-H90-I90</f>
        <v>-1486.61915</v>
      </c>
      <c r="K90" s="17" t="n">
        <f aca="false">K89+J90</f>
        <v>-9372.63627499999</v>
      </c>
      <c r="L90" s="17" t="n">
        <f aca="false">MAX(L89,K90)</f>
        <v>12707.59515</v>
      </c>
      <c r="M90" s="17" t="n">
        <f aca="false">L90-K90</f>
        <v>22080.231425</v>
      </c>
      <c r="N90" s="17" t="n">
        <f aca="false">MIN(Desain_Kolam!$B$21,MAX(0,N89+F90+G90-H90-I90))</f>
        <v>0</v>
      </c>
      <c r="O90" s="6" t="n">
        <f aca="false">IF(N89+F90+G90-I90&gt;=H90,1,0)</f>
        <v>0</v>
      </c>
    </row>
    <row r="91" customFormat="false" ht="15" hidden="false" customHeight="false" outlineLevel="0" collapsed="false">
      <c r="A91" s="6" t="n">
        <v>2019</v>
      </c>
      <c r="B91" s="6" t="n">
        <v>2</v>
      </c>
      <c r="C91" s="4" t="n">
        <v>207</v>
      </c>
      <c r="D91" s="6" t="n">
        <v>28</v>
      </c>
      <c r="E91" s="4" t="n">
        <f aca="false">INDEX(Evaporasi!$B$5:$B$16,MATCH(B91,Evaporasi!$A$5:$A$16,0))</f>
        <v>148.64</v>
      </c>
      <c r="F91" s="17" t="n">
        <f aca="false">Kawasan!$B$11*Kawasan!$B$9*C91/1000</f>
        <v>1722.24</v>
      </c>
      <c r="G91" s="17" t="n">
        <f aca="false">C91*Desain_Kolam!$B$9/1000</f>
        <v>1095.5475</v>
      </c>
      <c r="H91" s="17" t="n">
        <f aca="false">Kawasan!$B$26*D91</f>
        <v>2150.4</v>
      </c>
      <c r="I91" s="17" t="n">
        <f aca="false">E91*Desain_Kolam!$B$9/1000</f>
        <v>786.6772</v>
      </c>
      <c r="J91" s="17" t="n">
        <f aca="false">F91+G91-H91-I91</f>
        <v>-119.2897</v>
      </c>
      <c r="K91" s="17" t="n">
        <f aca="false">K90+J91</f>
        <v>-9491.92597499999</v>
      </c>
      <c r="L91" s="17" t="n">
        <f aca="false">MAX(L90,K91)</f>
        <v>12707.59515</v>
      </c>
      <c r="M91" s="17" t="n">
        <f aca="false">L91-K91</f>
        <v>22199.521125</v>
      </c>
      <c r="N91" s="17" t="n">
        <f aca="false">MIN(Desain_Kolam!$B$21,MAX(0,N90+F91+G91-H91-I91))</f>
        <v>0</v>
      </c>
      <c r="O91" s="6" t="n">
        <f aca="false">IF(N90+F91+G91-I91&gt;=H91,1,0)</f>
        <v>0</v>
      </c>
    </row>
    <row r="92" customFormat="false" ht="15" hidden="false" customHeight="false" outlineLevel="0" collapsed="false">
      <c r="A92" s="6" t="n">
        <v>2019</v>
      </c>
      <c r="B92" s="6" t="n">
        <v>3</v>
      </c>
      <c r="C92" s="4" t="n">
        <v>44</v>
      </c>
      <c r="D92" s="6" t="n">
        <v>31</v>
      </c>
      <c r="E92" s="4" t="n">
        <f aca="false">INDEX(Evaporasi!$B$5:$B$16,MATCH(B92,Evaporasi!$A$5:$A$16,0))</f>
        <v>166.18</v>
      </c>
      <c r="F92" s="17" t="n">
        <f aca="false">Kawasan!$B$11*Kawasan!$B$9*C92/1000</f>
        <v>366.08</v>
      </c>
      <c r="G92" s="17" t="n">
        <f aca="false">C92*Desain_Kolam!$B$9/1000</f>
        <v>232.87</v>
      </c>
      <c r="H92" s="17" t="n">
        <f aca="false">Kawasan!$B$26*D92</f>
        <v>2380.8</v>
      </c>
      <c r="I92" s="17" t="n">
        <f aca="false">E92*Desain_Kolam!$B$9/1000</f>
        <v>879.50765</v>
      </c>
      <c r="J92" s="17" t="n">
        <f aca="false">F92+G92-H92-I92</f>
        <v>-2661.35765</v>
      </c>
      <c r="K92" s="17" t="n">
        <f aca="false">K91+J92</f>
        <v>-12153.283625</v>
      </c>
      <c r="L92" s="17" t="n">
        <f aca="false">MAX(L91,K92)</f>
        <v>12707.59515</v>
      </c>
      <c r="M92" s="17" t="n">
        <f aca="false">L92-K92</f>
        <v>24860.878775</v>
      </c>
      <c r="N92" s="17" t="n">
        <f aca="false">MIN(Desain_Kolam!$B$21,MAX(0,N91+F92+G92-H92-I92))</f>
        <v>0</v>
      </c>
      <c r="O92" s="6" t="n">
        <f aca="false">IF(N91+F92+G92-I92&gt;=H92,1,0)</f>
        <v>0</v>
      </c>
    </row>
    <row r="93" customFormat="false" ht="15" hidden="false" customHeight="false" outlineLevel="0" collapsed="false">
      <c r="A93" s="6" t="n">
        <v>2019</v>
      </c>
      <c r="B93" s="6" t="n">
        <v>4</v>
      </c>
      <c r="C93" s="4" t="n">
        <v>151</v>
      </c>
      <c r="D93" s="6" t="n">
        <v>30</v>
      </c>
      <c r="E93" s="4" t="n">
        <f aca="false">INDEX(Evaporasi!$B$5:$B$16,MATCH(B93,Evaporasi!$A$5:$A$16,0))</f>
        <v>157.75</v>
      </c>
      <c r="F93" s="17" t="n">
        <f aca="false">Kawasan!$B$11*Kawasan!$B$9*C93/1000</f>
        <v>1256.32</v>
      </c>
      <c r="G93" s="17" t="n">
        <f aca="false">C93*Desain_Kolam!$B$9/1000</f>
        <v>799.1675</v>
      </c>
      <c r="H93" s="17" t="n">
        <f aca="false">Kawasan!$B$26*D93</f>
        <v>2304</v>
      </c>
      <c r="I93" s="17" t="n">
        <f aca="false">E93*Desain_Kolam!$B$9/1000</f>
        <v>834.891875</v>
      </c>
      <c r="J93" s="17" t="n">
        <f aca="false">F93+G93-H93-I93</f>
        <v>-1083.404375</v>
      </c>
      <c r="K93" s="17" t="n">
        <f aca="false">K92+J93</f>
        <v>-13236.688</v>
      </c>
      <c r="L93" s="17" t="n">
        <f aca="false">MAX(L92,K93)</f>
        <v>12707.59515</v>
      </c>
      <c r="M93" s="17" t="n">
        <f aca="false">L93-K93</f>
        <v>25944.28315</v>
      </c>
      <c r="N93" s="17" t="n">
        <f aca="false">MIN(Desain_Kolam!$B$21,MAX(0,N92+F93+G93-H93-I93))</f>
        <v>0</v>
      </c>
      <c r="O93" s="6" t="n">
        <f aca="false">IF(N92+F93+G93-I93&gt;=H93,1,0)</f>
        <v>0</v>
      </c>
    </row>
    <row r="94" customFormat="false" ht="15" hidden="false" customHeight="false" outlineLevel="0" collapsed="false">
      <c r="A94" s="6" t="n">
        <v>2019</v>
      </c>
      <c r="B94" s="6" t="n">
        <v>5</v>
      </c>
      <c r="C94" s="4" t="n">
        <v>118</v>
      </c>
      <c r="D94" s="6" t="n">
        <v>31</v>
      </c>
      <c r="E94" s="4" t="n">
        <f aca="false">INDEX(Evaporasi!$B$5:$B$16,MATCH(B94,Evaporasi!$A$5:$A$16,0))</f>
        <v>158.35</v>
      </c>
      <c r="F94" s="17" t="n">
        <f aca="false">Kawasan!$B$11*Kawasan!$B$9*C94/1000</f>
        <v>981.76</v>
      </c>
      <c r="G94" s="17" t="n">
        <f aca="false">C94*Desain_Kolam!$B$9/1000</f>
        <v>624.515</v>
      </c>
      <c r="H94" s="17" t="n">
        <f aca="false">Kawasan!$B$26*D94</f>
        <v>2380.8</v>
      </c>
      <c r="I94" s="17" t="n">
        <f aca="false">E94*Desain_Kolam!$B$9/1000</f>
        <v>838.067375</v>
      </c>
      <c r="J94" s="17" t="n">
        <f aca="false">F94+G94-H94-I94</f>
        <v>-1612.592375</v>
      </c>
      <c r="K94" s="17" t="n">
        <f aca="false">K93+J94</f>
        <v>-14849.280375</v>
      </c>
      <c r="L94" s="17" t="n">
        <f aca="false">MAX(L93,K94)</f>
        <v>12707.59515</v>
      </c>
      <c r="M94" s="17" t="n">
        <f aca="false">L94-K94</f>
        <v>27556.875525</v>
      </c>
      <c r="N94" s="17" t="n">
        <f aca="false">MIN(Desain_Kolam!$B$21,MAX(0,N93+F94+G94-H94-I94))</f>
        <v>0</v>
      </c>
      <c r="O94" s="6" t="n">
        <f aca="false">IF(N93+F94+G94-I94&gt;=H94,1,0)</f>
        <v>0</v>
      </c>
    </row>
    <row r="95" customFormat="false" ht="15" hidden="false" customHeight="false" outlineLevel="0" collapsed="false">
      <c r="A95" s="6" t="n">
        <v>2019</v>
      </c>
      <c r="B95" s="6" t="n">
        <v>6</v>
      </c>
      <c r="C95" s="4" t="n">
        <v>125</v>
      </c>
      <c r="D95" s="6" t="n">
        <v>30</v>
      </c>
      <c r="E95" s="4" t="n">
        <f aca="false">INDEX(Evaporasi!$B$5:$B$16,MATCH(B95,Evaporasi!$A$5:$A$16,0))</f>
        <v>150.17</v>
      </c>
      <c r="F95" s="17" t="n">
        <f aca="false">Kawasan!$B$11*Kawasan!$B$9*C95/1000</f>
        <v>1040</v>
      </c>
      <c r="G95" s="17" t="n">
        <f aca="false">C95*Desain_Kolam!$B$9/1000</f>
        <v>661.5625</v>
      </c>
      <c r="H95" s="17" t="n">
        <f aca="false">Kawasan!$B$26*D95</f>
        <v>2304</v>
      </c>
      <c r="I95" s="17" t="n">
        <f aca="false">E95*Desain_Kolam!$B$9/1000</f>
        <v>794.774725</v>
      </c>
      <c r="J95" s="17" t="n">
        <f aca="false">F95+G95-H95-I95</f>
        <v>-1397.212225</v>
      </c>
      <c r="K95" s="17" t="n">
        <f aca="false">K94+J95</f>
        <v>-16246.4926</v>
      </c>
      <c r="L95" s="17" t="n">
        <f aca="false">MAX(L94,K95)</f>
        <v>12707.59515</v>
      </c>
      <c r="M95" s="17" t="n">
        <f aca="false">L95-K95</f>
        <v>28954.08775</v>
      </c>
      <c r="N95" s="17" t="n">
        <f aca="false">MIN(Desain_Kolam!$B$21,MAX(0,N94+F95+G95-H95-I95))</f>
        <v>0</v>
      </c>
      <c r="O95" s="6" t="n">
        <f aca="false">IF(N94+F95+G95-I95&gt;=H95,1,0)</f>
        <v>0</v>
      </c>
    </row>
    <row r="96" customFormat="false" ht="15" hidden="false" customHeight="false" outlineLevel="0" collapsed="false">
      <c r="A96" s="6" t="n">
        <v>2019</v>
      </c>
      <c r="B96" s="6" t="n">
        <v>7</v>
      </c>
      <c r="C96" s="4" t="n">
        <v>53</v>
      </c>
      <c r="D96" s="6" t="n">
        <v>31</v>
      </c>
      <c r="E96" s="4" t="n">
        <f aca="false">INDEX(Evaporasi!$B$5:$B$16,MATCH(B96,Evaporasi!$A$5:$A$16,0))</f>
        <v>160.84</v>
      </c>
      <c r="F96" s="17" t="n">
        <f aca="false">Kawasan!$B$11*Kawasan!$B$9*C96/1000</f>
        <v>440.96</v>
      </c>
      <c r="G96" s="17" t="n">
        <f aca="false">C96*Desain_Kolam!$B$9/1000</f>
        <v>280.5025</v>
      </c>
      <c r="H96" s="17" t="n">
        <f aca="false">Kawasan!$B$26*D96</f>
        <v>2380.8</v>
      </c>
      <c r="I96" s="17" t="n">
        <f aca="false">E96*Desain_Kolam!$B$9/1000</f>
        <v>851.2457</v>
      </c>
      <c r="J96" s="17" t="n">
        <f aca="false">F96+G96-H96-I96</f>
        <v>-2510.5832</v>
      </c>
      <c r="K96" s="17" t="n">
        <f aca="false">K95+J96</f>
        <v>-18757.0758</v>
      </c>
      <c r="L96" s="17" t="n">
        <f aca="false">MAX(L95,K96)</f>
        <v>12707.59515</v>
      </c>
      <c r="M96" s="17" t="n">
        <f aca="false">L96-K96</f>
        <v>31464.67095</v>
      </c>
      <c r="N96" s="17" t="n">
        <f aca="false">MIN(Desain_Kolam!$B$21,MAX(0,N95+F96+G96-H96-I96))</f>
        <v>0</v>
      </c>
      <c r="O96" s="6" t="n">
        <f aca="false">IF(N95+F96+G96-I96&gt;=H96,1,0)</f>
        <v>0</v>
      </c>
    </row>
    <row r="97" customFormat="false" ht="15" hidden="false" customHeight="false" outlineLevel="0" collapsed="false">
      <c r="A97" s="6" t="n">
        <v>2019</v>
      </c>
      <c r="B97" s="6" t="n">
        <v>8</v>
      </c>
      <c r="C97" s="4" t="n">
        <v>76</v>
      </c>
      <c r="D97" s="6" t="n">
        <v>31</v>
      </c>
      <c r="E97" s="4" t="n">
        <f aca="false">INDEX(Evaporasi!$B$5:$B$16,MATCH(B97,Evaporasi!$A$5:$A$16,0))</f>
        <v>161.16</v>
      </c>
      <c r="F97" s="17" t="n">
        <f aca="false">Kawasan!$B$11*Kawasan!$B$9*C97/1000</f>
        <v>632.32</v>
      </c>
      <c r="G97" s="17" t="n">
        <f aca="false">C97*Desain_Kolam!$B$9/1000</f>
        <v>402.23</v>
      </c>
      <c r="H97" s="17" t="n">
        <f aca="false">Kawasan!$B$26*D97</f>
        <v>2380.8</v>
      </c>
      <c r="I97" s="17" t="n">
        <f aca="false">E97*Desain_Kolam!$B$9/1000</f>
        <v>852.9393</v>
      </c>
      <c r="J97" s="17" t="n">
        <f aca="false">F97+G97-H97-I97</f>
        <v>-2199.1893</v>
      </c>
      <c r="K97" s="17" t="n">
        <f aca="false">K96+J97</f>
        <v>-20956.2651</v>
      </c>
      <c r="L97" s="17" t="n">
        <f aca="false">MAX(L96,K97)</f>
        <v>12707.59515</v>
      </c>
      <c r="M97" s="17" t="n">
        <f aca="false">L97-K97</f>
        <v>33663.86025</v>
      </c>
      <c r="N97" s="17" t="n">
        <f aca="false">MIN(Desain_Kolam!$B$21,MAX(0,N96+F97+G97-H97-I97))</f>
        <v>0</v>
      </c>
      <c r="O97" s="6" t="n">
        <f aca="false">IF(N96+F97+G97-I97&gt;=H97,1,0)</f>
        <v>0</v>
      </c>
    </row>
    <row r="98" customFormat="false" ht="15" hidden="false" customHeight="false" outlineLevel="0" collapsed="false">
      <c r="A98" s="6" t="n">
        <v>2019</v>
      </c>
      <c r="B98" s="6" t="n">
        <v>9</v>
      </c>
      <c r="C98" s="4" t="n">
        <v>41</v>
      </c>
      <c r="D98" s="6" t="n">
        <v>30</v>
      </c>
      <c r="E98" s="4" t="n">
        <f aca="false">INDEX(Evaporasi!$B$5:$B$16,MATCH(B98,Evaporasi!$A$5:$A$16,0))</f>
        <v>159.21</v>
      </c>
      <c r="F98" s="17" t="n">
        <f aca="false">Kawasan!$B$11*Kawasan!$B$9*C98/1000</f>
        <v>341.12</v>
      </c>
      <c r="G98" s="17" t="n">
        <f aca="false">C98*Desain_Kolam!$B$9/1000</f>
        <v>216.9925</v>
      </c>
      <c r="H98" s="17" t="n">
        <f aca="false">Kawasan!$B$26*D98</f>
        <v>2304</v>
      </c>
      <c r="I98" s="17" t="n">
        <f aca="false">E98*Desain_Kolam!$B$9/1000</f>
        <v>842.618925</v>
      </c>
      <c r="J98" s="17" t="n">
        <f aca="false">F98+G98-H98-I98</f>
        <v>-2588.506425</v>
      </c>
      <c r="K98" s="17" t="n">
        <f aca="false">K97+J98</f>
        <v>-23544.771525</v>
      </c>
      <c r="L98" s="17" t="n">
        <f aca="false">MAX(L97,K98)</f>
        <v>12707.59515</v>
      </c>
      <c r="M98" s="17" t="n">
        <f aca="false">L98-K98</f>
        <v>36252.366675</v>
      </c>
      <c r="N98" s="17" t="n">
        <f aca="false">MIN(Desain_Kolam!$B$21,MAX(0,N97+F98+G98-H98-I98))</f>
        <v>0</v>
      </c>
      <c r="O98" s="6" t="n">
        <f aca="false">IF(N97+F98+G98-I98&gt;=H98,1,0)</f>
        <v>0</v>
      </c>
    </row>
    <row r="99" customFormat="false" ht="15" hidden="false" customHeight="false" outlineLevel="0" collapsed="false">
      <c r="A99" s="6" t="n">
        <v>2019</v>
      </c>
      <c r="B99" s="6" t="n">
        <v>10</v>
      </c>
      <c r="C99" s="4" t="n">
        <v>548</v>
      </c>
      <c r="D99" s="6" t="n">
        <v>31</v>
      </c>
      <c r="E99" s="4" t="n">
        <f aca="false">INDEX(Evaporasi!$B$5:$B$16,MATCH(B99,Evaporasi!$A$5:$A$16,0))</f>
        <v>151.5</v>
      </c>
      <c r="F99" s="17" t="n">
        <f aca="false">Kawasan!$B$11*Kawasan!$B$9*C99/1000</f>
        <v>4559.36</v>
      </c>
      <c r="G99" s="17" t="n">
        <f aca="false">C99*Desain_Kolam!$B$9/1000</f>
        <v>2900.29</v>
      </c>
      <c r="H99" s="17" t="n">
        <f aca="false">Kawasan!$B$26*D99</f>
        <v>2380.8</v>
      </c>
      <c r="I99" s="17" t="n">
        <f aca="false">E99*Desain_Kolam!$B$9/1000</f>
        <v>801.81375</v>
      </c>
      <c r="J99" s="17" t="n">
        <f aca="false">F99+G99-H99-I99</f>
        <v>4277.03625</v>
      </c>
      <c r="K99" s="17" t="n">
        <f aca="false">K98+J99</f>
        <v>-19267.735275</v>
      </c>
      <c r="L99" s="17" t="n">
        <f aca="false">MAX(L98,K99)</f>
        <v>12707.59515</v>
      </c>
      <c r="M99" s="17" t="n">
        <f aca="false">L99-K99</f>
        <v>31975.330425</v>
      </c>
      <c r="N99" s="17" t="n">
        <f aca="false">MIN(Desain_Kolam!$B$21,MAX(0,N98+F99+G99-H99-I99))</f>
        <v>4277.03625</v>
      </c>
      <c r="O99" s="6" t="n">
        <f aca="false">IF(N98+F99+G99-I99&gt;=H99,1,0)</f>
        <v>1</v>
      </c>
    </row>
    <row r="100" customFormat="false" ht="15" hidden="false" customHeight="false" outlineLevel="0" collapsed="false">
      <c r="A100" s="6" t="n">
        <v>2019</v>
      </c>
      <c r="B100" s="6" t="n">
        <v>11</v>
      </c>
      <c r="C100" s="4" t="n">
        <v>469</v>
      </c>
      <c r="D100" s="6" t="n">
        <v>30</v>
      </c>
      <c r="E100" s="4" t="n">
        <f aca="false">INDEX(Evaporasi!$B$5:$B$16,MATCH(B100,Evaporasi!$A$5:$A$16,0))</f>
        <v>142.3</v>
      </c>
      <c r="F100" s="17" t="n">
        <f aca="false">Kawasan!$B$11*Kawasan!$B$9*C100/1000</f>
        <v>3902.08</v>
      </c>
      <c r="G100" s="17" t="n">
        <f aca="false">C100*Desain_Kolam!$B$9/1000</f>
        <v>2482.1825</v>
      </c>
      <c r="H100" s="17" t="n">
        <f aca="false">Kawasan!$B$26*D100</f>
        <v>2304</v>
      </c>
      <c r="I100" s="17" t="n">
        <f aca="false">E100*Desain_Kolam!$B$9/1000</f>
        <v>753.12275</v>
      </c>
      <c r="J100" s="17" t="n">
        <f aca="false">F100+G100-H100-I100</f>
        <v>3327.13975</v>
      </c>
      <c r="K100" s="17" t="n">
        <f aca="false">K99+J100</f>
        <v>-15940.595525</v>
      </c>
      <c r="L100" s="17" t="n">
        <f aca="false">MAX(L99,K100)</f>
        <v>12707.59515</v>
      </c>
      <c r="M100" s="17" t="n">
        <f aca="false">L100-K100</f>
        <v>28648.190675</v>
      </c>
      <c r="N100" s="17" t="n">
        <f aca="false">MIN(Desain_Kolam!$B$21,MAX(0,N99+F100+G100-H100-I100))</f>
        <v>7604.176</v>
      </c>
      <c r="O100" s="6" t="n">
        <f aca="false">IF(N99+F100+G100-I100&gt;=H100,1,0)</f>
        <v>1</v>
      </c>
    </row>
    <row r="101" customFormat="false" ht="15" hidden="false" customHeight="false" outlineLevel="0" collapsed="false">
      <c r="A101" s="6" t="n">
        <v>2019</v>
      </c>
      <c r="B101" s="6" t="n">
        <v>12</v>
      </c>
      <c r="C101" s="4" t="n">
        <v>357</v>
      </c>
      <c r="D101" s="6" t="n">
        <v>31</v>
      </c>
      <c r="E101" s="4" t="n">
        <f aca="false">INDEX(Evaporasi!$B$5:$B$16,MATCH(B101,Evaporasi!$A$5:$A$16,0))</f>
        <v>145.07</v>
      </c>
      <c r="F101" s="17" t="n">
        <f aca="false">Kawasan!$B$11*Kawasan!$B$9*C101/1000</f>
        <v>2970.24</v>
      </c>
      <c r="G101" s="17" t="n">
        <f aca="false">C101*Desain_Kolam!$B$9/1000</f>
        <v>1889.4225</v>
      </c>
      <c r="H101" s="17" t="n">
        <f aca="false">Kawasan!$B$26*D101</f>
        <v>2380.8</v>
      </c>
      <c r="I101" s="17" t="n">
        <f aca="false">E101*Desain_Kolam!$B$9/1000</f>
        <v>767.782975</v>
      </c>
      <c r="J101" s="17" t="n">
        <f aca="false">F101+G101-H101-I101</f>
        <v>1711.079525</v>
      </c>
      <c r="K101" s="17" t="n">
        <f aca="false">K100+J101</f>
        <v>-14229.516</v>
      </c>
      <c r="L101" s="17" t="n">
        <f aca="false">MAX(L100,K101)</f>
        <v>12707.59515</v>
      </c>
      <c r="M101" s="17" t="n">
        <f aca="false">L101-K101</f>
        <v>26937.11115</v>
      </c>
      <c r="N101" s="17" t="n">
        <f aca="false">MIN(Desain_Kolam!$B$21,MAX(0,N100+F101+G101-H101-I101))</f>
        <v>9315.255525</v>
      </c>
      <c r="O101" s="6" t="n">
        <f aca="false">IF(N100+F101+G101-I101&gt;=H101,1,0)</f>
        <v>1</v>
      </c>
    </row>
    <row r="102" customFormat="false" ht="15" hidden="false" customHeight="false" outlineLevel="0" collapsed="false">
      <c r="A102" s="6" t="n">
        <v>2020</v>
      </c>
      <c r="B102" s="6" t="n">
        <v>1</v>
      </c>
      <c r="C102" s="4" t="n">
        <v>337</v>
      </c>
      <c r="D102" s="6" t="n">
        <v>31</v>
      </c>
      <c r="E102" s="4" t="n">
        <f aca="false">INDEX(Evaporasi!$B$5:$B$16,MATCH(B102,Evaporasi!$A$5:$A$16,0))</f>
        <v>149.98</v>
      </c>
      <c r="F102" s="17" t="n">
        <f aca="false">Kawasan!$B$11*Kawasan!$B$9*C102/1000</f>
        <v>2803.84</v>
      </c>
      <c r="G102" s="17" t="n">
        <f aca="false">C102*Desain_Kolam!$B$9/1000</f>
        <v>1783.5725</v>
      </c>
      <c r="H102" s="17" t="n">
        <f aca="false">Kawasan!$B$26*D102</f>
        <v>2380.8</v>
      </c>
      <c r="I102" s="17" t="n">
        <f aca="false">E102*Desain_Kolam!$B$9/1000</f>
        <v>793.76915</v>
      </c>
      <c r="J102" s="17" t="n">
        <f aca="false">F102+G102-H102-I102</f>
        <v>1412.84335</v>
      </c>
      <c r="K102" s="17" t="n">
        <f aca="false">K101+J102</f>
        <v>-12816.67265</v>
      </c>
      <c r="L102" s="17" t="n">
        <f aca="false">MAX(L101,K102)</f>
        <v>12707.59515</v>
      </c>
      <c r="M102" s="17" t="n">
        <f aca="false">L102-K102</f>
        <v>25524.2678</v>
      </c>
      <c r="N102" s="17" t="n">
        <f aca="false">MIN(Desain_Kolam!$B$21,MAX(0,N101+F102+G102-H102-I102))</f>
        <v>10728.098875</v>
      </c>
      <c r="O102" s="6" t="n">
        <f aca="false">IF(N101+F102+G102-I102&gt;=H102,1,0)</f>
        <v>1</v>
      </c>
    </row>
    <row r="103" customFormat="false" ht="15" hidden="false" customHeight="false" outlineLevel="0" collapsed="false">
      <c r="A103" s="6" t="n">
        <v>2020</v>
      </c>
      <c r="B103" s="6" t="n">
        <v>2</v>
      </c>
      <c r="C103" s="4" t="n">
        <v>305</v>
      </c>
      <c r="D103" s="6" t="n">
        <v>29</v>
      </c>
      <c r="E103" s="4" t="n">
        <f aca="false">INDEX(Evaporasi!$B$5:$B$16,MATCH(B103,Evaporasi!$A$5:$A$16,0))</f>
        <v>148.64</v>
      </c>
      <c r="F103" s="17" t="n">
        <f aca="false">Kawasan!$B$11*Kawasan!$B$9*C103/1000</f>
        <v>2537.6</v>
      </c>
      <c r="G103" s="17" t="n">
        <f aca="false">C103*Desain_Kolam!$B$9/1000</f>
        <v>1614.2125</v>
      </c>
      <c r="H103" s="17" t="n">
        <f aca="false">Kawasan!$B$26*D103</f>
        <v>2227.2</v>
      </c>
      <c r="I103" s="17" t="n">
        <f aca="false">E103*Desain_Kolam!$B$9/1000</f>
        <v>786.6772</v>
      </c>
      <c r="J103" s="17" t="n">
        <f aca="false">F103+G103-H103-I103</f>
        <v>1137.9353</v>
      </c>
      <c r="K103" s="17" t="n">
        <f aca="false">K102+J103</f>
        <v>-11678.73735</v>
      </c>
      <c r="L103" s="17" t="n">
        <f aca="false">MAX(L102,K103)</f>
        <v>12707.59515</v>
      </c>
      <c r="M103" s="17" t="n">
        <f aca="false">L103-K103</f>
        <v>24386.3325</v>
      </c>
      <c r="N103" s="17" t="n">
        <f aca="false">MIN(Desain_Kolam!$B$21,MAX(0,N102+F103+G103-H103-I103))</f>
        <v>11866.034175</v>
      </c>
      <c r="O103" s="6" t="n">
        <f aca="false">IF(N102+F103+G103-I103&gt;=H103,1,0)</f>
        <v>1</v>
      </c>
    </row>
    <row r="104" customFormat="false" ht="15" hidden="false" customHeight="false" outlineLevel="0" collapsed="false">
      <c r="A104" s="6" t="n">
        <v>2020</v>
      </c>
      <c r="B104" s="6" t="n">
        <v>3</v>
      </c>
      <c r="C104" s="4" t="n">
        <v>219</v>
      </c>
      <c r="D104" s="6" t="n">
        <v>31</v>
      </c>
      <c r="E104" s="4" t="n">
        <f aca="false">INDEX(Evaporasi!$B$5:$B$16,MATCH(B104,Evaporasi!$A$5:$A$16,0))</f>
        <v>166.18</v>
      </c>
      <c r="F104" s="17" t="n">
        <f aca="false">Kawasan!$B$11*Kawasan!$B$9*C104/1000</f>
        <v>1822.08</v>
      </c>
      <c r="G104" s="17" t="n">
        <f aca="false">C104*Desain_Kolam!$B$9/1000</f>
        <v>1159.0575</v>
      </c>
      <c r="H104" s="17" t="n">
        <f aca="false">Kawasan!$B$26*D104</f>
        <v>2380.8</v>
      </c>
      <c r="I104" s="17" t="n">
        <f aca="false">E104*Desain_Kolam!$B$9/1000</f>
        <v>879.50765</v>
      </c>
      <c r="J104" s="17" t="n">
        <f aca="false">F104+G104-H104-I104</f>
        <v>-279.17015</v>
      </c>
      <c r="K104" s="17" t="n">
        <f aca="false">K103+J104</f>
        <v>-11957.9075</v>
      </c>
      <c r="L104" s="17" t="n">
        <f aca="false">MAX(L103,K104)</f>
        <v>12707.59515</v>
      </c>
      <c r="M104" s="17" t="n">
        <f aca="false">L104-K104</f>
        <v>24665.50265</v>
      </c>
      <c r="N104" s="17" t="n">
        <f aca="false">MIN(Desain_Kolam!$B$21,MAX(0,N103+F104+G104-H104-I104))</f>
        <v>11586.864025</v>
      </c>
      <c r="O104" s="6" t="n">
        <f aca="false">IF(N103+F104+G104-I104&gt;=H104,1,0)</f>
        <v>1</v>
      </c>
    </row>
    <row r="105" customFormat="false" ht="15" hidden="false" customHeight="false" outlineLevel="0" collapsed="false">
      <c r="A105" s="6" t="n">
        <v>2020</v>
      </c>
      <c r="B105" s="6" t="n">
        <v>4</v>
      </c>
      <c r="C105" s="4" t="n">
        <v>358</v>
      </c>
      <c r="D105" s="6" t="n">
        <v>30</v>
      </c>
      <c r="E105" s="4" t="n">
        <f aca="false">INDEX(Evaporasi!$B$5:$B$16,MATCH(B105,Evaporasi!$A$5:$A$16,0))</f>
        <v>157.75</v>
      </c>
      <c r="F105" s="17" t="n">
        <f aca="false">Kawasan!$B$11*Kawasan!$B$9*C105/1000</f>
        <v>2978.56</v>
      </c>
      <c r="G105" s="17" t="n">
        <f aca="false">C105*Desain_Kolam!$B$9/1000</f>
        <v>1894.715</v>
      </c>
      <c r="H105" s="17" t="n">
        <f aca="false">Kawasan!$B$26*D105</f>
        <v>2304</v>
      </c>
      <c r="I105" s="17" t="n">
        <f aca="false">E105*Desain_Kolam!$B$9/1000</f>
        <v>834.891875</v>
      </c>
      <c r="J105" s="17" t="n">
        <f aca="false">F105+G105-H105-I105</f>
        <v>1734.383125</v>
      </c>
      <c r="K105" s="17" t="n">
        <f aca="false">K104+J105</f>
        <v>-10223.524375</v>
      </c>
      <c r="L105" s="17" t="n">
        <f aca="false">MAX(L104,K105)</f>
        <v>12707.59515</v>
      </c>
      <c r="M105" s="17" t="n">
        <f aca="false">L105-K105</f>
        <v>22931.119525</v>
      </c>
      <c r="N105" s="17" t="n">
        <f aca="false">MIN(Desain_Kolam!$B$21,MAX(0,N104+F105+G105-H105-I105))</f>
        <v>13321.24715</v>
      </c>
      <c r="O105" s="6" t="n">
        <f aca="false">IF(N104+F105+G105-I105&gt;=H105,1,0)</f>
        <v>1</v>
      </c>
    </row>
    <row r="106" customFormat="false" ht="15" hidden="false" customHeight="false" outlineLevel="0" collapsed="false">
      <c r="A106" s="6" t="n">
        <v>2020</v>
      </c>
      <c r="B106" s="6" t="n">
        <v>5</v>
      </c>
      <c r="C106" s="4" t="n">
        <v>305</v>
      </c>
      <c r="D106" s="6" t="n">
        <v>31</v>
      </c>
      <c r="E106" s="4" t="n">
        <f aca="false">INDEX(Evaporasi!$B$5:$B$16,MATCH(B106,Evaporasi!$A$5:$A$16,0))</f>
        <v>158.35</v>
      </c>
      <c r="F106" s="17" t="n">
        <f aca="false">Kawasan!$B$11*Kawasan!$B$9*C106/1000</f>
        <v>2537.6</v>
      </c>
      <c r="G106" s="17" t="n">
        <f aca="false">C106*Desain_Kolam!$B$9/1000</f>
        <v>1614.2125</v>
      </c>
      <c r="H106" s="17" t="n">
        <f aca="false">Kawasan!$B$26*D106</f>
        <v>2380.8</v>
      </c>
      <c r="I106" s="17" t="n">
        <f aca="false">E106*Desain_Kolam!$B$9/1000</f>
        <v>838.067375</v>
      </c>
      <c r="J106" s="17" t="n">
        <f aca="false">F106+G106-H106-I106</f>
        <v>932.945125</v>
      </c>
      <c r="K106" s="17" t="n">
        <f aca="false">K105+J106</f>
        <v>-9290.57924999998</v>
      </c>
      <c r="L106" s="17" t="n">
        <f aca="false">MAX(L105,K106)</f>
        <v>12707.59515</v>
      </c>
      <c r="M106" s="17" t="n">
        <f aca="false">L106-K106</f>
        <v>21998.1744</v>
      </c>
      <c r="N106" s="17" t="n">
        <f aca="false">MIN(Desain_Kolam!$B$21,MAX(0,N105+F106+G106-H106-I106))</f>
        <v>14254.192275</v>
      </c>
      <c r="O106" s="6" t="n">
        <f aca="false">IF(N105+F106+G106-I106&gt;=H106,1,0)</f>
        <v>1</v>
      </c>
    </row>
    <row r="107" customFormat="false" ht="15" hidden="false" customHeight="false" outlineLevel="0" collapsed="false">
      <c r="A107" s="6" t="n">
        <v>2020</v>
      </c>
      <c r="B107" s="6" t="n">
        <v>6</v>
      </c>
      <c r="C107" s="4" t="n">
        <v>388</v>
      </c>
      <c r="D107" s="6" t="n">
        <v>30</v>
      </c>
      <c r="E107" s="4" t="n">
        <f aca="false">INDEX(Evaporasi!$B$5:$B$16,MATCH(B107,Evaporasi!$A$5:$A$16,0))</f>
        <v>150.17</v>
      </c>
      <c r="F107" s="17" t="n">
        <f aca="false">Kawasan!$B$11*Kawasan!$B$9*C107/1000</f>
        <v>3228.16</v>
      </c>
      <c r="G107" s="17" t="n">
        <f aca="false">C107*Desain_Kolam!$B$9/1000</f>
        <v>2053.49</v>
      </c>
      <c r="H107" s="17" t="n">
        <f aca="false">Kawasan!$B$26*D107</f>
        <v>2304</v>
      </c>
      <c r="I107" s="17" t="n">
        <f aca="false">E107*Desain_Kolam!$B$9/1000</f>
        <v>794.774725</v>
      </c>
      <c r="J107" s="17" t="n">
        <f aca="false">F107+G107-H107-I107</f>
        <v>2182.875275</v>
      </c>
      <c r="K107" s="17" t="n">
        <f aca="false">K106+J107</f>
        <v>-7107.70397499999</v>
      </c>
      <c r="L107" s="17" t="n">
        <f aca="false">MAX(L106,K107)</f>
        <v>12707.59515</v>
      </c>
      <c r="M107" s="17" t="n">
        <f aca="false">L107-K107</f>
        <v>19815.299125</v>
      </c>
      <c r="N107" s="17" t="n">
        <f aca="false">MIN(Desain_Kolam!$B$21,MAX(0,N106+F107+G107-H107-I107))</f>
        <v>15823.566675</v>
      </c>
      <c r="O107" s="6" t="n">
        <f aca="false">IF(N106+F107+G107-I107&gt;=H107,1,0)</f>
        <v>1</v>
      </c>
    </row>
    <row r="108" customFormat="false" ht="15" hidden="false" customHeight="false" outlineLevel="0" collapsed="false">
      <c r="A108" s="6" t="n">
        <v>2020</v>
      </c>
      <c r="B108" s="6" t="n">
        <v>7</v>
      </c>
      <c r="C108" s="4" t="n">
        <v>507</v>
      </c>
      <c r="D108" s="6" t="n">
        <v>31</v>
      </c>
      <c r="E108" s="4" t="n">
        <f aca="false">INDEX(Evaporasi!$B$5:$B$16,MATCH(B108,Evaporasi!$A$5:$A$16,0))</f>
        <v>160.84</v>
      </c>
      <c r="F108" s="17" t="n">
        <f aca="false">Kawasan!$B$11*Kawasan!$B$9*C108/1000</f>
        <v>4218.24</v>
      </c>
      <c r="G108" s="17" t="n">
        <f aca="false">C108*Desain_Kolam!$B$9/1000</f>
        <v>2683.2975</v>
      </c>
      <c r="H108" s="17" t="n">
        <f aca="false">Kawasan!$B$26*D108</f>
        <v>2380.8</v>
      </c>
      <c r="I108" s="17" t="n">
        <f aca="false">E108*Desain_Kolam!$B$9/1000</f>
        <v>851.2457</v>
      </c>
      <c r="J108" s="17" t="n">
        <f aca="false">F108+G108-H108-I108</f>
        <v>3669.4918</v>
      </c>
      <c r="K108" s="17" t="n">
        <f aca="false">K107+J108</f>
        <v>-3438.21217499998</v>
      </c>
      <c r="L108" s="17" t="n">
        <f aca="false">MAX(L107,K108)</f>
        <v>12707.59515</v>
      </c>
      <c r="M108" s="17" t="n">
        <f aca="false">L108-K108</f>
        <v>16145.807325</v>
      </c>
      <c r="N108" s="17" t="n">
        <f aca="false">MIN(Desain_Kolam!$B$21,MAX(0,N107+F108+G108-H108-I108))</f>
        <v>15823.566675</v>
      </c>
      <c r="O108" s="6" t="n">
        <f aca="false">IF(N107+F108+G108-I108&gt;=H108,1,0)</f>
        <v>1</v>
      </c>
    </row>
    <row r="109" customFormat="false" ht="15" hidden="false" customHeight="false" outlineLevel="0" collapsed="false">
      <c r="A109" s="6" t="n">
        <v>2020</v>
      </c>
      <c r="B109" s="6" t="n">
        <v>8</v>
      </c>
      <c r="C109" s="4" t="n">
        <v>212</v>
      </c>
      <c r="D109" s="6" t="n">
        <v>31</v>
      </c>
      <c r="E109" s="4" t="n">
        <f aca="false">INDEX(Evaporasi!$B$5:$B$16,MATCH(B109,Evaporasi!$A$5:$A$16,0))</f>
        <v>161.16</v>
      </c>
      <c r="F109" s="17" t="n">
        <f aca="false">Kawasan!$B$11*Kawasan!$B$9*C109/1000</f>
        <v>1763.84</v>
      </c>
      <c r="G109" s="17" t="n">
        <f aca="false">C109*Desain_Kolam!$B$9/1000</f>
        <v>1122.01</v>
      </c>
      <c r="H109" s="17" t="n">
        <f aca="false">Kawasan!$B$26*D109</f>
        <v>2380.8</v>
      </c>
      <c r="I109" s="17" t="n">
        <f aca="false">E109*Desain_Kolam!$B$9/1000</f>
        <v>852.9393</v>
      </c>
      <c r="J109" s="17" t="n">
        <f aca="false">F109+G109-H109-I109</f>
        <v>-347.8893</v>
      </c>
      <c r="K109" s="17" t="n">
        <f aca="false">K108+J109</f>
        <v>-3786.10147499998</v>
      </c>
      <c r="L109" s="17" t="n">
        <f aca="false">MAX(L108,K109)</f>
        <v>12707.59515</v>
      </c>
      <c r="M109" s="17" t="n">
        <f aca="false">L109-K109</f>
        <v>16493.696625</v>
      </c>
      <c r="N109" s="17" t="n">
        <f aca="false">MIN(Desain_Kolam!$B$21,MAX(0,N108+F109+G109-H109-I109))</f>
        <v>15475.677375</v>
      </c>
      <c r="O109" s="6" t="n">
        <f aca="false">IF(N108+F109+G109-I109&gt;=H109,1,0)</f>
        <v>1</v>
      </c>
    </row>
    <row r="110" customFormat="false" ht="15" hidden="false" customHeight="false" outlineLevel="0" collapsed="false">
      <c r="A110" s="6" t="n">
        <v>2020</v>
      </c>
      <c r="B110" s="6" t="n">
        <v>9</v>
      </c>
      <c r="C110" s="4" t="n">
        <v>460</v>
      </c>
      <c r="D110" s="6" t="n">
        <v>30</v>
      </c>
      <c r="E110" s="4" t="n">
        <f aca="false">INDEX(Evaporasi!$B$5:$B$16,MATCH(B110,Evaporasi!$A$5:$A$16,0))</f>
        <v>159.21</v>
      </c>
      <c r="F110" s="17" t="n">
        <f aca="false">Kawasan!$B$11*Kawasan!$B$9*C110/1000</f>
        <v>3827.2</v>
      </c>
      <c r="G110" s="17" t="n">
        <f aca="false">C110*Desain_Kolam!$B$9/1000</f>
        <v>2434.55</v>
      </c>
      <c r="H110" s="17" t="n">
        <f aca="false">Kawasan!$B$26*D110</f>
        <v>2304</v>
      </c>
      <c r="I110" s="17" t="n">
        <f aca="false">E110*Desain_Kolam!$B$9/1000</f>
        <v>842.618925</v>
      </c>
      <c r="J110" s="17" t="n">
        <f aca="false">F110+G110-H110-I110</f>
        <v>3115.131075</v>
      </c>
      <c r="K110" s="17" t="n">
        <f aca="false">K109+J110</f>
        <v>-670.970399999983</v>
      </c>
      <c r="L110" s="17" t="n">
        <f aca="false">MAX(L109,K110)</f>
        <v>12707.59515</v>
      </c>
      <c r="M110" s="17" t="n">
        <f aca="false">L110-K110</f>
        <v>13378.56555</v>
      </c>
      <c r="N110" s="17" t="n">
        <f aca="false">MIN(Desain_Kolam!$B$21,MAX(0,N109+F110+G110-H110-I110))</f>
        <v>15823.566675</v>
      </c>
      <c r="O110" s="6" t="n">
        <f aca="false">IF(N109+F110+G110-I110&gt;=H110,1,0)</f>
        <v>1</v>
      </c>
    </row>
    <row r="111" customFormat="false" ht="15" hidden="false" customHeight="false" outlineLevel="0" collapsed="false">
      <c r="A111" s="6" t="n">
        <v>2020</v>
      </c>
      <c r="B111" s="6" t="n">
        <v>10</v>
      </c>
      <c r="C111" s="4" t="n">
        <v>256</v>
      </c>
      <c r="D111" s="6" t="n">
        <v>31</v>
      </c>
      <c r="E111" s="4" t="n">
        <f aca="false">INDEX(Evaporasi!$B$5:$B$16,MATCH(B111,Evaporasi!$A$5:$A$16,0))</f>
        <v>151.5</v>
      </c>
      <c r="F111" s="17" t="n">
        <f aca="false">Kawasan!$B$11*Kawasan!$B$9*C111/1000</f>
        <v>2129.92</v>
      </c>
      <c r="G111" s="17" t="n">
        <f aca="false">C111*Desain_Kolam!$B$9/1000</f>
        <v>1354.88</v>
      </c>
      <c r="H111" s="17" t="n">
        <f aca="false">Kawasan!$B$26*D111</f>
        <v>2380.8</v>
      </c>
      <c r="I111" s="17" t="n">
        <f aca="false">E111*Desain_Kolam!$B$9/1000</f>
        <v>801.81375</v>
      </c>
      <c r="J111" s="17" t="n">
        <f aca="false">F111+G111-H111-I111</f>
        <v>302.18625</v>
      </c>
      <c r="K111" s="17" t="n">
        <f aca="false">K110+J111</f>
        <v>-368.784149999983</v>
      </c>
      <c r="L111" s="17" t="n">
        <f aca="false">MAX(L110,K111)</f>
        <v>12707.59515</v>
      </c>
      <c r="M111" s="17" t="n">
        <f aca="false">L111-K111</f>
        <v>13076.3793</v>
      </c>
      <c r="N111" s="17" t="n">
        <f aca="false">MIN(Desain_Kolam!$B$21,MAX(0,N110+F111+G111-H111-I111))</f>
        <v>15823.566675</v>
      </c>
      <c r="O111" s="6" t="n">
        <f aca="false">IF(N110+F111+G111-I111&gt;=H111,1,0)</f>
        <v>1</v>
      </c>
    </row>
    <row r="112" customFormat="false" ht="15" hidden="false" customHeight="false" outlineLevel="0" collapsed="false">
      <c r="A112" s="6" t="n">
        <v>2020</v>
      </c>
      <c r="B112" s="6" t="n">
        <v>11</v>
      </c>
      <c r="C112" s="4" t="n">
        <v>568</v>
      </c>
      <c r="D112" s="6" t="n">
        <v>30</v>
      </c>
      <c r="E112" s="4" t="n">
        <f aca="false">INDEX(Evaporasi!$B$5:$B$16,MATCH(B112,Evaporasi!$A$5:$A$16,0))</f>
        <v>142.3</v>
      </c>
      <c r="F112" s="17" t="n">
        <f aca="false">Kawasan!$B$11*Kawasan!$B$9*C112/1000</f>
        <v>4725.76</v>
      </c>
      <c r="G112" s="17" t="n">
        <f aca="false">C112*Desain_Kolam!$B$9/1000</f>
        <v>3006.14</v>
      </c>
      <c r="H112" s="17" t="n">
        <f aca="false">Kawasan!$B$26*D112</f>
        <v>2304</v>
      </c>
      <c r="I112" s="17" t="n">
        <f aca="false">E112*Desain_Kolam!$B$9/1000</f>
        <v>753.12275</v>
      </c>
      <c r="J112" s="17" t="n">
        <f aca="false">F112+G112-H112-I112</f>
        <v>4674.77725</v>
      </c>
      <c r="K112" s="17" t="n">
        <f aca="false">K111+J112</f>
        <v>4305.99310000002</v>
      </c>
      <c r="L112" s="17" t="n">
        <f aca="false">MAX(L111,K112)</f>
        <v>12707.59515</v>
      </c>
      <c r="M112" s="17" t="n">
        <f aca="false">L112-K112</f>
        <v>8401.60204999999</v>
      </c>
      <c r="N112" s="17" t="n">
        <f aca="false">MIN(Desain_Kolam!$B$21,MAX(0,N111+F112+G112-H112-I112))</f>
        <v>15823.566675</v>
      </c>
      <c r="O112" s="6" t="n">
        <f aca="false">IF(N111+F112+G112-I112&gt;=H112,1,0)</f>
        <v>1</v>
      </c>
    </row>
    <row r="113" customFormat="false" ht="15" hidden="false" customHeight="false" outlineLevel="0" collapsed="false">
      <c r="A113" s="6" t="n">
        <v>2020</v>
      </c>
      <c r="B113" s="6" t="n">
        <v>12</v>
      </c>
      <c r="C113" s="4" t="n">
        <v>274</v>
      </c>
      <c r="D113" s="6" t="n">
        <v>31</v>
      </c>
      <c r="E113" s="4" t="n">
        <f aca="false">INDEX(Evaporasi!$B$5:$B$16,MATCH(B113,Evaporasi!$A$5:$A$16,0))</f>
        <v>145.07</v>
      </c>
      <c r="F113" s="17" t="n">
        <f aca="false">Kawasan!$B$11*Kawasan!$B$9*C113/1000</f>
        <v>2279.68</v>
      </c>
      <c r="G113" s="17" t="n">
        <f aca="false">C113*Desain_Kolam!$B$9/1000</f>
        <v>1450.145</v>
      </c>
      <c r="H113" s="17" t="n">
        <f aca="false">Kawasan!$B$26*D113</f>
        <v>2380.8</v>
      </c>
      <c r="I113" s="17" t="n">
        <f aca="false">E113*Desain_Kolam!$B$9/1000</f>
        <v>767.782975</v>
      </c>
      <c r="J113" s="17" t="n">
        <f aca="false">F113+G113-H113-I113</f>
        <v>581.242025</v>
      </c>
      <c r="K113" s="17" t="n">
        <f aca="false">K112+J113</f>
        <v>4887.23512500002</v>
      </c>
      <c r="L113" s="17" t="n">
        <f aca="false">MAX(L112,K113)</f>
        <v>12707.59515</v>
      </c>
      <c r="M113" s="17" t="n">
        <f aca="false">L113-K113</f>
        <v>7820.36002499999</v>
      </c>
      <c r="N113" s="17" t="n">
        <f aca="false">MIN(Desain_Kolam!$B$21,MAX(0,N112+F113+G113-H113-I113))</f>
        <v>15823.566675</v>
      </c>
      <c r="O113" s="6" t="n">
        <f aca="false">IF(N112+F113+G113-I113&gt;=H113,1,0)</f>
        <v>1</v>
      </c>
    </row>
    <row r="114" customFormat="false" ht="15" hidden="false" customHeight="false" outlineLevel="0" collapsed="false">
      <c r="A114" s="6" t="n">
        <v>2021</v>
      </c>
      <c r="B114" s="6" t="n">
        <v>1</v>
      </c>
      <c r="C114" s="4" t="n">
        <v>310</v>
      </c>
      <c r="D114" s="6" t="n">
        <v>31</v>
      </c>
      <c r="E114" s="4" t="n">
        <f aca="false">INDEX(Evaporasi!$B$5:$B$16,MATCH(B114,Evaporasi!$A$5:$A$16,0))</f>
        <v>149.98</v>
      </c>
      <c r="F114" s="17" t="n">
        <f aca="false">Kawasan!$B$11*Kawasan!$B$9*C114/1000</f>
        <v>2579.2</v>
      </c>
      <c r="G114" s="17" t="n">
        <f aca="false">C114*Desain_Kolam!$B$9/1000</f>
        <v>1640.675</v>
      </c>
      <c r="H114" s="17" t="n">
        <f aca="false">Kawasan!$B$26*D114</f>
        <v>2380.8</v>
      </c>
      <c r="I114" s="17" t="n">
        <f aca="false">E114*Desain_Kolam!$B$9/1000</f>
        <v>793.76915</v>
      </c>
      <c r="J114" s="17" t="n">
        <f aca="false">F114+G114-H114-I114</f>
        <v>1045.30585</v>
      </c>
      <c r="K114" s="17" t="n">
        <f aca="false">K113+J114</f>
        <v>5932.54097500002</v>
      </c>
      <c r="L114" s="17" t="n">
        <f aca="false">MAX(L113,K114)</f>
        <v>12707.59515</v>
      </c>
      <c r="M114" s="17" t="n">
        <f aca="false">L114-K114</f>
        <v>6775.05417499999</v>
      </c>
      <c r="N114" s="17" t="n">
        <f aca="false">MIN(Desain_Kolam!$B$21,MAX(0,N113+F114+G114-H114-I114))</f>
        <v>15823.566675</v>
      </c>
      <c r="O114" s="6" t="n">
        <f aca="false">IF(N113+F114+G114-I114&gt;=H114,1,0)</f>
        <v>1</v>
      </c>
    </row>
    <row r="115" customFormat="false" ht="15" hidden="false" customHeight="false" outlineLevel="0" collapsed="false">
      <c r="A115" s="6" t="n">
        <v>2021</v>
      </c>
      <c r="B115" s="6" t="n">
        <v>2</v>
      </c>
      <c r="C115" s="4" t="n">
        <v>50</v>
      </c>
      <c r="D115" s="6" t="n">
        <v>28</v>
      </c>
      <c r="E115" s="4" t="n">
        <f aca="false">INDEX(Evaporasi!$B$5:$B$16,MATCH(B115,Evaporasi!$A$5:$A$16,0))</f>
        <v>148.64</v>
      </c>
      <c r="F115" s="17" t="n">
        <f aca="false">Kawasan!$B$11*Kawasan!$B$9*C115/1000</f>
        <v>416</v>
      </c>
      <c r="G115" s="17" t="n">
        <f aca="false">C115*Desain_Kolam!$B$9/1000</f>
        <v>264.625</v>
      </c>
      <c r="H115" s="17" t="n">
        <f aca="false">Kawasan!$B$26*D115</f>
        <v>2150.4</v>
      </c>
      <c r="I115" s="17" t="n">
        <f aca="false">E115*Desain_Kolam!$B$9/1000</f>
        <v>786.6772</v>
      </c>
      <c r="J115" s="17" t="n">
        <f aca="false">F115+G115-H115-I115</f>
        <v>-2256.4522</v>
      </c>
      <c r="K115" s="17" t="n">
        <f aca="false">K114+J115</f>
        <v>3676.08877500002</v>
      </c>
      <c r="L115" s="17" t="n">
        <f aca="false">MAX(L114,K115)</f>
        <v>12707.59515</v>
      </c>
      <c r="M115" s="17" t="n">
        <f aca="false">L115-K115</f>
        <v>9031.50637499999</v>
      </c>
      <c r="N115" s="17" t="n">
        <f aca="false">MIN(Desain_Kolam!$B$21,MAX(0,N114+F115+G115-H115-I115))</f>
        <v>13567.114475</v>
      </c>
      <c r="O115" s="6" t="n">
        <f aca="false">IF(N114+F115+G115-I115&gt;=H115,1,0)</f>
        <v>1</v>
      </c>
    </row>
    <row r="116" customFormat="false" ht="15" hidden="false" customHeight="false" outlineLevel="0" collapsed="false">
      <c r="A116" s="6" t="n">
        <v>2021</v>
      </c>
      <c r="B116" s="6" t="n">
        <v>3</v>
      </c>
      <c r="C116" s="4" t="n">
        <v>263</v>
      </c>
      <c r="D116" s="6" t="n">
        <v>31</v>
      </c>
      <c r="E116" s="4" t="n">
        <f aca="false">INDEX(Evaporasi!$B$5:$B$16,MATCH(B116,Evaporasi!$A$5:$A$16,0))</f>
        <v>166.18</v>
      </c>
      <c r="F116" s="17" t="n">
        <f aca="false">Kawasan!$B$11*Kawasan!$B$9*C116/1000</f>
        <v>2188.16</v>
      </c>
      <c r="G116" s="17" t="n">
        <f aca="false">C116*Desain_Kolam!$B$9/1000</f>
        <v>1391.9275</v>
      </c>
      <c r="H116" s="17" t="n">
        <f aca="false">Kawasan!$B$26*D116</f>
        <v>2380.8</v>
      </c>
      <c r="I116" s="17" t="n">
        <f aca="false">E116*Desain_Kolam!$B$9/1000</f>
        <v>879.50765</v>
      </c>
      <c r="J116" s="17" t="n">
        <f aca="false">F116+G116-H116-I116</f>
        <v>319.77985</v>
      </c>
      <c r="K116" s="17" t="n">
        <f aca="false">K115+J116</f>
        <v>3995.86862500002</v>
      </c>
      <c r="L116" s="17" t="n">
        <f aca="false">MAX(L115,K116)</f>
        <v>12707.59515</v>
      </c>
      <c r="M116" s="17" t="n">
        <f aca="false">L116-K116</f>
        <v>8711.72652499999</v>
      </c>
      <c r="N116" s="17" t="n">
        <f aca="false">MIN(Desain_Kolam!$B$21,MAX(0,N115+F116+G116-H116-I116))</f>
        <v>13886.894325</v>
      </c>
      <c r="O116" s="6" t="n">
        <f aca="false">IF(N115+F116+G116-I116&gt;=H116,1,0)</f>
        <v>1</v>
      </c>
    </row>
    <row r="117" customFormat="false" ht="15" hidden="false" customHeight="false" outlineLevel="0" collapsed="false">
      <c r="A117" s="6" t="n">
        <v>2021</v>
      </c>
      <c r="B117" s="6" t="n">
        <v>4</v>
      </c>
      <c r="C117" s="4" t="n">
        <v>240</v>
      </c>
      <c r="D117" s="6" t="n">
        <v>30</v>
      </c>
      <c r="E117" s="4" t="n">
        <f aca="false">INDEX(Evaporasi!$B$5:$B$16,MATCH(B117,Evaporasi!$A$5:$A$16,0))</f>
        <v>157.75</v>
      </c>
      <c r="F117" s="17" t="n">
        <f aca="false">Kawasan!$B$11*Kawasan!$B$9*C117/1000</f>
        <v>1996.8</v>
      </c>
      <c r="G117" s="17" t="n">
        <f aca="false">C117*Desain_Kolam!$B$9/1000</f>
        <v>1270.2</v>
      </c>
      <c r="H117" s="17" t="n">
        <f aca="false">Kawasan!$B$26*D117</f>
        <v>2304</v>
      </c>
      <c r="I117" s="17" t="n">
        <f aca="false">E117*Desain_Kolam!$B$9/1000</f>
        <v>834.891875</v>
      </c>
      <c r="J117" s="17" t="n">
        <f aca="false">F117+G117-H117-I117</f>
        <v>128.108125</v>
      </c>
      <c r="K117" s="17" t="n">
        <f aca="false">K116+J117</f>
        <v>4123.97675000002</v>
      </c>
      <c r="L117" s="17" t="n">
        <f aca="false">MAX(L116,K117)</f>
        <v>12707.59515</v>
      </c>
      <c r="M117" s="17" t="n">
        <f aca="false">L117-K117</f>
        <v>8583.61839999999</v>
      </c>
      <c r="N117" s="17" t="n">
        <f aca="false">MIN(Desain_Kolam!$B$21,MAX(0,N116+F117+G117-H117-I117))</f>
        <v>14015.00245</v>
      </c>
      <c r="O117" s="6" t="n">
        <f aca="false">IF(N116+F117+G117-I117&gt;=H117,1,0)</f>
        <v>1</v>
      </c>
    </row>
    <row r="118" customFormat="false" ht="15" hidden="false" customHeight="false" outlineLevel="0" collapsed="false">
      <c r="A118" s="6" t="n">
        <v>2021</v>
      </c>
      <c r="B118" s="6" t="n">
        <v>5</v>
      </c>
      <c r="C118" s="4" t="n">
        <v>465</v>
      </c>
      <c r="D118" s="6" t="n">
        <v>31</v>
      </c>
      <c r="E118" s="4" t="n">
        <f aca="false">INDEX(Evaporasi!$B$5:$B$16,MATCH(B118,Evaporasi!$A$5:$A$16,0))</f>
        <v>158.35</v>
      </c>
      <c r="F118" s="17" t="n">
        <f aca="false">Kawasan!$B$11*Kawasan!$B$9*C118/1000</f>
        <v>3868.8</v>
      </c>
      <c r="G118" s="17" t="n">
        <f aca="false">C118*Desain_Kolam!$B$9/1000</f>
        <v>2461.0125</v>
      </c>
      <c r="H118" s="17" t="n">
        <f aca="false">Kawasan!$B$26*D118</f>
        <v>2380.8</v>
      </c>
      <c r="I118" s="17" t="n">
        <f aca="false">E118*Desain_Kolam!$B$9/1000</f>
        <v>838.067375</v>
      </c>
      <c r="J118" s="17" t="n">
        <f aca="false">F118+G118-H118-I118</f>
        <v>3110.945125</v>
      </c>
      <c r="K118" s="17" t="n">
        <f aca="false">K117+J118</f>
        <v>7234.92187500002</v>
      </c>
      <c r="L118" s="17" t="n">
        <f aca="false">MAX(L117,K118)</f>
        <v>12707.59515</v>
      </c>
      <c r="M118" s="17" t="n">
        <f aca="false">L118-K118</f>
        <v>5472.67327499999</v>
      </c>
      <c r="N118" s="17" t="n">
        <f aca="false">MIN(Desain_Kolam!$B$21,MAX(0,N117+F118+G118-H118-I118))</f>
        <v>15823.566675</v>
      </c>
      <c r="O118" s="6" t="n">
        <f aca="false">IF(N117+F118+G118-I118&gt;=H118,1,0)</f>
        <v>1</v>
      </c>
    </row>
    <row r="119" customFormat="false" ht="15" hidden="false" customHeight="false" outlineLevel="0" collapsed="false">
      <c r="A119" s="6" t="n">
        <v>2021</v>
      </c>
      <c r="B119" s="6" t="n">
        <v>6</v>
      </c>
      <c r="C119" s="4" t="n">
        <v>390</v>
      </c>
      <c r="D119" s="6" t="n">
        <v>30</v>
      </c>
      <c r="E119" s="4" t="n">
        <f aca="false">INDEX(Evaporasi!$B$5:$B$16,MATCH(B119,Evaporasi!$A$5:$A$16,0))</f>
        <v>150.17</v>
      </c>
      <c r="F119" s="17" t="n">
        <f aca="false">Kawasan!$B$11*Kawasan!$B$9*C119/1000</f>
        <v>3244.8</v>
      </c>
      <c r="G119" s="17" t="n">
        <f aca="false">C119*Desain_Kolam!$B$9/1000</f>
        <v>2064.075</v>
      </c>
      <c r="H119" s="17" t="n">
        <f aca="false">Kawasan!$B$26*D119</f>
        <v>2304</v>
      </c>
      <c r="I119" s="17" t="n">
        <f aca="false">E119*Desain_Kolam!$B$9/1000</f>
        <v>794.774725</v>
      </c>
      <c r="J119" s="17" t="n">
        <f aca="false">F119+G119-H119-I119</f>
        <v>2210.100275</v>
      </c>
      <c r="K119" s="17" t="n">
        <f aca="false">K118+J119</f>
        <v>9445.02215000002</v>
      </c>
      <c r="L119" s="17" t="n">
        <f aca="false">MAX(L118,K119)</f>
        <v>12707.59515</v>
      </c>
      <c r="M119" s="17" t="n">
        <f aca="false">L119-K119</f>
        <v>3262.57299999999</v>
      </c>
      <c r="N119" s="17" t="n">
        <f aca="false">MIN(Desain_Kolam!$B$21,MAX(0,N118+F119+G119-H119-I119))</f>
        <v>15823.566675</v>
      </c>
      <c r="O119" s="6" t="n">
        <f aca="false">IF(N118+F119+G119-I119&gt;=H119,1,0)</f>
        <v>1</v>
      </c>
    </row>
    <row r="120" customFormat="false" ht="15" hidden="false" customHeight="false" outlineLevel="0" collapsed="false">
      <c r="A120" s="6" t="n">
        <v>2021</v>
      </c>
      <c r="B120" s="6" t="n">
        <v>7</v>
      </c>
      <c r="C120" s="4" t="n">
        <v>211</v>
      </c>
      <c r="D120" s="6" t="n">
        <v>31</v>
      </c>
      <c r="E120" s="4" t="n">
        <f aca="false">INDEX(Evaporasi!$B$5:$B$16,MATCH(B120,Evaporasi!$A$5:$A$16,0))</f>
        <v>160.84</v>
      </c>
      <c r="F120" s="17" t="n">
        <f aca="false">Kawasan!$B$11*Kawasan!$B$9*C120/1000</f>
        <v>1755.52</v>
      </c>
      <c r="G120" s="17" t="n">
        <f aca="false">C120*Desain_Kolam!$B$9/1000</f>
        <v>1116.7175</v>
      </c>
      <c r="H120" s="17" t="n">
        <f aca="false">Kawasan!$B$26*D120</f>
        <v>2380.8</v>
      </c>
      <c r="I120" s="17" t="n">
        <f aca="false">E120*Desain_Kolam!$B$9/1000</f>
        <v>851.2457</v>
      </c>
      <c r="J120" s="17" t="n">
        <f aca="false">F120+G120-H120-I120</f>
        <v>-359.8082</v>
      </c>
      <c r="K120" s="17" t="n">
        <f aca="false">K119+J120</f>
        <v>9085.21395000002</v>
      </c>
      <c r="L120" s="17" t="n">
        <f aca="false">MAX(L119,K120)</f>
        <v>12707.59515</v>
      </c>
      <c r="M120" s="17" t="n">
        <f aca="false">L120-K120</f>
        <v>3622.38119999999</v>
      </c>
      <c r="N120" s="17" t="n">
        <f aca="false">MIN(Desain_Kolam!$B$21,MAX(0,N119+F120+G120-H120-I120))</f>
        <v>15463.758475</v>
      </c>
      <c r="O120" s="6" t="n">
        <f aca="false">IF(N119+F120+G120-I120&gt;=H120,1,0)</f>
        <v>1</v>
      </c>
    </row>
    <row r="121" customFormat="false" ht="15" hidden="false" customHeight="false" outlineLevel="0" collapsed="false">
      <c r="A121" s="6" t="n">
        <v>2021</v>
      </c>
      <c r="B121" s="6" t="n">
        <v>8</v>
      </c>
      <c r="C121" s="4" t="n">
        <v>587</v>
      </c>
      <c r="D121" s="6" t="n">
        <v>31</v>
      </c>
      <c r="E121" s="4" t="n">
        <f aca="false">INDEX(Evaporasi!$B$5:$B$16,MATCH(B121,Evaporasi!$A$5:$A$16,0))</f>
        <v>161.16</v>
      </c>
      <c r="F121" s="17" t="n">
        <f aca="false">Kawasan!$B$11*Kawasan!$B$9*C121/1000</f>
        <v>4883.84</v>
      </c>
      <c r="G121" s="17" t="n">
        <f aca="false">C121*Desain_Kolam!$B$9/1000</f>
        <v>3106.6975</v>
      </c>
      <c r="H121" s="17" t="n">
        <f aca="false">Kawasan!$B$26*D121</f>
        <v>2380.8</v>
      </c>
      <c r="I121" s="17" t="n">
        <f aca="false">E121*Desain_Kolam!$B$9/1000</f>
        <v>852.9393</v>
      </c>
      <c r="J121" s="17" t="n">
        <f aca="false">F121+G121-H121-I121</f>
        <v>4756.7982</v>
      </c>
      <c r="K121" s="17" t="n">
        <f aca="false">K120+J121</f>
        <v>13842.01215</v>
      </c>
      <c r="L121" s="17" t="n">
        <f aca="false">MAX(L120,K121)</f>
        <v>13842.01215</v>
      </c>
      <c r="M121" s="17" t="n">
        <f aca="false">L121-K121</f>
        <v>0</v>
      </c>
      <c r="N121" s="17" t="n">
        <f aca="false">MIN(Desain_Kolam!$B$21,MAX(0,N120+F121+G121-H121-I121))</f>
        <v>15823.566675</v>
      </c>
      <c r="O121" s="6" t="n">
        <f aca="false">IF(N120+F121+G121-I121&gt;=H121,1,0)</f>
        <v>1</v>
      </c>
    </row>
    <row r="122" customFormat="false" ht="15" hidden="false" customHeight="false" outlineLevel="0" collapsed="false">
      <c r="A122" s="6" t="n">
        <v>2021</v>
      </c>
      <c r="B122" s="6" t="n">
        <v>9</v>
      </c>
      <c r="C122" s="4" t="n">
        <v>524</v>
      </c>
      <c r="D122" s="6" t="n">
        <v>30</v>
      </c>
      <c r="E122" s="4" t="n">
        <f aca="false">INDEX(Evaporasi!$B$5:$B$16,MATCH(B122,Evaporasi!$A$5:$A$16,0))</f>
        <v>159.21</v>
      </c>
      <c r="F122" s="17" t="n">
        <f aca="false">Kawasan!$B$11*Kawasan!$B$9*C122/1000</f>
        <v>4359.68</v>
      </c>
      <c r="G122" s="17" t="n">
        <f aca="false">C122*Desain_Kolam!$B$9/1000</f>
        <v>2773.27</v>
      </c>
      <c r="H122" s="17" t="n">
        <f aca="false">Kawasan!$B$26*D122</f>
        <v>2304</v>
      </c>
      <c r="I122" s="17" t="n">
        <f aca="false">E122*Desain_Kolam!$B$9/1000</f>
        <v>842.618925</v>
      </c>
      <c r="J122" s="17" t="n">
        <f aca="false">F122+G122-H122-I122</f>
        <v>3986.331075</v>
      </c>
      <c r="K122" s="17" t="n">
        <f aca="false">K121+J122</f>
        <v>17828.343225</v>
      </c>
      <c r="L122" s="17" t="n">
        <f aca="false">MAX(L121,K122)</f>
        <v>17828.343225</v>
      </c>
      <c r="M122" s="17" t="n">
        <f aca="false">L122-K122</f>
        <v>0</v>
      </c>
      <c r="N122" s="17" t="n">
        <f aca="false">MIN(Desain_Kolam!$B$21,MAX(0,N121+F122+G122-H122-I122))</f>
        <v>15823.566675</v>
      </c>
      <c r="O122" s="6" t="n">
        <f aca="false">IF(N121+F122+G122-I122&gt;=H122,1,0)</f>
        <v>1</v>
      </c>
    </row>
    <row r="123" customFormat="false" ht="15" hidden="false" customHeight="false" outlineLevel="0" collapsed="false">
      <c r="A123" s="6" t="n">
        <v>2021</v>
      </c>
      <c r="B123" s="6" t="n">
        <v>10</v>
      </c>
      <c r="C123" s="4" t="n">
        <v>252</v>
      </c>
      <c r="D123" s="6" t="n">
        <v>31</v>
      </c>
      <c r="E123" s="4" t="n">
        <f aca="false">INDEX(Evaporasi!$B$5:$B$16,MATCH(B123,Evaporasi!$A$5:$A$16,0))</f>
        <v>151.5</v>
      </c>
      <c r="F123" s="17" t="n">
        <f aca="false">Kawasan!$B$11*Kawasan!$B$9*C123/1000</f>
        <v>2096.64</v>
      </c>
      <c r="G123" s="17" t="n">
        <f aca="false">C123*Desain_Kolam!$B$9/1000</f>
        <v>1333.71</v>
      </c>
      <c r="H123" s="17" t="n">
        <f aca="false">Kawasan!$B$26*D123</f>
        <v>2380.8</v>
      </c>
      <c r="I123" s="17" t="n">
        <f aca="false">E123*Desain_Kolam!$B$9/1000</f>
        <v>801.81375</v>
      </c>
      <c r="J123" s="17" t="n">
        <f aca="false">F123+G123-H123-I123</f>
        <v>247.73625</v>
      </c>
      <c r="K123" s="17" t="n">
        <f aca="false">K122+J123</f>
        <v>18076.079475</v>
      </c>
      <c r="L123" s="17" t="n">
        <f aca="false">MAX(L122,K123)</f>
        <v>18076.079475</v>
      </c>
      <c r="M123" s="17" t="n">
        <f aca="false">L123-K123</f>
        <v>0</v>
      </c>
      <c r="N123" s="17" t="n">
        <f aca="false">MIN(Desain_Kolam!$B$21,MAX(0,N122+F123+G123-H123-I123))</f>
        <v>15823.566675</v>
      </c>
      <c r="O123" s="6" t="n">
        <f aca="false">IF(N122+F123+G123-I123&gt;=H123,1,0)</f>
        <v>1</v>
      </c>
    </row>
    <row r="124" customFormat="false" ht="15" hidden="false" customHeight="false" outlineLevel="0" collapsed="false">
      <c r="A124" s="6" t="n">
        <v>2021</v>
      </c>
      <c r="B124" s="6" t="n">
        <v>11</v>
      </c>
      <c r="C124" s="4" t="n">
        <v>252</v>
      </c>
      <c r="D124" s="6" t="n">
        <v>30</v>
      </c>
      <c r="E124" s="4" t="n">
        <f aca="false">INDEX(Evaporasi!$B$5:$B$16,MATCH(B124,Evaporasi!$A$5:$A$16,0))</f>
        <v>142.3</v>
      </c>
      <c r="F124" s="17" t="n">
        <f aca="false">Kawasan!$B$11*Kawasan!$B$9*C124/1000</f>
        <v>2096.64</v>
      </c>
      <c r="G124" s="17" t="n">
        <f aca="false">C124*Desain_Kolam!$B$9/1000</f>
        <v>1333.71</v>
      </c>
      <c r="H124" s="17" t="n">
        <f aca="false">Kawasan!$B$26*D124</f>
        <v>2304</v>
      </c>
      <c r="I124" s="17" t="n">
        <f aca="false">E124*Desain_Kolam!$B$9/1000</f>
        <v>753.12275</v>
      </c>
      <c r="J124" s="17" t="n">
        <f aca="false">F124+G124-H124-I124</f>
        <v>373.22725</v>
      </c>
      <c r="K124" s="17" t="n">
        <f aca="false">K123+J124</f>
        <v>18449.306725</v>
      </c>
      <c r="L124" s="17" t="n">
        <f aca="false">MAX(L123,K124)</f>
        <v>18449.306725</v>
      </c>
      <c r="M124" s="17" t="n">
        <f aca="false">L124-K124</f>
        <v>0</v>
      </c>
      <c r="N124" s="17" t="n">
        <f aca="false">MIN(Desain_Kolam!$B$21,MAX(0,N123+F124+G124-H124-I124))</f>
        <v>15823.566675</v>
      </c>
      <c r="O124" s="6" t="n">
        <f aca="false">IF(N123+F124+G124-I124&gt;=H124,1,0)</f>
        <v>1</v>
      </c>
    </row>
    <row r="125" customFormat="false" ht="15" hidden="false" customHeight="false" outlineLevel="0" collapsed="false">
      <c r="A125" s="6" t="n">
        <v>2021</v>
      </c>
      <c r="B125" s="6" t="n">
        <v>12</v>
      </c>
      <c r="C125" s="4" t="n">
        <v>152</v>
      </c>
      <c r="D125" s="6" t="n">
        <v>31</v>
      </c>
      <c r="E125" s="4" t="n">
        <f aca="false">INDEX(Evaporasi!$B$5:$B$16,MATCH(B125,Evaporasi!$A$5:$A$16,0))</f>
        <v>145.07</v>
      </c>
      <c r="F125" s="17" t="n">
        <f aca="false">Kawasan!$B$11*Kawasan!$B$9*C125/1000</f>
        <v>1264.64</v>
      </c>
      <c r="G125" s="17" t="n">
        <f aca="false">C125*Desain_Kolam!$B$9/1000</f>
        <v>804.46</v>
      </c>
      <c r="H125" s="17" t="n">
        <f aca="false">Kawasan!$B$26*D125</f>
        <v>2380.8</v>
      </c>
      <c r="I125" s="17" t="n">
        <f aca="false">E125*Desain_Kolam!$B$9/1000</f>
        <v>767.782975</v>
      </c>
      <c r="J125" s="17" t="n">
        <f aca="false">F125+G125-H125-I125</f>
        <v>-1079.482975</v>
      </c>
      <c r="K125" s="17" t="n">
        <f aca="false">K124+J125</f>
        <v>17369.82375</v>
      </c>
      <c r="L125" s="17" t="n">
        <f aca="false">MAX(L124,K125)</f>
        <v>18449.306725</v>
      </c>
      <c r="M125" s="17" t="n">
        <f aca="false">L125-K125</f>
        <v>1079.482975</v>
      </c>
      <c r="N125" s="17" t="n">
        <f aca="false">MIN(Desain_Kolam!$B$21,MAX(0,N124+F125+G125-H125-I125))</f>
        <v>14744.0837</v>
      </c>
      <c r="O125" s="6" t="n">
        <f aca="false">IF(N124+F125+G125-I125&gt;=H125,1,0)</f>
        <v>1</v>
      </c>
    </row>
    <row r="126" customFormat="false" ht="15" hidden="false" customHeight="false" outlineLevel="0" collapsed="false">
      <c r="A126" s="6" t="n">
        <v>2022</v>
      </c>
      <c r="B126" s="6" t="n">
        <v>1</v>
      </c>
      <c r="C126" s="4" t="n">
        <v>145</v>
      </c>
      <c r="D126" s="6" t="n">
        <v>31</v>
      </c>
      <c r="E126" s="4" t="n">
        <f aca="false">INDEX(Evaporasi!$B$5:$B$16,MATCH(B126,Evaporasi!$A$5:$A$16,0))</f>
        <v>149.98</v>
      </c>
      <c r="F126" s="17" t="n">
        <f aca="false">Kawasan!$B$11*Kawasan!$B$9*C126/1000</f>
        <v>1206.4</v>
      </c>
      <c r="G126" s="17" t="n">
        <f aca="false">C126*Desain_Kolam!$B$9/1000</f>
        <v>767.4125</v>
      </c>
      <c r="H126" s="17" t="n">
        <f aca="false">Kawasan!$B$26*D126</f>
        <v>2380.8</v>
      </c>
      <c r="I126" s="17" t="n">
        <f aca="false">E126*Desain_Kolam!$B$9/1000</f>
        <v>793.76915</v>
      </c>
      <c r="J126" s="17" t="n">
        <f aca="false">F126+G126-H126-I126</f>
        <v>-1200.75665</v>
      </c>
      <c r="K126" s="17" t="n">
        <f aca="false">K125+J126</f>
        <v>16169.0671</v>
      </c>
      <c r="L126" s="17" t="n">
        <f aca="false">MAX(L125,K126)</f>
        <v>18449.306725</v>
      </c>
      <c r="M126" s="17" t="n">
        <f aca="false">L126-K126</f>
        <v>2280.239625</v>
      </c>
      <c r="N126" s="17" t="n">
        <f aca="false">MIN(Desain_Kolam!$B$21,MAX(0,N125+F126+G126-H126-I126))</f>
        <v>13543.32705</v>
      </c>
      <c r="O126" s="6" t="n">
        <f aca="false">IF(N125+F126+G126-I126&gt;=H126,1,0)</f>
        <v>1</v>
      </c>
    </row>
    <row r="127" customFormat="false" ht="15" hidden="false" customHeight="false" outlineLevel="0" collapsed="false">
      <c r="A127" s="6" t="n">
        <v>2022</v>
      </c>
      <c r="B127" s="6" t="n">
        <v>2</v>
      </c>
      <c r="C127" s="4" t="n">
        <v>106</v>
      </c>
      <c r="D127" s="6" t="n">
        <v>28</v>
      </c>
      <c r="E127" s="4" t="n">
        <f aca="false">INDEX(Evaporasi!$B$5:$B$16,MATCH(B127,Evaporasi!$A$5:$A$16,0))</f>
        <v>148.64</v>
      </c>
      <c r="F127" s="17" t="n">
        <f aca="false">Kawasan!$B$11*Kawasan!$B$9*C127/1000</f>
        <v>881.92</v>
      </c>
      <c r="G127" s="17" t="n">
        <f aca="false">C127*Desain_Kolam!$B$9/1000</f>
        <v>561.005</v>
      </c>
      <c r="H127" s="17" t="n">
        <f aca="false">Kawasan!$B$26*D127</f>
        <v>2150.4</v>
      </c>
      <c r="I127" s="17" t="n">
        <f aca="false">E127*Desain_Kolam!$B$9/1000</f>
        <v>786.6772</v>
      </c>
      <c r="J127" s="17" t="n">
        <f aca="false">F127+G127-H127-I127</f>
        <v>-1494.1522</v>
      </c>
      <c r="K127" s="17" t="n">
        <f aca="false">K126+J127</f>
        <v>14674.9149</v>
      </c>
      <c r="L127" s="17" t="n">
        <f aca="false">MAX(L126,K127)</f>
        <v>18449.306725</v>
      </c>
      <c r="M127" s="17" t="n">
        <f aca="false">L127-K127</f>
        <v>3774.391825</v>
      </c>
      <c r="N127" s="17" t="n">
        <f aca="false">MIN(Desain_Kolam!$B$21,MAX(0,N126+F127+G127-H127-I127))</f>
        <v>12049.17485</v>
      </c>
      <c r="O127" s="6" t="n">
        <f aca="false">IF(N126+F127+G127-I127&gt;=H127,1,0)</f>
        <v>1</v>
      </c>
    </row>
    <row r="128" customFormat="false" ht="15" hidden="false" customHeight="false" outlineLevel="0" collapsed="false">
      <c r="A128" s="6" t="n">
        <v>2022</v>
      </c>
      <c r="B128" s="6" t="n">
        <v>3</v>
      </c>
      <c r="C128" s="4" t="n">
        <v>104</v>
      </c>
      <c r="D128" s="6" t="n">
        <v>31</v>
      </c>
      <c r="E128" s="4" t="n">
        <f aca="false">INDEX(Evaporasi!$B$5:$B$16,MATCH(B128,Evaporasi!$A$5:$A$16,0))</f>
        <v>166.18</v>
      </c>
      <c r="F128" s="17" t="n">
        <f aca="false">Kawasan!$B$11*Kawasan!$B$9*C128/1000</f>
        <v>865.28</v>
      </c>
      <c r="G128" s="17" t="n">
        <f aca="false">C128*Desain_Kolam!$B$9/1000</f>
        <v>550.42</v>
      </c>
      <c r="H128" s="17" t="n">
        <f aca="false">Kawasan!$B$26*D128</f>
        <v>2380.8</v>
      </c>
      <c r="I128" s="17" t="n">
        <f aca="false">E128*Desain_Kolam!$B$9/1000</f>
        <v>879.50765</v>
      </c>
      <c r="J128" s="17" t="n">
        <f aca="false">F128+G128-H128-I128</f>
        <v>-1844.60765</v>
      </c>
      <c r="K128" s="17" t="n">
        <f aca="false">K127+J128</f>
        <v>12830.30725</v>
      </c>
      <c r="L128" s="17" t="n">
        <f aca="false">MAX(L127,K128)</f>
        <v>18449.306725</v>
      </c>
      <c r="M128" s="17" t="n">
        <f aca="false">L128-K128</f>
        <v>5618.999475</v>
      </c>
      <c r="N128" s="17" t="n">
        <f aca="false">MIN(Desain_Kolam!$B$21,MAX(0,N127+F128+G128-H128-I128))</f>
        <v>10204.5672</v>
      </c>
      <c r="O128" s="6" t="n">
        <f aca="false">IF(N127+F128+G128-I128&gt;=H128,1,0)</f>
        <v>1</v>
      </c>
    </row>
    <row r="129" customFormat="false" ht="15" hidden="false" customHeight="false" outlineLevel="0" collapsed="false">
      <c r="A129" s="6" t="n">
        <v>2022</v>
      </c>
      <c r="B129" s="6" t="n">
        <v>4</v>
      </c>
      <c r="C129" s="4" t="n">
        <v>301</v>
      </c>
      <c r="D129" s="6" t="n">
        <v>30</v>
      </c>
      <c r="E129" s="4" t="n">
        <f aca="false">INDEX(Evaporasi!$B$5:$B$16,MATCH(B129,Evaporasi!$A$5:$A$16,0))</f>
        <v>157.75</v>
      </c>
      <c r="F129" s="17" t="n">
        <f aca="false">Kawasan!$B$11*Kawasan!$B$9*C129/1000</f>
        <v>2504.32</v>
      </c>
      <c r="G129" s="17" t="n">
        <f aca="false">C129*Desain_Kolam!$B$9/1000</f>
        <v>1593.0425</v>
      </c>
      <c r="H129" s="17" t="n">
        <f aca="false">Kawasan!$B$26*D129</f>
        <v>2304</v>
      </c>
      <c r="I129" s="17" t="n">
        <f aca="false">E129*Desain_Kolam!$B$9/1000</f>
        <v>834.891875</v>
      </c>
      <c r="J129" s="17" t="n">
        <f aca="false">F129+G129-H129-I129</f>
        <v>958.470625</v>
      </c>
      <c r="K129" s="17" t="n">
        <f aca="false">K128+J129</f>
        <v>13788.777875</v>
      </c>
      <c r="L129" s="17" t="n">
        <f aca="false">MAX(L128,K129)</f>
        <v>18449.306725</v>
      </c>
      <c r="M129" s="17" t="n">
        <f aca="false">L129-K129</f>
        <v>4660.52885</v>
      </c>
      <c r="N129" s="17" t="n">
        <f aca="false">MIN(Desain_Kolam!$B$21,MAX(0,N128+F129+G129-H129-I129))</f>
        <v>11163.037825</v>
      </c>
      <c r="O129" s="6" t="n">
        <f aca="false">IF(N128+F129+G129-I129&gt;=H129,1,0)</f>
        <v>1</v>
      </c>
    </row>
    <row r="130" customFormat="false" ht="15" hidden="false" customHeight="false" outlineLevel="0" collapsed="false">
      <c r="A130" s="6" t="n">
        <v>2022</v>
      </c>
      <c r="B130" s="6" t="n">
        <v>5</v>
      </c>
      <c r="C130" s="4" t="n">
        <v>201</v>
      </c>
      <c r="D130" s="6" t="n">
        <v>31</v>
      </c>
      <c r="E130" s="4" t="n">
        <f aca="false">INDEX(Evaporasi!$B$5:$B$16,MATCH(B130,Evaporasi!$A$5:$A$16,0))</f>
        <v>158.35</v>
      </c>
      <c r="F130" s="17" t="n">
        <f aca="false">Kawasan!$B$11*Kawasan!$B$9*C130/1000</f>
        <v>1672.32</v>
      </c>
      <c r="G130" s="17" t="n">
        <f aca="false">C130*Desain_Kolam!$B$9/1000</f>
        <v>1063.7925</v>
      </c>
      <c r="H130" s="17" t="n">
        <f aca="false">Kawasan!$B$26*D130</f>
        <v>2380.8</v>
      </c>
      <c r="I130" s="17" t="n">
        <f aca="false">E130*Desain_Kolam!$B$9/1000</f>
        <v>838.067375</v>
      </c>
      <c r="J130" s="17" t="n">
        <f aca="false">F130+G130-H130-I130</f>
        <v>-482.754875</v>
      </c>
      <c r="K130" s="17" t="n">
        <f aca="false">K129+J130</f>
        <v>13306.023</v>
      </c>
      <c r="L130" s="17" t="n">
        <f aca="false">MAX(L129,K130)</f>
        <v>18449.306725</v>
      </c>
      <c r="M130" s="17" t="n">
        <f aca="false">L130-K130</f>
        <v>5143.283725</v>
      </c>
      <c r="N130" s="17" t="n">
        <f aca="false">MIN(Desain_Kolam!$B$21,MAX(0,N129+F130+G130-H130-I130))</f>
        <v>10680.28295</v>
      </c>
      <c r="O130" s="6" t="n">
        <f aca="false">IF(N129+F130+G130-I130&gt;=H130,1,0)</f>
        <v>1</v>
      </c>
    </row>
    <row r="131" customFormat="false" ht="15" hidden="false" customHeight="false" outlineLevel="0" collapsed="false">
      <c r="A131" s="6" t="n">
        <v>2022</v>
      </c>
      <c r="B131" s="6" t="n">
        <v>6</v>
      </c>
      <c r="C131" s="4" t="n">
        <v>293</v>
      </c>
      <c r="D131" s="6" t="n">
        <v>30</v>
      </c>
      <c r="E131" s="4" t="n">
        <f aca="false">INDEX(Evaporasi!$B$5:$B$16,MATCH(B131,Evaporasi!$A$5:$A$16,0))</f>
        <v>150.17</v>
      </c>
      <c r="F131" s="17" t="n">
        <f aca="false">Kawasan!$B$11*Kawasan!$B$9*C131/1000</f>
        <v>2437.76</v>
      </c>
      <c r="G131" s="17" t="n">
        <f aca="false">C131*Desain_Kolam!$B$9/1000</f>
        <v>1550.7025</v>
      </c>
      <c r="H131" s="17" t="n">
        <f aca="false">Kawasan!$B$26*D131</f>
        <v>2304</v>
      </c>
      <c r="I131" s="17" t="n">
        <f aca="false">E131*Desain_Kolam!$B$9/1000</f>
        <v>794.774725</v>
      </c>
      <c r="J131" s="17" t="n">
        <f aca="false">F131+G131-H131-I131</f>
        <v>889.687775000001</v>
      </c>
      <c r="K131" s="17" t="n">
        <f aca="false">K130+J131</f>
        <v>14195.710775</v>
      </c>
      <c r="L131" s="17" t="n">
        <f aca="false">MAX(L130,K131)</f>
        <v>18449.306725</v>
      </c>
      <c r="M131" s="17" t="n">
        <f aca="false">L131-K131</f>
        <v>4253.59595</v>
      </c>
      <c r="N131" s="17" t="n">
        <f aca="false">MIN(Desain_Kolam!$B$21,MAX(0,N130+F131+G131-H131-I131))</f>
        <v>11569.970725</v>
      </c>
      <c r="O131" s="6" t="n">
        <f aca="false">IF(N130+F131+G131-I131&gt;=H131,1,0)</f>
        <v>1</v>
      </c>
    </row>
    <row r="132" customFormat="false" ht="15" hidden="false" customHeight="false" outlineLevel="0" collapsed="false">
      <c r="A132" s="6" t="n">
        <v>2022</v>
      </c>
      <c r="B132" s="6" t="n">
        <v>7</v>
      </c>
      <c r="C132" s="4" t="n">
        <v>272</v>
      </c>
      <c r="D132" s="6" t="n">
        <v>31</v>
      </c>
      <c r="E132" s="4" t="n">
        <f aca="false">INDEX(Evaporasi!$B$5:$B$16,MATCH(B132,Evaporasi!$A$5:$A$16,0))</f>
        <v>160.84</v>
      </c>
      <c r="F132" s="17" t="n">
        <f aca="false">Kawasan!$B$11*Kawasan!$B$9*C132/1000</f>
        <v>2263.04</v>
      </c>
      <c r="G132" s="17" t="n">
        <f aca="false">C132*Desain_Kolam!$B$9/1000</f>
        <v>1439.56</v>
      </c>
      <c r="H132" s="17" t="n">
        <f aca="false">Kawasan!$B$26*D132</f>
        <v>2380.8</v>
      </c>
      <c r="I132" s="17" t="n">
        <f aca="false">E132*Desain_Kolam!$B$9/1000</f>
        <v>851.2457</v>
      </c>
      <c r="J132" s="17" t="n">
        <f aca="false">F132+G132-H132-I132</f>
        <v>470.5543</v>
      </c>
      <c r="K132" s="17" t="n">
        <f aca="false">K131+J132</f>
        <v>14666.265075</v>
      </c>
      <c r="L132" s="17" t="n">
        <f aca="false">MAX(L131,K132)</f>
        <v>18449.306725</v>
      </c>
      <c r="M132" s="17" t="n">
        <f aca="false">L132-K132</f>
        <v>3783.04165</v>
      </c>
      <c r="N132" s="17" t="n">
        <f aca="false">MIN(Desain_Kolam!$B$21,MAX(0,N131+F132+G132-H132-I132))</f>
        <v>12040.525025</v>
      </c>
      <c r="O132" s="6" t="n">
        <f aca="false">IF(N131+F132+G132-I132&gt;=H132,1,0)</f>
        <v>1</v>
      </c>
    </row>
    <row r="133" customFormat="false" ht="15" hidden="false" customHeight="false" outlineLevel="0" collapsed="false">
      <c r="A133" s="6" t="n">
        <v>2022</v>
      </c>
      <c r="B133" s="6" t="n">
        <v>8</v>
      </c>
      <c r="C133" s="4" t="n">
        <v>354</v>
      </c>
      <c r="D133" s="6" t="n">
        <v>31</v>
      </c>
      <c r="E133" s="4" t="n">
        <f aca="false">INDEX(Evaporasi!$B$5:$B$16,MATCH(B133,Evaporasi!$A$5:$A$16,0))</f>
        <v>161.16</v>
      </c>
      <c r="F133" s="17" t="n">
        <f aca="false">Kawasan!$B$11*Kawasan!$B$9*C133/1000</f>
        <v>2945.28</v>
      </c>
      <c r="G133" s="17" t="n">
        <f aca="false">C133*Desain_Kolam!$B$9/1000</f>
        <v>1873.545</v>
      </c>
      <c r="H133" s="17" t="n">
        <f aca="false">Kawasan!$B$26*D133</f>
        <v>2380.8</v>
      </c>
      <c r="I133" s="17" t="n">
        <f aca="false">E133*Desain_Kolam!$B$9/1000</f>
        <v>852.9393</v>
      </c>
      <c r="J133" s="17" t="n">
        <f aca="false">F133+G133-H133-I133</f>
        <v>1585.0857</v>
      </c>
      <c r="K133" s="17" t="n">
        <f aca="false">K132+J133</f>
        <v>16251.350775</v>
      </c>
      <c r="L133" s="17" t="n">
        <f aca="false">MAX(L132,K133)</f>
        <v>18449.306725</v>
      </c>
      <c r="M133" s="17" t="n">
        <f aca="false">L133-K133</f>
        <v>2197.95595</v>
      </c>
      <c r="N133" s="17" t="n">
        <f aca="false">MIN(Desain_Kolam!$B$21,MAX(0,N132+F133+G133-H133-I133))</f>
        <v>13625.610725</v>
      </c>
      <c r="O133" s="6" t="n">
        <f aca="false">IF(N132+F133+G133-I133&gt;=H133,1,0)</f>
        <v>1</v>
      </c>
    </row>
    <row r="134" customFormat="false" ht="15" hidden="false" customHeight="false" outlineLevel="0" collapsed="false">
      <c r="A134" s="6" t="n">
        <v>2022</v>
      </c>
      <c r="B134" s="6" t="n">
        <v>9</v>
      </c>
      <c r="C134" s="4" t="n">
        <v>275</v>
      </c>
      <c r="D134" s="6" t="n">
        <v>30</v>
      </c>
      <c r="E134" s="4" t="n">
        <f aca="false">INDEX(Evaporasi!$B$5:$B$16,MATCH(B134,Evaporasi!$A$5:$A$16,0))</f>
        <v>159.21</v>
      </c>
      <c r="F134" s="17" t="n">
        <f aca="false">Kawasan!$B$11*Kawasan!$B$9*C134/1000</f>
        <v>2288</v>
      </c>
      <c r="G134" s="17" t="n">
        <f aca="false">C134*Desain_Kolam!$B$9/1000</f>
        <v>1455.4375</v>
      </c>
      <c r="H134" s="17" t="n">
        <f aca="false">Kawasan!$B$26*D134</f>
        <v>2304</v>
      </c>
      <c r="I134" s="17" t="n">
        <f aca="false">E134*Desain_Kolam!$B$9/1000</f>
        <v>842.618925</v>
      </c>
      <c r="J134" s="17" t="n">
        <f aca="false">F134+G134-H134-I134</f>
        <v>596.818575</v>
      </c>
      <c r="K134" s="17" t="n">
        <f aca="false">K133+J134</f>
        <v>16848.16935</v>
      </c>
      <c r="L134" s="17" t="n">
        <f aca="false">MAX(L133,K134)</f>
        <v>18449.306725</v>
      </c>
      <c r="M134" s="17" t="n">
        <f aca="false">L134-K134</f>
        <v>1601.13737499999</v>
      </c>
      <c r="N134" s="17" t="n">
        <f aca="false">MIN(Desain_Kolam!$B$21,MAX(0,N133+F134+G134-H134-I134))</f>
        <v>14222.4293</v>
      </c>
      <c r="O134" s="6" t="n">
        <f aca="false">IF(N133+F134+G134-I134&gt;=H134,1,0)</f>
        <v>1</v>
      </c>
    </row>
    <row r="135" customFormat="false" ht="15" hidden="false" customHeight="false" outlineLevel="0" collapsed="false">
      <c r="A135" s="6" t="n">
        <v>2022</v>
      </c>
      <c r="B135" s="6" t="n">
        <v>10</v>
      </c>
      <c r="C135" s="4" t="n">
        <v>423</v>
      </c>
      <c r="D135" s="6" t="n">
        <v>31</v>
      </c>
      <c r="E135" s="4" t="n">
        <f aca="false">INDEX(Evaporasi!$B$5:$B$16,MATCH(B135,Evaporasi!$A$5:$A$16,0))</f>
        <v>151.5</v>
      </c>
      <c r="F135" s="17" t="n">
        <f aca="false">Kawasan!$B$11*Kawasan!$B$9*C135/1000</f>
        <v>3519.36</v>
      </c>
      <c r="G135" s="17" t="n">
        <f aca="false">C135*Desain_Kolam!$B$9/1000</f>
        <v>2238.7275</v>
      </c>
      <c r="H135" s="17" t="n">
        <f aca="false">Kawasan!$B$26*D135</f>
        <v>2380.8</v>
      </c>
      <c r="I135" s="17" t="n">
        <f aca="false">E135*Desain_Kolam!$B$9/1000</f>
        <v>801.81375</v>
      </c>
      <c r="J135" s="17" t="n">
        <f aca="false">F135+G135-H135-I135</f>
        <v>2575.47375</v>
      </c>
      <c r="K135" s="17" t="n">
        <f aca="false">K134+J135</f>
        <v>19423.6431</v>
      </c>
      <c r="L135" s="17" t="n">
        <f aca="false">MAX(L134,K135)</f>
        <v>19423.6431</v>
      </c>
      <c r="M135" s="17" t="n">
        <f aca="false">L135-K135</f>
        <v>0</v>
      </c>
      <c r="N135" s="17" t="n">
        <f aca="false">MIN(Desain_Kolam!$B$21,MAX(0,N134+F135+G135-H135-I135))</f>
        <v>15823.566675</v>
      </c>
      <c r="O135" s="6" t="n">
        <f aca="false">IF(N134+F135+G135-I135&gt;=H135,1,0)</f>
        <v>1</v>
      </c>
    </row>
    <row r="136" customFormat="false" ht="15" hidden="false" customHeight="false" outlineLevel="0" collapsed="false">
      <c r="A136" s="6" t="n">
        <v>2022</v>
      </c>
      <c r="B136" s="6" t="n">
        <v>11</v>
      </c>
      <c r="C136" s="4" t="n">
        <v>237</v>
      </c>
      <c r="D136" s="6" t="n">
        <v>30</v>
      </c>
      <c r="E136" s="4" t="n">
        <f aca="false">INDEX(Evaporasi!$B$5:$B$16,MATCH(B136,Evaporasi!$A$5:$A$16,0))</f>
        <v>142.3</v>
      </c>
      <c r="F136" s="17" t="n">
        <f aca="false">Kawasan!$B$11*Kawasan!$B$9*C136/1000</f>
        <v>1971.84</v>
      </c>
      <c r="G136" s="17" t="n">
        <f aca="false">C136*Desain_Kolam!$B$9/1000</f>
        <v>1254.3225</v>
      </c>
      <c r="H136" s="17" t="n">
        <f aca="false">Kawasan!$B$26*D136</f>
        <v>2304</v>
      </c>
      <c r="I136" s="17" t="n">
        <f aca="false">E136*Desain_Kolam!$B$9/1000</f>
        <v>753.12275</v>
      </c>
      <c r="J136" s="17" t="n">
        <f aca="false">F136+G136-H136-I136</f>
        <v>169.03975</v>
      </c>
      <c r="K136" s="17" t="n">
        <f aca="false">K135+J136</f>
        <v>19592.68285</v>
      </c>
      <c r="L136" s="17" t="n">
        <f aca="false">MAX(L135,K136)</f>
        <v>19592.68285</v>
      </c>
      <c r="M136" s="17" t="n">
        <f aca="false">L136-K136</f>
        <v>0</v>
      </c>
      <c r="N136" s="17" t="n">
        <f aca="false">MIN(Desain_Kolam!$B$21,MAX(0,N135+F136+G136-H136-I136))</f>
        <v>15823.566675</v>
      </c>
      <c r="O136" s="6" t="n">
        <f aca="false">IF(N135+F136+G136-I136&gt;=H136,1,0)</f>
        <v>1</v>
      </c>
    </row>
    <row r="137" customFormat="false" ht="15" hidden="false" customHeight="false" outlineLevel="0" collapsed="false">
      <c r="A137" s="6" t="n">
        <v>2022</v>
      </c>
      <c r="B137" s="6" t="n">
        <v>12</v>
      </c>
      <c r="C137" s="4" t="n">
        <v>215</v>
      </c>
      <c r="D137" s="6" t="n">
        <v>31</v>
      </c>
      <c r="E137" s="4" t="n">
        <f aca="false">INDEX(Evaporasi!$B$5:$B$16,MATCH(B137,Evaporasi!$A$5:$A$16,0))</f>
        <v>145.07</v>
      </c>
      <c r="F137" s="17" t="n">
        <f aca="false">Kawasan!$B$11*Kawasan!$B$9*C137/1000</f>
        <v>1788.8</v>
      </c>
      <c r="G137" s="17" t="n">
        <f aca="false">C137*Desain_Kolam!$B$9/1000</f>
        <v>1137.8875</v>
      </c>
      <c r="H137" s="17" t="n">
        <f aca="false">Kawasan!$B$26*D137</f>
        <v>2380.8</v>
      </c>
      <c r="I137" s="17" t="n">
        <f aca="false">E137*Desain_Kolam!$B$9/1000</f>
        <v>767.782975</v>
      </c>
      <c r="J137" s="17" t="n">
        <f aca="false">F137+G137-H137-I137</f>
        <v>-221.895475</v>
      </c>
      <c r="K137" s="17" t="n">
        <f aca="false">K136+J137</f>
        <v>19370.787375</v>
      </c>
      <c r="L137" s="17" t="n">
        <f aca="false">MAX(L136,K137)</f>
        <v>19592.68285</v>
      </c>
      <c r="M137" s="17" t="n">
        <f aca="false">L137-K137</f>
        <v>221.895475000001</v>
      </c>
      <c r="N137" s="17" t="n">
        <f aca="false">MIN(Desain_Kolam!$B$21,MAX(0,N136+F137+G137-H137-I137))</f>
        <v>15601.6712</v>
      </c>
      <c r="O137" s="6" t="n">
        <f aca="false">IF(N136+F137+G137-I137&gt;=H137,1,0)</f>
        <v>1</v>
      </c>
    </row>
    <row r="138" customFormat="false" ht="15" hidden="false" customHeight="false" outlineLevel="0" collapsed="false">
      <c r="A138" s="6" t="n">
        <v>2023</v>
      </c>
      <c r="B138" s="6" t="n">
        <v>1</v>
      </c>
      <c r="C138" s="4" t="n">
        <v>258</v>
      </c>
      <c r="D138" s="6" t="n">
        <v>31</v>
      </c>
      <c r="E138" s="4" t="n">
        <f aca="false">INDEX(Evaporasi!$B$5:$B$16,MATCH(B138,Evaporasi!$A$5:$A$16,0))</f>
        <v>149.98</v>
      </c>
      <c r="F138" s="17" t="n">
        <f aca="false">Kawasan!$B$11*Kawasan!$B$9*C138/1000</f>
        <v>2146.56</v>
      </c>
      <c r="G138" s="17" t="n">
        <f aca="false">C138*Desain_Kolam!$B$9/1000</f>
        <v>1365.465</v>
      </c>
      <c r="H138" s="17" t="n">
        <f aca="false">Kawasan!$B$26*D138</f>
        <v>2380.8</v>
      </c>
      <c r="I138" s="17" t="n">
        <f aca="false">E138*Desain_Kolam!$B$9/1000</f>
        <v>793.76915</v>
      </c>
      <c r="J138" s="17" t="n">
        <f aca="false">F138+G138-H138-I138</f>
        <v>337.45585</v>
      </c>
      <c r="K138" s="17" t="n">
        <f aca="false">K137+J138</f>
        <v>19708.243225</v>
      </c>
      <c r="L138" s="17" t="n">
        <f aca="false">MAX(L137,K138)</f>
        <v>19708.243225</v>
      </c>
      <c r="M138" s="17" t="n">
        <f aca="false">L138-K138</f>
        <v>0</v>
      </c>
      <c r="N138" s="17" t="n">
        <f aca="false">MIN(Desain_Kolam!$B$21,MAX(0,N137+F138+G138-H138-I138))</f>
        <v>15823.566675</v>
      </c>
      <c r="O138" s="6" t="n">
        <f aca="false">IF(N137+F138+G138-I138&gt;=H138,1,0)</f>
        <v>1</v>
      </c>
    </row>
    <row r="139" customFormat="false" ht="15" hidden="false" customHeight="false" outlineLevel="0" collapsed="false">
      <c r="A139" s="6" t="n">
        <v>2023</v>
      </c>
      <c r="B139" s="6" t="n">
        <v>2</v>
      </c>
      <c r="C139" s="4" t="n">
        <v>185</v>
      </c>
      <c r="D139" s="6" t="n">
        <v>28</v>
      </c>
      <c r="E139" s="4" t="n">
        <f aca="false">INDEX(Evaporasi!$B$5:$B$16,MATCH(B139,Evaporasi!$A$5:$A$16,0))</f>
        <v>148.64</v>
      </c>
      <c r="F139" s="17" t="n">
        <f aca="false">Kawasan!$B$11*Kawasan!$B$9*C139/1000</f>
        <v>1539.2</v>
      </c>
      <c r="G139" s="17" t="n">
        <f aca="false">C139*Desain_Kolam!$B$9/1000</f>
        <v>979.1125</v>
      </c>
      <c r="H139" s="17" t="n">
        <f aca="false">Kawasan!$B$26*D139</f>
        <v>2150.4</v>
      </c>
      <c r="I139" s="17" t="n">
        <f aca="false">E139*Desain_Kolam!$B$9/1000</f>
        <v>786.6772</v>
      </c>
      <c r="J139" s="17" t="n">
        <f aca="false">F139+G139-H139-I139</f>
        <v>-418.7647</v>
      </c>
      <c r="K139" s="17" t="n">
        <f aca="false">K138+J139</f>
        <v>19289.478525</v>
      </c>
      <c r="L139" s="17" t="n">
        <f aca="false">MAX(L138,K139)</f>
        <v>19708.243225</v>
      </c>
      <c r="M139" s="17" t="n">
        <f aca="false">L139-K139</f>
        <v>418.7647</v>
      </c>
      <c r="N139" s="17" t="n">
        <f aca="false">MIN(Desain_Kolam!$B$21,MAX(0,N138+F139+G139-H139-I139))</f>
        <v>15404.801975</v>
      </c>
      <c r="O139" s="6" t="n">
        <f aca="false">IF(N138+F139+G139-I139&gt;=H139,1,0)</f>
        <v>1</v>
      </c>
    </row>
    <row r="140" customFormat="false" ht="15" hidden="false" customHeight="false" outlineLevel="0" collapsed="false">
      <c r="A140" s="6" t="n">
        <v>2023</v>
      </c>
      <c r="B140" s="6" t="n">
        <v>3</v>
      </c>
      <c r="C140" s="4" t="n">
        <v>309</v>
      </c>
      <c r="D140" s="6" t="n">
        <v>31</v>
      </c>
      <c r="E140" s="4" t="n">
        <f aca="false">INDEX(Evaporasi!$B$5:$B$16,MATCH(B140,Evaporasi!$A$5:$A$16,0))</f>
        <v>166.18</v>
      </c>
      <c r="F140" s="17" t="n">
        <f aca="false">Kawasan!$B$11*Kawasan!$B$9*C140/1000</f>
        <v>2570.88</v>
      </c>
      <c r="G140" s="17" t="n">
        <f aca="false">C140*Desain_Kolam!$B$9/1000</f>
        <v>1635.3825</v>
      </c>
      <c r="H140" s="17" t="n">
        <f aca="false">Kawasan!$B$26*D140</f>
        <v>2380.8</v>
      </c>
      <c r="I140" s="17" t="n">
        <f aca="false">E140*Desain_Kolam!$B$9/1000</f>
        <v>879.50765</v>
      </c>
      <c r="J140" s="17" t="n">
        <f aca="false">F140+G140-H140-I140</f>
        <v>945.95485</v>
      </c>
      <c r="K140" s="17" t="n">
        <f aca="false">K139+J140</f>
        <v>20235.433375</v>
      </c>
      <c r="L140" s="17" t="n">
        <f aca="false">MAX(L139,K140)</f>
        <v>20235.433375</v>
      </c>
      <c r="M140" s="17" t="n">
        <f aca="false">L140-K140</f>
        <v>0</v>
      </c>
      <c r="N140" s="17" t="n">
        <f aca="false">MIN(Desain_Kolam!$B$21,MAX(0,N139+F140+G140-H140-I140))</f>
        <v>15823.566675</v>
      </c>
      <c r="O140" s="6" t="n">
        <f aca="false">IF(N139+F140+G140-I140&gt;=H140,1,0)</f>
        <v>1</v>
      </c>
    </row>
    <row r="141" customFormat="false" ht="15" hidden="false" customHeight="false" outlineLevel="0" collapsed="false">
      <c r="A141" s="6" t="n">
        <v>2023</v>
      </c>
      <c r="B141" s="6" t="n">
        <v>4</v>
      </c>
      <c r="C141" s="4" t="n">
        <v>189</v>
      </c>
      <c r="D141" s="6" t="n">
        <v>30</v>
      </c>
      <c r="E141" s="4" t="n">
        <f aca="false">INDEX(Evaporasi!$B$5:$B$16,MATCH(B141,Evaporasi!$A$5:$A$16,0))</f>
        <v>157.75</v>
      </c>
      <c r="F141" s="17" t="n">
        <f aca="false">Kawasan!$B$11*Kawasan!$B$9*C141/1000</f>
        <v>1572.48</v>
      </c>
      <c r="G141" s="17" t="n">
        <f aca="false">C141*Desain_Kolam!$B$9/1000</f>
        <v>1000.2825</v>
      </c>
      <c r="H141" s="17" t="n">
        <f aca="false">Kawasan!$B$26*D141</f>
        <v>2304</v>
      </c>
      <c r="I141" s="17" t="n">
        <f aca="false">E141*Desain_Kolam!$B$9/1000</f>
        <v>834.891875</v>
      </c>
      <c r="J141" s="17" t="n">
        <f aca="false">F141+G141-H141-I141</f>
        <v>-566.129375</v>
      </c>
      <c r="K141" s="17" t="n">
        <f aca="false">K140+J141</f>
        <v>19669.304</v>
      </c>
      <c r="L141" s="17" t="n">
        <f aca="false">MAX(L140,K141)</f>
        <v>20235.433375</v>
      </c>
      <c r="M141" s="17" t="n">
        <f aca="false">L141-K141</f>
        <v>566.129375</v>
      </c>
      <c r="N141" s="17" t="n">
        <f aca="false">MIN(Desain_Kolam!$B$21,MAX(0,N140+F141+G141-H141-I141))</f>
        <v>15257.4373</v>
      </c>
      <c r="O141" s="6" t="n">
        <f aca="false">IF(N140+F141+G141-I141&gt;=H141,1,0)</f>
        <v>1</v>
      </c>
    </row>
    <row r="142" customFormat="false" ht="15" hidden="false" customHeight="false" outlineLevel="0" collapsed="false">
      <c r="A142" s="6" t="n">
        <v>2023</v>
      </c>
      <c r="B142" s="6" t="n">
        <v>5</v>
      </c>
      <c r="C142" s="4" t="n">
        <v>333</v>
      </c>
      <c r="D142" s="6" t="n">
        <v>31</v>
      </c>
      <c r="E142" s="4" t="n">
        <f aca="false">INDEX(Evaporasi!$B$5:$B$16,MATCH(B142,Evaporasi!$A$5:$A$16,0))</f>
        <v>158.35</v>
      </c>
      <c r="F142" s="17" t="n">
        <f aca="false">Kawasan!$B$11*Kawasan!$B$9*C142/1000</f>
        <v>2770.56</v>
      </c>
      <c r="G142" s="17" t="n">
        <f aca="false">C142*Desain_Kolam!$B$9/1000</f>
        <v>1762.4025</v>
      </c>
      <c r="H142" s="17" t="n">
        <f aca="false">Kawasan!$B$26*D142</f>
        <v>2380.8</v>
      </c>
      <c r="I142" s="17" t="n">
        <f aca="false">E142*Desain_Kolam!$B$9/1000</f>
        <v>838.067375</v>
      </c>
      <c r="J142" s="17" t="n">
        <f aca="false">F142+G142-H142-I142</f>
        <v>1314.095125</v>
      </c>
      <c r="K142" s="17" t="n">
        <f aca="false">K141+J142</f>
        <v>20983.399125</v>
      </c>
      <c r="L142" s="17" t="n">
        <f aca="false">MAX(L141,K142)</f>
        <v>20983.399125</v>
      </c>
      <c r="M142" s="17" t="n">
        <f aca="false">L142-K142</f>
        <v>0</v>
      </c>
      <c r="N142" s="17" t="n">
        <f aca="false">MIN(Desain_Kolam!$B$21,MAX(0,N141+F142+G142-H142-I142))</f>
        <v>15823.566675</v>
      </c>
      <c r="O142" s="6" t="n">
        <f aca="false">IF(N141+F142+G142-I142&gt;=H142,1,0)</f>
        <v>1</v>
      </c>
    </row>
    <row r="143" customFormat="false" ht="15" hidden="false" customHeight="false" outlineLevel="0" collapsed="false">
      <c r="A143" s="6" t="n">
        <v>2023</v>
      </c>
      <c r="B143" s="6" t="n">
        <v>6</v>
      </c>
      <c r="C143" s="4" t="n">
        <v>263</v>
      </c>
      <c r="D143" s="6" t="n">
        <v>30</v>
      </c>
      <c r="E143" s="4" t="n">
        <f aca="false">INDEX(Evaporasi!$B$5:$B$16,MATCH(B143,Evaporasi!$A$5:$A$16,0))</f>
        <v>150.17</v>
      </c>
      <c r="F143" s="17" t="n">
        <f aca="false">Kawasan!$B$11*Kawasan!$B$9*C143/1000</f>
        <v>2188.16</v>
      </c>
      <c r="G143" s="17" t="n">
        <f aca="false">C143*Desain_Kolam!$B$9/1000</f>
        <v>1391.9275</v>
      </c>
      <c r="H143" s="17" t="n">
        <f aca="false">Kawasan!$B$26*D143</f>
        <v>2304</v>
      </c>
      <c r="I143" s="17" t="n">
        <f aca="false">E143*Desain_Kolam!$B$9/1000</f>
        <v>794.774725</v>
      </c>
      <c r="J143" s="17" t="n">
        <f aca="false">F143+G143-H143-I143</f>
        <v>481.312775</v>
      </c>
      <c r="K143" s="17" t="n">
        <f aca="false">K142+J143</f>
        <v>21464.7119</v>
      </c>
      <c r="L143" s="17" t="n">
        <f aca="false">MAX(L142,K143)</f>
        <v>21464.7119</v>
      </c>
      <c r="M143" s="17" t="n">
        <f aca="false">L143-K143</f>
        <v>0</v>
      </c>
      <c r="N143" s="17" t="n">
        <f aca="false">MIN(Desain_Kolam!$B$21,MAX(0,N142+F143+G143-H143-I143))</f>
        <v>15823.566675</v>
      </c>
      <c r="O143" s="6" t="n">
        <f aca="false">IF(N142+F143+G143-I143&gt;=H143,1,0)</f>
        <v>1</v>
      </c>
    </row>
    <row r="144" customFormat="false" ht="15" hidden="false" customHeight="false" outlineLevel="0" collapsed="false">
      <c r="A144" s="6" t="n">
        <v>2023</v>
      </c>
      <c r="B144" s="6" t="n">
        <v>7</v>
      </c>
      <c r="C144" s="4" t="n">
        <v>405</v>
      </c>
      <c r="D144" s="6" t="n">
        <v>31</v>
      </c>
      <c r="E144" s="4" t="n">
        <f aca="false">INDEX(Evaporasi!$B$5:$B$16,MATCH(B144,Evaporasi!$A$5:$A$16,0))</f>
        <v>160.84</v>
      </c>
      <c r="F144" s="17" t="n">
        <f aca="false">Kawasan!$B$11*Kawasan!$B$9*C144/1000</f>
        <v>3369.6</v>
      </c>
      <c r="G144" s="17" t="n">
        <f aca="false">C144*Desain_Kolam!$B$9/1000</f>
        <v>2143.4625</v>
      </c>
      <c r="H144" s="17" t="n">
        <f aca="false">Kawasan!$B$26*D144</f>
        <v>2380.8</v>
      </c>
      <c r="I144" s="17" t="n">
        <f aca="false">E144*Desain_Kolam!$B$9/1000</f>
        <v>851.2457</v>
      </c>
      <c r="J144" s="17" t="n">
        <f aca="false">F144+G144-H144-I144</f>
        <v>2281.0168</v>
      </c>
      <c r="K144" s="17" t="n">
        <f aca="false">K143+J144</f>
        <v>23745.7287</v>
      </c>
      <c r="L144" s="17" t="n">
        <f aca="false">MAX(L143,K144)</f>
        <v>23745.7287</v>
      </c>
      <c r="M144" s="17" t="n">
        <f aca="false">L144-K144</f>
        <v>0</v>
      </c>
      <c r="N144" s="17" t="n">
        <f aca="false">MIN(Desain_Kolam!$B$21,MAX(0,N143+F144+G144-H144-I144))</f>
        <v>15823.566675</v>
      </c>
      <c r="O144" s="6" t="n">
        <f aca="false">IF(N143+F144+G144-I144&gt;=H144,1,0)</f>
        <v>1</v>
      </c>
    </row>
    <row r="145" customFormat="false" ht="15" hidden="false" customHeight="false" outlineLevel="0" collapsed="false">
      <c r="A145" s="6" t="n">
        <v>2023</v>
      </c>
      <c r="B145" s="6" t="n">
        <v>8</v>
      </c>
      <c r="C145" s="4" t="n">
        <v>164</v>
      </c>
      <c r="D145" s="6" t="n">
        <v>31</v>
      </c>
      <c r="E145" s="4" t="n">
        <f aca="false">INDEX(Evaporasi!$B$5:$B$16,MATCH(B145,Evaporasi!$A$5:$A$16,0))</f>
        <v>161.16</v>
      </c>
      <c r="F145" s="17" t="n">
        <f aca="false">Kawasan!$B$11*Kawasan!$B$9*C145/1000</f>
        <v>1364.48</v>
      </c>
      <c r="G145" s="17" t="n">
        <f aca="false">C145*Desain_Kolam!$B$9/1000</f>
        <v>867.97</v>
      </c>
      <c r="H145" s="17" t="n">
        <f aca="false">Kawasan!$B$26*D145</f>
        <v>2380.8</v>
      </c>
      <c r="I145" s="17" t="n">
        <f aca="false">E145*Desain_Kolam!$B$9/1000</f>
        <v>852.9393</v>
      </c>
      <c r="J145" s="17" t="n">
        <f aca="false">F145+G145-H145-I145</f>
        <v>-1001.2893</v>
      </c>
      <c r="K145" s="17" t="n">
        <f aca="false">K144+J145</f>
        <v>22744.4394</v>
      </c>
      <c r="L145" s="17" t="n">
        <f aca="false">MAX(L144,K145)</f>
        <v>23745.7287</v>
      </c>
      <c r="M145" s="17" t="n">
        <f aca="false">L145-K145</f>
        <v>1001.2893</v>
      </c>
      <c r="N145" s="17" t="n">
        <f aca="false">MIN(Desain_Kolam!$B$21,MAX(0,N144+F145+G145-H145-I145))</f>
        <v>14822.277375</v>
      </c>
      <c r="O145" s="6" t="n">
        <f aca="false">IF(N144+F145+G145-I145&gt;=H145,1,0)</f>
        <v>1</v>
      </c>
    </row>
    <row r="146" customFormat="false" ht="15" hidden="false" customHeight="false" outlineLevel="0" collapsed="false">
      <c r="A146" s="6" t="n">
        <v>2023</v>
      </c>
      <c r="B146" s="6" t="n">
        <v>9</v>
      </c>
      <c r="C146" s="4" t="n">
        <v>218</v>
      </c>
      <c r="D146" s="6" t="n">
        <v>30</v>
      </c>
      <c r="E146" s="4" t="n">
        <f aca="false">INDEX(Evaporasi!$B$5:$B$16,MATCH(B146,Evaporasi!$A$5:$A$16,0))</f>
        <v>159.21</v>
      </c>
      <c r="F146" s="17" t="n">
        <f aca="false">Kawasan!$B$11*Kawasan!$B$9*C146/1000</f>
        <v>1813.76</v>
      </c>
      <c r="G146" s="17" t="n">
        <f aca="false">C146*Desain_Kolam!$B$9/1000</f>
        <v>1153.765</v>
      </c>
      <c r="H146" s="17" t="n">
        <f aca="false">Kawasan!$B$26*D146</f>
        <v>2304</v>
      </c>
      <c r="I146" s="17" t="n">
        <f aca="false">E146*Desain_Kolam!$B$9/1000</f>
        <v>842.618925</v>
      </c>
      <c r="J146" s="17" t="n">
        <f aca="false">F146+G146-H146-I146</f>
        <v>-179.093925</v>
      </c>
      <c r="K146" s="17" t="n">
        <f aca="false">K145+J146</f>
        <v>22565.345475</v>
      </c>
      <c r="L146" s="17" t="n">
        <f aca="false">MAX(L145,K146)</f>
        <v>23745.7287</v>
      </c>
      <c r="M146" s="17" t="n">
        <f aca="false">L146-K146</f>
        <v>1180.383225</v>
      </c>
      <c r="N146" s="17" t="n">
        <f aca="false">MIN(Desain_Kolam!$B$21,MAX(0,N145+F146+G146-H146-I146))</f>
        <v>14643.18345</v>
      </c>
      <c r="O146" s="6" t="n">
        <f aca="false">IF(N145+F146+G146-I146&gt;=H146,1,0)</f>
        <v>1</v>
      </c>
    </row>
    <row r="147" customFormat="false" ht="15" hidden="false" customHeight="false" outlineLevel="0" collapsed="false">
      <c r="A147" s="6" t="n">
        <v>2023</v>
      </c>
      <c r="B147" s="6" t="n">
        <v>10</v>
      </c>
      <c r="C147" s="4" t="n">
        <v>250</v>
      </c>
      <c r="D147" s="6" t="n">
        <v>31</v>
      </c>
      <c r="E147" s="4" t="n">
        <f aca="false">INDEX(Evaporasi!$B$5:$B$16,MATCH(B147,Evaporasi!$A$5:$A$16,0))</f>
        <v>151.5</v>
      </c>
      <c r="F147" s="17" t="n">
        <f aca="false">Kawasan!$B$11*Kawasan!$B$9*C147/1000</f>
        <v>2080</v>
      </c>
      <c r="G147" s="17" t="n">
        <f aca="false">C147*Desain_Kolam!$B$9/1000</f>
        <v>1323.125</v>
      </c>
      <c r="H147" s="17" t="n">
        <f aca="false">Kawasan!$B$26*D147</f>
        <v>2380.8</v>
      </c>
      <c r="I147" s="17" t="n">
        <f aca="false">E147*Desain_Kolam!$B$9/1000</f>
        <v>801.81375</v>
      </c>
      <c r="J147" s="17" t="n">
        <f aca="false">F147+G147-H147-I147</f>
        <v>220.51125</v>
      </c>
      <c r="K147" s="17" t="n">
        <f aca="false">K146+J147</f>
        <v>22785.856725</v>
      </c>
      <c r="L147" s="17" t="n">
        <f aca="false">MAX(L146,K147)</f>
        <v>23745.7287</v>
      </c>
      <c r="M147" s="17" t="n">
        <f aca="false">L147-K147</f>
        <v>959.871975000002</v>
      </c>
      <c r="N147" s="17" t="n">
        <f aca="false">MIN(Desain_Kolam!$B$21,MAX(0,N146+F147+G147-H147-I147))</f>
        <v>14863.6947</v>
      </c>
      <c r="O147" s="6" t="n">
        <f aca="false">IF(N146+F147+G147-I147&gt;=H147,1,0)</f>
        <v>1</v>
      </c>
    </row>
    <row r="148" customFormat="false" ht="15" hidden="false" customHeight="false" outlineLevel="0" collapsed="false">
      <c r="A148" s="6" t="n">
        <v>2023</v>
      </c>
      <c r="B148" s="6" t="n">
        <v>11</v>
      </c>
      <c r="C148" s="4" t="n">
        <v>265</v>
      </c>
      <c r="D148" s="6" t="n">
        <v>30</v>
      </c>
      <c r="E148" s="4" t="n">
        <f aca="false">INDEX(Evaporasi!$B$5:$B$16,MATCH(B148,Evaporasi!$A$5:$A$16,0))</f>
        <v>142.3</v>
      </c>
      <c r="F148" s="17" t="n">
        <f aca="false">Kawasan!$B$11*Kawasan!$B$9*C148/1000</f>
        <v>2204.8</v>
      </c>
      <c r="G148" s="17" t="n">
        <f aca="false">C148*Desain_Kolam!$B$9/1000</f>
        <v>1402.5125</v>
      </c>
      <c r="H148" s="17" t="n">
        <f aca="false">Kawasan!$B$26*D148</f>
        <v>2304</v>
      </c>
      <c r="I148" s="17" t="n">
        <f aca="false">E148*Desain_Kolam!$B$9/1000</f>
        <v>753.12275</v>
      </c>
      <c r="J148" s="17" t="n">
        <f aca="false">F148+G148-H148-I148</f>
        <v>550.18975</v>
      </c>
      <c r="K148" s="17" t="n">
        <f aca="false">K147+J148</f>
        <v>23336.046475</v>
      </c>
      <c r="L148" s="17" t="n">
        <f aca="false">MAX(L147,K148)</f>
        <v>23745.7287</v>
      </c>
      <c r="M148" s="17" t="n">
        <f aca="false">L148-K148</f>
        <v>409.682225</v>
      </c>
      <c r="N148" s="17" t="n">
        <f aca="false">MIN(Desain_Kolam!$B$21,MAX(0,N147+F148+G148-H148-I148))</f>
        <v>15413.88445</v>
      </c>
      <c r="O148" s="6" t="n">
        <f aca="false">IF(N147+F148+G148-I148&gt;=H148,1,0)</f>
        <v>1</v>
      </c>
    </row>
    <row r="149" customFormat="false" ht="15" hidden="false" customHeight="false" outlineLevel="0" collapsed="false">
      <c r="A149" s="6" t="n">
        <v>2023</v>
      </c>
      <c r="B149" s="6" t="n">
        <v>12</v>
      </c>
      <c r="C149" s="4" t="n">
        <v>421</v>
      </c>
      <c r="D149" s="6" t="n">
        <v>31</v>
      </c>
      <c r="E149" s="4" t="n">
        <f aca="false">INDEX(Evaporasi!$B$5:$B$16,MATCH(B149,Evaporasi!$A$5:$A$16,0))</f>
        <v>145.07</v>
      </c>
      <c r="F149" s="17" t="n">
        <f aca="false">Kawasan!$B$11*Kawasan!$B$9*C149/1000</f>
        <v>3502.72</v>
      </c>
      <c r="G149" s="17" t="n">
        <f aca="false">C149*Desain_Kolam!$B$9/1000</f>
        <v>2228.1425</v>
      </c>
      <c r="H149" s="17" t="n">
        <f aca="false">Kawasan!$B$26*D149</f>
        <v>2380.8</v>
      </c>
      <c r="I149" s="17" t="n">
        <f aca="false">E149*Desain_Kolam!$B$9/1000</f>
        <v>767.782975</v>
      </c>
      <c r="J149" s="17" t="n">
        <f aca="false">F149+G149-H149-I149</f>
        <v>2582.279525</v>
      </c>
      <c r="K149" s="17" t="n">
        <f aca="false">K148+J149</f>
        <v>25918.326</v>
      </c>
      <c r="L149" s="17" t="n">
        <f aca="false">MAX(L148,K149)</f>
        <v>25918.326</v>
      </c>
      <c r="M149" s="17" t="n">
        <f aca="false">L149-K149</f>
        <v>0</v>
      </c>
      <c r="N149" s="17" t="n">
        <f aca="false">MIN(Desain_Kolam!$B$21,MAX(0,N148+F149+G149-H149-I149))</f>
        <v>15823.566675</v>
      </c>
      <c r="O149" s="6" t="n">
        <f aca="false">IF(N148+F149+G149-I149&gt;=H149,1,0)</f>
        <v>1</v>
      </c>
    </row>
    <row r="150" customFormat="false" ht="15" hidden="false" customHeight="false" outlineLevel="0" collapsed="false">
      <c r="A150" s="6" t="n">
        <v>2024</v>
      </c>
      <c r="B150" s="6" t="n">
        <v>1</v>
      </c>
      <c r="C150" s="4" t="n">
        <v>379</v>
      </c>
      <c r="D150" s="6" t="n">
        <v>31</v>
      </c>
      <c r="E150" s="4" t="n">
        <f aca="false">INDEX(Evaporasi!$B$5:$B$16,MATCH(B150,Evaporasi!$A$5:$A$16,0))</f>
        <v>149.98</v>
      </c>
      <c r="F150" s="17" t="n">
        <f aca="false">Kawasan!$B$11*Kawasan!$B$9*C150/1000</f>
        <v>3153.28</v>
      </c>
      <c r="G150" s="17" t="n">
        <f aca="false">C150*Desain_Kolam!$B$9/1000</f>
        <v>2005.8575</v>
      </c>
      <c r="H150" s="17" t="n">
        <f aca="false">Kawasan!$B$26*D150</f>
        <v>2380.8</v>
      </c>
      <c r="I150" s="17" t="n">
        <f aca="false">E150*Desain_Kolam!$B$9/1000</f>
        <v>793.76915</v>
      </c>
      <c r="J150" s="17" t="n">
        <f aca="false">F150+G150-H150-I150</f>
        <v>1984.56835</v>
      </c>
      <c r="K150" s="17" t="n">
        <f aca="false">K149+J150</f>
        <v>27902.89435</v>
      </c>
      <c r="L150" s="17" t="n">
        <f aca="false">MAX(L149,K150)</f>
        <v>27902.89435</v>
      </c>
      <c r="M150" s="17" t="n">
        <f aca="false">L150-K150</f>
        <v>0</v>
      </c>
      <c r="N150" s="17" t="n">
        <f aca="false">MIN(Desain_Kolam!$B$21,MAX(0,N149+F150+G150-H150-I150))</f>
        <v>15823.566675</v>
      </c>
      <c r="O150" s="6" t="n">
        <f aca="false">IF(N149+F150+G150-I150&gt;=H150,1,0)</f>
        <v>1</v>
      </c>
    </row>
    <row r="151" customFormat="false" ht="15" hidden="false" customHeight="false" outlineLevel="0" collapsed="false">
      <c r="A151" s="6" t="n">
        <v>2024</v>
      </c>
      <c r="B151" s="6" t="n">
        <v>2</v>
      </c>
      <c r="C151" s="4" t="n">
        <v>300</v>
      </c>
      <c r="D151" s="6" t="n">
        <v>29</v>
      </c>
      <c r="E151" s="4" t="n">
        <f aca="false">INDEX(Evaporasi!$B$5:$B$16,MATCH(B151,Evaporasi!$A$5:$A$16,0))</f>
        <v>148.64</v>
      </c>
      <c r="F151" s="17" t="n">
        <f aca="false">Kawasan!$B$11*Kawasan!$B$9*C151/1000</f>
        <v>2496</v>
      </c>
      <c r="G151" s="17" t="n">
        <f aca="false">C151*Desain_Kolam!$B$9/1000</f>
        <v>1587.75</v>
      </c>
      <c r="H151" s="17" t="n">
        <f aca="false">Kawasan!$B$26*D151</f>
        <v>2227.2</v>
      </c>
      <c r="I151" s="17" t="n">
        <f aca="false">E151*Desain_Kolam!$B$9/1000</f>
        <v>786.6772</v>
      </c>
      <c r="J151" s="17" t="n">
        <f aca="false">F151+G151-H151-I151</f>
        <v>1069.8728</v>
      </c>
      <c r="K151" s="17" t="n">
        <f aca="false">K150+J151</f>
        <v>28972.76715</v>
      </c>
      <c r="L151" s="17" t="n">
        <f aca="false">MAX(L150,K151)</f>
        <v>28972.76715</v>
      </c>
      <c r="M151" s="17" t="n">
        <f aca="false">L151-K151</f>
        <v>0</v>
      </c>
      <c r="N151" s="17" t="n">
        <f aca="false">MIN(Desain_Kolam!$B$21,MAX(0,N150+F151+G151-H151-I151))</f>
        <v>15823.566675</v>
      </c>
      <c r="O151" s="6" t="n">
        <f aca="false">IF(N150+F151+G151-I151&gt;=H151,1,0)</f>
        <v>1</v>
      </c>
    </row>
    <row r="152" customFormat="false" ht="15" hidden="false" customHeight="false" outlineLevel="0" collapsed="false">
      <c r="A152" s="6" t="n">
        <v>2024</v>
      </c>
      <c r="B152" s="6" t="n">
        <v>3</v>
      </c>
      <c r="C152" s="4" t="n">
        <v>512</v>
      </c>
      <c r="D152" s="6" t="n">
        <v>31</v>
      </c>
      <c r="E152" s="4" t="n">
        <f aca="false">INDEX(Evaporasi!$B$5:$B$16,MATCH(B152,Evaporasi!$A$5:$A$16,0))</f>
        <v>166.18</v>
      </c>
      <c r="F152" s="17" t="n">
        <f aca="false">Kawasan!$B$11*Kawasan!$B$9*C152/1000</f>
        <v>4259.84</v>
      </c>
      <c r="G152" s="17" t="n">
        <f aca="false">C152*Desain_Kolam!$B$9/1000</f>
        <v>2709.76</v>
      </c>
      <c r="H152" s="17" t="n">
        <f aca="false">Kawasan!$B$26*D152</f>
        <v>2380.8</v>
      </c>
      <c r="I152" s="17" t="n">
        <f aca="false">E152*Desain_Kolam!$B$9/1000</f>
        <v>879.50765</v>
      </c>
      <c r="J152" s="17" t="n">
        <f aca="false">F152+G152-H152-I152</f>
        <v>3709.29235</v>
      </c>
      <c r="K152" s="17" t="n">
        <f aca="false">K151+J152</f>
        <v>32682.0595</v>
      </c>
      <c r="L152" s="17" t="n">
        <f aca="false">MAX(L151,K152)</f>
        <v>32682.0595</v>
      </c>
      <c r="M152" s="17" t="n">
        <f aca="false">L152-K152</f>
        <v>0</v>
      </c>
      <c r="N152" s="17" t="n">
        <f aca="false">MIN(Desain_Kolam!$B$21,MAX(0,N151+F152+G152-H152-I152))</f>
        <v>15823.566675</v>
      </c>
      <c r="O152" s="6" t="n">
        <f aca="false">IF(N151+F152+G152-I152&gt;=H152,1,0)</f>
        <v>1</v>
      </c>
    </row>
    <row r="153" customFormat="false" ht="15" hidden="false" customHeight="false" outlineLevel="0" collapsed="false">
      <c r="A153" s="6" t="n">
        <v>2024</v>
      </c>
      <c r="B153" s="6" t="n">
        <v>4</v>
      </c>
      <c r="C153" s="4" t="n">
        <v>327</v>
      </c>
      <c r="D153" s="6" t="n">
        <v>30</v>
      </c>
      <c r="E153" s="4" t="n">
        <f aca="false">INDEX(Evaporasi!$B$5:$B$16,MATCH(B153,Evaporasi!$A$5:$A$16,0))</f>
        <v>157.75</v>
      </c>
      <c r="F153" s="17" t="n">
        <f aca="false">Kawasan!$B$11*Kawasan!$B$9*C153/1000</f>
        <v>2720.64</v>
      </c>
      <c r="G153" s="17" t="n">
        <f aca="false">C153*Desain_Kolam!$B$9/1000</f>
        <v>1730.6475</v>
      </c>
      <c r="H153" s="17" t="n">
        <f aca="false">Kawasan!$B$26*D153</f>
        <v>2304</v>
      </c>
      <c r="I153" s="17" t="n">
        <f aca="false">E153*Desain_Kolam!$B$9/1000</f>
        <v>834.891875</v>
      </c>
      <c r="J153" s="17" t="n">
        <f aca="false">F153+G153-H153-I153</f>
        <v>1312.395625</v>
      </c>
      <c r="K153" s="17" t="n">
        <f aca="false">K152+J153</f>
        <v>33994.455125</v>
      </c>
      <c r="L153" s="17" t="n">
        <f aca="false">MAX(L152,K153)</f>
        <v>33994.455125</v>
      </c>
      <c r="M153" s="17" t="n">
        <f aca="false">L153-K153</f>
        <v>0</v>
      </c>
      <c r="N153" s="17" t="n">
        <f aca="false">MIN(Desain_Kolam!$B$21,MAX(0,N152+F153+G153-H153-I153))</f>
        <v>15823.566675</v>
      </c>
      <c r="O153" s="6" t="n">
        <f aca="false">IF(N152+F153+G153-I153&gt;=H153,1,0)</f>
        <v>1</v>
      </c>
    </row>
    <row r="154" customFormat="false" ht="15" hidden="false" customHeight="false" outlineLevel="0" collapsed="false">
      <c r="A154" s="6" t="n">
        <v>2024</v>
      </c>
      <c r="B154" s="6" t="n">
        <v>5</v>
      </c>
      <c r="C154" s="4" t="n">
        <v>406</v>
      </c>
      <c r="D154" s="6" t="n">
        <v>31</v>
      </c>
      <c r="E154" s="4" t="n">
        <f aca="false">INDEX(Evaporasi!$B$5:$B$16,MATCH(B154,Evaporasi!$A$5:$A$16,0))</f>
        <v>158.35</v>
      </c>
      <c r="F154" s="17" t="n">
        <f aca="false">Kawasan!$B$11*Kawasan!$B$9*C154/1000</f>
        <v>3377.92</v>
      </c>
      <c r="G154" s="17" t="n">
        <f aca="false">C154*Desain_Kolam!$B$9/1000</f>
        <v>2148.755</v>
      </c>
      <c r="H154" s="17" t="n">
        <f aca="false">Kawasan!$B$26*D154</f>
        <v>2380.8</v>
      </c>
      <c r="I154" s="17" t="n">
        <f aca="false">E154*Desain_Kolam!$B$9/1000</f>
        <v>838.067375</v>
      </c>
      <c r="J154" s="17" t="n">
        <f aca="false">F154+G154-H154-I154</f>
        <v>2307.807625</v>
      </c>
      <c r="K154" s="17" t="n">
        <f aca="false">K153+J154</f>
        <v>36302.26275</v>
      </c>
      <c r="L154" s="17" t="n">
        <f aca="false">MAX(L153,K154)</f>
        <v>36302.26275</v>
      </c>
      <c r="M154" s="17" t="n">
        <f aca="false">L154-K154</f>
        <v>0</v>
      </c>
      <c r="N154" s="17" t="n">
        <f aca="false">MIN(Desain_Kolam!$B$21,MAX(0,N153+F154+G154-H154-I154))</f>
        <v>15823.566675</v>
      </c>
      <c r="O154" s="6" t="n">
        <f aca="false">IF(N153+F154+G154-I154&gt;=H154,1,0)</f>
        <v>1</v>
      </c>
    </row>
    <row r="155" customFormat="false" ht="15" hidden="false" customHeight="false" outlineLevel="0" collapsed="false">
      <c r="A155" s="6" t="n">
        <v>2024</v>
      </c>
      <c r="B155" s="6" t="n">
        <v>6</v>
      </c>
      <c r="C155" s="4" t="n">
        <v>166</v>
      </c>
      <c r="D155" s="6" t="n">
        <v>30</v>
      </c>
      <c r="E155" s="4" t="n">
        <f aca="false">INDEX(Evaporasi!$B$5:$B$16,MATCH(B155,Evaporasi!$A$5:$A$16,0))</f>
        <v>150.17</v>
      </c>
      <c r="F155" s="17" t="n">
        <f aca="false">Kawasan!$B$11*Kawasan!$B$9*C155/1000</f>
        <v>1381.12</v>
      </c>
      <c r="G155" s="17" t="n">
        <f aca="false">C155*Desain_Kolam!$B$9/1000</f>
        <v>878.555</v>
      </c>
      <c r="H155" s="17" t="n">
        <f aca="false">Kawasan!$B$26*D155</f>
        <v>2304</v>
      </c>
      <c r="I155" s="17" t="n">
        <f aca="false">E155*Desain_Kolam!$B$9/1000</f>
        <v>794.774725</v>
      </c>
      <c r="J155" s="17" t="n">
        <f aca="false">F155+G155-H155-I155</f>
        <v>-839.099725</v>
      </c>
      <c r="K155" s="17" t="n">
        <f aca="false">K154+J155</f>
        <v>35463.163025</v>
      </c>
      <c r="L155" s="17" t="n">
        <f aca="false">MAX(L154,K155)</f>
        <v>36302.26275</v>
      </c>
      <c r="M155" s="17" t="n">
        <f aca="false">L155-K155</f>
        <v>839.099725</v>
      </c>
      <c r="N155" s="17" t="n">
        <f aca="false">MIN(Desain_Kolam!$B$21,MAX(0,N154+F155+G155-H155-I155))</f>
        <v>14984.46695</v>
      </c>
      <c r="O155" s="6" t="n">
        <f aca="false">IF(N154+F155+G155-I155&gt;=H155,1,0)</f>
        <v>1</v>
      </c>
    </row>
    <row r="156" customFormat="false" ht="15" hidden="false" customHeight="false" outlineLevel="0" collapsed="false">
      <c r="A156" s="6" t="n">
        <v>2024</v>
      </c>
      <c r="B156" s="6" t="n">
        <v>7</v>
      </c>
      <c r="C156" s="4" t="n">
        <v>114</v>
      </c>
      <c r="D156" s="6" t="n">
        <v>31</v>
      </c>
      <c r="E156" s="4" t="n">
        <f aca="false">INDEX(Evaporasi!$B$5:$B$16,MATCH(B156,Evaporasi!$A$5:$A$16,0))</f>
        <v>160.84</v>
      </c>
      <c r="F156" s="17" t="n">
        <f aca="false">Kawasan!$B$11*Kawasan!$B$9*C156/1000</f>
        <v>948.48</v>
      </c>
      <c r="G156" s="17" t="n">
        <f aca="false">C156*Desain_Kolam!$B$9/1000</f>
        <v>603.345</v>
      </c>
      <c r="H156" s="17" t="n">
        <f aca="false">Kawasan!$B$26*D156</f>
        <v>2380.8</v>
      </c>
      <c r="I156" s="17" t="n">
        <f aca="false">E156*Desain_Kolam!$B$9/1000</f>
        <v>851.2457</v>
      </c>
      <c r="J156" s="17" t="n">
        <f aca="false">F156+G156-H156-I156</f>
        <v>-1680.2207</v>
      </c>
      <c r="K156" s="17" t="n">
        <f aca="false">K155+J156</f>
        <v>33782.942325</v>
      </c>
      <c r="L156" s="17" t="n">
        <f aca="false">MAX(L155,K156)</f>
        <v>36302.26275</v>
      </c>
      <c r="M156" s="17" t="n">
        <f aca="false">L156-K156</f>
        <v>2519.320425</v>
      </c>
      <c r="N156" s="17" t="n">
        <f aca="false">MIN(Desain_Kolam!$B$21,MAX(0,N155+F156+G156-H156-I156))</f>
        <v>13304.24625</v>
      </c>
      <c r="O156" s="6" t="n">
        <f aca="false">IF(N155+F156+G156-I156&gt;=H156,1,0)</f>
        <v>1</v>
      </c>
    </row>
    <row r="157" customFormat="false" ht="15" hidden="false" customHeight="false" outlineLevel="0" collapsed="false">
      <c r="A157" s="6" t="n">
        <v>2024</v>
      </c>
      <c r="B157" s="6" t="n">
        <v>8</v>
      </c>
      <c r="C157" s="4" t="n">
        <v>350</v>
      </c>
      <c r="D157" s="6" t="n">
        <v>31</v>
      </c>
      <c r="E157" s="4" t="n">
        <f aca="false">INDEX(Evaporasi!$B$5:$B$16,MATCH(B157,Evaporasi!$A$5:$A$16,0))</f>
        <v>161.16</v>
      </c>
      <c r="F157" s="17" t="n">
        <f aca="false">Kawasan!$B$11*Kawasan!$B$9*C157/1000</f>
        <v>2912</v>
      </c>
      <c r="G157" s="17" t="n">
        <f aca="false">C157*Desain_Kolam!$B$9/1000</f>
        <v>1852.375</v>
      </c>
      <c r="H157" s="17" t="n">
        <f aca="false">Kawasan!$B$26*D157</f>
        <v>2380.8</v>
      </c>
      <c r="I157" s="17" t="n">
        <f aca="false">E157*Desain_Kolam!$B$9/1000</f>
        <v>852.9393</v>
      </c>
      <c r="J157" s="17" t="n">
        <f aca="false">F157+G157-H157-I157</f>
        <v>1530.6357</v>
      </c>
      <c r="K157" s="17" t="n">
        <f aca="false">K156+J157</f>
        <v>35313.578025</v>
      </c>
      <c r="L157" s="17" t="n">
        <f aca="false">MAX(L156,K157)</f>
        <v>36302.26275</v>
      </c>
      <c r="M157" s="17" t="n">
        <f aca="false">L157-K157</f>
        <v>988.684724999999</v>
      </c>
      <c r="N157" s="17" t="n">
        <f aca="false">MIN(Desain_Kolam!$B$21,MAX(0,N156+F157+G157-H157-I157))</f>
        <v>14834.88195</v>
      </c>
      <c r="O157" s="6" t="n">
        <f aca="false">IF(N156+F157+G157-I157&gt;=H157,1,0)</f>
        <v>1</v>
      </c>
    </row>
    <row r="158" customFormat="false" ht="15" hidden="false" customHeight="false" outlineLevel="0" collapsed="false">
      <c r="A158" s="6" t="n">
        <v>2024</v>
      </c>
      <c r="B158" s="6" t="n">
        <v>9</v>
      </c>
      <c r="C158" s="4" t="n">
        <v>197</v>
      </c>
      <c r="D158" s="6" t="n">
        <v>30</v>
      </c>
      <c r="E158" s="4" t="n">
        <f aca="false">INDEX(Evaporasi!$B$5:$B$16,MATCH(B158,Evaporasi!$A$5:$A$16,0))</f>
        <v>159.21</v>
      </c>
      <c r="F158" s="17" t="n">
        <f aca="false">Kawasan!$B$11*Kawasan!$B$9*C158/1000</f>
        <v>1639.04</v>
      </c>
      <c r="G158" s="17" t="n">
        <f aca="false">C158*Desain_Kolam!$B$9/1000</f>
        <v>1042.6225</v>
      </c>
      <c r="H158" s="17" t="n">
        <f aca="false">Kawasan!$B$26*D158</f>
        <v>2304</v>
      </c>
      <c r="I158" s="17" t="n">
        <f aca="false">E158*Desain_Kolam!$B$9/1000</f>
        <v>842.618925</v>
      </c>
      <c r="J158" s="17" t="n">
        <f aca="false">F158+G158-H158-I158</f>
        <v>-464.956425</v>
      </c>
      <c r="K158" s="17" t="n">
        <f aca="false">K157+J158</f>
        <v>34848.6216</v>
      </c>
      <c r="L158" s="17" t="n">
        <f aca="false">MAX(L157,K158)</f>
        <v>36302.26275</v>
      </c>
      <c r="M158" s="17" t="n">
        <f aca="false">L158-K158</f>
        <v>1453.64115</v>
      </c>
      <c r="N158" s="17" t="n">
        <f aca="false">MIN(Desain_Kolam!$B$21,MAX(0,N157+F158+G158-H158-I158))</f>
        <v>14369.925525</v>
      </c>
      <c r="O158" s="6" t="n">
        <f aca="false">IF(N157+F158+G158-I158&gt;=H158,1,0)</f>
        <v>1</v>
      </c>
    </row>
    <row r="159" customFormat="false" ht="15" hidden="false" customHeight="false" outlineLevel="0" collapsed="false">
      <c r="A159" s="6" t="n">
        <v>2024</v>
      </c>
      <c r="B159" s="6" t="n">
        <v>10</v>
      </c>
      <c r="C159" s="4" t="n">
        <v>327</v>
      </c>
      <c r="D159" s="6" t="n">
        <v>31</v>
      </c>
      <c r="E159" s="4" t="n">
        <f aca="false">INDEX(Evaporasi!$B$5:$B$16,MATCH(B159,Evaporasi!$A$5:$A$16,0))</f>
        <v>151.5</v>
      </c>
      <c r="F159" s="17" t="n">
        <f aca="false">Kawasan!$B$11*Kawasan!$B$9*C159/1000</f>
        <v>2720.64</v>
      </c>
      <c r="G159" s="17" t="n">
        <f aca="false">C159*Desain_Kolam!$B$9/1000</f>
        <v>1730.6475</v>
      </c>
      <c r="H159" s="17" t="n">
        <f aca="false">Kawasan!$B$26*D159</f>
        <v>2380.8</v>
      </c>
      <c r="I159" s="17" t="n">
        <f aca="false">E159*Desain_Kolam!$B$9/1000</f>
        <v>801.81375</v>
      </c>
      <c r="J159" s="17" t="n">
        <f aca="false">F159+G159-H159-I159</f>
        <v>1268.67375</v>
      </c>
      <c r="K159" s="17" t="n">
        <f aca="false">K158+J159</f>
        <v>36117.29535</v>
      </c>
      <c r="L159" s="17" t="n">
        <f aca="false">MAX(L158,K159)</f>
        <v>36302.26275</v>
      </c>
      <c r="M159" s="17" t="n">
        <f aca="false">L159-K159</f>
        <v>184.967399999994</v>
      </c>
      <c r="N159" s="17" t="n">
        <f aca="false">MIN(Desain_Kolam!$B$21,MAX(0,N158+F159+G159-H159-I159))</f>
        <v>15638.599275</v>
      </c>
      <c r="O159" s="6" t="n">
        <f aca="false">IF(N158+F159+G159-I159&gt;=H159,1,0)</f>
        <v>1</v>
      </c>
    </row>
    <row r="160" customFormat="false" ht="15" hidden="false" customHeight="false" outlineLevel="0" collapsed="false">
      <c r="A160" s="6" t="n">
        <v>2024</v>
      </c>
      <c r="B160" s="6" t="n">
        <v>11</v>
      </c>
      <c r="C160" s="4" t="n">
        <v>419</v>
      </c>
      <c r="D160" s="6" t="n">
        <v>30</v>
      </c>
      <c r="E160" s="4" t="n">
        <f aca="false">INDEX(Evaporasi!$B$5:$B$16,MATCH(B160,Evaporasi!$A$5:$A$16,0))</f>
        <v>142.3</v>
      </c>
      <c r="F160" s="17" t="n">
        <f aca="false">Kawasan!$B$11*Kawasan!$B$9*C160/1000</f>
        <v>3486.08</v>
      </c>
      <c r="G160" s="17" t="n">
        <f aca="false">C160*Desain_Kolam!$B$9/1000</f>
        <v>2217.5575</v>
      </c>
      <c r="H160" s="17" t="n">
        <f aca="false">Kawasan!$B$26*D160</f>
        <v>2304</v>
      </c>
      <c r="I160" s="17" t="n">
        <f aca="false">E160*Desain_Kolam!$B$9/1000</f>
        <v>753.12275</v>
      </c>
      <c r="J160" s="17" t="n">
        <f aca="false">F160+G160-H160-I160</f>
        <v>2646.51475</v>
      </c>
      <c r="K160" s="17" t="n">
        <f aca="false">K159+J160</f>
        <v>38763.8101</v>
      </c>
      <c r="L160" s="17" t="n">
        <f aca="false">MAX(L159,K160)</f>
        <v>38763.8101</v>
      </c>
      <c r="M160" s="17" t="n">
        <f aca="false">L160-K160</f>
        <v>0</v>
      </c>
      <c r="N160" s="17" t="n">
        <f aca="false">MIN(Desain_Kolam!$B$21,MAX(0,N159+F160+G160-H160-I160))</f>
        <v>15823.566675</v>
      </c>
      <c r="O160" s="6" t="n">
        <f aca="false">IF(N159+F160+G160-I160&gt;=H160,1,0)</f>
        <v>1</v>
      </c>
    </row>
    <row r="161" customFormat="false" ht="15" hidden="false" customHeight="false" outlineLevel="0" collapsed="false">
      <c r="A161" s="6" t="n">
        <v>2024</v>
      </c>
      <c r="B161" s="6" t="n">
        <v>12</v>
      </c>
      <c r="C161" s="4" t="n">
        <v>214</v>
      </c>
      <c r="D161" s="6" t="n">
        <v>31</v>
      </c>
      <c r="E161" s="4" t="n">
        <f aca="false">INDEX(Evaporasi!$B$5:$B$16,MATCH(B161,Evaporasi!$A$5:$A$16,0))</f>
        <v>145.07</v>
      </c>
      <c r="F161" s="17" t="n">
        <f aca="false">Kawasan!$B$11*Kawasan!$B$9*C161/1000</f>
        <v>1780.48</v>
      </c>
      <c r="G161" s="17" t="n">
        <f aca="false">C161*Desain_Kolam!$B$9/1000</f>
        <v>1132.595</v>
      </c>
      <c r="H161" s="17" t="n">
        <f aca="false">Kawasan!$B$26*D161</f>
        <v>2380.8</v>
      </c>
      <c r="I161" s="17" t="n">
        <f aca="false">E161*Desain_Kolam!$B$9/1000</f>
        <v>767.782975</v>
      </c>
      <c r="J161" s="17" t="n">
        <f aca="false">F161+G161-H161-I161</f>
        <v>-235.507975</v>
      </c>
      <c r="K161" s="17" t="n">
        <f aca="false">K160+J161</f>
        <v>38528.302125</v>
      </c>
      <c r="L161" s="17" t="n">
        <f aca="false">MAX(L160,K161)</f>
        <v>38763.8101</v>
      </c>
      <c r="M161" s="17" t="n">
        <f aca="false">L161-K161</f>
        <v>235.507975</v>
      </c>
      <c r="N161" s="17" t="n">
        <f aca="false">MIN(Desain_Kolam!$B$21,MAX(0,N160+F161+G161-H161-I161))</f>
        <v>15588.0587</v>
      </c>
      <c r="O161" s="6" t="n">
        <f aca="false">IF(N160+F161+G161-I161&gt;=H161,1,0)</f>
        <v>1</v>
      </c>
    </row>
    <row r="162" customFormat="false" ht="15" hidden="false" customHeight="false" outlineLevel="0" collapsed="false">
      <c r="A162" s="6" t="n">
        <v>2025</v>
      </c>
      <c r="B162" s="6" t="n">
        <v>1</v>
      </c>
      <c r="C162" s="4" t="n">
        <v>400</v>
      </c>
      <c r="D162" s="6" t="n">
        <v>31</v>
      </c>
      <c r="E162" s="4" t="n">
        <f aca="false">INDEX(Evaporasi!$B$5:$B$16,MATCH(B162,Evaporasi!$A$5:$A$16,0))</f>
        <v>149.98</v>
      </c>
      <c r="F162" s="17" t="n">
        <f aca="false">Kawasan!$B$11*Kawasan!$B$9*C162/1000</f>
        <v>3328</v>
      </c>
      <c r="G162" s="17" t="n">
        <f aca="false">C162*Desain_Kolam!$B$9/1000</f>
        <v>2117</v>
      </c>
      <c r="H162" s="17" t="n">
        <f aca="false">Kawasan!$B$26*D162</f>
        <v>2380.8</v>
      </c>
      <c r="I162" s="17" t="n">
        <f aca="false">E162*Desain_Kolam!$B$9/1000</f>
        <v>793.76915</v>
      </c>
      <c r="J162" s="17" t="n">
        <f aca="false">F162+G162-H162-I162</f>
        <v>2270.43085</v>
      </c>
      <c r="K162" s="17" t="n">
        <f aca="false">K161+J162</f>
        <v>40798.732975</v>
      </c>
      <c r="L162" s="17" t="n">
        <f aca="false">MAX(L161,K162)</f>
        <v>40798.732975</v>
      </c>
      <c r="M162" s="17" t="n">
        <f aca="false">L162-K162</f>
        <v>0</v>
      </c>
      <c r="N162" s="17" t="n">
        <f aca="false">MIN(Desain_Kolam!$B$21,MAX(0,N161+F162+G162-H162-I162))</f>
        <v>15823.566675</v>
      </c>
      <c r="O162" s="6" t="n">
        <f aca="false">IF(N161+F162+G162-I162&gt;=H162,1,0)</f>
        <v>1</v>
      </c>
    </row>
    <row r="163" customFormat="false" ht="15" hidden="false" customHeight="false" outlineLevel="0" collapsed="false">
      <c r="A163" s="6" t="n">
        <v>2025</v>
      </c>
      <c r="B163" s="6" t="n">
        <v>2</v>
      </c>
      <c r="C163" s="4" t="n">
        <v>210</v>
      </c>
      <c r="D163" s="6" t="n">
        <v>28</v>
      </c>
      <c r="E163" s="4" t="n">
        <f aca="false">INDEX(Evaporasi!$B$5:$B$16,MATCH(B163,Evaporasi!$A$5:$A$16,0))</f>
        <v>148.64</v>
      </c>
      <c r="F163" s="17" t="n">
        <f aca="false">Kawasan!$B$11*Kawasan!$B$9*C163/1000</f>
        <v>1747.2</v>
      </c>
      <c r="G163" s="17" t="n">
        <f aca="false">C163*Desain_Kolam!$B$9/1000</f>
        <v>1111.425</v>
      </c>
      <c r="H163" s="17" t="n">
        <f aca="false">Kawasan!$B$26*D163</f>
        <v>2150.4</v>
      </c>
      <c r="I163" s="17" t="n">
        <f aca="false">E163*Desain_Kolam!$B$9/1000</f>
        <v>786.6772</v>
      </c>
      <c r="J163" s="17" t="n">
        <f aca="false">F163+G163-H163-I163</f>
        <v>-78.4522000000001</v>
      </c>
      <c r="K163" s="17" t="n">
        <f aca="false">K162+J163</f>
        <v>40720.280775</v>
      </c>
      <c r="L163" s="17" t="n">
        <f aca="false">MAX(L162,K163)</f>
        <v>40798.732975</v>
      </c>
      <c r="M163" s="17" t="n">
        <f aca="false">L163-K163</f>
        <v>78.4521999999997</v>
      </c>
      <c r="N163" s="17" t="n">
        <f aca="false">MIN(Desain_Kolam!$B$21,MAX(0,N162+F163+G163-H163-I163))</f>
        <v>15745.114475</v>
      </c>
      <c r="O163" s="6" t="n">
        <f aca="false">IF(N162+F163+G163-I163&gt;=H163,1,0)</f>
        <v>1</v>
      </c>
    </row>
    <row r="164" customFormat="false" ht="15" hidden="false" customHeight="false" outlineLevel="0" collapsed="false">
      <c r="A164" s="6" t="n">
        <v>2025</v>
      </c>
      <c r="B164" s="6" t="n">
        <v>3</v>
      </c>
      <c r="C164" s="4" t="n">
        <v>302</v>
      </c>
      <c r="D164" s="6" t="n">
        <v>31</v>
      </c>
      <c r="E164" s="4" t="n">
        <f aca="false">INDEX(Evaporasi!$B$5:$B$16,MATCH(B164,Evaporasi!$A$5:$A$16,0))</f>
        <v>166.18</v>
      </c>
      <c r="F164" s="17" t="n">
        <f aca="false">Kawasan!$B$11*Kawasan!$B$9*C164/1000</f>
        <v>2512.64</v>
      </c>
      <c r="G164" s="17" t="n">
        <f aca="false">C164*Desain_Kolam!$B$9/1000</f>
        <v>1598.335</v>
      </c>
      <c r="H164" s="17" t="n">
        <f aca="false">Kawasan!$B$26*D164</f>
        <v>2380.8</v>
      </c>
      <c r="I164" s="17" t="n">
        <f aca="false">E164*Desain_Kolam!$B$9/1000</f>
        <v>879.50765</v>
      </c>
      <c r="J164" s="17" t="n">
        <f aca="false">F164+G164-H164-I164</f>
        <v>850.667350000001</v>
      </c>
      <c r="K164" s="17" t="n">
        <f aca="false">K163+J164</f>
        <v>41570.948125</v>
      </c>
      <c r="L164" s="17" t="n">
        <f aca="false">MAX(L163,K164)</f>
        <v>41570.948125</v>
      </c>
      <c r="M164" s="17" t="n">
        <f aca="false">L164-K164</f>
        <v>0</v>
      </c>
      <c r="N164" s="17" t="n">
        <f aca="false">MIN(Desain_Kolam!$B$21,MAX(0,N163+F164+G164-H164-I164))</f>
        <v>15823.566675</v>
      </c>
      <c r="O164" s="6" t="n">
        <f aca="false">IF(N163+F164+G164-I164&gt;=H164,1,0)</f>
        <v>1</v>
      </c>
    </row>
    <row r="165" customFormat="false" ht="15" hidden="false" customHeight="false" outlineLevel="0" collapsed="false">
      <c r="A165" s="6" t="n">
        <v>2025</v>
      </c>
      <c r="B165" s="6" t="n">
        <v>4</v>
      </c>
      <c r="C165" s="4" t="n">
        <v>231</v>
      </c>
      <c r="D165" s="6" t="n">
        <v>30</v>
      </c>
      <c r="E165" s="4" t="n">
        <f aca="false">INDEX(Evaporasi!$B$5:$B$16,MATCH(B165,Evaporasi!$A$5:$A$16,0))</f>
        <v>157.75</v>
      </c>
      <c r="F165" s="17" t="n">
        <f aca="false">Kawasan!$B$11*Kawasan!$B$9*C165/1000</f>
        <v>1921.92</v>
      </c>
      <c r="G165" s="17" t="n">
        <f aca="false">C165*Desain_Kolam!$B$9/1000</f>
        <v>1222.5675</v>
      </c>
      <c r="H165" s="17" t="n">
        <f aca="false">Kawasan!$B$26*D165</f>
        <v>2304</v>
      </c>
      <c r="I165" s="17" t="n">
        <f aca="false">E165*Desain_Kolam!$B$9/1000</f>
        <v>834.891875</v>
      </c>
      <c r="J165" s="17" t="n">
        <f aca="false">F165+G165-H165-I165</f>
        <v>5.59562500000016</v>
      </c>
      <c r="K165" s="17" t="n">
        <f aca="false">K164+J165</f>
        <v>41576.54375</v>
      </c>
      <c r="L165" s="17" t="n">
        <f aca="false">MAX(L164,K165)</f>
        <v>41576.54375</v>
      </c>
      <c r="M165" s="17" t="n">
        <f aca="false">L165-K165</f>
        <v>0</v>
      </c>
      <c r="N165" s="17" t="n">
        <f aca="false">MIN(Desain_Kolam!$B$21,MAX(0,N164+F165+G165-H165-I165))</f>
        <v>15823.566675</v>
      </c>
      <c r="O165" s="6" t="n">
        <f aca="false">IF(N164+F165+G165-I165&gt;=H165,1,0)</f>
        <v>1</v>
      </c>
    </row>
    <row r="166" customFormat="false" ht="15" hidden="false" customHeight="false" outlineLevel="0" collapsed="false">
      <c r="A166" s="6" t="n">
        <v>2025</v>
      </c>
      <c r="B166" s="6" t="n">
        <v>5</v>
      </c>
      <c r="C166" s="4" t="n">
        <v>231</v>
      </c>
      <c r="D166" s="6" t="n">
        <v>31</v>
      </c>
      <c r="E166" s="4" t="n">
        <f aca="false">INDEX(Evaporasi!$B$5:$B$16,MATCH(B166,Evaporasi!$A$5:$A$16,0))</f>
        <v>158.35</v>
      </c>
      <c r="F166" s="17" t="n">
        <f aca="false">Kawasan!$B$11*Kawasan!$B$9*C166/1000</f>
        <v>1921.92</v>
      </c>
      <c r="G166" s="17" t="n">
        <f aca="false">C166*Desain_Kolam!$B$9/1000</f>
        <v>1222.5675</v>
      </c>
      <c r="H166" s="17" t="n">
        <f aca="false">Kawasan!$B$26*D166</f>
        <v>2380.8</v>
      </c>
      <c r="I166" s="17" t="n">
        <f aca="false">E166*Desain_Kolam!$B$9/1000</f>
        <v>838.067375</v>
      </c>
      <c r="J166" s="17" t="n">
        <f aca="false">F166+G166-H166-I166</f>
        <v>-74.3798749999995</v>
      </c>
      <c r="K166" s="17" t="n">
        <f aca="false">K165+J166</f>
        <v>41502.163875</v>
      </c>
      <c r="L166" s="17" t="n">
        <f aca="false">MAX(L165,K166)</f>
        <v>41576.54375</v>
      </c>
      <c r="M166" s="17" t="n">
        <f aca="false">L166-K166</f>
        <v>74.3798749999987</v>
      </c>
      <c r="N166" s="17" t="n">
        <f aca="false">MIN(Desain_Kolam!$B$21,MAX(0,N165+F166+G166-H166-I166))</f>
        <v>15749.1868</v>
      </c>
      <c r="O166" s="6" t="n">
        <f aca="false">IF(N165+F166+G166-I166&gt;=H166,1,0)</f>
        <v>1</v>
      </c>
    </row>
    <row r="167" customFormat="false" ht="15" hidden="false" customHeight="false" outlineLevel="0" collapsed="false">
      <c r="A167" s="6" t="n">
        <v>2025</v>
      </c>
      <c r="B167" s="6" t="n">
        <v>6</v>
      </c>
      <c r="C167" s="4" t="n">
        <v>167</v>
      </c>
      <c r="D167" s="6" t="n">
        <v>30</v>
      </c>
      <c r="E167" s="4" t="n">
        <f aca="false">INDEX(Evaporasi!$B$5:$B$16,MATCH(B167,Evaporasi!$A$5:$A$16,0))</f>
        <v>150.17</v>
      </c>
      <c r="F167" s="17" t="n">
        <f aca="false">Kawasan!$B$11*Kawasan!$B$9*C167/1000</f>
        <v>1389.44</v>
      </c>
      <c r="G167" s="17" t="n">
        <f aca="false">C167*Desain_Kolam!$B$9/1000</f>
        <v>883.8475</v>
      </c>
      <c r="H167" s="17" t="n">
        <f aca="false">Kawasan!$B$26*D167</f>
        <v>2304</v>
      </c>
      <c r="I167" s="17" t="n">
        <f aca="false">E167*Desain_Kolam!$B$9/1000</f>
        <v>794.774725</v>
      </c>
      <c r="J167" s="17" t="n">
        <f aca="false">F167+G167-H167-I167</f>
        <v>-825.487225</v>
      </c>
      <c r="K167" s="17" t="n">
        <f aca="false">K166+J167</f>
        <v>40676.67665</v>
      </c>
      <c r="L167" s="17" t="n">
        <f aca="false">MAX(L166,K167)</f>
        <v>41576.54375</v>
      </c>
      <c r="M167" s="17" t="n">
        <f aca="false">L167-K167</f>
        <v>899.867099999996</v>
      </c>
      <c r="N167" s="17" t="n">
        <f aca="false">MIN(Desain_Kolam!$B$21,MAX(0,N166+F167+G167-H167-I167))</f>
        <v>14923.699575</v>
      </c>
      <c r="O167" s="6" t="n">
        <f aca="false">IF(N166+F167+G167-I167&gt;=H167,1,0)</f>
        <v>1</v>
      </c>
    </row>
    <row r="168" customFormat="false" ht="15" hidden="false" customHeight="false" outlineLevel="0" collapsed="false">
      <c r="A168" s="6" t="n">
        <v>2025</v>
      </c>
      <c r="B168" s="6" t="n">
        <v>7</v>
      </c>
      <c r="C168" s="4" t="n">
        <v>159</v>
      </c>
      <c r="D168" s="6" t="n">
        <v>31</v>
      </c>
      <c r="E168" s="4" t="n">
        <f aca="false">INDEX(Evaporasi!$B$5:$B$16,MATCH(B168,Evaporasi!$A$5:$A$16,0))</f>
        <v>160.84</v>
      </c>
      <c r="F168" s="17" t="n">
        <f aca="false">Kawasan!$B$11*Kawasan!$B$9*C168/1000</f>
        <v>1322.88</v>
      </c>
      <c r="G168" s="17" t="n">
        <f aca="false">C168*Desain_Kolam!$B$9/1000</f>
        <v>841.5075</v>
      </c>
      <c r="H168" s="17" t="n">
        <f aca="false">Kawasan!$B$26*D168</f>
        <v>2380.8</v>
      </c>
      <c r="I168" s="17" t="n">
        <f aca="false">E168*Desain_Kolam!$B$9/1000</f>
        <v>851.2457</v>
      </c>
      <c r="J168" s="17" t="n">
        <f aca="false">F168+G168-H168-I168</f>
        <v>-1067.6582</v>
      </c>
      <c r="K168" s="17" t="n">
        <f aca="false">K167+J168</f>
        <v>39609.0184500001</v>
      </c>
      <c r="L168" s="17" t="n">
        <f aca="false">MAX(L167,K168)</f>
        <v>41576.54375</v>
      </c>
      <c r="M168" s="17" t="n">
        <f aca="false">L168-K168</f>
        <v>1967.52529999999</v>
      </c>
      <c r="N168" s="17" t="n">
        <f aca="false">MIN(Desain_Kolam!$B$21,MAX(0,N167+F168+G168-H168-I168))</f>
        <v>13856.041375</v>
      </c>
      <c r="O168" s="6" t="n">
        <f aca="false">IF(N167+F168+G168-I168&gt;=H168,1,0)</f>
        <v>1</v>
      </c>
    </row>
    <row r="169" customFormat="false" ht="15" hidden="false" customHeight="false" outlineLevel="0" collapsed="false">
      <c r="A169" s="6" t="n">
        <v>2025</v>
      </c>
      <c r="B169" s="6" t="n">
        <v>8</v>
      </c>
      <c r="C169" s="4" t="n">
        <v>392</v>
      </c>
      <c r="D169" s="6" t="n">
        <v>31</v>
      </c>
      <c r="E169" s="4" t="n">
        <f aca="false">INDEX(Evaporasi!$B$5:$B$16,MATCH(B169,Evaporasi!$A$5:$A$16,0))</f>
        <v>161.16</v>
      </c>
      <c r="F169" s="17" t="n">
        <f aca="false">Kawasan!$B$11*Kawasan!$B$9*C169/1000</f>
        <v>3261.44</v>
      </c>
      <c r="G169" s="17" t="n">
        <f aca="false">C169*Desain_Kolam!$B$9/1000</f>
        <v>2074.66</v>
      </c>
      <c r="H169" s="17" t="n">
        <f aca="false">Kawasan!$B$26*D169</f>
        <v>2380.8</v>
      </c>
      <c r="I169" s="17" t="n">
        <f aca="false">E169*Desain_Kolam!$B$9/1000</f>
        <v>852.9393</v>
      </c>
      <c r="J169" s="17" t="n">
        <f aca="false">F169+G169-H169-I169</f>
        <v>2102.3607</v>
      </c>
      <c r="K169" s="17" t="n">
        <f aca="false">K168+J169</f>
        <v>41711.37915</v>
      </c>
      <c r="L169" s="17" t="n">
        <f aca="false">MAX(L168,K169)</f>
        <v>41711.37915</v>
      </c>
      <c r="M169" s="17" t="n">
        <f aca="false">L169-K169</f>
        <v>0</v>
      </c>
      <c r="N169" s="17" t="n">
        <f aca="false">MIN(Desain_Kolam!$B$21,MAX(0,N168+F169+G169-H169-I169))</f>
        <v>15823.566675</v>
      </c>
      <c r="O169" s="6" t="n">
        <f aca="false">IF(N168+F169+G169-I169&gt;=H169,1,0)</f>
        <v>1</v>
      </c>
    </row>
    <row r="170" customFormat="false" ht="15" hidden="false" customHeight="false" outlineLevel="0" collapsed="false">
      <c r="A170" s="6" t="n">
        <v>2025</v>
      </c>
      <c r="B170" s="6" t="n">
        <v>9</v>
      </c>
      <c r="C170" s="4" t="n">
        <v>360</v>
      </c>
      <c r="D170" s="6" t="n">
        <v>30</v>
      </c>
      <c r="E170" s="4" t="n">
        <f aca="false">INDEX(Evaporasi!$B$5:$B$16,MATCH(B170,Evaporasi!$A$5:$A$16,0))</f>
        <v>159.21</v>
      </c>
      <c r="F170" s="17" t="n">
        <f aca="false">Kawasan!$B$11*Kawasan!$B$9*C170/1000</f>
        <v>2995.2</v>
      </c>
      <c r="G170" s="17" t="n">
        <f aca="false">C170*Desain_Kolam!$B$9/1000</f>
        <v>1905.3</v>
      </c>
      <c r="H170" s="17" t="n">
        <f aca="false">Kawasan!$B$26*D170</f>
        <v>2304</v>
      </c>
      <c r="I170" s="17" t="n">
        <f aca="false">E170*Desain_Kolam!$B$9/1000</f>
        <v>842.618925</v>
      </c>
      <c r="J170" s="17" t="n">
        <f aca="false">F170+G170-H170-I170</f>
        <v>1753.881075</v>
      </c>
      <c r="K170" s="17" t="n">
        <f aca="false">K169+J170</f>
        <v>43465.260225</v>
      </c>
      <c r="L170" s="17" t="n">
        <f aca="false">MAX(L169,K170)</f>
        <v>43465.260225</v>
      </c>
      <c r="M170" s="17" t="n">
        <f aca="false">L170-K170</f>
        <v>0</v>
      </c>
      <c r="N170" s="17" t="n">
        <f aca="false">MIN(Desain_Kolam!$B$21,MAX(0,N169+F170+G170-H170-I170))</f>
        <v>15823.566675</v>
      </c>
      <c r="O170" s="6" t="n">
        <f aca="false">IF(N169+F170+G170-I170&gt;=H170,1,0)</f>
        <v>1</v>
      </c>
    </row>
    <row r="171" customFormat="false" ht="15" hidden="false" customHeight="false" outlineLevel="0" collapsed="false">
      <c r="A171" s="6" t="n">
        <v>2025</v>
      </c>
      <c r="B171" s="6" t="n">
        <v>10</v>
      </c>
      <c r="C171" s="4" t="n">
        <v>391</v>
      </c>
      <c r="D171" s="6" t="n">
        <v>31</v>
      </c>
      <c r="E171" s="4" t="n">
        <f aca="false">INDEX(Evaporasi!$B$5:$B$16,MATCH(B171,Evaporasi!$A$5:$A$16,0))</f>
        <v>151.5</v>
      </c>
      <c r="F171" s="17" t="n">
        <f aca="false">Kawasan!$B$11*Kawasan!$B$9*C171/1000</f>
        <v>3253.12</v>
      </c>
      <c r="G171" s="17" t="n">
        <f aca="false">C171*Desain_Kolam!$B$9/1000</f>
        <v>2069.3675</v>
      </c>
      <c r="H171" s="17" t="n">
        <f aca="false">Kawasan!$B$26*D171</f>
        <v>2380.8</v>
      </c>
      <c r="I171" s="17" t="n">
        <f aca="false">E171*Desain_Kolam!$B$9/1000</f>
        <v>801.81375</v>
      </c>
      <c r="J171" s="17" t="n">
        <f aca="false">F171+G171-H171-I171</f>
        <v>2139.87375</v>
      </c>
      <c r="K171" s="17" t="n">
        <f aca="false">K170+J171</f>
        <v>45605.133975</v>
      </c>
      <c r="L171" s="17" t="n">
        <f aca="false">MAX(L170,K171)</f>
        <v>45605.133975</v>
      </c>
      <c r="M171" s="17" t="n">
        <f aca="false">L171-K171</f>
        <v>0</v>
      </c>
      <c r="N171" s="17" t="n">
        <f aca="false">MIN(Desain_Kolam!$B$21,MAX(0,N170+F171+G171-H171-I171))</f>
        <v>15823.566675</v>
      </c>
      <c r="O171" s="6" t="n">
        <f aca="false">IF(N170+F171+G171-I171&gt;=H171,1,0)</f>
        <v>1</v>
      </c>
    </row>
    <row r="172" customFormat="false" ht="15" hidden="false" customHeight="false" outlineLevel="0" collapsed="false">
      <c r="A172" s="6" t="n">
        <v>2025</v>
      </c>
      <c r="B172" s="6" t="n">
        <v>11</v>
      </c>
      <c r="C172" s="4" t="n">
        <v>327</v>
      </c>
      <c r="D172" s="6" t="n">
        <v>30</v>
      </c>
      <c r="E172" s="4" t="n">
        <f aca="false">INDEX(Evaporasi!$B$5:$B$16,MATCH(B172,Evaporasi!$A$5:$A$16,0))</f>
        <v>142.3</v>
      </c>
      <c r="F172" s="17" t="n">
        <f aca="false">Kawasan!$B$11*Kawasan!$B$9*C172/1000</f>
        <v>2720.64</v>
      </c>
      <c r="G172" s="17" t="n">
        <f aca="false">C172*Desain_Kolam!$B$9/1000</f>
        <v>1730.6475</v>
      </c>
      <c r="H172" s="17" t="n">
        <f aca="false">Kawasan!$B$26*D172</f>
        <v>2304</v>
      </c>
      <c r="I172" s="17" t="n">
        <f aca="false">E172*Desain_Kolam!$B$9/1000</f>
        <v>753.12275</v>
      </c>
      <c r="J172" s="17" t="n">
        <f aca="false">F172+G172-H172-I172</f>
        <v>1394.16475</v>
      </c>
      <c r="K172" s="17" t="n">
        <f aca="false">K171+J172</f>
        <v>46999.298725</v>
      </c>
      <c r="L172" s="17" t="n">
        <f aca="false">MAX(L171,K172)</f>
        <v>46999.298725</v>
      </c>
      <c r="M172" s="17" t="n">
        <f aca="false">L172-K172</f>
        <v>0</v>
      </c>
      <c r="N172" s="17" t="n">
        <f aca="false">MIN(Desain_Kolam!$B$21,MAX(0,N171+F172+G172-H172-I172))</f>
        <v>15823.566675</v>
      </c>
      <c r="O172" s="6" t="n">
        <f aca="false">IF(N171+F172+G172-I172&gt;=H172,1,0)</f>
        <v>1</v>
      </c>
    </row>
    <row r="173" customFormat="false" ht="15" hidden="false" customHeight="false" outlineLevel="0" collapsed="false">
      <c r="A173" s="6" t="n">
        <v>2025</v>
      </c>
      <c r="B173" s="6" t="n">
        <v>12</v>
      </c>
      <c r="C173" s="4" t="n">
        <v>140</v>
      </c>
      <c r="D173" s="6" t="n">
        <v>31</v>
      </c>
      <c r="E173" s="4" t="n">
        <f aca="false">INDEX(Evaporasi!$B$5:$B$16,MATCH(B173,Evaporasi!$A$5:$A$16,0))</f>
        <v>145.07</v>
      </c>
      <c r="F173" s="17" t="n">
        <f aca="false">Kawasan!$B$11*Kawasan!$B$9*C173/1000</f>
        <v>1164.8</v>
      </c>
      <c r="G173" s="17" t="n">
        <f aca="false">C173*Desain_Kolam!$B$9/1000</f>
        <v>740.95</v>
      </c>
      <c r="H173" s="17" t="n">
        <f aca="false">Kawasan!$B$26*D173</f>
        <v>2380.8</v>
      </c>
      <c r="I173" s="17" t="n">
        <f aca="false">E173*Desain_Kolam!$B$9/1000</f>
        <v>767.782975</v>
      </c>
      <c r="J173" s="17" t="n">
        <f aca="false">F173+G173-H173-I173</f>
        <v>-1242.832975</v>
      </c>
      <c r="K173" s="17" t="n">
        <f aca="false">K172+J173</f>
        <v>45756.4657500001</v>
      </c>
      <c r="L173" s="17" t="n">
        <f aca="false">MAX(L172,K173)</f>
        <v>46999.298725</v>
      </c>
      <c r="M173" s="17" t="n">
        <f aca="false">L173-K173</f>
        <v>1242.832975</v>
      </c>
      <c r="N173" s="17" t="n">
        <f aca="false">MIN(Desain_Kolam!$B$21,MAX(0,N172+F173+G173-H173-I173))</f>
        <v>14580.7337</v>
      </c>
      <c r="O173" s="6" t="n">
        <f aca="false">IF(N172+F173+G173-I173&gt;=H173,1,0)</f>
        <v>1</v>
      </c>
    </row>
    <row r="174" customFormat="false" ht="15" hidden="false" customHeight="false" outlineLevel="0" collapsed="false">
      <c r="A174" s="28" t="s">
        <v>5427</v>
      </c>
      <c r="B174" s="28"/>
      <c r="C174" s="28"/>
      <c r="D174" s="28"/>
      <c r="E174" s="29" t="n">
        <f aca="false">MAX(M6:M173)</f>
        <v>36252.366675</v>
      </c>
    </row>
    <row r="175" customFormat="false" ht="15" hidden="false" customHeight="false" outlineLevel="0" collapsed="false">
      <c r="A175" s="28" t="s">
        <v>5428</v>
      </c>
      <c r="B175" s="28"/>
      <c r="C175" s="28"/>
      <c r="D175" s="28"/>
      <c r="E175" s="30" t="n">
        <f aca="false">100*SUM(O6:O173)/COUNT(O6:O173)</f>
        <v>88.6904761904762</v>
      </c>
    </row>
    <row r="176" customFormat="false" ht="15" hidden="false" customHeight="false" outlineLevel="0" collapsed="false">
      <c r="A176" s="28" t="s">
        <v>5429</v>
      </c>
      <c r="B176" s="28"/>
      <c r="C176" s="28"/>
      <c r="D176" s="28"/>
      <c r="E176" s="31" t="n">
        <f aca="false">SUM(O6:O173)</f>
        <v>149</v>
      </c>
    </row>
    <row r="177" customFormat="false" ht="15" hidden="false" customHeight="false" outlineLevel="0" collapsed="false">
      <c r="A177" s="28" t="s">
        <v>5430</v>
      </c>
      <c r="B177" s="28"/>
      <c r="C177" s="28"/>
      <c r="D177" s="28"/>
      <c r="E177" s="29" t="n">
        <f aca="false">K173</f>
        <v>45756.4657500001</v>
      </c>
    </row>
    <row r="179" customFormat="false" ht="15" hidden="false" customHeight="false" outlineLevel="0" collapsed="false">
      <c r="A179" s="7" t="s">
        <v>5431</v>
      </c>
    </row>
    <row r="180" customFormat="false" ht="23.85" hidden="false" customHeight="false" outlineLevel="0" collapsed="false">
      <c r="A180" s="1" t="s">
        <v>0</v>
      </c>
      <c r="B180" s="1" t="s">
        <v>1</v>
      </c>
      <c r="C180" s="1" t="s">
        <v>5414</v>
      </c>
      <c r="D180" s="1" t="s">
        <v>5415</v>
      </c>
      <c r="E180" s="1" t="s">
        <v>5416</v>
      </c>
      <c r="F180" s="1" t="s">
        <v>5417</v>
      </c>
      <c r="G180" s="1" t="s">
        <v>5418</v>
      </c>
      <c r="H180" s="1" t="s">
        <v>5419</v>
      </c>
      <c r="I180" s="1" t="s">
        <v>5420</v>
      </c>
      <c r="J180" s="1" t="s">
        <v>5421</v>
      </c>
      <c r="K180" s="1" t="s">
        <v>5422</v>
      </c>
      <c r="L180" s="1" t="s">
        <v>5423</v>
      </c>
      <c r="M180" s="1" t="s">
        <v>5424</v>
      </c>
      <c r="N180" s="1" t="s">
        <v>5425</v>
      </c>
      <c r="O180" s="1" t="s">
        <v>5426</v>
      </c>
    </row>
    <row r="181" customFormat="false" ht="15" hidden="false" customHeight="false" outlineLevel="0" collapsed="false">
      <c r="A181" s="6" t="n">
        <v>2012</v>
      </c>
      <c r="B181" s="6" t="n">
        <v>1</v>
      </c>
      <c r="C181" s="4" t="n">
        <v>349</v>
      </c>
      <c r="D181" s="6" t="n">
        <v>31</v>
      </c>
      <c r="E181" s="4" t="n">
        <f aca="false">INDEX(Evaporasi!$B$5:$B$16,MATCH(B181,Evaporasi!$A$5:$A$16,0))</f>
        <v>149.98</v>
      </c>
      <c r="F181" s="17" t="n">
        <f aca="false">Kawasan!$B$11*Kawasan!$B$9*C181/1000</f>
        <v>2903.68</v>
      </c>
      <c r="G181" s="17" t="n">
        <f aca="false">C181*Desain_Kolam!$B$9/1000</f>
        <v>1847.0825</v>
      </c>
      <c r="H181" s="17" t="n">
        <f aca="false">Kawasan!$B$27*D181</f>
        <v>1666.56</v>
      </c>
      <c r="I181" s="17" t="n">
        <f aca="false">E181*Desain_Kolam!$B$9/1000</f>
        <v>793.76915</v>
      </c>
      <c r="J181" s="17" t="n">
        <f aca="false">F181+G181-H181-I181</f>
        <v>2290.43335</v>
      </c>
      <c r="K181" s="17" t="n">
        <f aca="false">J181</f>
        <v>2290.43335</v>
      </c>
      <c r="L181" s="17" t="n">
        <f aca="false">MAX(0,K181)</f>
        <v>2290.43335</v>
      </c>
      <c r="M181" s="17" t="n">
        <f aca="false">L181-K181</f>
        <v>0</v>
      </c>
      <c r="N181" s="17" t="n">
        <f aca="false">MIN(Desain_Kolam!$B$21,MAX(0,F181+G181-H181-I181))</f>
        <v>2290.43335</v>
      </c>
      <c r="O181" s="6" t="n">
        <f aca="false">IF(F181+G181-I181&gt;=H181,1,0)</f>
        <v>1</v>
      </c>
    </row>
    <row r="182" customFormat="false" ht="15" hidden="false" customHeight="false" outlineLevel="0" collapsed="false">
      <c r="A182" s="6" t="n">
        <v>2012</v>
      </c>
      <c r="B182" s="6" t="n">
        <v>2</v>
      </c>
      <c r="C182" s="4" t="n">
        <v>340</v>
      </c>
      <c r="D182" s="6" t="n">
        <v>29</v>
      </c>
      <c r="E182" s="4" t="n">
        <f aca="false">INDEX(Evaporasi!$B$5:$B$16,MATCH(B182,Evaporasi!$A$5:$A$16,0))</f>
        <v>148.64</v>
      </c>
      <c r="F182" s="17" t="n">
        <f aca="false">Kawasan!$B$11*Kawasan!$B$9*C182/1000</f>
        <v>2828.8</v>
      </c>
      <c r="G182" s="17" t="n">
        <f aca="false">C182*Desain_Kolam!$B$9/1000</f>
        <v>1799.45</v>
      </c>
      <c r="H182" s="17" t="n">
        <f aca="false">Kawasan!$B$27*D182</f>
        <v>1559.04</v>
      </c>
      <c r="I182" s="17" t="n">
        <f aca="false">E182*Desain_Kolam!$B$9/1000</f>
        <v>786.6772</v>
      </c>
      <c r="J182" s="17" t="n">
        <f aca="false">F182+G182-H182-I182</f>
        <v>2282.5328</v>
      </c>
      <c r="K182" s="17" t="n">
        <f aca="false">K181+J182</f>
        <v>4572.96615</v>
      </c>
      <c r="L182" s="17" t="n">
        <f aca="false">MAX(L181,K182)</f>
        <v>4572.96615</v>
      </c>
      <c r="M182" s="17" t="n">
        <f aca="false">L182-K182</f>
        <v>0</v>
      </c>
      <c r="N182" s="17" t="n">
        <f aca="false">MIN(Desain_Kolam!$B$21,MAX(0,N181+F182+G182-H182-I182))</f>
        <v>4572.96615</v>
      </c>
      <c r="O182" s="6" t="n">
        <f aca="false">IF(N181+F182+G182-I182&gt;=H182,1,0)</f>
        <v>1</v>
      </c>
    </row>
    <row r="183" customFormat="false" ht="15" hidden="false" customHeight="false" outlineLevel="0" collapsed="false">
      <c r="A183" s="6" t="n">
        <v>2012</v>
      </c>
      <c r="B183" s="6" t="n">
        <v>3</v>
      </c>
      <c r="C183" s="4" t="n">
        <v>244</v>
      </c>
      <c r="D183" s="6" t="n">
        <v>31</v>
      </c>
      <c r="E183" s="4" t="n">
        <f aca="false">INDEX(Evaporasi!$B$5:$B$16,MATCH(B183,Evaporasi!$A$5:$A$16,0))</f>
        <v>166.18</v>
      </c>
      <c r="F183" s="17" t="n">
        <f aca="false">Kawasan!$B$11*Kawasan!$B$9*C183/1000</f>
        <v>2030.08</v>
      </c>
      <c r="G183" s="17" t="n">
        <f aca="false">C183*Desain_Kolam!$B$9/1000</f>
        <v>1291.37</v>
      </c>
      <c r="H183" s="17" t="n">
        <f aca="false">Kawasan!$B$27*D183</f>
        <v>1666.56</v>
      </c>
      <c r="I183" s="17" t="n">
        <f aca="false">E183*Desain_Kolam!$B$9/1000</f>
        <v>879.50765</v>
      </c>
      <c r="J183" s="17" t="n">
        <f aca="false">F183+G183-H183-I183</f>
        <v>775.38235</v>
      </c>
      <c r="K183" s="17" t="n">
        <f aca="false">K182+J183</f>
        <v>5348.3485</v>
      </c>
      <c r="L183" s="17" t="n">
        <f aca="false">MAX(L182,K183)</f>
        <v>5348.3485</v>
      </c>
      <c r="M183" s="17" t="n">
        <f aca="false">L183-K183</f>
        <v>0</v>
      </c>
      <c r="N183" s="17" t="n">
        <f aca="false">MIN(Desain_Kolam!$B$21,MAX(0,N182+F183+G183-H183-I183))</f>
        <v>5348.3485</v>
      </c>
      <c r="O183" s="6" t="n">
        <f aca="false">IF(N182+F183+G183-I183&gt;=H183,1,0)</f>
        <v>1</v>
      </c>
    </row>
    <row r="184" customFormat="false" ht="15" hidden="false" customHeight="false" outlineLevel="0" collapsed="false">
      <c r="A184" s="6" t="n">
        <v>2012</v>
      </c>
      <c r="B184" s="6" t="n">
        <v>4</v>
      </c>
      <c r="C184" s="4" t="n">
        <v>282</v>
      </c>
      <c r="D184" s="6" t="n">
        <v>30</v>
      </c>
      <c r="E184" s="4" t="n">
        <f aca="false">INDEX(Evaporasi!$B$5:$B$16,MATCH(B184,Evaporasi!$A$5:$A$16,0))</f>
        <v>157.75</v>
      </c>
      <c r="F184" s="17" t="n">
        <f aca="false">Kawasan!$B$11*Kawasan!$B$9*C184/1000</f>
        <v>2346.24</v>
      </c>
      <c r="G184" s="17" t="n">
        <f aca="false">C184*Desain_Kolam!$B$9/1000</f>
        <v>1492.485</v>
      </c>
      <c r="H184" s="17" t="n">
        <f aca="false">Kawasan!$B$27*D184</f>
        <v>1612.8</v>
      </c>
      <c r="I184" s="17" t="n">
        <f aca="false">E184*Desain_Kolam!$B$9/1000</f>
        <v>834.891875</v>
      </c>
      <c r="J184" s="17" t="n">
        <f aca="false">F184+G184-H184-I184</f>
        <v>1391.033125</v>
      </c>
      <c r="K184" s="17" t="n">
        <f aca="false">K183+J184</f>
        <v>6739.381625</v>
      </c>
      <c r="L184" s="17" t="n">
        <f aca="false">MAX(L183,K184)</f>
        <v>6739.381625</v>
      </c>
      <c r="M184" s="17" t="n">
        <f aca="false">L184-K184</f>
        <v>0</v>
      </c>
      <c r="N184" s="17" t="n">
        <f aca="false">MIN(Desain_Kolam!$B$21,MAX(0,N183+F184+G184-H184-I184))</f>
        <v>6739.381625</v>
      </c>
      <c r="O184" s="6" t="n">
        <f aca="false">IF(N183+F184+G184-I184&gt;=H184,1,0)</f>
        <v>1</v>
      </c>
    </row>
    <row r="185" customFormat="false" ht="15" hidden="false" customHeight="false" outlineLevel="0" collapsed="false">
      <c r="A185" s="6" t="n">
        <v>2012</v>
      </c>
      <c r="B185" s="6" t="n">
        <v>5</v>
      </c>
      <c r="C185" s="4" t="n">
        <v>319</v>
      </c>
      <c r="D185" s="6" t="n">
        <v>31</v>
      </c>
      <c r="E185" s="4" t="n">
        <f aca="false">INDEX(Evaporasi!$B$5:$B$16,MATCH(B185,Evaporasi!$A$5:$A$16,0))</f>
        <v>158.35</v>
      </c>
      <c r="F185" s="17" t="n">
        <f aca="false">Kawasan!$B$11*Kawasan!$B$9*C185/1000</f>
        <v>2654.08</v>
      </c>
      <c r="G185" s="17" t="n">
        <f aca="false">C185*Desain_Kolam!$B$9/1000</f>
        <v>1688.3075</v>
      </c>
      <c r="H185" s="17" t="n">
        <f aca="false">Kawasan!$B$27*D185</f>
        <v>1666.56</v>
      </c>
      <c r="I185" s="17" t="n">
        <f aca="false">E185*Desain_Kolam!$B$9/1000</f>
        <v>838.067375</v>
      </c>
      <c r="J185" s="17" t="n">
        <f aca="false">F185+G185-H185-I185</f>
        <v>1837.760125</v>
      </c>
      <c r="K185" s="17" t="n">
        <f aca="false">K184+J185</f>
        <v>8577.14175</v>
      </c>
      <c r="L185" s="17" t="n">
        <f aca="false">MAX(L184,K185)</f>
        <v>8577.14175</v>
      </c>
      <c r="M185" s="17" t="n">
        <f aca="false">L185-K185</f>
        <v>0</v>
      </c>
      <c r="N185" s="17" t="n">
        <f aca="false">MIN(Desain_Kolam!$B$21,MAX(0,N184+F185+G185-H185-I185))</f>
        <v>8577.14175</v>
      </c>
      <c r="O185" s="6" t="n">
        <f aca="false">IF(N184+F185+G185-I185&gt;=H185,1,0)</f>
        <v>1</v>
      </c>
    </row>
    <row r="186" customFormat="false" ht="15" hidden="false" customHeight="false" outlineLevel="0" collapsed="false">
      <c r="A186" s="6" t="n">
        <v>2012</v>
      </c>
      <c r="B186" s="6" t="n">
        <v>6</v>
      </c>
      <c r="C186" s="4" t="n">
        <v>107</v>
      </c>
      <c r="D186" s="6" t="n">
        <v>30</v>
      </c>
      <c r="E186" s="4" t="n">
        <f aca="false">INDEX(Evaporasi!$B$5:$B$16,MATCH(B186,Evaporasi!$A$5:$A$16,0))</f>
        <v>150.17</v>
      </c>
      <c r="F186" s="17" t="n">
        <f aca="false">Kawasan!$B$11*Kawasan!$B$9*C186/1000</f>
        <v>890.24</v>
      </c>
      <c r="G186" s="17" t="n">
        <f aca="false">C186*Desain_Kolam!$B$9/1000</f>
        <v>566.2975</v>
      </c>
      <c r="H186" s="17" t="n">
        <f aca="false">Kawasan!$B$27*D186</f>
        <v>1612.8</v>
      </c>
      <c r="I186" s="17" t="n">
        <f aca="false">E186*Desain_Kolam!$B$9/1000</f>
        <v>794.774725</v>
      </c>
      <c r="J186" s="17" t="n">
        <f aca="false">F186+G186-H186-I186</f>
        <v>-951.037225</v>
      </c>
      <c r="K186" s="17" t="n">
        <f aca="false">K185+J186</f>
        <v>7626.104525</v>
      </c>
      <c r="L186" s="17" t="n">
        <f aca="false">MAX(L185,K186)</f>
        <v>8577.14175</v>
      </c>
      <c r="M186" s="17" t="n">
        <f aca="false">L186-K186</f>
        <v>951.037225</v>
      </c>
      <c r="N186" s="17" t="n">
        <f aca="false">MIN(Desain_Kolam!$B$21,MAX(0,N185+F186+G186-H186-I186))</f>
        <v>7626.104525</v>
      </c>
      <c r="O186" s="6" t="n">
        <f aca="false">IF(N185+F186+G186-I186&gt;=H186,1,0)</f>
        <v>1</v>
      </c>
    </row>
    <row r="187" customFormat="false" ht="15" hidden="false" customHeight="false" outlineLevel="0" collapsed="false">
      <c r="A187" s="6" t="n">
        <v>2012</v>
      </c>
      <c r="B187" s="6" t="n">
        <v>7</v>
      </c>
      <c r="C187" s="4" t="n">
        <v>133</v>
      </c>
      <c r="D187" s="6" t="n">
        <v>31</v>
      </c>
      <c r="E187" s="4" t="n">
        <f aca="false">INDEX(Evaporasi!$B$5:$B$16,MATCH(B187,Evaporasi!$A$5:$A$16,0))</f>
        <v>160.84</v>
      </c>
      <c r="F187" s="17" t="n">
        <f aca="false">Kawasan!$B$11*Kawasan!$B$9*C187/1000</f>
        <v>1106.56</v>
      </c>
      <c r="G187" s="17" t="n">
        <f aca="false">C187*Desain_Kolam!$B$9/1000</f>
        <v>703.9025</v>
      </c>
      <c r="H187" s="17" t="n">
        <f aca="false">Kawasan!$B$27*D187</f>
        <v>1666.56</v>
      </c>
      <c r="I187" s="17" t="n">
        <f aca="false">E187*Desain_Kolam!$B$9/1000</f>
        <v>851.2457</v>
      </c>
      <c r="J187" s="17" t="n">
        <f aca="false">F187+G187-H187-I187</f>
        <v>-707.3432</v>
      </c>
      <c r="K187" s="17" t="n">
        <f aca="false">K186+J187</f>
        <v>6918.761325</v>
      </c>
      <c r="L187" s="17" t="n">
        <f aca="false">MAX(L186,K187)</f>
        <v>8577.14175</v>
      </c>
      <c r="M187" s="17" t="n">
        <f aca="false">L187-K187</f>
        <v>1658.380425</v>
      </c>
      <c r="N187" s="17" t="n">
        <f aca="false">MIN(Desain_Kolam!$B$21,MAX(0,N186+F187+G187-H187-I187))</f>
        <v>6918.761325</v>
      </c>
      <c r="O187" s="6" t="n">
        <f aca="false">IF(N186+F187+G187-I187&gt;=H187,1,0)</f>
        <v>1</v>
      </c>
    </row>
    <row r="188" customFormat="false" ht="15" hidden="false" customHeight="false" outlineLevel="0" collapsed="false">
      <c r="A188" s="6" t="n">
        <v>2012</v>
      </c>
      <c r="B188" s="6" t="n">
        <v>8</v>
      </c>
      <c r="C188" s="4" t="n">
        <v>105</v>
      </c>
      <c r="D188" s="6" t="n">
        <v>31</v>
      </c>
      <c r="E188" s="4" t="n">
        <f aca="false">INDEX(Evaporasi!$B$5:$B$16,MATCH(B188,Evaporasi!$A$5:$A$16,0))</f>
        <v>161.16</v>
      </c>
      <c r="F188" s="17" t="n">
        <f aca="false">Kawasan!$B$11*Kawasan!$B$9*C188/1000</f>
        <v>873.6</v>
      </c>
      <c r="G188" s="17" t="n">
        <f aca="false">C188*Desain_Kolam!$B$9/1000</f>
        <v>555.7125</v>
      </c>
      <c r="H188" s="17" t="n">
        <f aca="false">Kawasan!$B$27*D188</f>
        <v>1666.56</v>
      </c>
      <c r="I188" s="17" t="n">
        <f aca="false">E188*Desain_Kolam!$B$9/1000</f>
        <v>852.9393</v>
      </c>
      <c r="J188" s="17" t="n">
        <f aca="false">F188+G188-H188-I188</f>
        <v>-1090.1868</v>
      </c>
      <c r="K188" s="17" t="n">
        <f aca="false">K187+J188</f>
        <v>5828.574525</v>
      </c>
      <c r="L188" s="17" t="n">
        <f aca="false">MAX(L187,K188)</f>
        <v>8577.14175</v>
      </c>
      <c r="M188" s="17" t="n">
        <f aca="false">L188-K188</f>
        <v>2748.567225</v>
      </c>
      <c r="N188" s="17" t="n">
        <f aca="false">MIN(Desain_Kolam!$B$21,MAX(0,N187+F188+G188-H188-I188))</f>
        <v>5828.574525</v>
      </c>
      <c r="O188" s="6" t="n">
        <f aca="false">IF(N187+F188+G188-I188&gt;=H188,1,0)</f>
        <v>1</v>
      </c>
    </row>
    <row r="189" customFormat="false" ht="15" hidden="false" customHeight="false" outlineLevel="0" collapsed="false">
      <c r="A189" s="6" t="n">
        <v>2012</v>
      </c>
      <c r="B189" s="6" t="n">
        <v>9</v>
      </c>
      <c r="C189" s="4" t="n">
        <v>174</v>
      </c>
      <c r="D189" s="6" t="n">
        <v>30</v>
      </c>
      <c r="E189" s="4" t="n">
        <f aca="false">INDEX(Evaporasi!$B$5:$B$16,MATCH(B189,Evaporasi!$A$5:$A$16,0))</f>
        <v>159.21</v>
      </c>
      <c r="F189" s="17" t="n">
        <f aca="false">Kawasan!$B$11*Kawasan!$B$9*C189/1000</f>
        <v>1447.68</v>
      </c>
      <c r="G189" s="17" t="n">
        <f aca="false">C189*Desain_Kolam!$B$9/1000</f>
        <v>920.895</v>
      </c>
      <c r="H189" s="17" t="n">
        <f aca="false">Kawasan!$B$27*D189</f>
        <v>1612.8</v>
      </c>
      <c r="I189" s="17" t="n">
        <f aca="false">E189*Desain_Kolam!$B$9/1000</f>
        <v>842.618925</v>
      </c>
      <c r="J189" s="17" t="n">
        <f aca="false">F189+G189-H189-I189</f>
        <v>-86.8439250000001</v>
      </c>
      <c r="K189" s="17" t="n">
        <f aca="false">K188+J189</f>
        <v>5741.7306</v>
      </c>
      <c r="L189" s="17" t="n">
        <f aca="false">MAX(L188,K189)</f>
        <v>8577.14175</v>
      </c>
      <c r="M189" s="17" t="n">
        <f aca="false">L189-K189</f>
        <v>2835.41115</v>
      </c>
      <c r="N189" s="17" t="n">
        <f aca="false">MIN(Desain_Kolam!$B$21,MAX(0,N188+F189+G189-H189-I189))</f>
        <v>5741.7306</v>
      </c>
      <c r="O189" s="6" t="n">
        <f aca="false">IF(N188+F189+G189-I189&gt;=H189,1,0)</f>
        <v>1</v>
      </c>
    </row>
    <row r="190" customFormat="false" ht="15" hidden="false" customHeight="false" outlineLevel="0" collapsed="false">
      <c r="A190" s="6" t="n">
        <v>2012</v>
      </c>
      <c r="B190" s="6" t="n">
        <v>10</v>
      </c>
      <c r="C190" s="4" t="n">
        <v>436</v>
      </c>
      <c r="D190" s="6" t="n">
        <v>31</v>
      </c>
      <c r="E190" s="4" t="n">
        <f aca="false">INDEX(Evaporasi!$B$5:$B$16,MATCH(B190,Evaporasi!$A$5:$A$16,0))</f>
        <v>151.5</v>
      </c>
      <c r="F190" s="17" t="n">
        <f aca="false">Kawasan!$B$11*Kawasan!$B$9*C190/1000</f>
        <v>3627.52</v>
      </c>
      <c r="G190" s="17" t="n">
        <f aca="false">C190*Desain_Kolam!$B$9/1000</f>
        <v>2307.53</v>
      </c>
      <c r="H190" s="17" t="n">
        <f aca="false">Kawasan!$B$27*D190</f>
        <v>1666.56</v>
      </c>
      <c r="I190" s="17" t="n">
        <f aca="false">E190*Desain_Kolam!$B$9/1000</f>
        <v>801.81375</v>
      </c>
      <c r="J190" s="17" t="n">
        <f aca="false">F190+G190-H190-I190</f>
        <v>3466.67625</v>
      </c>
      <c r="K190" s="17" t="n">
        <f aca="false">K189+J190</f>
        <v>9208.40685</v>
      </c>
      <c r="L190" s="17" t="n">
        <f aca="false">MAX(L189,K190)</f>
        <v>9208.40685</v>
      </c>
      <c r="M190" s="17" t="n">
        <f aca="false">L190-K190</f>
        <v>0</v>
      </c>
      <c r="N190" s="17" t="n">
        <f aca="false">MIN(Desain_Kolam!$B$21,MAX(0,N189+F190+G190-H190-I190))</f>
        <v>9208.40685000001</v>
      </c>
      <c r="O190" s="6" t="n">
        <f aca="false">IF(N189+F190+G190-I190&gt;=H190,1,0)</f>
        <v>1</v>
      </c>
    </row>
    <row r="191" customFormat="false" ht="15" hidden="false" customHeight="false" outlineLevel="0" collapsed="false">
      <c r="A191" s="6" t="n">
        <v>2012</v>
      </c>
      <c r="B191" s="6" t="n">
        <v>11</v>
      </c>
      <c r="C191" s="4" t="n">
        <v>323</v>
      </c>
      <c r="D191" s="6" t="n">
        <v>30</v>
      </c>
      <c r="E191" s="4" t="n">
        <f aca="false">INDEX(Evaporasi!$B$5:$B$16,MATCH(B191,Evaporasi!$A$5:$A$16,0))</f>
        <v>142.3</v>
      </c>
      <c r="F191" s="17" t="n">
        <f aca="false">Kawasan!$B$11*Kawasan!$B$9*C191/1000</f>
        <v>2687.36</v>
      </c>
      <c r="G191" s="17" t="n">
        <f aca="false">C191*Desain_Kolam!$B$9/1000</f>
        <v>1709.4775</v>
      </c>
      <c r="H191" s="17" t="n">
        <f aca="false">Kawasan!$B$27*D191</f>
        <v>1612.8</v>
      </c>
      <c r="I191" s="17" t="n">
        <f aca="false">E191*Desain_Kolam!$B$9/1000</f>
        <v>753.12275</v>
      </c>
      <c r="J191" s="17" t="n">
        <f aca="false">F191+G191-H191-I191</f>
        <v>2030.91475</v>
      </c>
      <c r="K191" s="17" t="n">
        <f aca="false">K190+J191</f>
        <v>11239.3216</v>
      </c>
      <c r="L191" s="17" t="n">
        <f aca="false">MAX(L190,K191)</f>
        <v>11239.3216</v>
      </c>
      <c r="M191" s="17" t="n">
        <f aca="false">L191-K191</f>
        <v>0</v>
      </c>
      <c r="N191" s="17" t="n">
        <f aca="false">MIN(Desain_Kolam!$B$21,MAX(0,N190+F191+G191-H191-I191))</f>
        <v>11239.3216</v>
      </c>
      <c r="O191" s="6" t="n">
        <f aca="false">IF(N190+F191+G191-I191&gt;=H191,1,0)</f>
        <v>1</v>
      </c>
    </row>
    <row r="192" customFormat="false" ht="15" hidden="false" customHeight="false" outlineLevel="0" collapsed="false">
      <c r="A192" s="6" t="n">
        <v>2012</v>
      </c>
      <c r="B192" s="6" t="n">
        <v>12</v>
      </c>
      <c r="C192" s="4" t="n">
        <v>297</v>
      </c>
      <c r="D192" s="6" t="n">
        <v>31</v>
      </c>
      <c r="E192" s="4" t="n">
        <f aca="false">INDEX(Evaporasi!$B$5:$B$16,MATCH(B192,Evaporasi!$A$5:$A$16,0))</f>
        <v>145.07</v>
      </c>
      <c r="F192" s="17" t="n">
        <f aca="false">Kawasan!$B$11*Kawasan!$B$9*C192/1000</f>
        <v>2471.04</v>
      </c>
      <c r="G192" s="17" t="n">
        <f aca="false">C192*Desain_Kolam!$B$9/1000</f>
        <v>1571.8725</v>
      </c>
      <c r="H192" s="17" t="n">
        <f aca="false">Kawasan!$B$27*D192</f>
        <v>1666.56</v>
      </c>
      <c r="I192" s="17" t="n">
        <f aca="false">E192*Desain_Kolam!$B$9/1000</f>
        <v>767.782975</v>
      </c>
      <c r="J192" s="17" t="n">
        <f aca="false">F192+G192-H192-I192</f>
        <v>1608.569525</v>
      </c>
      <c r="K192" s="17" t="n">
        <f aca="false">K191+J192</f>
        <v>12847.891125</v>
      </c>
      <c r="L192" s="17" t="n">
        <f aca="false">MAX(L191,K192)</f>
        <v>12847.891125</v>
      </c>
      <c r="M192" s="17" t="n">
        <f aca="false">L192-K192</f>
        <v>0</v>
      </c>
      <c r="N192" s="17" t="n">
        <f aca="false">MIN(Desain_Kolam!$B$21,MAX(0,N191+F192+G192-H192-I192))</f>
        <v>12847.891125</v>
      </c>
      <c r="O192" s="6" t="n">
        <f aca="false">IF(N191+F192+G192-I192&gt;=H192,1,0)</f>
        <v>1</v>
      </c>
    </row>
    <row r="193" customFormat="false" ht="15" hidden="false" customHeight="false" outlineLevel="0" collapsed="false">
      <c r="A193" s="6" t="n">
        <v>2013</v>
      </c>
      <c r="B193" s="6" t="n">
        <v>1</v>
      </c>
      <c r="C193" s="4" t="n">
        <v>141</v>
      </c>
      <c r="D193" s="6" t="n">
        <v>31</v>
      </c>
      <c r="E193" s="4" t="n">
        <f aca="false">INDEX(Evaporasi!$B$5:$B$16,MATCH(B193,Evaporasi!$A$5:$A$16,0))</f>
        <v>149.98</v>
      </c>
      <c r="F193" s="17" t="n">
        <f aca="false">Kawasan!$B$11*Kawasan!$B$9*C193/1000</f>
        <v>1173.12</v>
      </c>
      <c r="G193" s="17" t="n">
        <f aca="false">C193*Desain_Kolam!$B$9/1000</f>
        <v>746.2425</v>
      </c>
      <c r="H193" s="17" t="n">
        <f aca="false">Kawasan!$B$27*D193</f>
        <v>1666.56</v>
      </c>
      <c r="I193" s="17" t="n">
        <f aca="false">E193*Desain_Kolam!$B$9/1000</f>
        <v>793.76915</v>
      </c>
      <c r="J193" s="17" t="n">
        <f aca="false">F193+G193-H193-I193</f>
        <v>-540.96665</v>
      </c>
      <c r="K193" s="17" t="n">
        <f aca="false">K192+J193</f>
        <v>12306.924475</v>
      </c>
      <c r="L193" s="17" t="n">
        <f aca="false">MAX(L192,K193)</f>
        <v>12847.891125</v>
      </c>
      <c r="M193" s="17" t="n">
        <f aca="false">L193-K193</f>
        <v>540.96665</v>
      </c>
      <c r="N193" s="17" t="n">
        <f aca="false">MIN(Desain_Kolam!$B$21,MAX(0,N192+F193+G193-H193-I193))</f>
        <v>12306.924475</v>
      </c>
      <c r="O193" s="6" t="n">
        <f aca="false">IF(N192+F193+G193-I193&gt;=H193,1,0)</f>
        <v>1</v>
      </c>
    </row>
    <row r="194" customFormat="false" ht="15" hidden="false" customHeight="false" outlineLevel="0" collapsed="false">
      <c r="A194" s="6" t="n">
        <v>2013</v>
      </c>
      <c r="B194" s="6" t="n">
        <v>2</v>
      </c>
      <c r="C194" s="4" t="n">
        <v>291</v>
      </c>
      <c r="D194" s="6" t="n">
        <v>28</v>
      </c>
      <c r="E194" s="4" t="n">
        <f aca="false">INDEX(Evaporasi!$B$5:$B$16,MATCH(B194,Evaporasi!$A$5:$A$16,0))</f>
        <v>148.64</v>
      </c>
      <c r="F194" s="17" t="n">
        <f aca="false">Kawasan!$B$11*Kawasan!$B$9*C194/1000</f>
        <v>2421.12</v>
      </c>
      <c r="G194" s="17" t="n">
        <f aca="false">C194*Desain_Kolam!$B$9/1000</f>
        <v>1540.1175</v>
      </c>
      <c r="H194" s="17" t="n">
        <f aca="false">Kawasan!$B$27*D194</f>
        <v>1505.28</v>
      </c>
      <c r="I194" s="17" t="n">
        <f aca="false">E194*Desain_Kolam!$B$9/1000</f>
        <v>786.6772</v>
      </c>
      <c r="J194" s="17" t="n">
        <f aca="false">F194+G194-H194-I194</f>
        <v>1669.2803</v>
      </c>
      <c r="K194" s="17" t="n">
        <f aca="false">K193+J194</f>
        <v>13976.204775</v>
      </c>
      <c r="L194" s="17" t="n">
        <f aca="false">MAX(L193,K194)</f>
        <v>13976.204775</v>
      </c>
      <c r="M194" s="17" t="n">
        <f aca="false">L194-K194</f>
        <v>0</v>
      </c>
      <c r="N194" s="17" t="n">
        <f aca="false">MIN(Desain_Kolam!$B$21,MAX(0,N193+F194+G194-H194-I194))</f>
        <v>13976.204775</v>
      </c>
      <c r="O194" s="6" t="n">
        <f aca="false">IF(N193+F194+G194-I194&gt;=H194,1,0)</f>
        <v>1</v>
      </c>
    </row>
    <row r="195" customFormat="false" ht="15" hidden="false" customHeight="false" outlineLevel="0" collapsed="false">
      <c r="A195" s="6" t="n">
        <v>2013</v>
      </c>
      <c r="B195" s="6" t="n">
        <v>3</v>
      </c>
      <c r="C195" s="4" t="n">
        <v>152</v>
      </c>
      <c r="D195" s="6" t="n">
        <v>31</v>
      </c>
      <c r="E195" s="4" t="n">
        <f aca="false">INDEX(Evaporasi!$B$5:$B$16,MATCH(B195,Evaporasi!$A$5:$A$16,0))</f>
        <v>166.18</v>
      </c>
      <c r="F195" s="17" t="n">
        <f aca="false">Kawasan!$B$11*Kawasan!$B$9*C195/1000</f>
        <v>1264.64</v>
      </c>
      <c r="G195" s="17" t="n">
        <f aca="false">C195*Desain_Kolam!$B$9/1000</f>
        <v>804.46</v>
      </c>
      <c r="H195" s="17" t="n">
        <f aca="false">Kawasan!$B$27*D195</f>
        <v>1666.56</v>
      </c>
      <c r="I195" s="17" t="n">
        <f aca="false">E195*Desain_Kolam!$B$9/1000</f>
        <v>879.50765</v>
      </c>
      <c r="J195" s="17" t="n">
        <f aca="false">F195+G195-H195-I195</f>
        <v>-476.96765</v>
      </c>
      <c r="K195" s="17" t="n">
        <f aca="false">K194+J195</f>
        <v>13499.237125</v>
      </c>
      <c r="L195" s="17" t="n">
        <f aca="false">MAX(L194,K195)</f>
        <v>13976.204775</v>
      </c>
      <c r="M195" s="17" t="n">
        <f aca="false">L195-K195</f>
        <v>476.967649999999</v>
      </c>
      <c r="N195" s="17" t="n">
        <f aca="false">MIN(Desain_Kolam!$B$21,MAX(0,N194+F195+G195-H195-I195))</f>
        <v>13499.237125</v>
      </c>
      <c r="O195" s="6" t="n">
        <f aca="false">IF(N194+F195+G195-I195&gt;=H195,1,0)</f>
        <v>1</v>
      </c>
    </row>
    <row r="196" customFormat="false" ht="15" hidden="false" customHeight="false" outlineLevel="0" collapsed="false">
      <c r="A196" s="6" t="n">
        <v>2013</v>
      </c>
      <c r="B196" s="6" t="n">
        <v>4</v>
      </c>
      <c r="C196" s="4" t="n">
        <v>435</v>
      </c>
      <c r="D196" s="6" t="n">
        <v>30</v>
      </c>
      <c r="E196" s="4" t="n">
        <f aca="false">INDEX(Evaporasi!$B$5:$B$16,MATCH(B196,Evaporasi!$A$5:$A$16,0))</f>
        <v>157.75</v>
      </c>
      <c r="F196" s="17" t="n">
        <f aca="false">Kawasan!$B$11*Kawasan!$B$9*C196/1000</f>
        <v>3619.2</v>
      </c>
      <c r="G196" s="17" t="n">
        <f aca="false">C196*Desain_Kolam!$B$9/1000</f>
        <v>2302.2375</v>
      </c>
      <c r="H196" s="17" t="n">
        <f aca="false">Kawasan!$B$27*D196</f>
        <v>1612.8</v>
      </c>
      <c r="I196" s="17" t="n">
        <f aca="false">E196*Desain_Kolam!$B$9/1000</f>
        <v>834.891875</v>
      </c>
      <c r="J196" s="17" t="n">
        <f aca="false">F196+G196-H196-I196</f>
        <v>3473.745625</v>
      </c>
      <c r="K196" s="17" t="n">
        <f aca="false">K195+J196</f>
        <v>16972.98275</v>
      </c>
      <c r="L196" s="17" t="n">
        <f aca="false">MAX(L195,K196)</f>
        <v>16972.98275</v>
      </c>
      <c r="M196" s="17" t="n">
        <f aca="false">L196-K196</f>
        <v>0</v>
      </c>
      <c r="N196" s="17" t="n">
        <f aca="false">MIN(Desain_Kolam!$B$21,MAX(0,N195+F196+G196-H196-I196))</f>
        <v>15823.566675</v>
      </c>
      <c r="O196" s="6" t="n">
        <f aca="false">IF(N195+F196+G196-I196&gt;=H196,1,0)</f>
        <v>1</v>
      </c>
    </row>
    <row r="197" customFormat="false" ht="15" hidden="false" customHeight="false" outlineLevel="0" collapsed="false">
      <c r="A197" s="6" t="n">
        <v>2013</v>
      </c>
      <c r="B197" s="6" t="n">
        <v>5</v>
      </c>
      <c r="C197" s="4" t="n">
        <v>358</v>
      </c>
      <c r="D197" s="6" t="n">
        <v>31</v>
      </c>
      <c r="E197" s="4" t="n">
        <f aca="false">INDEX(Evaporasi!$B$5:$B$16,MATCH(B197,Evaporasi!$A$5:$A$16,0))</f>
        <v>158.35</v>
      </c>
      <c r="F197" s="17" t="n">
        <f aca="false">Kawasan!$B$11*Kawasan!$B$9*C197/1000</f>
        <v>2978.56</v>
      </c>
      <c r="G197" s="17" t="n">
        <f aca="false">C197*Desain_Kolam!$B$9/1000</f>
        <v>1894.715</v>
      </c>
      <c r="H197" s="17" t="n">
        <f aca="false">Kawasan!$B$27*D197</f>
        <v>1666.56</v>
      </c>
      <c r="I197" s="17" t="n">
        <f aca="false">E197*Desain_Kolam!$B$9/1000</f>
        <v>838.067375</v>
      </c>
      <c r="J197" s="17" t="n">
        <f aca="false">F197+G197-H197-I197</f>
        <v>2368.647625</v>
      </c>
      <c r="K197" s="17" t="n">
        <f aca="false">K196+J197</f>
        <v>19341.630375</v>
      </c>
      <c r="L197" s="17" t="n">
        <f aca="false">MAX(L196,K197)</f>
        <v>19341.630375</v>
      </c>
      <c r="M197" s="17" t="n">
        <f aca="false">L197-K197</f>
        <v>0</v>
      </c>
      <c r="N197" s="17" t="n">
        <f aca="false">MIN(Desain_Kolam!$B$21,MAX(0,N196+F197+G197-H197-I197))</f>
        <v>15823.566675</v>
      </c>
      <c r="O197" s="6" t="n">
        <f aca="false">IF(N196+F197+G197-I197&gt;=H197,1,0)</f>
        <v>1</v>
      </c>
    </row>
    <row r="198" customFormat="false" ht="15" hidden="false" customHeight="false" outlineLevel="0" collapsed="false">
      <c r="A198" s="6" t="n">
        <v>2013</v>
      </c>
      <c r="B198" s="6" t="n">
        <v>6</v>
      </c>
      <c r="C198" s="4" t="n">
        <v>212</v>
      </c>
      <c r="D198" s="6" t="n">
        <v>30</v>
      </c>
      <c r="E198" s="4" t="n">
        <f aca="false">INDEX(Evaporasi!$B$5:$B$16,MATCH(B198,Evaporasi!$A$5:$A$16,0))</f>
        <v>150.17</v>
      </c>
      <c r="F198" s="17" t="n">
        <f aca="false">Kawasan!$B$11*Kawasan!$B$9*C198/1000</f>
        <v>1763.84</v>
      </c>
      <c r="G198" s="17" t="n">
        <f aca="false">C198*Desain_Kolam!$B$9/1000</f>
        <v>1122.01</v>
      </c>
      <c r="H198" s="17" t="n">
        <f aca="false">Kawasan!$B$27*D198</f>
        <v>1612.8</v>
      </c>
      <c r="I198" s="17" t="n">
        <f aca="false">E198*Desain_Kolam!$B$9/1000</f>
        <v>794.774725</v>
      </c>
      <c r="J198" s="17" t="n">
        <f aca="false">F198+G198-H198-I198</f>
        <v>478.275275</v>
      </c>
      <c r="K198" s="17" t="n">
        <f aca="false">K197+J198</f>
        <v>19819.90565</v>
      </c>
      <c r="L198" s="17" t="n">
        <f aca="false">MAX(L197,K198)</f>
        <v>19819.90565</v>
      </c>
      <c r="M198" s="17" t="n">
        <f aca="false">L198-K198</f>
        <v>0</v>
      </c>
      <c r="N198" s="17" t="n">
        <f aca="false">MIN(Desain_Kolam!$B$21,MAX(0,N197+F198+G198-H198-I198))</f>
        <v>15823.566675</v>
      </c>
      <c r="O198" s="6" t="n">
        <f aca="false">IF(N197+F198+G198-I198&gt;=H198,1,0)</f>
        <v>1</v>
      </c>
    </row>
    <row r="199" customFormat="false" ht="15" hidden="false" customHeight="false" outlineLevel="0" collapsed="false">
      <c r="A199" s="6" t="n">
        <v>2013</v>
      </c>
      <c r="B199" s="6" t="n">
        <v>7</v>
      </c>
      <c r="C199" s="4" t="n">
        <v>320</v>
      </c>
      <c r="D199" s="6" t="n">
        <v>31</v>
      </c>
      <c r="E199" s="4" t="n">
        <f aca="false">INDEX(Evaporasi!$B$5:$B$16,MATCH(B199,Evaporasi!$A$5:$A$16,0))</f>
        <v>160.84</v>
      </c>
      <c r="F199" s="17" t="n">
        <f aca="false">Kawasan!$B$11*Kawasan!$B$9*C199/1000</f>
        <v>2662.4</v>
      </c>
      <c r="G199" s="17" t="n">
        <f aca="false">C199*Desain_Kolam!$B$9/1000</f>
        <v>1693.6</v>
      </c>
      <c r="H199" s="17" t="n">
        <f aca="false">Kawasan!$B$27*D199</f>
        <v>1666.56</v>
      </c>
      <c r="I199" s="17" t="n">
        <f aca="false">E199*Desain_Kolam!$B$9/1000</f>
        <v>851.2457</v>
      </c>
      <c r="J199" s="17" t="n">
        <f aca="false">F199+G199-H199-I199</f>
        <v>1838.1943</v>
      </c>
      <c r="K199" s="17" t="n">
        <f aca="false">K198+J199</f>
        <v>21658.09995</v>
      </c>
      <c r="L199" s="17" t="n">
        <f aca="false">MAX(L198,K199)</f>
        <v>21658.09995</v>
      </c>
      <c r="M199" s="17" t="n">
        <f aca="false">L199-K199</f>
        <v>0</v>
      </c>
      <c r="N199" s="17" t="n">
        <f aca="false">MIN(Desain_Kolam!$B$21,MAX(0,N198+F199+G199-H199-I199))</f>
        <v>15823.566675</v>
      </c>
      <c r="O199" s="6" t="n">
        <f aca="false">IF(N198+F199+G199-I199&gt;=H199,1,0)</f>
        <v>1</v>
      </c>
    </row>
    <row r="200" customFormat="false" ht="15" hidden="false" customHeight="false" outlineLevel="0" collapsed="false">
      <c r="A200" s="6" t="n">
        <v>2013</v>
      </c>
      <c r="B200" s="6" t="n">
        <v>8</v>
      </c>
      <c r="C200" s="4" t="n">
        <v>167</v>
      </c>
      <c r="D200" s="6" t="n">
        <v>31</v>
      </c>
      <c r="E200" s="4" t="n">
        <f aca="false">INDEX(Evaporasi!$B$5:$B$16,MATCH(B200,Evaporasi!$A$5:$A$16,0))</f>
        <v>161.16</v>
      </c>
      <c r="F200" s="17" t="n">
        <f aca="false">Kawasan!$B$11*Kawasan!$B$9*C200/1000</f>
        <v>1389.44</v>
      </c>
      <c r="G200" s="17" t="n">
        <f aca="false">C200*Desain_Kolam!$B$9/1000</f>
        <v>883.8475</v>
      </c>
      <c r="H200" s="17" t="n">
        <f aca="false">Kawasan!$B$27*D200</f>
        <v>1666.56</v>
      </c>
      <c r="I200" s="17" t="n">
        <f aca="false">E200*Desain_Kolam!$B$9/1000</f>
        <v>852.9393</v>
      </c>
      <c r="J200" s="17" t="n">
        <f aca="false">F200+G200-H200-I200</f>
        <v>-246.2118</v>
      </c>
      <c r="K200" s="17" t="n">
        <f aca="false">K199+J200</f>
        <v>21411.88815</v>
      </c>
      <c r="L200" s="17" t="n">
        <f aca="false">MAX(L199,K200)</f>
        <v>21658.09995</v>
      </c>
      <c r="M200" s="17" t="n">
        <f aca="false">L200-K200</f>
        <v>246.211800000001</v>
      </c>
      <c r="N200" s="17" t="n">
        <f aca="false">MIN(Desain_Kolam!$B$21,MAX(0,N199+F200+G200-H200-I200))</f>
        <v>15577.354875</v>
      </c>
      <c r="O200" s="6" t="n">
        <f aca="false">IF(N199+F200+G200-I200&gt;=H200,1,0)</f>
        <v>1</v>
      </c>
    </row>
    <row r="201" customFormat="false" ht="15" hidden="false" customHeight="false" outlineLevel="0" collapsed="false">
      <c r="A201" s="6" t="n">
        <v>2013</v>
      </c>
      <c r="B201" s="6" t="n">
        <v>9</v>
      </c>
      <c r="C201" s="4" t="n">
        <v>129</v>
      </c>
      <c r="D201" s="6" t="n">
        <v>30</v>
      </c>
      <c r="E201" s="4" t="n">
        <f aca="false">INDEX(Evaporasi!$B$5:$B$16,MATCH(B201,Evaporasi!$A$5:$A$16,0))</f>
        <v>159.21</v>
      </c>
      <c r="F201" s="17" t="n">
        <f aca="false">Kawasan!$B$11*Kawasan!$B$9*C201/1000</f>
        <v>1073.28</v>
      </c>
      <c r="G201" s="17" t="n">
        <f aca="false">C201*Desain_Kolam!$B$9/1000</f>
        <v>682.7325</v>
      </c>
      <c r="H201" s="17" t="n">
        <f aca="false">Kawasan!$B$27*D201</f>
        <v>1612.8</v>
      </c>
      <c r="I201" s="17" t="n">
        <f aca="false">E201*Desain_Kolam!$B$9/1000</f>
        <v>842.618925</v>
      </c>
      <c r="J201" s="17" t="n">
        <f aca="false">F201+G201-H201-I201</f>
        <v>-699.406425</v>
      </c>
      <c r="K201" s="17" t="n">
        <f aca="false">K200+J201</f>
        <v>20712.481725</v>
      </c>
      <c r="L201" s="17" t="n">
        <f aca="false">MAX(L200,K201)</f>
        <v>21658.09995</v>
      </c>
      <c r="M201" s="17" t="n">
        <f aca="false">L201-K201</f>
        <v>945.618225000002</v>
      </c>
      <c r="N201" s="17" t="n">
        <f aca="false">MIN(Desain_Kolam!$B$21,MAX(0,N200+F201+G201-H201-I201))</f>
        <v>14877.94845</v>
      </c>
      <c r="O201" s="6" t="n">
        <f aca="false">IF(N200+F201+G201-I201&gt;=H201,1,0)</f>
        <v>1</v>
      </c>
    </row>
    <row r="202" customFormat="false" ht="15" hidden="false" customHeight="false" outlineLevel="0" collapsed="false">
      <c r="A202" s="6" t="n">
        <v>2013</v>
      </c>
      <c r="B202" s="6" t="n">
        <v>10</v>
      </c>
      <c r="C202" s="4" t="n">
        <v>151</v>
      </c>
      <c r="D202" s="6" t="n">
        <v>31</v>
      </c>
      <c r="E202" s="4" t="n">
        <f aca="false">INDEX(Evaporasi!$B$5:$B$16,MATCH(B202,Evaporasi!$A$5:$A$16,0))</f>
        <v>151.5</v>
      </c>
      <c r="F202" s="17" t="n">
        <f aca="false">Kawasan!$B$11*Kawasan!$B$9*C202/1000</f>
        <v>1256.32</v>
      </c>
      <c r="G202" s="17" t="n">
        <f aca="false">C202*Desain_Kolam!$B$9/1000</f>
        <v>799.1675</v>
      </c>
      <c r="H202" s="17" t="n">
        <f aca="false">Kawasan!$B$27*D202</f>
        <v>1666.56</v>
      </c>
      <c r="I202" s="17" t="n">
        <f aca="false">E202*Desain_Kolam!$B$9/1000</f>
        <v>801.81375</v>
      </c>
      <c r="J202" s="17" t="n">
        <f aca="false">F202+G202-H202-I202</f>
        <v>-412.88625</v>
      </c>
      <c r="K202" s="17" t="n">
        <f aca="false">K201+J202</f>
        <v>20299.595475</v>
      </c>
      <c r="L202" s="17" t="n">
        <f aca="false">MAX(L201,K202)</f>
        <v>21658.09995</v>
      </c>
      <c r="M202" s="17" t="n">
        <f aca="false">L202-K202</f>
        <v>1358.504475</v>
      </c>
      <c r="N202" s="17" t="n">
        <f aca="false">MIN(Desain_Kolam!$B$21,MAX(0,N201+F202+G202-H202-I202))</f>
        <v>14465.0622</v>
      </c>
      <c r="O202" s="6" t="n">
        <f aca="false">IF(N201+F202+G202-I202&gt;=H202,1,0)</f>
        <v>1</v>
      </c>
    </row>
    <row r="203" customFormat="false" ht="15" hidden="false" customHeight="false" outlineLevel="0" collapsed="false">
      <c r="A203" s="6" t="n">
        <v>2013</v>
      </c>
      <c r="B203" s="6" t="n">
        <v>11</v>
      </c>
      <c r="C203" s="4" t="n">
        <v>280</v>
      </c>
      <c r="D203" s="6" t="n">
        <v>30</v>
      </c>
      <c r="E203" s="4" t="n">
        <f aca="false">INDEX(Evaporasi!$B$5:$B$16,MATCH(B203,Evaporasi!$A$5:$A$16,0))</f>
        <v>142.3</v>
      </c>
      <c r="F203" s="17" t="n">
        <f aca="false">Kawasan!$B$11*Kawasan!$B$9*C203/1000</f>
        <v>2329.6</v>
      </c>
      <c r="G203" s="17" t="n">
        <f aca="false">C203*Desain_Kolam!$B$9/1000</f>
        <v>1481.9</v>
      </c>
      <c r="H203" s="17" t="n">
        <f aca="false">Kawasan!$B$27*D203</f>
        <v>1612.8</v>
      </c>
      <c r="I203" s="17" t="n">
        <f aca="false">E203*Desain_Kolam!$B$9/1000</f>
        <v>753.12275</v>
      </c>
      <c r="J203" s="17" t="n">
        <f aca="false">F203+G203-H203-I203</f>
        <v>1445.57725</v>
      </c>
      <c r="K203" s="17" t="n">
        <f aca="false">K202+J203</f>
        <v>21745.172725</v>
      </c>
      <c r="L203" s="17" t="n">
        <f aca="false">MAX(L202,K203)</f>
        <v>21745.172725</v>
      </c>
      <c r="M203" s="17" t="n">
        <f aca="false">L203-K203</f>
        <v>0</v>
      </c>
      <c r="N203" s="17" t="n">
        <f aca="false">MIN(Desain_Kolam!$B$21,MAX(0,N202+F203+G203-H203-I203))</f>
        <v>15823.566675</v>
      </c>
      <c r="O203" s="6" t="n">
        <f aca="false">IF(N202+F203+G203-I203&gt;=H203,1,0)</f>
        <v>1</v>
      </c>
    </row>
    <row r="204" customFormat="false" ht="15" hidden="false" customHeight="false" outlineLevel="0" collapsed="false">
      <c r="A204" s="6" t="n">
        <v>2013</v>
      </c>
      <c r="B204" s="6" t="n">
        <v>12</v>
      </c>
      <c r="C204" s="4" t="n">
        <v>280</v>
      </c>
      <c r="D204" s="6" t="n">
        <v>31</v>
      </c>
      <c r="E204" s="4" t="n">
        <f aca="false">INDEX(Evaporasi!$B$5:$B$16,MATCH(B204,Evaporasi!$A$5:$A$16,0))</f>
        <v>145.07</v>
      </c>
      <c r="F204" s="17" t="n">
        <f aca="false">Kawasan!$B$11*Kawasan!$B$9*C204/1000</f>
        <v>2329.6</v>
      </c>
      <c r="G204" s="17" t="n">
        <f aca="false">C204*Desain_Kolam!$B$9/1000</f>
        <v>1481.9</v>
      </c>
      <c r="H204" s="17" t="n">
        <f aca="false">Kawasan!$B$27*D204</f>
        <v>1666.56</v>
      </c>
      <c r="I204" s="17" t="n">
        <f aca="false">E204*Desain_Kolam!$B$9/1000</f>
        <v>767.782975</v>
      </c>
      <c r="J204" s="17" t="n">
        <f aca="false">F204+G204-H204-I204</f>
        <v>1377.157025</v>
      </c>
      <c r="K204" s="17" t="n">
        <f aca="false">K203+J204</f>
        <v>23122.32975</v>
      </c>
      <c r="L204" s="17" t="n">
        <f aca="false">MAX(L203,K204)</f>
        <v>23122.32975</v>
      </c>
      <c r="M204" s="17" t="n">
        <f aca="false">L204-K204</f>
        <v>0</v>
      </c>
      <c r="N204" s="17" t="n">
        <f aca="false">MIN(Desain_Kolam!$B$21,MAX(0,N203+F204+G204-H204-I204))</f>
        <v>15823.566675</v>
      </c>
      <c r="O204" s="6" t="n">
        <f aca="false">IF(N203+F204+G204-I204&gt;=H204,1,0)</f>
        <v>1</v>
      </c>
    </row>
    <row r="205" customFormat="false" ht="15" hidden="false" customHeight="false" outlineLevel="0" collapsed="false">
      <c r="A205" s="6" t="n">
        <v>2014</v>
      </c>
      <c r="B205" s="6" t="n">
        <v>1</v>
      </c>
      <c r="C205" s="4" t="n">
        <v>66</v>
      </c>
      <c r="D205" s="6" t="n">
        <v>31</v>
      </c>
      <c r="E205" s="4" t="n">
        <f aca="false">INDEX(Evaporasi!$B$5:$B$16,MATCH(B205,Evaporasi!$A$5:$A$16,0))</f>
        <v>149.98</v>
      </c>
      <c r="F205" s="17" t="n">
        <f aca="false">Kawasan!$B$11*Kawasan!$B$9*C205/1000</f>
        <v>549.12</v>
      </c>
      <c r="G205" s="17" t="n">
        <f aca="false">C205*Desain_Kolam!$B$9/1000</f>
        <v>349.305</v>
      </c>
      <c r="H205" s="17" t="n">
        <f aca="false">Kawasan!$B$27*D205</f>
        <v>1666.56</v>
      </c>
      <c r="I205" s="17" t="n">
        <f aca="false">E205*Desain_Kolam!$B$9/1000</f>
        <v>793.76915</v>
      </c>
      <c r="J205" s="17" t="n">
        <f aca="false">F205+G205-H205-I205</f>
        <v>-1561.90415</v>
      </c>
      <c r="K205" s="17" t="n">
        <f aca="false">K204+J205</f>
        <v>21560.4256</v>
      </c>
      <c r="L205" s="17" t="n">
        <f aca="false">MAX(L204,K205)</f>
        <v>23122.32975</v>
      </c>
      <c r="M205" s="17" t="n">
        <f aca="false">L205-K205</f>
        <v>1561.90415</v>
      </c>
      <c r="N205" s="17" t="n">
        <f aca="false">MIN(Desain_Kolam!$B$21,MAX(0,N204+F205+G205-H205-I205))</f>
        <v>14261.662525</v>
      </c>
      <c r="O205" s="6" t="n">
        <f aca="false">IF(N204+F205+G205-I205&gt;=H205,1,0)</f>
        <v>1</v>
      </c>
    </row>
    <row r="206" customFormat="false" ht="15" hidden="false" customHeight="false" outlineLevel="0" collapsed="false">
      <c r="A206" s="6" t="n">
        <v>2014</v>
      </c>
      <c r="B206" s="6" t="n">
        <v>2</v>
      </c>
      <c r="C206" s="4" t="n">
        <v>24</v>
      </c>
      <c r="D206" s="6" t="n">
        <v>28</v>
      </c>
      <c r="E206" s="4" t="n">
        <f aca="false">INDEX(Evaporasi!$B$5:$B$16,MATCH(B206,Evaporasi!$A$5:$A$16,0))</f>
        <v>148.64</v>
      </c>
      <c r="F206" s="17" t="n">
        <f aca="false">Kawasan!$B$11*Kawasan!$B$9*C206/1000</f>
        <v>199.68</v>
      </c>
      <c r="G206" s="17" t="n">
        <f aca="false">C206*Desain_Kolam!$B$9/1000</f>
        <v>127.02</v>
      </c>
      <c r="H206" s="17" t="n">
        <f aca="false">Kawasan!$B$27*D206</f>
        <v>1505.28</v>
      </c>
      <c r="I206" s="17" t="n">
        <f aca="false">E206*Desain_Kolam!$B$9/1000</f>
        <v>786.6772</v>
      </c>
      <c r="J206" s="17" t="n">
        <f aca="false">F206+G206-H206-I206</f>
        <v>-1965.2572</v>
      </c>
      <c r="K206" s="17" t="n">
        <f aca="false">K205+J206</f>
        <v>19595.1684</v>
      </c>
      <c r="L206" s="17" t="n">
        <f aca="false">MAX(L205,K206)</f>
        <v>23122.32975</v>
      </c>
      <c r="M206" s="17" t="n">
        <f aca="false">L206-K206</f>
        <v>3527.16135</v>
      </c>
      <c r="N206" s="17" t="n">
        <f aca="false">MIN(Desain_Kolam!$B$21,MAX(0,N205+F206+G206-H206-I206))</f>
        <v>12296.405325</v>
      </c>
      <c r="O206" s="6" t="n">
        <f aca="false">IF(N205+F206+G206-I206&gt;=H206,1,0)</f>
        <v>1</v>
      </c>
    </row>
    <row r="207" customFormat="false" ht="15" hidden="false" customHeight="false" outlineLevel="0" collapsed="false">
      <c r="A207" s="6" t="n">
        <v>2014</v>
      </c>
      <c r="B207" s="6" t="n">
        <v>3</v>
      </c>
      <c r="C207" s="4" t="n">
        <v>141</v>
      </c>
      <c r="D207" s="6" t="n">
        <v>31</v>
      </c>
      <c r="E207" s="4" t="n">
        <f aca="false">INDEX(Evaporasi!$B$5:$B$16,MATCH(B207,Evaporasi!$A$5:$A$16,0))</f>
        <v>166.18</v>
      </c>
      <c r="F207" s="17" t="n">
        <f aca="false">Kawasan!$B$11*Kawasan!$B$9*C207/1000</f>
        <v>1173.12</v>
      </c>
      <c r="G207" s="17" t="n">
        <f aca="false">C207*Desain_Kolam!$B$9/1000</f>
        <v>746.2425</v>
      </c>
      <c r="H207" s="17" t="n">
        <f aca="false">Kawasan!$B$27*D207</f>
        <v>1666.56</v>
      </c>
      <c r="I207" s="17" t="n">
        <f aca="false">E207*Desain_Kolam!$B$9/1000</f>
        <v>879.50765</v>
      </c>
      <c r="J207" s="17" t="n">
        <f aca="false">F207+G207-H207-I207</f>
        <v>-626.70515</v>
      </c>
      <c r="K207" s="17" t="n">
        <f aca="false">K206+J207</f>
        <v>18968.46325</v>
      </c>
      <c r="L207" s="17" t="n">
        <f aca="false">MAX(L206,K207)</f>
        <v>23122.32975</v>
      </c>
      <c r="M207" s="17" t="n">
        <f aca="false">L207-K207</f>
        <v>4153.8665</v>
      </c>
      <c r="N207" s="17" t="n">
        <f aca="false">MIN(Desain_Kolam!$B$21,MAX(0,N206+F207+G207-H207-I207))</f>
        <v>11669.700175</v>
      </c>
      <c r="O207" s="6" t="n">
        <f aca="false">IF(N206+F207+G207-I207&gt;=H207,1,0)</f>
        <v>1</v>
      </c>
    </row>
    <row r="208" customFormat="false" ht="15" hidden="false" customHeight="false" outlineLevel="0" collapsed="false">
      <c r="A208" s="6" t="n">
        <v>2014</v>
      </c>
      <c r="B208" s="6" t="n">
        <v>4</v>
      </c>
      <c r="C208" s="4" t="n">
        <v>129</v>
      </c>
      <c r="D208" s="6" t="n">
        <v>30</v>
      </c>
      <c r="E208" s="4" t="n">
        <f aca="false">INDEX(Evaporasi!$B$5:$B$16,MATCH(B208,Evaporasi!$A$5:$A$16,0))</f>
        <v>157.75</v>
      </c>
      <c r="F208" s="17" t="n">
        <f aca="false">Kawasan!$B$11*Kawasan!$B$9*C208/1000</f>
        <v>1073.28</v>
      </c>
      <c r="G208" s="17" t="n">
        <f aca="false">C208*Desain_Kolam!$B$9/1000</f>
        <v>682.7325</v>
      </c>
      <c r="H208" s="17" t="n">
        <f aca="false">Kawasan!$B$27*D208</f>
        <v>1612.8</v>
      </c>
      <c r="I208" s="17" t="n">
        <f aca="false">E208*Desain_Kolam!$B$9/1000</f>
        <v>834.891875</v>
      </c>
      <c r="J208" s="17" t="n">
        <f aca="false">F208+G208-H208-I208</f>
        <v>-691.679375</v>
      </c>
      <c r="K208" s="17" t="n">
        <f aca="false">K207+J208</f>
        <v>18276.783875</v>
      </c>
      <c r="L208" s="17" t="n">
        <f aca="false">MAX(L207,K208)</f>
        <v>23122.32975</v>
      </c>
      <c r="M208" s="17" t="n">
        <f aca="false">L208-K208</f>
        <v>4845.545875</v>
      </c>
      <c r="N208" s="17" t="n">
        <f aca="false">MIN(Desain_Kolam!$B$21,MAX(0,N207+F208+G208-H208-I208))</f>
        <v>10978.0208</v>
      </c>
      <c r="O208" s="6" t="n">
        <f aca="false">IF(N207+F208+G208-I208&gt;=H208,1,0)</f>
        <v>1</v>
      </c>
    </row>
    <row r="209" customFormat="false" ht="15" hidden="false" customHeight="false" outlineLevel="0" collapsed="false">
      <c r="A209" s="6" t="n">
        <v>2014</v>
      </c>
      <c r="B209" s="6" t="n">
        <v>5</v>
      </c>
      <c r="C209" s="4" t="n">
        <v>279</v>
      </c>
      <c r="D209" s="6" t="n">
        <v>31</v>
      </c>
      <c r="E209" s="4" t="n">
        <f aca="false">INDEX(Evaporasi!$B$5:$B$16,MATCH(B209,Evaporasi!$A$5:$A$16,0))</f>
        <v>158.35</v>
      </c>
      <c r="F209" s="17" t="n">
        <f aca="false">Kawasan!$B$11*Kawasan!$B$9*C209/1000</f>
        <v>2321.28</v>
      </c>
      <c r="G209" s="17" t="n">
        <f aca="false">C209*Desain_Kolam!$B$9/1000</f>
        <v>1476.6075</v>
      </c>
      <c r="H209" s="17" t="n">
        <f aca="false">Kawasan!$B$27*D209</f>
        <v>1666.56</v>
      </c>
      <c r="I209" s="17" t="n">
        <f aca="false">E209*Desain_Kolam!$B$9/1000</f>
        <v>838.067375</v>
      </c>
      <c r="J209" s="17" t="n">
        <f aca="false">F209+G209-H209-I209</f>
        <v>1293.260125</v>
      </c>
      <c r="K209" s="17" t="n">
        <f aca="false">K208+J209</f>
        <v>19570.044</v>
      </c>
      <c r="L209" s="17" t="n">
        <f aca="false">MAX(L208,K209)</f>
        <v>23122.32975</v>
      </c>
      <c r="M209" s="17" t="n">
        <f aca="false">L209-K209</f>
        <v>3552.28575</v>
      </c>
      <c r="N209" s="17" t="n">
        <f aca="false">MIN(Desain_Kolam!$B$21,MAX(0,N208+F209+G209-H209-I209))</f>
        <v>12271.280925</v>
      </c>
      <c r="O209" s="6" t="n">
        <f aca="false">IF(N208+F209+G209-I209&gt;=H209,1,0)</f>
        <v>1</v>
      </c>
    </row>
    <row r="210" customFormat="false" ht="15" hidden="false" customHeight="false" outlineLevel="0" collapsed="false">
      <c r="A210" s="6" t="n">
        <v>2014</v>
      </c>
      <c r="B210" s="6" t="n">
        <v>6</v>
      </c>
      <c r="C210" s="4" t="n">
        <v>231</v>
      </c>
      <c r="D210" s="6" t="n">
        <v>30</v>
      </c>
      <c r="E210" s="4" t="n">
        <f aca="false">INDEX(Evaporasi!$B$5:$B$16,MATCH(B210,Evaporasi!$A$5:$A$16,0))</f>
        <v>150.17</v>
      </c>
      <c r="F210" s="17" t="n">
        <f aca="false">Kawasan!$B$11*Kawasan!$B$9*C210/1000</f>
        <v>1921.92</v>
      </c>
      <c r="G210" s="17" t="n">
        <f aca="false">C210*Desain_Kolam!$B$9/1000</f>
        <v>1222.5675</v>
      </c>
      <c r="H210" s="17" t="n">
        <f aca="false">Kawasan!$B$27*D210</f>
        <v>1612.8</v>
      </c>
      <c r="I210" s="17" t="n">
        <f aca="false">E210*Desain_Kolam!$B$9/1000</f>
        <v>794.774725</v>
      </c>
      <c r="J210" s="17" t="n">
        <f aca="false">F210+G210-H210-I210</f>
        <v>736.912775</v>
      </c>
      <c r="K210" s="17" t="n">
        <f aca="false">K209+J210</f>
        <v>20306.956775</v>
      </c>
      <c r="L210" s="17" t="n">
        <f aca="false">MAX(L209,K210)</f>
        <v>23122.32975</v>
      </c>
      <c r="M210" s="17" t="n">
        <f aca="false">L210-K210</f>
        <v>2815.372975</v>
      </c>
      <c r="N210" s="17" t="n">
        <f aca="false">MIN(Desain_Kolam!$B$21,MAX(0,N209+F210+G210-H210-I210))</f>
        <v>13008.1937</v>
      </c>
      <c r="O210" s="6" t="n">
        <f aca="false">IF(N209+F210+G210-I210&gt;=H210,1,0)</f>
        <v>1</v>
      </c>
    </row>
    <row r="211" customFormat="false" ht="15" hidden="false" customHeight="false" outlineLevel="0" collapsed="false">
      <c r="A211" s="6" t="n">
        <v>2014</v>
      </c>
      <c r="B211" s="6" t="n">
        <v>7</v>
      </c>
      <c r="C211" s="4" t="n">
        <v>93</v>
      </c>
      <c r="D211" s="6" t="n">
        <v>31</v>
      </c>
      <c r="E211" s="4" t="n">
        <f aca="false">INDEX(Evaporasi!$B$5:$B$16,MATCH(B211,Evaporasi!$A$5:$A$16,0))</f>
        <v>160.84</v>
      </c>
      <c r="F211" s="17" t="n">
        <f aca="false">Kawasan!$B$11*Kawasan!$B$9*C211/1000</f>
        <v>773.76</v>
      </c>
      <c r="G211" s="17" t="n">
        <f aca="false">C211*Desain_Kolam!$B$9/1000</f>
        <v>492.2025</v>
      </c>
      <c r="H211" s="17" t="n">
        <f aca="false">Kawasan!$B$27*D211</f>
        <v>1666.56</v>
      </c>
      <c r="I211" s="17" t="n">
        <f aca="false">E211*Desain_Kolam!$B$9/1000</f>
        <v>851.2457</v>
      </c>
      <c r="J211" s="17" t="n">
        <f aca="false">F211+G211-H211-I211</f>
        <v>-1251.8432</v>
      </c>
      <c r="K211" s="17" t="n">
        <f aca="false">K210+J211</f>
        <v>19055.113575</v>
      </c>
      <c r="L211" s="17" t="n">
        <f aca="false">MAX(L210,K211)</f>
        <v>23122.32975</v>
      </c>
      <c r="M211" s="17" t="n">
        <f aca="false">L211-K211</f>
        <v>4067.216175</v>
      </c>
      <c r="N211" s="17" t="n">
        <f aca="false">MIN(Desain_Kolam!$B$21,MAX(0,N210+F211+G211-H211-I211))</f>
        <v>11756.3505</v>
      </c>
      <c r="O211" s="6" t="n">
        <f aca="false">IF(N210+F211+G211-I211&gt;=H211,1,0)</f>
        <v>1</v>
      </c>
    </row>
    <row r="212" customFormat="false" ht="15" hidden="false" customHeight="false" outlineLevel="0" collapsed="false">
      <c r="A212" s="6" t="n">
        <v>2014</v>
      </c>
      <c r="B212" s="6" t="n">
        <v>8</v>
      </c>
      <c r="C212" s="4" t="n">
        <v>303</v>
      </c>
      <c r="D212" s="6" t="n">
        <v>31</v>
      </c>
      <c r="E212" s="4" t="n">
        <f aca="false">INDEX(Evaporasi!$B$5:$B$16,MATCH(B212,Evaporasi!$A$5:$A$16,0))</f>
        <v>161.16</v>
      </c>
      <c r="F212" s="17" t="n">
        <f aca="false">Kawasan!$B$11*Kawasan!$B$9*C212/1000</f>
        <v>2520.96</v>
      </c>
      <c r="G212" s="17" t="n">
        <f aca="false">C212*Desain_Kolam!$B$9/1000</f>
        <v>1603.6275</v>
      </c>
      <c r="H212" s="17" t="n">
        <f aca="false">Kawasan!$B$27*D212</f>
        <v>1666.56</v>
      </c>
      <c r="I212" s="17" t="n">
        <f aca="false">E212*Desain_Kolam!$B$9/1000</f>
        <v>852.9393</v>
      </c>
      <c r="J212" s="17" t="n">
        <f aca="false">F212+G212-H212-I212</f>
        <v>1605.0882</v>
      </c>
      <c r="K212" s="17" t="n">
        <f aca="false">K211+J212</f>
        <v>20660.201775</v>
      </c>
      <c r="L212" s="17" t="n">
        <f aca="false">MAX(L211,K212)</f>
        <v>23122.32975</v>
      </c>
      <c r="M212" s="17" t="n">
        <f aca="false">L212-K212</f>
        <v>2462.127975</v>
      </c>
      <c r="N212" s="17" t="n">
        <f aca="false">MIN(Desain_Kolam!$B$21,MAX(0,N211+F212+G212-H212-I212))</f>
        <v>13361.4387</v>
      </c>
      <c r="O212" s="6" t="n">
        <f aca="false">IF(N211+F212+G212-I212&gt;=H212,1,0)</f>
        <v>1</v>
      </c>
    </row>
    <row r="213" customFormat="false" ht="15" hidden="false" customHeight="false" outlineLevel="0" collapsed="false">
      <c r="A213" s="6" t="n">
        <v>2014</v>
      </c>
      <c r="B213" s="6" t="n">
        <v>9</v>
      </c>
      <c r="C213" s="4" t="n">
        <v>156</v>
      </c>
      <c r="D213" s="6" t="n">
        <v>30</v>
      </c>
      <c r="E213" s="4" t="n">
        <f aca="false">INDEX(Evaporasi!$B$5:$B$16,MATCH(B213,Evaporasi!$A$5:$A$16,0))</f>
        <v>159.21</v>
      </c>
      <c r="F213" s="17" t="n">
        <f aca="false">Kawasan!$B$11*Kawasan!$B$9*C213/1000</f>
        <v>1297.92</v>
      </c>
      <c r="G213" s="17" t="n">
        <f aca="false">C213*Desain_Kolam!$B$9/1000</f>
        <v>825.63</v>
      </c>
      <c r="H213" s="17" t="n">
        <f aca="false">Kawasan!$B$27*D213</f>
        <v>1612.8</v>
      </c>
      <c r="I213" s="17" t="n">
        <f aca="false">E213*Desain_Kolam!$B$9/1000</f>
        <v>842.618925</v>
      </c>
      <c r="J213" s="17" t="n">
        <f aca="false">F213+G213-H213-I213</f>
        <v>-331.868925</v>
      </c>
      <c r="K213" s="17" t="n">
        <f aca="false">K212+J213</f>
        <v>20328.33285</v>
      </c>
      <c r="L213" s="17" t="n">
        <f aca="false">MAX(L212,K213)</f>
        <v>23122.32975</v>
      </c>
      <c r="M213" s="17" t="n">
        <f aca="false">L213-K213</f>
        <v>2793.9969</v>
      </c>
      <c r="N213" s="17" t="n">
        <f aca="false">MIN(Desain_Kolam!$B$21,MAX(0,N212+F213+G213-H213-I213))</f>
        <v>13029.569775</v>
      </c>
      <c r="O213" s="6" t="n">
        <f aca="false">IF(N212+F213+G213-I213&gt;=H213,1,0)</f>
        <v>1</v>
      </c>
    </row>
    <row r="214" customFormat="false" ht="15" hidden="false" customHeight="false" outlineLevel="0" collapsed="false">
      <c r="A214" s="6" t="n">
        <v>2014</v>
      </c>
      <c r="B214" s="6" t="n">
        <v>10</v>
      </c>
      <c r="C214" s="4" t="n">
        <v>226</v>
      </c>
      <c r="D214" s="6" t="n">
        <v>31</v>
      </c>
      <c r="E214" s="4" t="n">
        <f aca="false">INDEX(Evaporasi!$B$5:$B$16,MATCH(B214,Evaporasi!$A$5:$A$16,0))</f>
        <v>151.5</v>
      </c>
      <c r="F214" s="17" t="n">
        <f aca="false">Kawasan!$B$11*Kawasan!$B$9*C214/1000</f>
        <v>1880.32</v>
      </c>
      <c r="G214" s="17" t="n">
        <f aca="false">C214*Desain_Kolam!$B$9/1000</f>
        <v>1196.105</v>
      </c>
      <c r="H214" s="17" t="n">
        <f aca="false">Kawasan!$B$27*D214</f>
        <v>1666.56</v>
      </c>
      <c r="I214" s="17" t="n">
        <f aca="false">E214*Desain_Kolam!$B$9/1000</f>
        <v>801.81375</v>
      </c>
      <c r="J214" s="17" t="n">
        <f aca="false">F214+G214-H214-I214</f>
        <v>608.05125</v>
      </c>
      <c r="K214" s="17" t="n">
        <f aca="false">K213+J214</f>
        <v>20936.3841</v>
      </c>
      <c r="L214" s="17" t="n">
        <f aca="false">MAX(L213,K214)</f>
        <v>23122.32975</v>
      </c>
      <c r="M214" s="17" t="n">
        <f aca="false">L214-K214</f>
        <v>2185.94565</v>
      </c>
      <c r="N214" s="17" t="n">
        <f aca="false">MIN(Desain_Kolam!$B$21,MAX(0,N213+F214+G214-H214-I214))</f>
        <v>13637.621025</v>
      </c>
      <c r="O214" s="6" t="n">
        <f aca="false">IF(N213+F214+G214-I214&gt;=H214,1,0)</f>
        <v>1</v>
      </c>
    </row>
    <row r="215" customFormat="false" ht="15" hidden="false" customHeight="false" outlineLevel="0" collapsed="false">
      <c r="A215" s="6" t="n">
        <v>2014</v>
      </c>
      <c r="B215" s="6" t="n">
        <v>11</v>
      </c>
      <c r="C215" s="4" t="n">
        <v>290</v>
      </c>
      <c r="D215" s="6" t="n">
        <v>30</v>
      </c>
      <c r="E215" s="4" t="n">
        <f aca="false">INDEX(Evaporasi!$B$5:$B$16,MATCH(B215,Evaporasi!$A$5:$A$16,0))</f>
        <v>142.3</v>
      </c>
      <c r="F215" s="17" t="n">
        <f aca="false">Kawasan!$B$11*Kawasan!$B$9*C215/1000</f>
        <v>2412.8</v>
      </c>
      <c r="G215" s="17" t="n">
        <f aca="false">C215*Desain_Kolam!$B$9/1000</f>
        <v>1534.825</v>
      </c>
      <c r="H215" s="17" t="n">
        <f aca="false">Kawasan!$B$27*D215</f>
        <v>1612.8</v>
      </c>
      <c r="I215" s="17" t="n">
        <f aca="false">E215*Desain_Kolam!$B$9/1000</f>
        <v>753.12275</v>
      </c>
      <c r="J215" s="17" t="n">
        <f aca="false">F215+G215-H215-I215</f>
        <v>1581.70225</v>
      </c>
      <c r="K215" s="17" t="n">
        <f aca="false">K214+J215</f>
        <v>22518.08635</v>
      </c>
      <c r="L215" s="17" t="n">
        <f aca="false">MAX(L214,K215)</f>
        <v>23122.32975</v>
      </c>
      <c r="M215" s="17" t="n">
        <f aca="false">L215-K215</f>
        <v>604.243399999999</v>
      </c>
      <c r="N215" s="17" t="n">
        <f aca="false">MIN(Desain_Kolam!$B$21,MAX(0,N214+F215+G215-H215-I215))</f>
        <v>15219.323275</v>
      </c>
      <c r="O215" s="6" t="n">
        <f aca="false">IF(N214+F215+G215-I215&gt;=H215,1,0)</f>
        <v>1</v>
      </c>
    </row>
    <row r="216" customFormat="false" ht="15" hidden="false" customHeight="false" outlineLevel="0" collapsed="false">
      <c r="A216" s="6" t="n">
        <v>2014</v>
      </c>
      <c r="B216" s="6" t="n">
        <v>12</v>
      </c>
      <c r="C216" s="4" t="n">
        <v>448</v>
      </c>
      <c r="D216" s="6" t="n">
        <v>31</v>
      </c>
      <c r="E216" s="4" t="n">
        <f aca="false">INDEX(Evaporasi!$B$5:$B$16,MATCH(B216,Evaporasi!$A$5:$A$16,0))</f>
        <v>145.07</v>
      </c>
      <c r="F216" s="17" t="n">
        <f aca="false">Kawasan!$B$11*Kawasan!$B$9*C216/1000</f>
        <v>3727.36</v>
      </c>
      <c r="G216" s="17" t="n">
        <f aca="false">C216*Desain_Kolam!$B$9/1000</f>
        <v>2371.04</v>
      </c>
      <c r="H216" s="17" t="n">
        <f aca="false">Kawasan!$B$27*D216</f>
        <v>1666.56</v>
      </c>
      <c r="I216" s="17" t="n">
        <f aca="false">E216*Desain_Kolam!$B$9/1000</f>
        <v>767.782975</v>
      </c>
      <c r="J216" s="17" t="n">
        <f aca="false">F216+G216-H216-I216</f>
        <v>3664.057025</v>
      </c>
      <c r="K216" s="17" t="n">
        <f aca="false">K215+J216</f>
        <v>26182.143375</v>
      </c>
      <c r="L216" s="17" t="n">
        <f aca="false">MAX(L215,K216)</f>
        <v>26182.143375</v>
      </c>
      <c r="M216" s="17" t="n">
        <f aca="false">L216-K216</f>
        <v>0</v>
      </c>
      <c r="N216" s="17" t="n">
        <f aca="false">MIN(Desain_Kolam!$B$21,MAX(0,N215+F216+G216-H216-I216))</f>
        <v>15823.566675</v>
      </c>
      <c r="O216" s="6" t="n">
        <f aca="false">IF(N215+F216+G216-I216&gt;=H216,1,0)</f>
        <v>1</v>
      </c>
    </row>
    <row r="217" customFormat="false" ht="15" hidden="false" customHeight="false" outlineLevel="0" collapsed="false">
      <c r="A217" s="6" t="n">
        <v>2015</v>
      </c>
      <c r="B217" s="6" t="n">
        <v>1</v>
      </c>
      <c r="C217" s="4" t="n">
        <v>266</v>
      </c>
      <c r="D217" s="6" t="n">
        <v>31</v>
      </c>
      <c r="E217" s="4" t="n">
        <f aca="false">INDEX(Evaporasi!$B$5:$B$16,MATCH(B217,Evaporasi!$A$5:$A$16,0))</f>
        <v>149.98</v>
      </c>
      <c r="F217" s="17" t="n">
        <f aca="false">Kawasan!$B$11*Kawasan!$B$9*C217/1000</f>
        <v>2213.12</v>
      </c>
      <c r="G217" s="17" t="n">
        <f aca="false">C217*Desain_Kolam!$B$9/1000</f>
        <v>1407.805</v>
      </c>
      <c r="H217" s="17" t="n">
        <f aca="false">Kawasan!$B$27*D217</f>
        <v>1666.56</v>
      </c>
      <c r="I217" s="17" t="n">
        <f aca="false">E217*Desain_Kolam!$B$9/1000</f>
        <v>793.76915</v>
      </c>
      <c r="J217" s="17" t="n">
        <f aca="false">F217+G217-H217-I217</f>
        <v>1160.59585</v>
      </c>
      <c r="K217" s="17" t="n">
        <f aca="false">K216+J217</f>
        <v>27342.739225</v>
      </c>
      <c r="L217" s="17" t="n">
        <f aca="false">MAX(L216,K217)</f>
        <v>27342.739225</v>
      </c>
      <c r="M217" s="17" t="n">
        <f aca="false">L217-K217</f>
        <v>0</v>
      </c>
      <c r="N217" s="17" t="n">
        <f aca="false">MIN(Desain_Kolam!$B$21,MAX(0,N216+F217+G217-H217-I217))</f>
        <v>15823.566675</v>
      </c>
      <c r="O217" s="6" t="n">
        <f aca="false">IF(N216+F217+G217-I217&gt;=H217,1,0)</f>
        <v>1</v>
      </c>
    </row>
    <row r="218" customFormat="false" ht="15" hidden="false" customHeight="false" outlineLevel="0" collapsed="false">
      <c r="A218" s="6" t="n">
        <v>2015</v>
      </c>
      <c r="B218" s="6" t="n">
        <v>2</v>
      </c>
      <c r="C218" s="4" t="n">
        <v>351</v>
      </c>
      <c r="D218" s="6" t="n">
        <v>28</v>
      </c>
      <c r="E218" s="4" t="n">
        <f aca="false">INDEX(Evaporasi!$B$5:$B$16,MATCH(B218,Evaporasi!$A$5:$A$16,0))</f>
        <v>148.64</v>
      </c>
      <c r="F218" s="17" t="n">
        <f aca="false">Kawasan!$B$11*Kawasan!$B$9*C218/1000</f>
        <v>2920.32</v>
      </c>
      <c r="G218" s="17" t="n">
        <f aca="false">C218*Desain_Kolam!$B$9/1000</f>
        <v>1857.6675</v>
      </c>
      <c r="H218" s="17" t="n">
        <f aca="false">Kawasan!$B$27*D218</f>
        <v>1505.28</v>
      </c>
      <c r="I218" s="17" t="n">
        <f aca="false">E218*Desain_Kolam!$B$9/1000</f>
        <v>786.6772</v>
      </c>
      <c r="J218" s="17" t="n">
        <f aca="false">F218+G218-H218-I218</f>
        <v>2486.0303</v>
      </c>
      <c r="K218" s="17" t="n">
        <f aca="false">K217+J218</f>
        <v>29828.769525</v>
      </c>
      <c r="L218" s="17" t="n">
        <f aca="false">MAX(L217,K218)</f>
        <v>29828.769525</v>
      </c>
      <c r="M218" s="17" t="n">
        <f aca="false">L218-K218</f>
        <v>0</v>
      </c>
      <c r="N218" s="17" t="n">
        <f aca="false">MIN(Desain_Kolam!$B$21,MAX(0,N217+F218+G218-H218-I218))</f>
        <v>15823.566675</v>
      </c>
      <c r="O218" s="6" t="n">
        <f aca="false">IF(N217+F218+G218-I218&gt;=H218,1,0)</f>
        <v>1</v>
      </c>
    </row>
    <row r="219" customFormat="false" ht="15" hidden="false" customHeight="false" outlineLevel="0" collapsed="false">
      <c r="A219" s="6" t="n">
        <v>2015</v>
      </c>
      <c r="B219" s="6" t="n">
        <v>3</v>
      </c>
      <c r="C219" s="4" t="n">
        <v>222</v>
      </c>
      <c r="D219" s="6" t="n">
        <v>31</v>
      </c>
      <c r="E219" s="4" t="n">
        <f aca="false">INDEX(Evaporasi!$B$5:$B$16,MATCH(B219,Evaporasi!$A$5:$A$16,0))</f>
        <v>166.18</v>
      </c>
      <c r="F219" s="17" t="n">
        <f aca="false">Kawasan!$B$11*Kawasan!$B$9*C219/1000</f>
        <v>1847.04</v>
      </c>
      <c r="G219" s="17" t="n">
        <f aca="false">C219*Desain_Kolam!$B$9/1000</f>
        <v>1174.935</v>
      </c>
      <c r="H219" s="17" t="n">
        <f aca="false">Kawasan!$B$27*D219</f>
        <v>1666.56</v>
      </c>
      <c r="I219" s="17" t="n">
        <f aca="false">E219*Desain_Kolam!$B$9/1000</f>
        <v>879.50765</v>
      </c>
      <c r="J219" s="17" t="n">
        <f aca="false">F219+G219-H219-I219</f>
        <v>475.90735</v>
      </c>
      <c r="K219" s="17" t="n">
        <f aca="false">K218+J219</f>
        <v>30304.676875</v>
      </c>
      <c r="L219" s="17" t="n">
        <f aca="false">MAX(L218,K219)</f>
        <v>30304.676875</v>
      </c>
      <c r="M219" s="17" t="n">
        <f aca="false">L219-K219</f>
        <v>0</v>
      </c>
      <c r="N219" s="17" t="n">
        <f aca="false">MIN(Desain_Kolam!$B$21,MAX(0,N218+F219+G219-H219-I219))</f>
        <v>15823.566675</v>
      </c>
      <c r="O219" s="6" t="n">
        <f aca="false">IF(N218+F219+G219-I219&gt;=H219,1,0)</f>
        <v>1</v>
      </c>
    </row>
    <row r="220" customFormat="false" ht="15" hidden="false" customHeight="false" outlineLevel="0" collapsed="false">
      <c r="A220" s="6" t="n">
        <v>2015</v>
      </c>
      <c r="B220" s="6" t="n">
        <v>4</v>
      </c>
      <c r="C220" s="4" t="n">
        <v>202</v>
      </c>
      <c r="D220" s="6" t="n">
        <v>30</v>
      </c>
      <c r="E220" s="4" t="n">
        <f aca="false">INDEX(Evaporasi!$B$5:$B$16,MATCH(B220,Evaporasi!$A$5:$A$16,0))</f>
        <v>157.75</v>
      </c>
      <c r="F220" s="17" t="n">
        <f aca="false">Kawasan!$B$11*Kawasan!$B$9*C220/1000</f>
        <v>1680.64</v>
      </c>
      <c r="G220" s="17" t="n">
        <f aca="false">C220*Desain_Kolam!$B$9/1000</f>
        <v>1069.085</v>
      </c>
      <c r="H220" s="17" t="n">
        <f aca="false">Kawasan!$B$27*D220</f>
        <v>1612.8</v>
      </c>
      <c r="I220" s="17" t="n">
        <f aca="false">E220*Desain_Kolam!$B$9/1000</f>
        <v>834.891875</v>
      </c>
      <c r="J220" s="17" t="n">
        <f aca="false">F220+G220-H220-I220</f>
        <v>302.033125</v>
      </c>
      <c r="K220" s="17" t="n">
        <f aca="false">K219+J220</f>
        <v>30606.71</v>
      </c>
      <c r="L220" s="17" t="n">
        <f aca="false">MAX(L219,K220)</f>
        <v>30606.71</v>
      </c>
      <c r="M220" s="17" t="n">
        <f aca="false">L220-K220</f>
        <v>0</v>
      </c>
      <c r="N220" s="17" t="n">
        <f aca="false">MIN(Desain_Kolam!$B$21,MAX(0,N219+F220+G220-H220-I220))</f>
        <v>15823.566675</v>
      </c>
      <c r="O220" s="6" t="n">
        <f aca="false">IF(N219+F220+G220-I220&gt;=H220,1,0)</f>
        <v>1</v>
      </c>
    </row>
    <row r="221" customFormat="false" ht="15" hidden="false" customHeight="false" outlineLevel="0" collapsed="false">
      <c r="A221" s="6" t="n">
        <v>2015</v>
      </c>
      <c r="B221" s="6" t="n">
        <v>5</v>
      </c>
      <c r="C221" s="4" t="n">
        <v>341</v>
      </c>
      <c r="D221" s="6" t="n">
        <v>31</v>
      </c>
      <c r="E221" s="4" t="n">
        <f aca="false">INDEX(Evaporasi!$B$5:$B$16,MATCH(B221,Evaporasi!$A$5:$A$16,0))</f>
        <v>158.35</v>
      </c>
      <c r="F221" s="17" t="n">
        <f aca="false">Kawasan!$B$11*Kawasan!$B$9*C221/1000</f>
        <v>2837.12</v>
      </c>
      <c r="G221" s="17" t="n">
        <f aca="false">C221*Desain_Kolam!$B$9/1000</f>
        <v>1804.7425</v>
      </c>
      <c r="H221" s="17" t="n">
        <f aca="false">Kawasan!$B$27*D221</f>
        <v>1666.56</v>
      </c>
      <c r="I221" s="17" t="n">
        <f aca="false">E221*Desain_Kolam!$B$9/1000</f>
        <v>838.067375</v>
      </c>
      <c r="J221" s="17" t="n">
        <f aca="false">F221+G221-H221-I221</f>
        <v>2137.235125</v>
      </c>
      <c r="K221" s="17" t="n">
        <f aca="false">K220+J221</f>
        <v>32743.945125</v>
      </c>
      <c r="L221" s="17" t="n">
        <f aca="false">MAX(L220,K221)</f>
        <v>32743.945125</v>
      </c>
      <c r="M221" s="17" t="n">
        <f aca="false">L221-K221</f>
        <v>0</v>
      </c>
      <c r="N221" s="17" t="n">
        <f aca="false">MIN(Desain_Kolam!$B$21,MAX(0,N220+F221+G221-H221-I221))</f>
        <v>15823.566675</v>
      </c>
      <c r="O221" s="6" t="n">
        <f aca="false">IF(N220+F221+G221-I221&gt;=H221,1,0)</f>
        <v>1</v>
      </c>
    </row>
    <row r="222" customFormat="false" ht="15" hidden="false" customHeight="false" outlineLevel="0" collapsed="false">
      <c r="A222" s="6" t="n">
        <v>2015</v>
      </c>
      <c r="B222" s="6" t="n">
        <v>6</v>
      </c>
      <c r="C222" s="4" t="n">
        <v>284</v>
      </c>
      <c r="D222" s="6" t="n">
        <v>30</v>
      </c>
      <c r="E222" s="4" t="n">
        <f aca="false">INDEX(Evaporasi!$B$5:$B$16,MATCH(B222,Evaporasi!$A$5:$A$16,0))</f>
        <v>150.17</v>
      </c>
      <c r="F222" s="17" t="n">
        <f aca="false">Kawasan!$B$11*Kawasan!$B$9*C222/1000</f>
        <v>2362.88</v>
      </c>
      <c r="G222" s="17" t="n">
        <f aca="false">C222*Desain_Kolam!$B$9/1000</f>
        <v>1503.07</v>
      </c>
      <c r="H222" s="17" t="n">
        <f aca="false">Kawasan!$B$27*D222</f>
        <v>1612.8</v>
      </c>
      <c r="I222" s="17" t="n">
        <f aca="false">E222*Desain_Kolam!$B$9/1000</f>
        <v>794.774725</v>
      </c>
      <c r="J222" s="17" t="n">
        <f aca="false">F222+G222-H222-I222</f>
        <v>1458.375275</v>
      </c>
      <c r="K222" s="17" t="n">
        <f aca="false">K221+J222</f>
        <v>34202.3204</v>
      </c>
      <c r="L222" s="17" t="n">
        <f aca="false">MAX(L221,K222)</f>
        <v>34202.3204</v>
      </c>
      <c r="M222" s="17" t="n">
        <f aca="false">L222-K222</f>
        <v>0</v>
      </c>
      <c r="N222" s="17" t="n">
        <f aca="false">MIN(Desain_Kolam!$B$21,MAX(0,N221+F222+G222-H222-I222))</f>
        <v>15823.566675</v>
      </c>
      <c r="O222" s="6" t="n">
        <f aca="false">IF(N221+F222+G222-I222&gt;=H222,1,0)</f>
        <v>1</v>
      </c>
    </row>
    <row r="223" customFormat="false" ht="15" hidden="false" customHeight="false" outlineLevel="0" collapsed="false">
      <c r="A223" s="6" t="n">
        <v>2015</v>
      </c>
      <c r="B223" s="6" t="n">
        <v>7</v>
      </c>
      <c r="C223" s="4" t="n">
        <v>290</v>
      </c>
      <c r="D223" s="6" t="n">
        <v>31</v>
      </c>
      <c r="E223" s="4" t="n">
        <f aca="false">INDEX(Evaporasi!$B$5:$B$16,MATCH(B223,Evaporasi!$A$5:$A$16,0))</f>
        <v>160.84</v>
      </c>
      <c r="F223" s="17" t="n">
        <f aca="false">Kawasan!$B$11*Kawasan!$B$9*C223/1000</f>
        <v>2412.8</v>
      </c>
      <c r="G223" s="17" t="n">
        <f aca="false">C223*Desain_Kolam!$B$9/1000</f>
        <v>1534.825</v>
      </c>
      <c r="H223" s="17" t="n">
        <f aca="false">Kawasan!$B$27*D223</f>
        <v>1666.56</v>
      </c>
      <c r="I223" s="17" t="n">
        <f aca="false">E223*Desain_Kolam!$B$9/1000</f>
        <v>851.2457</v>
      </c>
      <c r="J223" s="17" t="n">
        <f aca="false">F223+G223-H223-I223</f>
        <v>1429.8193</v>
      </c>
      <c r="K223" s="17" t="n">
        <f aca="false">K222+J223</f>
        <v>35632.1397</v>
      </c>
      <c r="L223" s="17" t="n">
        <f aca="false">MAX(L222,K223)</f>
        <v>35632.1397</v>
      </c>
      <c r="M223" s="17" t="n">
        <f aca="false">L223-K223</f>
        <v>0</v>
      </c>
      <c r="N223" s="17" t="n">
        <f aca="false">MIN(Desain_Kolam!$B$21,MAX(0,N222+F223+G223-H223-I223))</f>
        <v>15823.566675</v>
      </c>
      <c r="O223" s="6" t="n">
        <f aca="false">IF(N222+F223+G223-I223&gt;=H223,1,0)</f>
        <v>1</v>
      </c>
    </row>
    <row r="224" customFormat="false" ht="15" hidden="false" customHeight="false" outlineLevel="0" collapsed="false">
      <c r="A224" s="6" t="n">
        <v>2015</v>
      </c>
      <c r="B224" s="6" t="n">
        <v>8</v>
      </c>
      <c r="C224" s="4" t="n">
        <v>86</v>
      </c>
      <c r="D224" s="6" t="n">
        <v>31</v>
      </c>
      <c r="E224" s="4" t="n">
        <f aca="false">INDEX(Evaporasi!$B$5:$B$16,MATCH(B224,Evaporasi!$A$5:$A$16,0))</f>
        <v>161.16</v>
      </c>
      <c r="F224" s="17" t="n">
        <f aca="false">Kawasan!$B$11*Kawasan!$B$9*C224/1000</f>
        <v>715.52</v>
      </c>
      <c r="G224" s="17" t="n">
        <f aca="false">C224*Desain_Kolam!$B$9/1000</f>
        <v>455.155</v>
      </c>
      <c r="H224" s="17" t="n">
        <f aca="false">Kawasan!$B$27*D224</f>
        <v>1666.56</v>
      </c>
      <c r="I224" s="17" t="n">
        <f aca="false">E224*Desain_Kolam!$B$9/1000</f>
        <v>852.9393</v>
      </c>
      <c r="J224" s="17" t="n">
        <f aca="false">F224+G224-H224-I224</f>
        <v>-1348.8243</v>
      </c>
      <c r="K224" s="17" t="n">
        <f aca="false">K223+J224</f>
        <v>34283.3154</v>
      </c>
      <c r="L224" s="17" t="n">
        <f aca="false">MAX(L223,K224)</f>
        <v>35632.1397</v>
      </c>
      <c r="M224" s="17" t="n">
        <f aca="false">L224-K224</f>
        <v>1348.8243</v>
      </c>
      <c r="N224" s="17" t="n">
        <f aca="false">MIN(Desain_Kolam!$B$21,MAX(0,N223+F224+G224-H224-I224))</f>
        <v>14474.742375</v>
      </c>
      <c r="O224" s="6" t="n">
        <f aca="false">IF(N223+F224+G224-I224&gt;=H224,1,0)</f>
        <v>1</v>
      </c>
    </row>
    <row r="225" customFormat="false" ht="15" hidden="false" customHeight="false" outlineLevel="0" collapsed="false">
      <c r="A225" s="6" t="n">
        <v>2015</v>
      </c>
      <c r="B225" s="6" t="n">
        <v>9</v>
      </c>
      <c r="C225" s="4" t="n">
        <v>37</v>
      </c>
      <c r="D225" s="6" t="n">
        <v>30</v>
      </c>
      <c r="E225" s="4" t="n">
        <f aca="false">INDEX(Evaporasi!$B$5:$B$16,MATCH(B225,Evaporasi!$A$5:$A$16,0))</f>
        <v>159.21</v>
      </c>
      <c r="F225" s="17" t="n">
        <f aca="false">Kawasan!$B$11*Kawasan!$B$9*C225/1000</f>
        <v>307.84</v>
      </c>
      <c r="G225" s="17" t="n">
        <f aca="false">C225*Desain_Kolam!$B$9/1000</f>
        <v>195.8225</v>
      </c>
      <c r="H225" s="17" t="n">
        <f aca="false">Kawasan!$B$27*D225</f>
        <v>1612.8</v>
      </c>
      <c r="I225" s="17" t="n">
        <f aca="false">E225*Desain_Kolam!$B$9/1000</f>
        <v>842.618925</v>
      </c>
      <c r="J225" s="17" t="n">
        <f aca="false">F225+G225-H225-I225</f>
        <v>-1951.756425</v>
      </c>
      <c r="K225" s="17" t="n">
        <f aca="false">K224+J225</f>
        <v>32331.558975</v>
      </c>
      <c r="L225" s="17" t="n">
        <f aca="false">MAX(L224,K225)</f>
        <v>35632.1397</v>
      </c>
      <c r="M225" s="17" t="n">
        <f aca="false">L225-K225</f>
        <v>3300.580725</v>
      </c>
      <c r="N225" s="17" t="n">
        <f aca="false">MIN(Desain_Kolam!$B$21,MAX(0,N224+F225+G225-H225-I225))</f>
        <v>12522.98595</v>
      </c>
      <c r="O225" s="6" t="n">
        <f aca="false">IF(N224+F225+G225-I225&gt;=H225,1,0)</f>
        <v>1</v>
      </c>
    </row>
    <row r="226" customFormat="false" ht="15" hidden="false" customHeight="false" outlineLevel="0" collapsed="false">
      <c r="A226" s="6" t="n">
        <v>2015</v>
      </c>
      <c r="B226" s="6" t="n">
        <v>10</v>
      </c>
      <c r="C226" s="4" t="n">
        <v>159</v>
      </c>
      <c r="D226" s="6" t="n">
        <v>31</v>
      </c>
      <c r="E226" s="4" t="n">
        <f aca="false">INDEX(Evaporasi!$B$5:$B$16,MATCH(B226,Evaporasi!$A$5:$A$16,0))</f>
        <v>151.5</v>
      </c>
      <c r="F226" s="17" t="n">
        <f aca="false">Kawasan!$B$11*Kawasan!$B$9*C226/1000</f>
        <v>1322.88</v>
      </c>
      <c r="G226" s="17" t="n">
        <f aca="false">C226*Desain_Kolam!$B$9/1000</f>
        <v>841.5075</v>
      </c>
      <c r="H226" s="17" t="n">
        <f aca="false">Kawasan!$B$27*D226</f>
        <v>1666.56</v>
      </c>
      <c r="I226" s="17" t="n">
        <f aca="false">E226*Desain_Kolam!$B$9/1000</f>
        <v>801.81375</v>
      </c>
      <c r="J226" s="17" t="n">
        <f aca="false">F226+G226-H226-I226</f>
        <v>-303.98625</v>
      </c>
      <c r="K226" s="17" t="n">
        <f aca="false">K225+J226</f>
        <v>32027.572725</v>
      </c>
      <c r="L226" s="17" t="n">
        <f aca="false">MAX(L225,K226)</f>
        <v>35632.1397</v>
      </c>
      <c r="M226" s="17" t="n">
        <f aca="false">L226-K226</f>
        <v>3604.566975</v>
      </c>
      <c r="N226" s="17" t="n">
        <f aca="false">MIN(Desain_Kolam!$B$21,MAX(0,N225+F226+G226-H226-I226))</f>
        <v>12218.9997</v>
      </c>
      <c r="O226" s="6" t="n">
        <f aca="false">IF(N225+F226+G226-I226&gt;=H226,1,0)</f>
        <v>1</v>
      </c>
    </row>
    <row r="227" customFormat="false" ht="15" hidden="false" customHeight="false" outlineLevel="0" collapsed="false">
      <c r="A227" s="6" t="n">
        <v>2015</v>
      </c>
      <c r="B227" s="6" t="n">
        <v>11</v>
      </c>
      <c r="C227" s="4" t="n">
        <v>471</v>
      </c>
      <c r="D227" s="6" t="n">
        <v>30</v>
      </c>
      <c r="E227" s="4" t="n">
        <f aca="false">INDEX(Evaporasi!$B$5:$B$16,MATCH(B227,Evaporasi!$A$5:$A$16,0))</f>
        <v>142.3</v>
      </c>
      <c r="F227" s="17" t="n">
        <f aca="false">Kawasan!$B$11*Kawasan!$B$9*C227/1000</f>
        <v>3918.72</v>
      </c>
      <c r="G227" s="17" t="n">
        <f aca="false">C227*Desain_Kolam!$B$9/1000</f>
        <v>2492.7675</v>
      </c>
      <c r="H227" s="17" t="n">
        <f aca="false">Kawasan!$B$27*D227</f>
        <v>1612.8</v>
      </c>
      <c r="I227" s="17" t="n">
        <f aca="false">E227*Desain_Kolam!$B$9/1000</f>
        <v>753.12275</v>
      </c>
      <c r="J227" s="17" t="n">
        <f aca="false">F227+G227-H227-I227</f>
        <v>4045.56475</v>
      </c>
      <c r="K227" s="17" t="n">
        <f aca="false">K226+J227</f>
        <v>36073.137475</v>
      </c>
      <c r="L227" s="17" t="n">
        <f aca="false">MAX(L226,K227)</f>
        <v>36073.137475</v>
      </c>
      <c r="M227" s="17" t="n">
        <f aca="false">L227-K227</f>
        <v>0</v>
      </c>
      <c r="N227" s="17" t="n">
        <f aca="false">MIN(Desain_Kolam!$B$21,MAX(0,N226+F227+G227-H227-I227))</f>
        <v>15823.566675</v>
      </c>
      <c r="O227" s="6" t="n">
        <f aca="false">IF(N226+F227+G227-I227&gt;=H227,1,0)</f>
        <v>1</v>
      </c>
    </row>
    <row r="228" customFormat="false" ht="15" hidden="false" customHeight="false" outlineLevel="0" collapsed="false">
      <c r="A228" s="6" t="n">
        <v>2015</v>
      </c>
      <c r="B228" s="6" t="n">
        <v>12</v>
      </c>
      <c r="C228" s="4" t="n">
        <v>252</v>
      </c>
      <c r="D228" s="6" t="n">
        <v>31</v>
      </c>
      <c r="E228" s="4" t="n">
        <f aca="false">INDEX(Evaporasi!$B$5:$B$16,MATCH(B228,Evaporasi!$A$5:$A$16,0))</f>
        <v>145.07</v>
      </c>
      <c r="F228" s="17" t="n">
        <f aca="false">Kawasan!$B$11*Kawasan!$B$9*C228/1000</f>
        <v>2096.64</v>
      </c>
      <c r="G228" s="17" t="n">
        <f aca="false">C228*Desain_Kolam!$B$9/1000</f>
        <v>1333.71</v>
      </c>
      <c r="H228" s="17" t="n">
        <f aca="false">Kawasan!$B$27*D228</f>
        <v>1666.56</v>
      </c>
      <c r="I228" s="17" t="n">
        <f aca="false">E228*Desain_Kolam!$B$9/1000</f>
        <v>767.782975</v>
      </c>
      <c r="J228" s="17" t="n">
        <f aca="false">F228+G228-H228-I228</f>
        <v>996.007025</v>
      </c>
      <c r="K228" s="17" t="n">
        <f aca="false">K227+J228</f>
        <v>37069.1445</v>
      </c>
      <c r="L228" s="17" t="n">
        <f aca="false">MAX(L227,K228)</f>
        <v>37069.1445</v>
      </c>
      <c r="M228" s="17" t="n">
        <f aca="false">L228-K228</f>
        <v>0</v>
      </c>
      <c r="N228" s="17" t="n">
        <f aca="false">MIN(Desain_Kolam!$B$21,MAX(0,N227+F228+G228-H228-I228))</f>
        <v>15823.566675</v>
      </c>
      <c r="O228" s="6" t="n">
        <f aca="false">IF(N227+F228+G228-I228&gt;=H228,1,0)</f>
        <v>1</v>
      </c>
    </row>
    <row r="229" customFormat="false" ht="15" hidden="false" customHeight="false" outlineLevel="0" collapsed="false">
      <c r="A229" s="6" t="n">
        <v>2016</v>
      </c>
      <c r="B229" s="6" t="n">
        <v>1</v>
      </c>
      <c r="C229" s="4" t="n">
        <v>245</v>
      </c>
      <c r="D229" s="6" t="n">
        <v>31</v>
      </c>
      <c r="E229" s="4" t="n">
        <f aca="false">INDEX(Evaporasi!$B$5:$B$16,MATCH(B229,Evaporasi!$A$5:$A$16,0))</f>
        <v>149.98</v>
      </c>
      <c r="F229" s="17" t="n">
        <f aca="false">Kawasan!$B$11*Kawasan!$B$9*C229/1000</f>
        <v>2038.4</v>
      </c>
      <c r="G229" s="17" t="n">
        <f aca="false">C229*Desain_Kolam!$B$9/1000</f>
        <v>1296.6625</v>
      </c>
      <c r="H229" s="17" t="n">
        <f aca="false">Kawasan!$B$27*D229</f>
        <v>1666.56</v>
      </c>
      <c r="I229" s="17" t="n">
        <f aca="false">E229*Desain_Kolam!$B$9/1000</f>
        <v>793.76915</v>
      </c>
      <c r="J229" s="17" t="n">
        <f aca="false">F229+G229-H229-I229</f>
        <v>874.73335</v>
      </c>
      <c r="K229" s="17" t="n">
        <f aca="false">K228+J229</f>
        <v>37943.87785</v>
      </c>
      <c r="L229" s="17" t="n">
        <f aca="false">MAX(L228,K229)</f>
        <v>37943.87785</v>
      </c>
      <c r="M229" s="17" t="n">
        <f aca="false">L229-K229</f>
        <v>0</v>
      </c>
      <c r="N229" s="17" t="n">
        <f aca="false">MIN(Desain_Kolam!$B$21,MAX(0,N228+F229+G229-H229-I229))</f>
        <v>15823.566675</v>
      </c>
      <c r="O229" s="6" t="n">
        <f aca="false">IF(N228+F229+G229-I229&gt;=H229,1,0)</f>
        <v>1</v>
      </c>
    </row>
    <row r="230" customFormat="false" ht="15" hidden="false" customHeight="false" outlineLevel="0" collapsed="false">
      <c r="A230" s="6" t="n">
        <v>2016</v>
      </c>
      <c r="B230" s="6" t="n">
        <v>2</v>
      </c>
      <c r="C230" s="4" t="n">
        <v>204</v>
      </c>
      <c r="D230" s="6" t="n">
        <v>29</v>
      </c>
      <c r="E230" s="4" t="n">
        <f aca="false">INDEX(Evaporasi!$B$5:$B$16,MATCH(B230,Evaporasi!$A$5:$A$16,0))</f>
        <v>148.64</v>
      </c>
      <c r="F230" s="17" t="n">
        <f aca="false">Kawasan!$B$11*Kawasan!$B$9*C230/1000</f>
        <v>1697.28</v>
      </c>
      <c r="G230" s="17" t="n">
        <f aca="false">C230*Desain_Kolam!$B$9/1000</f>
        <v>1079.67</v>
      </c>
      <c r="H230" s="17" t="n">
        <f aca="false">Kawasan!$B$27*D230</f>
        <v>1559.04</v>
      </c>
      <c r="I230" s="17" t="n">
        <f aca="false">E230*Desain_Kolam!$B$9/1000</f>
        <v>786.6772</v>
      </c>
      <c r="J230" s="17" t="n">
        <f aca="false">F230+G230-H230-I230</f>
        <v>431.2328</v>
      </c>
      <c r="K230" s="17" t="n">
        <f aca="false">K229+J230</f>
        <v>38375.11065</v>
      </c>
      <c r="L230" s="17" t="n">
        <f aca="false">MAX(L229,K230)</f>
        <v>38375.11065</v>
      </c>
      <c r="M230" s="17" t="n">
        <f aca="false">L230-K230</f>
        <v>0</v>
      </c>
      <c r="N230" s="17" t="n">
        <f aca="false">MIN(Desain_Kolam!$B$21,MAX(0,N229+F230+G230-H230-I230))</f>
        <v>15823.566675</v>
      </c>
      <c r="O230" s="6" t="n">
        <f aca="false">IF(N229+F230+G230-I230&gt;=H230,1,0)</f>
        <v>1</v>
      </c>
    </row>
    <row r="231" customFormat="false" ht="15" hidden="false" customHeight="false" outlineLevel="0" collapsed="false">
      <c r="A231" s="6" t="n">
        <v>2016</v>
      </c>
      <c r="B231" s="6" t="n">
        <v>3</v>
      </c>
      <c r="C231" s="4" t="n">
        <v>381</v>
      </c>
      <c r="D231" s="6" t="n">
        <v>31</v>
      </c>
      <c r="E231" s="4" t="n">
        <f aca="false">INDEX(Evaporasi!$B$5:$B$16,MATCH(B231,Evaporasi!$A$5:$A$16,0))</f>
        <v>166.18</v>
      </c>
      <c r="F231" s="17" t="n">
        <f aca="false">Kawasan!$B$11*Kawasan!$B$9*C231/1000</f>
        <v>3169.92</v>
      </c>
      <c r="G231" s="17" t="n">
        <f aca="false">C231*Desain_Kolam!$B$9/1000</f>
        <v>2016.4425</v>
      </c>
      <c r="H231" s="17" t="n">
        <f aca="false">Kawasan!$B$27*D231</f>
        <v>1666.56</v>
      </c>
      <c r="I231" s="17" t="n">
        <f aca="false">E231*Desain_Kolam!$B$9/1000</f>
        <v>879.50765</v>
      </c>
      <c r="J231" s="17" t="n">
        <f aca="false">F231+G231-H231-I231</f>
        <v>2640.29485</v>
      </c>
      <c r="K231" s="17" t="n">
        <f aca="false">K230+J231</f>
        <v>41015.4055</v>
      </c>
      <c r="L231" s="17" t="n">
        <f aca="false">MAX(L230,K231)</f>
        <v>41015.4055</v>
      </c>
      <c r="M231" s="17" t="n">
        <f aca="false">L231-K231</f>
        <v>0</v>
      </c>
      <c r="N231" s="17" t="n">
        <f aca="false">MIN(Desain_Kolam!$B$21,MAX(0,N230+F231+G231-H231-I231))</f>
        <v>15823.566675</v>
      </c>
      <c r="O231" s="6" t="n">
        <f aca="false">IF(N230+F231+G231-I231&gt;=H231,1,0)</f>
        <v>1</v>
      </c>
    </row>
    <row r="232" customFormat="false" ht="15" hidden="false" customHeight="false" outlineLevel="0" collapsed="false">
      <c r="A232" s="6" t="n">
        <v>2016</v>
      </c>
      <c r="B232" s="6" t="n">
        <v>4</v>
      </c>
      <c r="C232" s="4" t="n">
        <v>274</v>
      </c>
      <c r="D232" s="6" t="n">
        <v>30</v>
      </c>
      <c r="E232" s="4" t="n">
        <f aca="false">INDEX(Evaporasi!$B$5:$B$16,MATCH(B232,Evaporasi!$A$5:$A$16,0))</f>
        <v>157.75</v>
      </c>
      <c r="F232" s="17" t="n">
        <f aca="false">Kawasan!$B$11*Kawasan!$B$9*C232/1000</f>
        <v>2279.68</v>
      </c>
      <c r="G232" s="17" t="n">
        <f aca="false">C232*Desain_Kolam!$B$9/1000</f>
        <v>1450.145</v>
      </c>
      <c r="H232" s="17" t="n">
        <f aca="false">Kawasan!$B$27*D232</f>
        <v>1612.8</v>
      </c>
      <c r="I232" s="17" t="n">
        <f aca="false">E232*Desain_Kolam!$B$9/1000</f>
        <v>834.891875</v>
      </c>
      <c r="J232" s="17" t="n">
        <f aca="false">F232+G232-H232-I232</f>
        <v>1282.133125</v>
      </c>
      <c r="K232" s="17" t="n">
        <f aca="false">K231+J232</f>
        <v>42297.538625</v>
      </c>
      <c r="L232" s="17" t="n">
        <f aca="false">MAX(L231,K232)</f>
        <v>42297.538625</v>
      </c>
      <c r="M232" s="17" t="n">
        <f aca="false">L232-K232</f>
        <v>0</v>
      </c>
      <c r="N232" s="17" t="n">
        <f aca="false">MIN(Desain_Kolam!$B$21,MAX(0,N231+F232+G232-H232-I232))</f>
        <v>15823.566675</v>
      </c>
      <c r="O232" s="6" t="n">
        <f aca="false">IF(N231+F232+G232-I232&gt;=H232,1,0)</f>
        <v>1</v>
      </c>
    </row>
    <row r="233" customFormat="false" ht="15" hidden="false" customHeight="false" outlineLevel="0" collapsed="false">
      <c r="A233" s="6" t="n">
        <v>2016</v>
      </c>
      <c r="B233" s="6" t="n">
        <v>5</v>
      </c>
      <c r="C233" s="4" t="n">
        <v>514</v>
      </c>
      <c r="D233" s="6" t="n">
        <v>31</v>
      </c>
      <c r="E233" s="4" t="n">
        <f aca="false">INDEX(Evaporasi!$B$5:$B$16,MATCH(B233,Evaporasi!$A$5:$A$16,0))</f>
        <v>158.35</v>
      </c>
      <c r="F233" s="17" t="n">
        <f aca="false">Kawasan!$B$11*Kawasan!$B$9*C233/1000</f>
        <v>4276.48</v>
      </c>
      <c r="G233" s="17" t="n">
        <f aca="false">C233*Desain_Kolam!$B$9/1000</f>
        <v>2720.345</v>
      </c>
      <c r="H233" s="17" t="n">
        <f aca="false">Kawasan!$B$27*D233</f>
        <v>1666.56</v>
      </c>
      <c r="I233" s="17" t="n">
        <f aca="false">E233*Desain_Kolam!$B$9/1000</f>
        <v>838.067375</v>
      </c>
      <c r="J233" s="17" t="n">
        <f aca="false">F233+G233-H233-I233</f>
        <v>4492.197625</v>
      </c>
      <c r="K233" s="17" t="n">
        <f aca="false">K232+J233</f>
        <v>46789.73625</v>
      </c>
      <c r="L233" s="17" t="n">
        <f aca="false">MAX(L232,K233)</f>
        <v>46789.73625</v>
      </c>
      <c r="M233" s="17" t="n">
        <f aca="false">L233-K233</f>
        <v>0</v>
      </c>
      <c r="N233" s="17" t="n">
        <f aca="false">MIN(Desain_Kolam!$B$21,MAX(0,N232+F233+G233-H233-I233))</f>
        <v>15823.566675</v>
      </c>
      <c r="O233" s="6" t="n">
        <f aca="false">IF(N232+F233+G233-I233&gt;=H233,1,0)</f>
        <v>1</v>
      </c>
    </row>
    <row r="234" customFormat="false" ht="15" hidden="false" customHeight="false" outlineLevel="0" collapsed="false">
      <c r="A234" s="6" t="n">
        <v>2016</v>
      </c>
      <c r="B234" s="6" t="n">
        <v>6</v>
      </c>
      <c r="C234" s="4" t="n">
        <v>279</v>
      </c>
      <c r="D234" s="6" t="n">
        <v>30</v>
      </c>
      <c r="E234" s="4" t="n">
        <f aca="false">INDEX(Evaporasi!$B$5:$B$16,MATCH(B234,Evaporasi!$A$5:$A$16,0))</f>
        <v>150.17</v>
      </c>
      <c r="F234" s="17" t="n">
        <f aca="false">Kawasan!$B$11*Kawasan!$B$9*C234/1000</f>
        <v>2321.28</v>
      </c>
      <c r="G234" s="17" t="n">
        <f aca="false">C234*Desain_Kolam!$B$9/1000</f>
        <v>1476.6075</v>
      </c>
      <c r="H234" s="17" t="n">
        <f aca="false">Kawasan!$B$27*D234</f>
        <v>1612.8</v>
      </c>
      <c r="I234" s="17" t="n">
        <f aca="false">E234*Desain_Kolam!$B$9/1000</f>
        <v>794.774725</v>
      </c>
      <c r="J234" s="17" t="n">
        <f aca="false">F234+G234-H234-I234</f>
        <v>1390.312775</v>
      </c>
      <c r="K234" s="17" t="n">
        <f aca="false">K233+J234</f>
        <v>48180.049025</v>
      </c>
      <c r="L234" s="17" t="n">
        <f aca="false">MAX(L233,K234)</f>
        <v>48180.049025</v>
      </c>
      <c r="M234" s="17" t="n">
        <f aca="false">L234-K234</f>
        <v>0</v>
      </c>
      <c r="N234" s="17" t="n">
        <f aca="false">MIN(Desain_Kolam!$B$21,MAX(0,N233+F234+G234-H234-I234))</f>
        <v>15823.566675</v>
      </c>
      <c r="O234" s="6" t="n">
        <f aca="false">IF(N233+F234+G234-I234&gt;=H234,1,0)</f>
        <v>1</v>
      </c>
    </row>
    <row r="235" customFormat="false" ht="15" hidden="false" customHeight="false" outlineLevel="0" collapsed="false">
      <c r="A235" s="6" t="n">
        <v>2016</v>
      </c>
      <c r="B235" s="6" t="n">
        <v>7</v>
      </c>
      <c r="C235" s="4" t="n">
        <v>254</v>
      </c>
      <c r="D235" s="6" t="n">
        <v>31</v>
      </c>
      <c r="E235" s="4" t="n">
        <f aca="false">INDEX(Evaporasi!$B$5:$B$16,MATCH(B235,Evaporasi!$A$5:$A$16,0))</f>
        <v>160.84</v>
      </c>
      <c r="F235" s="17" t="n">
        <f aca="false">Kawasan!$B$11*Kawasan!$B$9*C235/1000</f>
        <v>2113.28</v>
      </c>
      <c r="G235" s="17" t="n">
        <f aca="false">C235*Desain_Kolam!$B$9/1000</f>
        <v>1344.295</v>
      </c>
      <c r="H235" s="17" t="n">
        <f aca="false">Kawasan!$B$27*D235</f>
        <v>1666.56</v>
      </c>
      <c r="I235" s="17" t="n">
        <f aca="false">E235*Desain_Kolam!$B$9/1000</f>
        <v>851.2457</v>
      </c>
      <c r="J235" s="17" t="n">
        <f aca="false">F235+G235-H235-I235</f>
        <v>939.7693</v>
      </c>
      <c r="K235" s="17" t="n">
        <f aca="false">K234+J235</f>
        <v>49119.818325</v>
      </c>
      <c r="L235" s="17" t="n">
        <f aca="false">MAX(L234,K235)</f>
        <v>49119.818325</v>
      </c>
      <c r="M235" s="17" t="n">
        <f aca="false">L235-K235</f>
        <v>0</v>
      </c>
      <c r="N235" s="17" t="n">
        <f aca="false">MIN(Desain_Kolam!$B$21,MAX(0,N234+F235+G235-H235-I235))</f>
        <v>15823.566675</v>
      </c>
      <c r="O235" s="6" t="n">
        <f aca="false">IF(N234+F235+G235-I235&gt;=H235,1,0)</f>
        <v>1</v>
      </c>
    </row>
    <row r="236" customFormat="false" ht="15" hidden="false" customHeight="false" outlineLevel="0" collapsed="false">
      <c r="A236" s="6" t="n">
        <v>2016</v>
      </c>
      <c r="B236" s="6" t="n">
        <v>8</v>
      </c>
      <c r="C236" s="4" t="n">
        <v>14</v>
      </c>
      <c r="D236" s="6" t="n">
        <v>31</v>
      </c>
      <c r="E236" s="4" t="n">
        <f aca="false">INDEX(Evaporasi!$B$5:$B$16,MATCH(B236,Evaporasi!$A$5:$A$16,0))</f>
        <v>161.16</v>
      </c>
      <c r="F236" s="17" t="n">
        <f aca="false">Kawasan!$B$11*Kawasan!$B$9*C236/1000</f>
        <v>116.48</v>
      </c>
      <c r="G236" s="17" t="n">
        <f aca="false">C236*Desain_Kolam!$B$9/1000</f>
        <v>74.095</v>
      </c>
      <c r="H236" s="17" t="n">
        <f aca="false">Kawasan!$B$27*D236</f>
        <v>1666.56</v>
      </c>
      <c r="I236" s="17" t="n">
        <f aca="false">E236*Desain_Kolam!$B$9/1000</f>
        <v>852.9393</v>
      </c>
      <c r="J236" s="17" t="n">
        <f aca="false">F236+G236-H236-I236</f>
        <v>-2328.9243</v>
      </c>
      <c r="K236" s="17" t="n">
        <f aca="false">K235+J236</f>
        <v>46790.894025</v>
      </c>
      <c r="L236" s="17" t="n">
        <f aca="false">MAX(L235,K236)</f>
        <v>49119.818325</v>
      </c>
      <c r="M236" s="17" t="n">
        <f aca="false">L236-K236</f>
        <v>2328.9243</v>
      </c>
      <c r="N236" s="17" t="n">
        <f aca="false">MIN(Desain_Kolam!$B$21,MAX(0,N235+F236+G236-H236-I236))</f>
        <v>13494.642375</v>
      </c>
      <c r="O236" s="6" t="n">
        <f aca="false">IF(N235+F236+G236-I236&gt;=H236,1,0)</f>
        <v>1</v>
      </c>
    </row>
    <row r="237" customFormat="false" ht="15" hidden="false" customHeight="false" outlineLevel="0" collapsed="false">
      <c r="A237" s="6" t="n">
        <v>2016</v>
      </c>
      <c r="B237" s="6" t="n">
        <v>9</v>
      </c>
      <c r="C237" s="4" t="n">
        <v>200</v>
      </c>
      <c r="D237" s="6" t="n">
        <v>30</v>
      </c>
      <c r="E237" s="4" t="n">
        <f aca="false">INDEX(Evaporasi!$B$5:$B$16,MATCH(B237,Evaporasi!$A$5:$A$16,0))</f>
        <v>159.21</v>
      </c>
      <c r="F237" s="17" t="n">
        <f aca="false">Kawasan!$B$11*Kawasan!$B$9*C237/1000</f>
        <v>1664</v>
      </c>
      <c r="G237" s="17" t="n">
        <f aca="false">C237*Desain_Kolam!$B$9/1000</f>
        <v>1058.5</v>
      </c>
      <c r="H237" s="17" t="n">
        <f aca="false">Kawasan!$B$27*D237</f>
        <v>1612.8</v>
      </c>
      <c r="I237" s="17" t="n">
        <f aca="false">E237*Desain_Kolam!$B$9/1000</f>
        <v>842.618925</v>
      </c>
      <c r="J237" s="17" t="n">
        <f aca="false">F237+G237-H237-I237</f>
        <v>267.081075</v>
      </c>
      <c r="K237" s="17" t="n">
        <f aca="false">K236+J237</f>
        <v>47057.9751</v>
      </c>
      <c r="L237" s="17" t="n">
        <f aca="false">MAX(L236,K237)</f>
        <v>49119.818325</v>
      </c>
      <c r="M237" s="17" t="n">
        <f aca="false">L237-K237</f>
        <v>2061.843225</v>
      </c>
      <c r="N237" s="17" t="n">
        <f aca="false">MIN(Desain_Kolam!$B$21,MAX(0,N236+F237+G237-H237-I237))</f>
        <v>13761.72345</v>
      </c>
      <c r="O237" s="6" t="n">
        <f aca="false">IF(N236+F237+G237-I237&gt;=H237,1,0)</f>
        <v>1</v>
      </c>
    </row>
    <row r="238" customFormat="false" ht="15" hidden="false" customHeight="false" outlineLevel="0" collapsed="false">
      <c r="A238" s="6" t="n">
        <v>2016</v>
      </c>
      <c r="B238" s="6" t="n">
        <v>10</v>
      </c>
      <c r="C238" s="4" t="n">
        <v>302</v>
      </c>
      <c r="D238" s="6" t="n">
        <v>31</v>
      </c>
      <c r="E238" s="4" t="n">
        <f aca="false">INDEX(Evaporasi!$B$5:$B$16,MATCH(B238,Evaporasi!$A$5:$A$16,0))</f>
        <v>151.5</v>
      </c>
      <c r="F238" s="17" t="n">
        <f aca="false">Kawasan!$B$11*Kawasan!$B$9*C238/1000</f>
        <v>2512.64</v>
      </c>
      <c r="G238" s="17" t="n">
        <f aca="false">C238*Desain_Kolam!$B$9/1000</f>
        <v>1598.335</v>
      </c>
      <c r="H238" s="17" t="n">
        <f aca="false">Kawasan!$B$27*D238</f>
        <v>1666.56</v>
      </c>
      <c r="I238" s="17" t="n">
        <f aca="false">E238*Desain_Kolam!$B$9/1000</f>
        <v>801.81375</v>
      </c>
      <c r="J238" s="17" t="n">
        <f aca="false">F238+G238-H238-I238</f>
        <v>1642.60125</v>
      </c>
      <c r="K238" s="17" t="n">
        <f aca="false">K237+J238</f>
        <v>48700.57635</v>
      </c>
      <c r="L238" s="17" t="n">
        <f aca="false">MAX(L237,K238)</f>
        <v>49119.818325</v>
      </c>
      <c r="M238" s="17" t="n">
        <f aca="false">L238-K238</f>
        <v>419.241974999997</v>
      </c>
      <c r="N238" s="17" t="n">
        <f aca="false">MIN(Desain_Kolam!$B$21,MAX(0,N237+F238+G238-H238-I238))</f>
        <v>15404.3247</v>
      </c>
      <c r="O238" s="6" t="n">
        <f aca="false">IF(N237+F238+G238-I238&gt;=H238,1,0)</f>
        <v>1</v>
      </c>
    </row>
    <row r="239" customFormat="false" ht="15" hidden="false" customHeight="false" outlineLevel="0" collapsed="false">
      <c r="A239" s="6" t="n">
        <v>2016</v>
      </c>
      <c r="B239" s="6" t="n">
        <v>11</v>
      </c>
      <c r="C239" s="4" t="n">
        <v>256</v>
      </c>
      <c r="D239" s="6" t="n">
        <v>30</v>
      </c>
      <c r="E239" s="4" t="n">
        <f aca="false">INDEX(Evaporasi!$B$5:$B$16,MATCH(B239,Evaporasi!$A$5:$A$16,0))</f>
        <v>142.3</v>
      </c>
      <c r="F239" s="17" t="n">
        <f aca="false">Kawasan!$B$11*Kawasan!$B$9*C239/1000</f>
        <v>2129.92</v>
      </c>
      <c r="G239" s="17" t="n">
        <f aca="false">C239*Desain_Kolam!$B$9/1000</f>
        <v>1354.88</v>
      </c>
      <c r="H239" s="17" t="n">
        <f aca="false">Kawasan!$B$27*D239</f>
        <v>1612.8</v>
      </c>
      <c r="I239" s="17" t="n">
        <f aca="false">E239*Desain_Kolam!$B$9/1000</f>
        <v>753.12275</v>
      </c>
      <c r="J239" s="17" t="n">
        <f aca="false">F239+G239-H239-I239</f>
        <v>1118.87725</v>
      </c>
      <c r="K239" s="17" t="n">
        <f aca="false">K238+J239</f>
        <v>49819.4536</v>
      </c>
      <c r="L239" s="17" t="n">
        <f aca="false">MAX(L238,K239)</f>
        <v>49819.4536</v>
      </c>
      <c r="M239" s="17" t="n">
        <f aca="false">L239-K239</f>
        <v>0</v>
      </c>
      <c r="N239" s="17" t="n">
        <f aca="false">MIN(Desain_Kolam!$B$21,MAX(0,N238+F239+G239-H239-I239))</f>
        <v>15823.566675</v>
      </c>
      <c r="O239" s="6" t="n">
        <f aca="false">IF(N238+F239+G239-I239&gt;=H239,1,0)</f>
        <v>1</v>
      </c>
    </row>
    <row r="240" customFormat="false" ht="15" hidden="false" customHeight="false" outlineLevel="0" collapsed="false">
      <c r="A240" s="6" t="n">
        <v>2016</v>
      </c>
      <c r="B240" s="6" t="n">
        <v>12</v>
      </c>
      <c r="C240" s="4" t="n">
        <v>305</v>
      </c>
      <c r="D240" s="6" t="n">
        <v>31</v>
      </c>
      <c r="E240" s="4" t="n">
        <f aca="false">INDEX(Evaporasi!$B$5:$B$16,MATCH(B240,Evaporasi!$A$5:$A$16,0))</f>
        <v>145.07</v>
      </c>
      <c r="F240" s="17" t="n">
        <f aca="false">Kawasan!$B$11*Kawasan!$B$9*C240/1000</f>
        <v>2537.6</v>
      </c>
      <c r="G240" s="17" t="n">
        <f aca="false">C240*Desain_Kolam!$B$9/1000</f>
        <v>1614.2125</v>
      </c>
      <c r="H240" s="17" t="n">
        <f aca="false">Kawasan!$B$27*D240</f>
        <v>1666.56</v>
      </c>
      <c r="I240" s="17" t="n">
        <f aca="false">E240*Desain_Kolam!$B$9/1000</f>
        <v>767.782975</v>
      </c>
      <c r="J240" s="17" t="n">
        <f aca="false">F240+G240-H240-I240</f>
        <v>1717.469525</v>
      </c>
      <c r="K240" s="17" t="n">
        <f aca="false">K239+J240</f>
        <v>51536.923125</v>
      </c>
      <c r="L240" s="17" t="n">
        <f aca="false">MAX(L239,K240)</f>
        <v>51536.923125</v>
      </c>
      <c r="M240" s="17" t="n">
        <f aca="false">L240-K240</f>
        <v>0</v>
      </c>
      <c r="N240" s="17" t="n">
        <f aca="false">MIN(Desain_Kolam!$B$21,MAX(0,N239+F240+G240-H240-I240))</f>
        <v>15823.566675</v>
      </c>
      <c r="O240" s="6" t="n">
        <f aca="false">IF(N239+F240+G240-I240&gt;=H240,1,0)</f>
        <v>1</v>
      </c>
    </row>
    <row r="241" customFormat="false" ht="15" hidden="false" customHeight="false" outlineLevel="0" collapsed="false">
      <c r="A241" s="6" t="n">
        <v>2017</v>
      </c>
      <c r="B241" s="6" t="n">
        <v>1</v>
      </c>
      <c r="C241" s="4" t="n">
        <v>212</v>
      </c>
      <c r="D241" s="6" t="n">
        <v>31</v>
      </c>
      <c r="E241" s="4" t="n">
        <f aca="false">INDEX(Evaporasi!$B$5:$B$16,MATCH(B241,Evaporasi!$A$5:$A$16,0))</f>
        <v>149.98</v>
      </c>
      <c r="F241" s="17" t="n">
        <f aca="false">Kawasan!$B$11*Kawasan!$B$9*C241/1000</f>
        <v>1763.84</v>
      </c>
      <c r="G241" s="17" t="n">
        <f aca="false">C241*Desain_Kolam!$B$9/1000</f>
        <v>1122.01</v>
      </c>
      <c r="H241" s="17" t="n">
        <f aca="false">Kawasan!$B$27*D241</f>
        <v>1666.56</v>
      </c>
      <c r="I241" s="17" t="n">
        <f aca="false">E241*Desain_Kolam!$B$9/1000</f>
        <v>793.76915</v>
      </c>
      <c r="J241" s="17" t="n">
        <f aca="false">F241+G241-H241-I241</f>
        <v>425.52085</v>
      </c>
      <c r="K241" s="17" t="n">
        <f aca="false">K240+J241</f>
        <v>51962.443975</v>
      </c>
      <c r="L241" s="17" t="n">
        <f aca="false">MAX(L240,K241)</f>
        <v>51962.443975</v>
      </c>
      <c r="M241" s="17" t="n">
        <f aca="false">L241-K241</f>
        <v>0</v>
      </c>
      <c r="N241" s="17" t="n">
        <f aca="false">MIN(Desain_Kolam!$B$21,MAX(0,N240+F241+G241-H241-I241))</f>
        <v>15823.566675</v>
      </c>
      <c r="O241" s="6" t="n">
        <f aca="false">IF(N240+F241+G241-I241&gt;=H241,1,0)</f>
        <v>1</v>
      </c>
    </row>
    <row r="242" customFormat="false" ht="15" hidden="false" customHeight="false" outlineLevel="0" collapsed="false">
      <c r="A242" s="6" t="n">
        <v>2017</v>
      </c>
      <c r="B242" s="6" t="n">
        <v>2</v>
      </c>
      <c r="C242" s="4" t="n">
        <v>198</v>
      </c>
      <c r="D242" s="6" t="n">
        <v>28</v>
      </c>
      <c r="E242" s="4" t="n">
        <f aca="false">INDEX(Evaporasi!$B$5:$B$16,MATCH(B242,Evaporasi!$A$5:$A$16,0))</f>
        <v>148.64</v>
      </c>
      <c r="F242" s="17" t="n">
        <f aca="false">Kawasan!$B$11*Kawasan!$B$9*C242/1000</f>
        <v>1647.36</v>
      </c>
      <c r="G242" s="17" t="n">
        <f aca="false">C242*Desain_Kolam!$B$9/1000</f>
        <v>1047.915</v>
      </c>
      <c r="H242" s="17" t="n">
        <f aca="false">Kawasan!$B$27*D242</f>
        <v>1505.28</v>
      </c>
      <c r="I242" s="17" t="n">
        <f aca="false">E242*Desain_Kolam!$B$9/1000</f>
        <v>786.6772</v>
      </c>
      <c r="J242" s="17" t="n">
        <f aca="false">F242+G242-H242-I242</f>
        <v>403.3178</v>
      </c>
      <c r="K242" s="17" t="n">
        <f aca="false">K241+J242</f>
        <v>52365.761775</v>
      </c>
      <c r="L242" s="17" t="n">
        <f aca="false">MAX(L241,K242)</f>
        <v>52365.761775</v>
      </c>
      <c r="M242" s="17" t="n">
        <f aca="false">L242-K242</f>
        <v>0</v>
      </c>
      <c r="N242" s="17" t="n">
        <f aca="false">MIN(Desain_Kolam!$B$21,MAX(0,N241+F242+G242-H242-I242))</f>
        <v>15823.566675</v>
      </c>
      <c r="O242" s="6" t="n">
        <f aca="false">IF(N241+F242+G242-I242&gt;=H242,1,0)</f>
        <v>1</v>
      </c>
    </row>
    <row r="243" customFormat="false" ht="15" hidden="false" customHeight="false" outlineLevel="0" collapsed="false">
      <c r="A243" s="6" t="n">
        <v>2017</v>
      </c>
      <c r="B243" s="6" t="n">
        <v>3</v>
      </c>
      <c r="C243" s="4" t="n">
        <v>310</v>
      </c>
      <c r="D243" s="6" t="n">
        <v>31</v>
      </c>
      <c r="E243" s="4" t="n">
        <f aca="false">INDEX(Evaporasi!$B$5:$B$16,MATCH(B243,Evaporasi!$A$5:$A$16,0))</f>
        <v>166.18</v>
      </c>
      <c r="F243" s="17" t="n">
        <f aca="false">Kawasan!$B$11*Kawasan!$B$9*C243/1000</f>
        <v>2579.2</v>
      </c>
      <c r="G243" s="17" t="n">
        <f aca="false">C243*Desain_Kolam!$B$9/1000</f>
        <v>1640.675</v>
      </c>
      <c r="H243" s="17" t="n">
        <f aca="false">Kawasan!$B$27*D243</f>
        <v>1666.56</v>
      </c>
      <c r="I243" s="17" t="n">
        <f aca="false">E243*Desain_Kolam!$B$9/1000</f>
        <v>879.50765</v>
      </c>
      <c r="J243" s="17" t="n">
        <f aca="false">F243+G243-H243-I243</f>
        <v>1673.80735</v>
      </c>
      <c r="K243" s="17" t="n">
        <f aca="false">K242+J243</f>
        <v>54039.569125</v>
      </c>
      <c r="L243" s="17" t="n">
        <f aca="false">MAX(L242,K243)</f>
        <v>54039.569125</v>
      </c>
      <c r="M243" s="17" t="n">
        <f aca="false">L243-K243</f>
        <v>0</v>
      </c>
      <c r="N243" s="17" t="n">
        <f aca="false">MIN(Desain_Kolam!$B$21,MAX(0,N242+F243+G243-H243-I243))</f>
        <v>15823.566675</v>
      </c>
      <c r="O243" s="6" t="n">
        <f aca="false">IF(N242+F243+G243-I243&gt;=H243,1,0)</f>
        <v>1</v>
      </c>
    </row>
    <row r="244" customFormat="false" ht="15" hidden="false" customHeight="false" outlineLevel="0" collapsed="false">
      <c r="A244" s="6" t="n">
        <v>2017</v>
      </c>
      <c r="B244" s="6" t="n">
        <v>4</v>
      </c>
      <c r="C244" s="4" t="n">
        <v>216</v>
      </c>
      <c r="D244" s="6" t="n">
        <v>30</v>
      </c>
      <c r="E244" s="4" t="n">
        <f aca="false">INDEX(Evaporasi!$B$5:$B$16,MATCH(B244,Evaporasi!$A$5:$A$16,0))</f>
        <v>157.75</v>
      </c>
      <c r="F244" s="17" t="n">
        <f aca="false">Kawasan!$B$11*Kawasan!$B$9*C244/1000</f>
        <v>1797.12</v>
      </c>
      <c r="G244" s="17" t="n">
        <f aca="false">C244*Desain_Kolam!$B$9/1000</f>
        <v>1143.18</v>
      </c>
      <c r="H244" s="17" t="n">
        <f aca="false">Kawasan!$B$27*D244</f>
        <v>1612.8</v>
      </c>
      <c r="I244" s="17" t="n">
        <f aca="false">E244*Desain_Kolam!$B$9/1000</f>
        <v>834.891875</v>
      </c>
      <c r="J244" s="17" t="n">
        <f aca="false">F244+G244-H244-I244</f>
        <v>492.608125</v>
      </c>
      <c r="K244" s="17" t="n">
        <f aca="false">K243+J244</f>
        <v>54532.17725</v>
      </c>
      <c r="L244" s="17" t="n">
        <f aca="false">MAX(L243,K244)</f>
        <v>54532.17725</v>
      </c>
      <c r="M244" s="17" t="n">
        <f aca="false">L244-K244</f>
        <v>0</v>
      </c>
      <c r="N244" s="17" t="n">
        <f aca="false">MIN(Desain_Kolam!$B$21,MAX(0,N243+F244+G244-H244-I244))</f>
        <v>15823.566675</v>
      </c>
      <c r="O244" s="6" t="n">
        <f aca="false">IF(N243+F244+G244-I244&gt;=H244,1,0)</f>
        <v>1</v>
      </c>
    </row>
    <row r="245" customFormat="false" ht="15" hidden="false" customHeight="false" outlineLevel="0" collapsed="false">
      <c r="A245" s="6" t="n">
        <v>2017</v>
      </c>
      <c r="B245" s="6" t="n">
        <v>5</v>
      </c>
      <c r="C245" s="4" t="n">
        <v>314</v>
      </c>
      <c r="D245" s="6" t="n">
        <v>31</v>
      </c>
      <c r="E245" s="4" t="n">
        <f aca="false">INDEX(Evaporasi!$B$5:$B$16,MATCH(B245,Evaporasi!$A$5:$A$16,0))</f>
        <v>158.35</v>
      </c>
      <c r="F245" s="17" t="n">
        <f aca="false">Kawasan!$B$11*Kawasan!$B$9*C245/1000</f>
        <v>2612.48</v>
      </c>
      <c r="G245" s="17" t="n">
        <f aca="false">C245*Desain_Kolam!$B$9/1000</f>
        <v>1661.845</v>
      </c>
      <c r="H245" s="17" t="n">
        <f aca="false">Kawasan!$B$27*D245</f>
        <v>1666.56</v>
      </c>
      <c r="I245" s="17" t="n">
        <f aca="false">E245*Desain_Kolam!$B$9/1000</f>
        <v>838.067375</v>
      </c>
      <c r="J245" s="17" t="n">
        <f aca="false">F245+G245-H245-I245</f>
        <v>1769.697625</v>
      </c>
      <c r="K245" s="17" t="n">
        <f aca="false">K244+J245</f>
        <v>56301.874875</v>
      </c>
      <c r="L245" s="17" t="n">
        <f aca="false">MAX(L244,K245)</f>
        <v>56301.874875</v>
      </c>
      <c r="M245" s="17" t="n">
        <f aca="false">L245-K245</f>
        <v>0</v>
      </c>
      <c r="N245" s="17" t="n">
        <f aca="false">MIN(Desain_Kolam!$B$21,MAX(0,N244+F245+G245-H245-I245))</f>
        <v>15823.566675</v>
      </c>
      <c r="O245" s="6" t="n">
        <f aca="false">IF(N244+F245+G245-I245&gt;=H245,1,0)</f>
        <v>1</v>
      </c>
    </row>
    <row r="246" customFormat="false" ht="15" hidden="false" customHeight="false" outlineLevel="0" collapsed="false">
      <c r="A246" s="6" t="n">
        <v>2017</v>
      </c>
      <c r="B246" s="6" t="n">
        <v>6</v>
      </c>
      <c r="C246" s="4" t="n">
        <v>248</v>
      </c>
      <c r="D246" s="6" t="n">
        <v>30</v>
      </c>
      <c r="E246" s="4" t="n">
        <f aca="false">INDEX(Evaporasi!$B$5:$B$16,MATCH(B246,Evaporasi!$A$5:$A$16,0))</f>
        <v>150.17</v>
      </c>
      <c r="F246" s="17" t="n">
        <f aca="false">Kawasan!$B$11*Kawasan!$B$9*C246/1000</f>
        <v>2063.36</v>
      </c>
      <c r="G246" s="17" t="n">
        <f aca="false">C246*Desain_Kolam!$B$9/1000</f>
        <v>1312.54</v>
      </c>
      <c r="H246" s="17" t="n">
        <f aca="false">Kawasan!$B$27*D246</f>
        <v>1612.8</v>
      </c>
      <c r="I246" s="17" t="n">
        <f aca="false">E246*Desain_Kolam!$B$9/1000</f>
        <v>794.774725</v>
      </c>
      <c r="J246" s="17" t="n">
        <f aca="false">F246+G246-H246-I246</f>
        <v>968.325275</v>
      </c>
      <c r="K246" s="17" t="n">
        <f aca="false">K245+J246</f>
        <v>57270.20015</v>
      </c>
      <c r="L246" s="17" t="n">
        <f aca="false">MAX(L245,K246)</f>
        <v>57270.20015</v>
      </c>
      <c r="M246" s="17" t="n">
        <f aca="false">L246-K246</f>
        <v>0</v>
      </c>
      <c r="N246" s="17" t="n">
        <f aca="false">MIN(Desain_Kolam!$B$21,MAX(0,N245+F246+G246-H246-I246))</f>
        <v>15823.566675</v>
      </c>
      <c r="O246" s="6" t="n">
        <f aca="false">IF(N245+F246+G246-I246&gt;=H246,1,0)</f>
        <v>1</v>
      </c>
    </row>
    <row r="247" customFormat="false" ht="15" hidden="false" customHeight="false" outlineLevel="0" collapsed="false">
      <c r="A247" s="6" t="n">
        <v>2017</v>
      </c>
      <c r="B247" s="6" t="n">
        <v>7</v>
      </c>
      <c r="C247" s="4" t="n">
        <v>279</v>
      </c>
      <c r="D247" s="6" t="n">
        <v>31</v>
      </c>
      <c r="E247" s="4" t="n">
        <f aca="false">INDEX(Evaporasi!$B$5:$B$16,MATCH(B247,Evaporasi!$A$5:$A$16,0))</f>
        <v>160.84</v>
      </c>
      <c r="F247" s="17" t="n">
        <f aca="false">Kawasan!$B$11*Kawasan!$B$9*C247/1000</f>
        <v>2321.28</v>
      </c>
      <c r="G247" s="17" t="n">
        <f aca="false">C247*Desain_Kolam!$B$9/1000</f>
        <v>1476.6075</v>
      </c>
      <c r="H247" s="17" t="n">
        <f aca="false">Kawasan!$B$27*D247</f>
        <v>1666.56</v>
      </c>
      <c r="I247" s="17" t="n">
        <f aca="false">E247*Desain_Kolam!$B$9/1000</f>
        <v>851.2457</v>
      </c>
      <c r="J247" s="17" t="n">
        <f aca="false">F247+G247-H247-I247</f>
        <v>1280.0818</v>
      </c>
      <c r="K247" s="17" t="n">
        <f aca="false">K246+J247</f>
        <v>58550.28195</v>
      </c>
      <c r="L247" s="17" t="n">
        <f aca="false">MAX(L246,K247)</f>
        <v>58550.28195</v>
      </c>
      <c r="M247" s="17" t="n">
        <f aca="false">L247-K247</f>
        <v>0</v>
      </c>
      <c r="N247" s="17" t="n">
        <f aca="false">MIN(Desain_Kolam!$B$21,MAX(0,N246+F247+G247-H247-I247))</f>
        <v>15823.566675</v>
      </c>
      <c r="O247" s="6" t="n">
        <f aca="false">IF(N246+F247+G247-I247&gt;=H247,1,0)</f>
        <v>1</v>
      </c>
    </row>
    <row r="248" customFormat="false" ht="15" hidden="false" customHeight="false" outlineLevel="0" collapsed="false">
      <c r="A248" s="6" t="n">
        <v>2017</v>
      </c>
      <c r="B248" s="6" t="n">
        <v>8</v>
      </c>
      <c r="C248" s="4" t="n">
        <v>321</v>
      </c>
      <c r="D248" s="6" t="n">
        <v>31</v>
      </c>
      <c r="E248" s="4" t="n">
        <f aca="false">INDEX(Evaporasi!$B$5:$B$16,MATCH(B248,Evaporasi!$A$5:$A$16,0))</f>
        <v>161.16</v>
      </c>
      <c r="F248" s="17" t="n">
        <f aca="false">Kawasan!$B$11*Kawasan!$B$9*C248/1000</f>
        <v>2670.72</v>
      </c>
      <c r="G248" s="17" t="n">
        <f aca="false">C248*Desain_Kolam!$B$9/1000</f>
        <v>1698.8925</v>
      </c>
      <c r="H248" s="17" t="n">
        <f aca="false">Kawasan!$B$27*D248</f>
        <v>1666.56</v>
      </c>
      <c r="I248" s="17" t="n">
        <f aca="false">E248*Desain_Kolam!$B$9/1000</f>
        <v>852.9393</v>
      </c>
      <c r="J248" s="17" t="n">
        <f aca="false">F248+G248-H248-I248</f>
        <v>1850.1132</v>
      </c>
      <c r="K248" s="17" t="n">
        <f aca="false">K247+J248</f>
        <v>60400.39515</v>
      </c>
      <c r="L248" s="17" t="n">
        <f aca="false">MAX(L247,K248)</f>
        <v>60400.39515</v>
      </c>
      <c r="M248" s="17" t="n">
        <f aca="false">L248-K248</f>
        <v>0</v>
      </c>
      <c r="N248" s="17" t="n">
        <f aca="false">MIN(Desain_Kolam!$B$21,MAX(0,N247+F248+G248-H248-I248))</f>
        <v>15823.566675</v>
      </c>
      <c r="O248" s="6" t="n">
        <f aca="false">IF(N247+F248+G248-I248&gt;=H248,1,0)</f>
        <v>1</v>
      </c>
    </row>
    <row r="249" customFormat="false" ht="15" hidden="false" customHeight="false" outlineLevel="0" collapsed="false">
      <c r="A249" s="6" t="n">
        <v>2017</v>
      </c>
      <c r="B249" s="6" t="n">
        <v>9</v>
      </c>
      <c r="C249" s="4" t="n">
        <v>122</v>
      </c>
      <c r="D249" s="6" t="n">
        <v>30</v>
      </c>
      <c r="E249" s="4" t="n">
        <f aca="false">INDEX(Evaporasi!$B$5:$B$16,MATCH(B249,Evaporasi!$A$5:$A$16,0))</f>
        <v>159.21</v>
      </c>
      <c r="F249" s="17" t="n">
        <f aca="false">Kawasan!$B$11*Kawasan!$B$9*C249/1000</f>
        <v>1015.04</v>
      </c>
      <c r="G249" s="17" t="n">
        <f aca="false">C249*Desain_Kolam!$B$9/1000</f>
        <v>645.685</v>
      </c>
      <c r="H249" s="17" t="n">
        <f aca="false">Kawasan!$B$27*D249</f>
        <v>1612.8</v>
      </c>
      <c r="I249" s="17" t="n">
        <f aca="false">E249*Desain_Kolam!$B$9/1000</f>
        <v>842.618925</v>
      </c>
      <c r="J249" s="17" t="n">
        <f aca="false">F249+G249-H249-I249</f>
        <v>-794.693925</v>
      </c>
      <c r="K249" s="17" t="n">
        <f aca="false">K248+J249</f>
        <v>59605.701225</v>
      </c>
      <c r="L249" s="17" t="n">
        <f aca="false">MAX(L248,K249)</f>
        <v>60400.39515</v>
      </c>
      <c r="M249" s="17" t="n">
        <f aca="false">L249-K249</f>
        <v>794.693925</v>
      </c>
      <c r="N249" s="17" t="n">
        <f aca="false">MIN(Desain_Kolam!$B$21,MAX(0,N248+F249+G249-H249-I249))</f>
        <v>15028.87275</v>
      </c>
      <c r="O249" s="6" t="n">
        <f aca="false">IF(N248+F249+G249-I249&gt;=H249,1,0)</f>
        <v>1</v>
      </c>
    </row>
    <row r="250" customFormat="false" ht="15" hidden="false" customHeight="false" outlineLevel="0" collapsed="false">
      <c r="A250" s="6" t="n">
        <v>2017</v>
      </c>
      <c r="B250" s="6" t="n">
        <v>10</v>
      </c>
      <c r="C250" s="4" t="n">
        <v>107</v>
      </c>
      <c r="D250" s="6" t="n">
        <v>31</v>
      </c>
      <c r="E250" s="4" t="n">
        <f aca="false">INDEX(Evaporasi!$B$5:$B$16,MATCH(B250,Evaporasi!$A$5:$A$16,0))</f>
        <v>151.5</v>
      </c>
      <c r="F250" s="17" t="n">
        <f aca="false">Kawasan!$B$11*Kawasan!$B$9*C250/1000</f>
        <v>890.24</v>
      </c>
      <c r="G250" s="17" t="n">
        <f aca="false">C250*Desain_Kolam!$B$9/1000</f>
        <v>566.2975</v>
      </c>
      <c r="H250" s="17" t="n">
        <f aca="false">Kawasan!$B$27*D250</f>
        <v>1666.56</v>
      </c>
      <c r="I250" s="17" t="n">
        <f aca="false">E250*Desain_Kolam!$B$9/1000</f>
        <v>801.81375</v>
      </c>
      <c r="J250" s="17" t="n">
        <f aca="false">F250+G250-H250-I250</f>
        <v>-1011.83625</v>
      </c>
      <c r="K250" s="17" t="n">
        <f aca="false">K249+J250</f>
        <v>58593.864975</v>
      </c>
      <c r="L250" s="17" t="n">
        <f aca="false">MAX(L249,K250)</f>
        <v>60400.39515</v>
      </c>
      <c r="M250" s="17" t="n">
        <f aca="false">L250-K250</f>
        <v>1806.530175</v>
      </c>
      <c r="N250" s="17" t="n">
        <f aca="false">MIN(Desain_Kolam!$B$21,MAX(0,N249+F250+G250-H250-I250))</f>
        <v>14017.0365</v>
      </c>
      <c r="O250" s="6" t="n">
        <f aca="false">IF(N249+F250+G250-I250&gt;=H250,1,0)</f>
        <v>1</v>
      </c>
    </row>
    <row r="251" customFormat="false" ht="15" hidden="false" customHeight="false" outlineLevel="0" collapsed="false">
      <c r="A251" s="6" t="n">
        <v>2017</v>
      </c>
      <c r="B251" s="6" t="n">
        <v>11</v>
      </c>
      <c r="C251" s="4" t="n">
        <v>184</v>
      </c>
      <c r="D251" s="6" t="n">
        <v>30</v>
      </c>
      <c r="E251" s="4" t="n">
        <f aca="false">INDEX(Evaporasi!$B$5:$B$16,MATCH(B251,Evaporasi!$A$5:$A$16,0))</f>
        <v>142.3</v>
      </c>
      <c r="F251" s="17" t="n">
        <f aca="false">Kawasan!$B$11*Kawasan!$B$9*C251/1000</f>
        <v>1530.88</v>
      </c>
      <c r="G251" s="17" t="n">
        <f aca="false">C251*Desain_Kolam!$B$9/1000</f>
        <v>973.82</v>
      </c>
      <c r="H251" s="17" t="n">
        <f aca="false">Kawasan!$B$27*D251</f>
        <v>1612.8</v>
      </c>
      <c r="I251" s="17" t="n">
        <f aca="false">E251*Desain_Kolam!$B$9/1000</f>
        <v>753.12275</v>
      </c>
      <c r="J251" s="17" t="n">
        <f aca="false">F251+G251-H251-I251</f>
        <v>138.77725</v>
      </c>
      <c r="K251" s="17" t="n">
        <f aca="false">K250+J251</f>
        <v>58732.642225</v>
      </c>
      <c r="L251" s="17" t="n">
        <f aca="false">MAX(L250,K251)</f>
        <v>60400.39515</v>
      </c>
      <c r="M251" s="17" t="n">
        <f aca="false">L251-K251</f>
        <v>1667.752925</v>
      </c>
      <c r="N251" s="17" t="n">
        <f aca="false">MIN(Desain_Kolam!$B$21,MAX(0,N250+F251+G251-H251-I251))</f>
        <v>14155.81375</v>
      </c>
      <c r="O251" s="6" t="n">
        <f aca="false">IF(N250+F251+G251-I251&gt;=H251,1,0)</f>
        <v>1</v>
      </c>
    </row>
    <row r="252" customFormat="false" ht="15" hidden="false" customHeight="false" outlineLevel="0" collapsed="false">
      <c r="A252" s="6" t="n">
        <v>2017</v>
      </c>
      <c r="B252" s="6" t="n">
        <v>12</v>
      </c>
      <c r="C252" s="4" t="n">
        <v>120</v>
      </c>
      <c r="D252" s="6" t="n">
        <v>31</v>
      </c>
      <c r="E252" s="4" t="n">
        <f aca="false">INDEX(Evaporasi!$B$5:$B$16,MATCH(B252,Evaporasi!$A$5:$A$16,0))</f>
        <v>145.07</v>
      </c>
      <c r="F252" s="17" t="n">
        <f aca="false">Kawasan!$B$11*Kawasan!$B$9*C252/1000</f>
        <v>998.4</v>
      </c>
      <c r="G252" s="17" t="n">
        <f aca="false">C252*Desain_Kolam!$B$9/1000</f>
        <v>635.1</v>
      </c>
      <c r="H252" s="17" t="n">
        <f aca="false">Kawasan!$B$27*D252</f>
        <v>1666.56</v>
      </c>
      <c r="I252" s="17" t="n">
        <f aca="false">E252*Desain_Kolam!$B$9/1000</f>
        <v>767.782975</v>
      </c>
      <c r="J252" s="17" t="n">
        <f aca="false">F252+G252-H252-I252</f>
        <v>-800.842975</v>
      </c>
      <c r="K252" s="17" t="n">
        <f aca="false">K251+J252</f>
        <v>57931.79925</v>
      </c>
      <c r="L252" s="17" t="n">
        <f aca="false">MAX(L251,K252)</f>
        <v>60400.39515</v>
      </c>
      <c r="M252" s="17" t="n">
        <f aca="false">L252-K252</f>
        <v>2468.5959</v>
      </c>
      <c r="N252" s="17" t="n">
        <f aca="false">MIN(Desain_Kolam!$B$21,MAX(0,N251+F252+G252-H252-I252))</f>
        <v>13354.970775</v>
      </c>
      <c r="O252" s="6" t="n">
        <f aca="false">IF(N251+F252+G252-I252&gt;=H252,1,0)</f>
        <v>1</v>
      </c>
    </row>
    <row r="253" customFormat="false" ht="15" hidden="false" customHeight="false" outlineLevel="0" collapsed="false">
      <c r="A253" s="6" t="n">
        <v>2018</v>
      </c>
      <c r="B253" s="6" t="n">
        <v>1</v>
      </c>
      <c r="C253" s="4" t="n">
        <v>220</v>
      </c>
      <c r="D253" s="6" t="n">
        <v>31</v>
      </c>
      <c r="E253" s="4" t="n">
        <f aca="false">INDEX(Evaporasi!$B$5:$B$16,MATCH(B253,Evaporasi!$A$5:$A$16,0))</f>
        <v>149.98</v>
      </c>
      <c r="F253" s="17" t="n">
        <f aca="false">Kawasan!$B$11*Kawasan!$B$9*C253/1000</f>
        <v>1830.4</v>
      </c>
      <c r="G253" s="17" t="n">
        <f aca="false">C253*Desain_Kolam!$B$9/1000</f>
        <v>1164.35</v>
      </c>
      <c r="H253" s="17" t="n">
        <f aca="false">Kawasan!$B$27*D253</f>
        <v>1666.56</v>
      </c>
      <c r="I253" s="17" t="n">
        <f aca="false">E253*Desain_Kolam!$B$9/1000</f>
        <v>793.76915</v>
      </c>
      <c r="J253" s="17" t="n">
        <f aca="false">F253+G253-H253-I253</f>
        <v>534.42085</v>
      </c>
      <c r="K253" s="17" t="n">
        <f aca="false">K252+J253</f>
        <v>58466.2201</v>
      </c>
      <c r="L253" s="17" t="n">
        <f aca="false">MAX(L252,K253)</f>
        <v>60400.39515</v>
      </c>
      <c r="M253" s="17" t="n">
        <f aca="false">L253-K253</f>
        <v>1934.17505</v>
      </c>
      <c r="N253" s="17" t="n">
        <f aca="false">MIN(Desain_Kolam!$B$21,MAX(0,N252+F253+G253-H253-I253))</f>
        <v>13889.391625</v>
      </c>
      <c r="O253" s="6" t="n">
        <f aca="false">IF(N252+F253+G253-I253&gt;=H253,1,0)</f>
        <v>1</v>
      </c>
    </row>
    <row r="254" customFormat="false" ht="15" hidden="false" customHeight="false" outlineLevel="0" collapsed="false">
      <c r="A254" s="6" t="n">
        <v>2018</v>
      </c>
      <c r="B254" s="6" t="n">
        <v>2</v>
      </c>
      <c r="C254" s="4" t="n">
        <v>93</v>
      </c>
      <c r="D254" s="6" t="n">
        <v>28</v>
      </c>
      <c r="E254" s="4" t="n">
        <f aca="false">INDEX(Evaporasi!$B$5:$B$16,MATCH(B254,Evaporasi!$A$5:$A$16,0))</f>
        <v>148.64</v>
      </c>
      <c r="F254" s="17" t="n">
        <f aca="false">Kawasan!$B$11*Kawasan!$B$9*C254/1000</f>
        <v>773.76</v>
      </c>
      <c r="G254" s="17" t="n">
        <f aca="false">C254*Desain_Kolam!$B$9/1000</f>
        <v>492.2025</v>
      </c>
      <c r="H254" s="17" t="n">
        <f aca="false">Kawasan!$B$27*D254</f>
        <v>1505.28</v>
      </c>
      <c r="I254" s="17" t="n">
        <f aca="false">E254*Desain_Kolam!$B$9/1000</f>
        <v>786.6772</v>
      </c>
      <c r="J254" s="17" t="n">
        <f aca="false">F254+G254-H254-I254</f>
        <v>-1025.9947</v>
      </c>
      <c r="K254" s="17" t="n">
        <f aca="false">K253+J254</f>
        <v>57440.2254</v>
      </c>
      <c r="L254" s="17" t="n">
        <f aca="false">MAX(L253,K254)</f>
        <v>60400.39515</v>
      </c>
      <c r="M254" s="17" t="n">
        <f aca="false">L254-K254</f>
        <v>2960.16975</v>
      </c>
      <c r="N254" s="17" t="n">
        <f aca="false">MIN(Desain_Kolam!$B$21,MAX(0,N253+F254+G254-H254-I254))</f>
        <v>12863.396925</v>
      </c>
      <c r="O254" s="6" t="n">
        <f aca="false">IF(N253+F254+G254-I254&gt;=H254,1,0)</f>
        <v>1</v>
      </c>
    </row>
    <row r="255" customFormat="false" ht="15" hidden="false" customHeight="false" outlineLevel="0" collapsed="false">
      <c r="A255" s="6" t="n">
        <v>2018</v>
      </c>
      <c r="B255" s="6" t="n">
        <v>3</v>
      </c>
      <c r="C255" s="4" t="n">
        <v>162</v>
      </c>
      <c r="D255" s="6" t="n">
        <v>31</v>
      </c>
      <c r="E255" s="4" t="n">
        <f aca="false">INDEX(Evaporasi!$B$5:$B$16,MATCH(B255,Evaporasi!$A$5:$A$16,0))</f>
        <v>166.18</v>
      </c>
      <c r="F255" s="17" t="n">
        <f aca="false">Kawasan!$B$11*Kawasan!$B$9*C255/1000</f>
        <v>1347.84</v>
      </c>
      <c r="G255" s="17" t="n">
        <f aca="false">C255*Desain_Kolam!$B$9/1000</f>
        <v>857.385</v>
      </c>
      <c r="H255" s="17" t="n">
        <f aca="false">Kawasan!$B$27*D255</f>
        <v>1666.56</v>
      </c>
      <c r="I255" s="17" t="n">
        <f aca="false">E255*Desain_Kolam!$B$9/1000</f>
        <v>879.50765</v>
      </c>
      <c r="J255" s="17" t="n">
        <f aca="false">F255+G255-H255-I255</f>
        <v>-340.84265</v>
      </c>
      <c r="K255" s="17" t="n">
        <f aca="false">K254+J255</f>
        <v>57099.38275</v>
      </c>
      <c r="L255" s="17" t="n">
        <f aca="false">MAX(L254,K255)</f>
        <v>60400.39515</v>
      </c>
      <c r="M255" s="17" t="n">
        <f aca="false">L255-K255</f>
        <v>3301.0124</v>
      </c>
      <c r="N255" s="17" t="n">
        <f aca="false">MIN(Desain_Kolam!$B$21,MAX(0,N254+F255+G255-H255-I255))</f>
        <v>12522.554275</v>
      </c>
      <c r="O255" s="6" t="n">
        <f aca="false">IF(N254+F255+G255-I255&gt;=H255,1,0)</f>
        <v>1</v>
      </c>
    </row>
    <row r="256" customFormat="false" ht="15" hidden="false" customHeight="false" outlineLevel="0" collapsed="false">
      <c r="A256" s="6" t="n">
        <v>2018</v>
      </c>
      <c r="B256" s="6" t="n">
        <v>4</v>
      </c>
      <c r="C256" s="4" t="n">
        <v>135</v>
      </c>
      <c r="D256" s="6" t="n">
        <v>30</v>
      </c>
      <c r="E256" s="4" t="n">
        <f aca="false">INDEX(Evaporasi!$B$5:$B$16,MATCH(B256,Evaporasi!$A$5:$A$16,0))</f>
        <v>157.75</v>
      </c>
      <c r="F256" s="17" t="n">
        <f aca="false">Kawasan!$B$11*Kawasan!$B$9*C256/1000</f>
        <v>1123.2</v>
      </c>
      <c r="G256" s="17" t="n">
        <f aca="false">C256*Desain_Kolam!$B$9/1000</f>
        <v>714.4875</v>
      </c>
      <c r="H256" s="17" t="n">
        <f aca="false">Kawasan!$B$27*D256</f>
        <v>1612.8</v>
      </c>
      <c r="I256" s="17" t="n">
        <f aca="false">E256*Desain_Kolam!$B$9/1000</f>
        <v>834.891875</v>
      </c>
      <c r="J256" s="17" t="n">
        <f aca="false">F256+G256-H256-I256</f>
        <v>-610.004375</v>
      </c>
      <c r="K256" s="17" t="n">
        <f aca="false">K255+J256</f>
        <v>56489.378375</v>
      </c>
      <c r="L256" s="17" t="n">
        <f aca="false">MAX(L255,K256)</f>
        <v>60400.39515</v>
      </c>
      <c r="M256" s="17" t="n">
        <f aca="false">L256-K256</f>
        <v>3911.016775</v>
      </c>
      <c r="N256" s="17" t="n">
        <f aca="false">MIN(Desain_Kolam!$B$21,MAX(0,N255+F256+G256-H256-I256))</f>
        <v>11912.5499</v>
      </c>
      <c r="O256" s="6" t="n">
        <f aca="false">IF(N255+F256+G256-I256&gt;=H256,1,0)</f>
        <v>1</v>
      </c>
    </row>
    <row r="257" customFormat="false" ht="15" hidden="false" customHeight="false" outlineLevel="0" collapsed="false">
      <c r="A257" s="6" t="n">
        <v>2018</v>
      </c>
      <c r="B257" s="6" t="n">
        <v>5</v>
      </c>
      <c r="C257" s="4" t="n">
        <v>214</v>
      </c>
      <c r="D257" s="6" t="n">
        <v>31</v>
      </c>
      <c r="E257" s="4" t="n">
        <f aca="false">INDEX(Evaporasi!$B$5:$B$16,MATCH(B257,Evaporasi!$A$5:$A$16,0))</f>
        <v>158.35</v>
      </c>
      <c r="F257" s="17" t="n">
        <f aca="false">Kawasan!$B$11*Kawasan!$B$9*C257/1000</f>
        <v>1780.48</v>
      </c>
      <c r="G257" s="17" t="n">
        <f aca="false">C257*Desain_Kolam!$B$9/1000</f>
        <v>1132.595</v>
      </c>
      <c r="H257" s="17" t="n">
        <f aca="false">Kawasan!$B$27*D257</f>
        <v>1666.56</v>
      </c>
      <c r="I257" s="17" t="n">
        <f aca="false">E257*Desain_Kolam!$B$9/1000</f>
        <v>838.067375</v>
      </c>
      <c r="J257" s="17" t="n">
        <f aca="false">F257+G257-H257-I257</f>
        <v>408.447625</v>
      </c>
      <c r="K257" s="17" t="n">
        <f aca="false">K256+J257</f>
        <v>56897.826</v>
      </c>
      <c r="L257" s="17" t="n">
        <f aca="false">MAX(L256,K257)</f>
        <v>60400.39515</v>
      </c>
      <c r="M257" s="17" t="n">
        <f aca="false">L257-K257</f>
        <v>3502.56915</v>
      </c>
      <c r="N257" s="17" t="n">
        <f aca="false">MIN(Desain_Kolam!$B$21,MAX(0,N256+F257+G257-H257-I257))</f>
        <v>12320.997525</v>
      </c>
      <c r="O257" s="6" t="n">
        <f aca="false">IF(N256+F257+G257-I257&gt;=H257,1,0)</f>
        <v>1</v>
      </c>
    </row>
    <row r="258" customFormat="false" ht="15" hidden="false" customHeight="false" outlineLevel="0" collapsed="false">
      <c r="A258" s="6" t="n">
        <v>2018</v>
      </c>
      <c r="B258" s="6" t="n">
        <v>6</v>
      </c>
      <c r="C258" s="4" t="n">
        <v>125</v>
      </c>
      <c r="D258" s="6" t="n">
        <v>30</v>
      </c>
      <c r="E258" s="4" t="n">
        <f aca="false">INDEX(Evaporasi!$B$5:$B$16,MATCH(B258,Evaporasi!$A$5:$A$16,0))</f>
        <v>150.17</v>
      </c>
      <c r="F258" s="17" t="n">
        <f aca="false">Kawasan!$B$11*Kawasan!$B$9*C258/1000</f>
        <v>1040</v>
      </c>
      <c r="G258" s="17" t="n">
        <f aca="false">C258*Desain_Kolam!$B$9/1000</f>
        <v>661.5625</v>
      </c>
      <c r="H258" s="17" t="n">
        <f aca="false">Kawasan!$B$27*D258</f>
        <v>1612.8</v>
      </c>
      <c r="I258" s="17" t="n">
        <f aca="false">E258*Desain_Kolam!$B$9/1000</f>
        <v>794.774725</v>
      </c>
      <c r="J258" s="17" t="n">
        <f aca="false">F258+G258-H258-I258</f>
        <v>-706.012225</v>
      </c>
      <c r="K258" s="17" t="n">
        <f aca="false">K257+J258</f>
        <v>56191.813775</v>
      </c>
      <c r="L258" s="17" t="n">
        <f aca="false">MAX(L257,K258)</f>
        <v>60400.39515</v>
      </c>
      <c r="M258" s="17" t="n">
        <f aca="false">L258-K258</f>
        <v>4208.58137499999</v>
      </c>
      <c r="N258" s="17" t="n">
        <f aca="false">MIN(Desain_Kolam!$B$21,MAX(0,N257+F258+G258-H258-I258))</f>
        <v>11614.9853</v>
      </c>
      <c r="O258" s="6" t="n">
        <f aca="false">IF(N257+F258+G258-I258&gt;=H258,1,0)</f>
        <v>1</v>
      </c>
    </row>
    <row r="259" customFormat="false" ht="15" hidden="false" customHeight="false" outlineLevel="0" collapsed="false">
      <c r="A259" s="6" t="n">
        <v>2018</v>
      </c>
      <c r="B259" s="6" t="n">
        <v>7</v>
      </c>
      <c r="C259" s="4" t="n">
        <v>24</v>
      </c>
      <c r="D259" s="6" t="n">
        <v>31</v>
      </c>
      <c r="E259" s="4" t="n">
        <f aca="false">INDEX(Evaporasi!$B$5:$B$16,MATCH(B259,Evaporasi!$A$5:$A$16,0))</f>
        <v>160.84</v>
      </c>
      <c r="F259" s="17" t="n">
        <f aca="false">Kawasan!$B$11*Kawasan!$B$9*C259/1000</f>
        <v>199.68</v>
      </c>
      <c r="G259" s="17" t="n">
        <f aca="false">C259*Desain_Kolam!$B$9/1000</f>
        <v>127.02</v>
      </c>
      <c r="H259" s="17" t="n">
        <f aca="false">Kawasan!$B$27*D259</f>
        <v>1666.56</v>
      </c>
      <c r="I259" s="17" t="n">
        <f aca="false">E259*Desain_Kolam!$B$9/1000</f>
        <v>851.2457</v>
      </c>
      <c r="J259" s="17" t="n">
        <f aca="false">F259+G259-H259-I259</f>
        <v>-2191.1057</v>
      </c>
      <c r="K259" s="17" t="n">
        <f aca="false">K258+J259</f>
        <v>54000.708075</v>
      </c>
      <c r="L259" s="17" t="n">
        <f aca="false">MAX(L258,K259)</f>
        <v>60400.39515</v>
      </c>
      <c r="M259" s="17" t="n">
        <f aca="false">L259-K259</f>
        <v>6399.68707499999</v>
      </c>
      <c r="N259" s="17" t="n">
        <f aca="false">MIN(Desain_Kolam!$B$21,MAX(0,N258+F259+G259-H259-I259))</f>
        <v>9423.87960000002</v>
      </c>
      <c r="O259" s="6" t="n">
        <f aca="false">IF(N258+F259+G259-I259&gt;=H259,1,0)</f>
        <v>1</v>
      </c>
    </row>
    <row r="260" customFormat="false" ht="15" hidden="false" customHeight="false" outlineLevel="0" collapsed="false">
      <c r="A260" s="6" t="n">
        <v>2018</v>
      </c>
      <c r="B260" s="6" t="n">
        <v>8</v>
      </c>
      <c r="C260" s="4" t="n">
        <v>48</v>
      </c>
      <c r="D260" s="6" t="n">
        <v>31</v>
      </c>
      <c r="E260" s="4" t="n">
        <f aca="false">INDEX(Evaporasi!$B$5:$B$16,MATCH(B260,Evaporasi!$A$5:$A$16,0))</f>
        <v>161.16</v>
      </c>
      <c r="F260" s="17" t="n">
        <f aca="false">Kawasan!$B$11*Kawasan!$B$9*C260/1000</f>
        <v>399.36</v>
      </c>
      <c r="G260" s="17" t="n">
        <f aca="false">C260*Desain_Kolam!$B$9/1000</f>
        <v>254.04</v>
      </c>
      <c r="H260" s="17" t="n">
        <f aca="false">Kawasan!$B$27*D260</f>
        <v>1666.56</v>
      </c>
      <c r="I260" s="17" t="n">
        <f aca="false">E260*Desain_Kolam!$B$9/1000</f>
        <v>852.9393</v>
      </c>
      <c r="J260" s="17" t="n">
        <f aca="false">F260+G260-H260-I260</f>
        <v>-1866.0993</v>
      </c>
      <c r="K260" s="17" t="n">
        <f aca="false">K259+J260</f>
        <v>52134.608775</v>
      </c>
      <c r="L260" s="17" t="n">
        <f aca="false">MAX(L259,K260)</f>
        <v>60400.39515</v>
      </c>
      <c r="M260" s="17" t="n">
        <f aca="false">L260-K260</f>
        <v>8265.786375</v>
      </c>
      <c r="N260" s="17" t="n">
        <f aca="false">MIN(Desain_Kolam!$B$21,MAX(0,N259+F260+G260-H260-I260))</f>
        <v>7557.78030000002</v>
      </c>
      <c r="O260" s="6" t="n">
        <f aca="false">IF(N259+F260+G260-I260&gt;=H260,1,0)</f>
        <v>1</v>
      </c>
    </row>
    <row r="261" customFormat="false" ht="15" hidden="false" customHeight="false" outlineLevel="0" collapsed="false">
      <c r="A261" s="6" t="n">
        <v>2018</v>
      </c>
      <c r="B261" s="6" t="n">
        <v>9</v>
      </c>
      <c r="C261" s="4" t="n">
        <v>103</v>
      </c>
      <c r="D261" s="6" t="n">
        <v>30</v>
      </c>
      <c r="E261" s="4" t="n">
        <f aca="false">INDEX(Evaporasi!$B$5:$B$16,MATCH(B261,Evaporasi!$A$5:$A$16,0))</f>
        <v>159.21</v>
      </c>
      <c r="F261" s="17" t="n">
        <f aca="false">Kawasan!$B$11*Kawasan!$B$9*C261/1000</f>
        <v>856.96</v>
      </c>
      <c r="G261" s="17" t="n">
        <f aca="false">C261*Desain_Kolam!$B$9/1000</f>
        <v>545.1275</v>
      </c>
      <c r="H261" s="17" t="n">
        <f aca="false">Kawasan!$B$27*D261</f>
        <v>1612.8</v>
      </c>
      <c r="I261" s="17" t="n">
        <f aca="false">E261*Desain_Kolam!$B$9/1000</f>
        <v>842.618925</v>
      </c>
      <c r="J261" s="17" t="n">
        <f aca="false">F261+G261-H261-I261</f>
        <v>-1053.331425</v>
      </c>
      <c r="K261" s="17" t="n">
        <f aca="false">K260+J261</f>
        <v>51081.27735</v>
      </c>
      <c r="L261" s="17" t="n">
        <f aca="false">MAX(L260,K261)</f>
        <v>60400.39515</v>
      </c>
      <c r="M261" s="17" t="n">
        <f aca="false">L261-K261</f>
        <v>9319.11779999999</v>
      </c>
      <c r="N261" s="17" t="n">
        <f aca="false">MIN(Desain_Kolam!$B$21,MAX(0,N260+F261+G261-H261-I261))</f>
        <v>6504.44887500002</v>
      </c>
      <c r="O261" s="6" t="n">
        <f aca="false">IF(N260+F261+G261-I261&gt;=H261,1,0)</f>
        <v>1</v>
      </c>
    </row>
    <row r="262" customFormat="false" ht="15" hidden="false" customHeight="false" outlineLevel="0" collapsed="false">
      <c r="A262" s="6" t="n">
        <v>2018</v>
      </c>
      <c r="B262" s="6" t="n">
        <v>10</v>
      </c>
      <c r="C262" s="4" t="n">
        <v>176</v>
      </c>
      <c r="D262" s="6" t="n">
        <v>31</v>
      </c>
      <c r="E262" s="4" t="n">
        <f aca="false">INDEX(Evaporasi!$B$5:$B$16,MATCH(B262,Evaporasi!$A$5:$A$16,0))</f>
        <v>151.5</v>
      </c>
      <c r="F262" s="17" t="n">
        <f aca="false">Kawasan!$B$11*Kawasan!$B$9*C262/1000</f>
        <v>1464.32</v>
      </c>
      <c r="G262" s="17" t="n">
        <f aca="false">C262*Desain_Kolam!$B$9/1000</f>
        <v>931.48</v>
      </c>
      <c r="H262" s="17" t="n">
        <f aca="false">Kawasan!$B$27*D262</f>
        <v>1666.56</v>
      </c>
      <c r="I262" s="17" t="n">
        <f aca="false">E262*Desain_Kolam!$B$9/1000</f>
        <v>801.81375</v>
      </c>
      <c r="J262" s="17" t="n">
        <f aca="false">F262+G262-H262-I262</f>
        <v>-72.5737499999998</v>
      </c>
      <c r="K262" s="17" t="n">
        <f aca="false">K261+J262</f>
        <v>51008.7036</v>
      </c>
      <c r="L262" s="17" t="n">
        <f aca="false">MAX(L261,K262)</f>
        <v>60400.39515</v>
      </c>
      <c r="M262" s="17" t="n">
        <f aca="false">L262-K262</f>
        <v>9391.69155</v>
      </c>
      <c r="N262" s="17" t="n">
        <f aca="false">MIN(Desain_Kolam!$B$21,MAX(0,N261+F262+G262-H262-I262))</f>
        <v>6431.87512500002</v>
      </c>
      <c r="O262" s="6" t="n">
        <f aca="false">IF(N261+F262+G262-I262&gt;=H262,1,0)</f>
        <v>1</v>
      </c>
    </row>
    <row r="263" customFormat="false" ht="15" hidden="false" customHeight="false" outlineLevel="0" collapsed="false">
      <c r="A263" s="6" t="n">
        <v>2018</v>
      </c>
      <c r="B263" s="6" t="n">
        <v>11</v>
      </c>
      <c r="C263" s="4" t="n">
        <v>172</v>
      </c>
      <c r="D263" s="6" t="n">
        <v>30</v>
      </c>
      <c r="E263" s="4" t="n">
        <f aca="false">INDEX(Evaporasi!$B$5:$B$16,MATCH(B263,Evaporasi!$A$5:$A$16,0))</f>
        <v>142.3</v>
      </c>
      <c r="F263" s="17" t="n">
        <f aca="false">Kawasan!$B$11*Kawasan!$B$9*C263/1000</f>
        <v>1431.04</v>
      </c>
      <c r="G263" s="17" t="n">
        <f aca="false">C263*Desain_Kolam!$B$9/1000</f>
        <v>910.31</v>
      </c>
      <c r="H263" s="17" t="n">
        <f aca="false">Kawasan!$B$27*D263</f>
        <v>1612.8</v>
      </c>
      <c r="I263" s="17" t="n">
        <f aca="false">E263*Desain_Kolam!$B$9/1000</f>
        <v>753.12275</v>
      </c>
      <c r="J263" s="17" t="n">
        <f aca="false">F263+G263-H263-I263</f>
        <v>-24.5727500000002</v>
      </c>
      <c r="K263" s="17" t="n">
        <f aca="false">K262+J263</f>
        <v>50984.13085</v>
      </c>
      <c r="L263" s="17" t="n">
        <f aca="false">MAX(L262,K263)</f>
        <v>60400.39515</v>
      </c>
      <c r="M263" s="17" t="n">
        <f aca="false">L263-K263</f>
        <v>9416.2643</v>
      </c>
      <c r="N263" s="17" t="n">
        <f aca="false">MIN(Desain_Kolam!$B$21,MAX(0,N262+F263+G263-H263-I263))</f>
        <v>6407.30237500002</v>
      </c>
      <c r="O263" s="6" t="n">
        <f aca="false">IF(N262+F263+G263-I263&gt;=H263,1,0)</f>
        <v>1</v>
      </c>
    </row>
    <row r="264" customFormat="false" ht="15" hidden="false" customHeight="false" outlineLevel="0" collapsed="false">
      <c r="A264" s="6" t="n">
        <v>2018</v>
      </c>
      <c r="B264" s="6" t="n">
        <v>12</v>
      </c>
      <c r="C264" s="4" t="n">
        <v>182</v>
      </c>
      <c r="D264" s="6" t="n">
        <v>31</v>
      </c>
      <c r="E264" s="4" t="n">
        <f aca="false">INDEX(Evaporasi!$B$5:$B$16,MATCH(B264,Evaporasi!$A$5:$A$16,0))</f>
        <v>145.07</v>
      </c>
      <c r="F264" s="17" t="n">
        <f aca="false">Kawasan!$B$11*Kawasan!$B$9*C264/1000</f>
        <v>1514.24</v>
      </c>
      <c r="G264" s="17" t="n">
        <f aca="false">C264*Desain_Kolam!$B$9/1000</f>
        <v>963.235</v>
      </c>
      <c r="H264" s="17" t="n">
        <f aca="false">Kawasan!$B$27*D264</f>
        <v>1666.56</v>
      </c>
      <c r="I264" s="17" t="n">
        <f aca="false">E264*Desain_Kolam!$B$9/1000</f>
        <v>767.782975</v>
      </c>
      <c r="J264" s="17" t="n">
        <f aca="false">F264+G264-H264-I264</f>
        <v>43.132025</v>
      </c>
      <c r="K264" s="17" t="n">
        <f aca="false">K263+J264</f>
        <v>51027.262875</v>
      </c>
      <c r="L264" s="17" t="n">
        <f aca="false">MAX(L263,K264)</f>
        <v>60400.39515</v>
      </c>
      <c r="M264" s="17" t="n">
        <f aca="false">L264-K264</f>
        <v>9373.132275</v>
      </c>
      <c r="N264" s="17" t="n">
        <f aca="false">MIN(Desain_Kolam!$B$21,MAX(0,N263+F264+G264-H264-I264))</f>
        <v>6450.43440000002</v>
      </c>
      <c r="O264" s="6" t="n">
        <f aca="false">IF(N263+F264+G264-I264&gt;=H264,1,0)</f>
        <v>1</v>
      </c>
    </row>
    <row r="265" customFormat="false" ht="15" hidden="false" customHeight="false" outlineLevel="0" collapsed="false">
      <c r="A265" s="6" t="n">
        <v>2019</v>
      </c>
      <c r="B265" s="6" t="n">
        <v>1</v>
      </c>
      <c r="C265" s="4" t="n">
        <v>124</v>
      </c>
      <c r="D265" s="6" t="n">
        <v>31</v>
      </c>
      <c r="E265" s="4" t="n">
        <f aca="false">INDEX(Evaporasi!$B$5:$B$16,MATCH(B265,Evaporasi!$A$5:$A$16,0))</f>
        <v>149.98</v>
      </c>
      <c r="F265" s="17" t="n">
        <f aca="false">Kawasan!$B$11*Kawasan!$B$9*C265/1000</f>
        <v>1031.68</v>
      </c>
      <c r="G265" s="17" t="n">
        <f aca="false">C265*Desain_Kolam!$B$9/1000</f>
        <v>656.27</v>
      </c>
      <c r="H265" s="17" t="n">
        <f aca="false">Kawasan!$B$27*D265</f>
        <v>1666.56</v>
      </c>
      <c r="I265" s="17" t="n">
        <f aca="false">E265*Desain_Kolam!$B$9/1000</f>
        <v>793.76915</v>
      </c>
      <c r="J265" s="17" t="n">
        <f aca="false">F265+G265-H265-I265</f>
        <v>-772.37915</v>
      </c>
      <c r="K265" s="17" t="n">
        <f aca="false">K264+J265</f>
        <v>50254.883725</v>
      </c>
      <c r="L265" s="17" t="n">
        <f aca="false">MAX(L264,K265)</f>
        <v>60400.39515</v>
      </c>
      <c r="M265" s="17" t="n">
        <f aca="false">L265-K265</f>
        <v>10145.511425</v>
      </c>
      <c r="N265" s="17" t="n">
        <f aca="false">MIN(Desain_Kolam!$B$21,MAX(0,N264+F265+G265-H265-I265))</f>
        <v>5678.05525000002</v>
      </c>
      <c r="O265" s="6" t="n">
        <f aca="false">IF(N264+F265+G265-I265&gt;=H265,1,0)</f>
        <v>1</v>
      </c>
    </row>
    <row r="266" customFormat="false" ht="15" hidden="false" customHeight="false" outlineLevel="0" collapsed="false">
      <c r="A266" s="6" t="n">
        <v>2019</v>
      </c>
      <c r="B266" s="6" t="n">
        <v>2</v>
      </c>
      <c r="C266" s="4" t="n">
        <v>207</v>
      </c>
      <c r="D266" s="6" t="n">
        <v>28</v>
      </c>
      <c r="E266" s="4" t="n">
        <f aca="false">INDEX(Evaporasi!$B$5:$B$16,MATCH(B266,Evaporasi!$A$5:$A$16,0))</f>
        <v>148.64</v>
      </c>
      <c r="F266" s="17" t="n">
        <f aca="false">Kawasan!$B$11*Kawasan!$B$9*C266/1000</f>
        <v>1722.24</v>
      </c>
      <c r="G266" s="17" t="n">
        <f aca="false">C266*Desain_Kolam!$B$9/1000</f>
        <v>1095.5475</v>
      </c>
      <c r="H266" s="17" t="n">
        <f aca="false">Kawasan!$B$27*D266</f>
        <v>1505.28</v>
      </c>
      <c r="I266" s="17" t="n">
        <f aca="false">E266*Desain_Kolam!$B$9/1000</f>
        <v>786.6772</v>
      </c>
      <c r="J266" s="17" t="n">
        <f aca="false">F266+G266-H266-I266</f>
        <v>525.8303</v>
      </c>
      <c r="K266" s="17" t="n">
        <f aca="false">K265+J266</f>
        <v>50780.714025</v>
      </c>
      <c r="L266" s="17" t="n">
        <f aca="false">MAX(L265,K266)</f>
        <v>60400.39515</v>
      </c>
      <c r="M266" s="17" t="n">
        <f aca="false">L266-K266</f>
        <v>9619.681125</v>
      </c>
      <c r="N266" s="17" t="n">
        <f aca="false">MIN(Desain_Kolam!$B$21,MAX(0,N265+F266+G266-H266-I266))</f>
        <v>6203.88555000002</v>
      </c>
      <c r="O266" s="6" t="n">
        <f aca="false">IF(N265+F266+G266-I266&gt;=H266,1,0)</f>
        <v>1</v>
      </c>
    </row>
    <row r="267" customFormat="false" ht="15" hidden="false" customHeight="false" outlineLevel="0" collapsed="false">
      <c r="A267" s="6" t="n">
        <v>2019</v>
      </c>
      <c r="B267" s="6" t="n">
        <v>3</v>
      </c>
      <c r="C267" s="4" t="n">
        <v>44</v>
      </c>
      <c r="D267" s="6" t="n">
        <v>31</v>
      </c>
      <c r="E267" s="4" t="n">
        <f aca="false">INDEX(Evaporasi!$B$5:$B$16,MATCH(B267,Evaporasi!$A$5:$A$16,0))</f>
        <v>166.18</v>
      </c>
      <c r="F267" s="17" t="n">
        <f aca="false">Kawasan!$B$11*Kawasan!$B$9*C267/1000</f>
        <v>366.08</v>
      </c>
      <c r="G267" s="17" t="n">
        <f aca="false">C267*Desain_Kolam!$B$9/1000</f>
        <v>232.87</v>
      </c>
      <c r="H267" s="17" t="n">
        <f aca="false">Kawasan!$B$27*D267</f>
        <v>1666.56</v>
      </c>
      <c r="I267" s="17" t="n">
        <f aca="false">E267*Desain_Kolam!$B$9/1000</f>
        <v>879.50765</v>
      </c>
      <c r="J267" s="17" t="n">
        <f aca="false">F267+G267-H267-I267</f>
        <v>-1947.11765</v>
      </c>
      <c r="K267" s="17" t="n">
        <f aca="false">K266+J267</f>
        <v>48833.596375</v>
      </c>
      <c r="L267" s="17" t="n">
        <f aca="false">MAX(L266,K267)</f>
        <v>60400.39515</v>
      </c>
      <c r="M267" s="17" t="n">
        <f aca="false">L267-K267</f>
        <v>11566.798775</v>
      </c>
      <c r="N267" s="17" t="n">
        <f aca="false">MIN(Desain_Kolam!$B$21,MAX(0,N266+F267+G267-H267-I267))</f>
        <v>4256.76790000002</v>
      </c>
      <c r="O267" s="6" t="n">
        <f aca="false">IF(N266+F267+G267-I267&gt;=H267,1,0)</f>
        <v>1</v>
      </c>
    </row>
    <row r="268" customFormat="false" ht="15" hidden="false" customHeight="false" outlineLevel="0" collapsed="false">
      <c r="A268" s="6" t="n">
        <v>2019</v>
      </c>
      <c r="B268" s="6" t="n">
        <v>4</v>
      </c>
      <c r="C268" s="4" t="n">
        <v>151</v>
      </c>
      <c r="D268" s="6" t="n">
        <v>30</v>
      </c>
      <c r="E268" s="4" t="n">
        <f aca="false">INDEX(Evaporasi!$B$5:$B$16,MATCH(B268,Evaporasi!$A$5:$A$16,0))</f>
        <v>157.75</v>
      </c>
      <c r="F268" s="17" t="n">
        <f aca="false">Kawasan!$B$11*Kawasan!$B$9*C268/1000</f>
        <v>1256.32</v>
      </c>
      <c r="G268" s="17" t="n">
        <f aca="false">C268*Desain_Kolam!$B$9/1000</f>
        <v>799.1675</v>
      </c>
      <c r="H268" s="17" t="n">
        <f aca="false">Kawasan!$B$27*D268</f>
        <v>1612.8</v>
      </c>
      <c r="I268" s="17" t="n">
        <f aca="false">E268*Desain_Kolam!$B$9/1000</f>
        <v>834.891875</v>
      </c>
      <c r="J268" s="17" t="n">
        <f aca="false">F268+G268-H268-I268</f>
        <v>-392.204375</v>
      </c>
      <c r="K268" s="17" t="n">
        <f aca="false">K267+J268</f>
        <v>48441.392</v>
      </c>
      <c r="L268" s="17" t="n">
        <f aca="false">MAX(L267,K268)</f>
        <v>60400.39515</v>
      </c>
      <c r="M268" s="17" t="n">
        <f aca="false">L268-K268</f>
        <v>11959.00315</v>
      </c>
      <c r="N268" s="17" t="n">
        <f aca="false">MIN(Desain_Kolam!$B$21,MAX(0,N267+F268+G268-H268-I268))</f>
        <v>3864.56352500002</v>
      </c>
      <c r="O268" s="6" t="n">
        <f aca="false">IF(N267+F268+G268-I268&gt;=H268,1,0)</f>
        <v>1</v>
      </c>
    </row>
    <row r="269" customFormat="false" ht="15" hidden="false" customHeight="false" outlineLevel="0" collapsed="false">
      <c r="A269" s="6" t="n">
        <v>2019</v>
      </c>
      <c r="B269" s="6" t="n">
        <v>5</v>
      </c>
      <c r="C269" s="4" t="n">
        <v>118</v>
      </c>
      <c r="D269" s="6" t="n">
        <v>31</v>
      </c>
      <c r="E269" s="4" t="n">
        <f aca="false">INDEX(Evaporasi!$B$5:$B$16,MATCH(B269,Evaporasi!$A$5:$A$16,0))</f>
        <v>158.35</v>
      </c>
      <c r="F269" s="17" t="n">
        <f aca="false">Kawasan!$B$11*Kawasan!$B$9*C269/1000</f>
        <v>981.76</v>
      </c>
      <c r="G269" s="17" t="n">
        <f aca="false">C269*Desain_Kolam!$B$9/1000</f>
        <v>624.515</v>
      </c>
      <c r="H269" s="17" t="n">
        <f aca="false">Kawasan!$B$27*D269</f>
        <v>1666.56</v>
      </c>
      <c r="I269" s="17" t="n">
        <f aca="false">E269*Desain_Kolam!$B$9/1000</f>
        <v>838.067375</v>
      </c>
      <c r="J269" s="17" t="n">
        <f aca="false">F269+G269-H269-I269</f>
        <v>-898.352375</v>
      </c>
      <c r="K269" s="17" t="n">
        <f aca="false">K268+J269</f>
        <v>47543.039625</v>
      </c>
      <c r="L269" s="17" t="n">
        <f aca="false">MAX(L268,K269)</f>
        <v>60400.39515</v>
      </c>
      <c r="M269" s="17" t="n">
        <f aca="false">L269-K269</f>
        <v>12857.355525</v>
      </c>
      <c r="N269" s="17" t="n">
        <f aca="false">MIN(Desain_Kolam!$B$21,MAX(0,N268+F269+G269-H269-I269))</f>
        <v>2966.21115000002</v>
      </c>
      <c r="O269" s="6" t="n">
        <f aca="false">IF(N268+F269+G269-I269&gt;=H269,1,0)</f>
        <v>1</v>
      </c>
    </row>
    <row r="270" customFormat="false" ht="15" hidden="false" customHeight="false" outlineLevel="0" collapsed="false">
      <c r="A270" s="6" t="n">
        <v>2019</v>
      </c>
      <c r="B270" s="6" t="n">
        <v>6</v>
      </c>
      <c r="C270" s="4" t="n">
        <v>125</v>
      </c>
      <c r="D270" s="6" t="n">
        <v>30</v>
      </c>
      <c r="E270" s="4" t="n">
        <f aca="false">INDEX(Evaporasi!$B$5:$B$16,MATCH(B270,Evaporasi!$A$5:$A$16,0))</f>
        <v>150.17</v>
      </c>
      <c r="F270" s="17" t="n">
        <f aca="false">Kawasan!$B$11*Kawasan!$B$9*C270/1000</f>
        <v>1040</v>
      </c>
      <c r="G270" s="17" t="n">
        <f aca="false">C270*Desain_Kolam!$B$9/1000</f>
        <v>661.5625</v>
      </c>
      <c r="H270" s="17" t="n">
        <f aca="false">Kawasan!$B$27*D270</f>
        <v>1612.8</v>
      </c>
      <c r="I270" s="17" t="n">
        <f aca="false">E270*Desain_Kolam!$B$9/1000</f>
        <v>794.774725</v>
      </c>
      <c r="J270" s="17" t="n">
        <f aca="false">F270+G270-H270-I270</f>
        <v>-706.012225</v>
      </c>
      <c r="K270" s="17" t="n">
        <f aca="false">K269+J270</f>
        <v>46837.0274</v>
      </c>
      <c r="L270" s="17" t="n">
        <f aca="false">MAX(L269,K270)</f>
        <v>60400.39515</v>
      </c>
      <c r="M270" s="17" t="n">
        <f aca="false">L270-K270</f>
        <v>13563.36775</v>
      </c>
      <c r="N270" s="17" t="n">
        <f aca="false">MIN(Desain_Kolam!$B$21,MAX(0,N269+F270+G270-H270-I270))</f>
        <v>2260.19892500002</v>
      </c>
      <c r="O270" s="6" t="n">
        <f aca="false">IF(N269+F270+G270-I270&gt;=H270,1,0)</f>
        <v>1</v>
      </c>
    </row>
    <row r="271" customFormat="false" ht="15" hidden="false" customHeight="false" outlineLevel="0" collapsed="false">
      <c r="A271" s="6" t="n">
        <v>2019</v>
      </c>
      <c r="B271" s="6" t="n">
        <v>7</v>
      </c>
      <c r="C271" s="4" t="n">
        <v>53</v>
      </c>
      <c r="D271" s="6" t="n">
        <v>31</v>
      </c>
      <c r="E271" s="4" t="n">
        <f aca="false">INDEX(Evaporasi!$B$5:$B$16,MATCH(B271,Evaporasi!$A$5:$A$16,0))</f>
        <v>160.84</v>
      </c>
      <c r="F271" s="17" t="n">
        <f aca="false">Kawasan!$B$11*Kawasan!$B$9*C271/1000</f>
        <v>440.96</v>
      </c>
      <c r="G271" s="17" t="n">
        <f aca="false">C271*Desain_Kolam!$B$9/1000</f>
        <v>280.5025</v>
      </c>
      <c r="H271" s="17" t="n">
        <f aca="false">Kawasan!$B$27*D271</f>
        <v>1666.56</v>
      </c>
      <c r="I271" s="17" t="n">
        <f aca="false">E271*Desain_Kolam!$B$9/1000</f>
        <v>851.2457</v>
      </c>
      <c r="J271" s="17" t="n">
        <f aca="false">F271+G271-H271-I271</f>
        <v>-1796.3432</v>
      </c>
      <c r="K271" s="17" t="n">
        <f aca="false">K270+J271</f>
        <v>45040.6842</v>
      </c>
      <c r="L271" s="17" t="n">
        <f aca="false">MAX(L270,K271)</f>
        <v>60400.39515</v>
      </c>
      <c r="M271" s="17" t="n">
        <f aca="false">L271-K271</f>
        <v>15359.71095</v>
      </c>
      <c r="N271" s="17" t="n">
        <f aca="false">MIN(Desain_Kolam!$B$21,MAX(0,N270+F271+G271-H271-I271))</f>
        <v>463.85572500002</v>
      </c>
      <c r="O271" s="6" t="n">
        <f aca="false">IF(N270+F271+G271-I271&gt;=H271,1,0)</f>
        <v>1</v>
      </c>
    </row>
    <row r="272" customFormat="false" ht="15" hidden="false" customHeight="false" outlineLevel="0" collapsed="false">
      <c r="A272" s="6" t="n">
        <v>2019</v>
      </c>
      <c r="B272" s="6" t="n">
        <v>8</v>
      </c>
      <c r="C272" s="4" t="n">
        <v>76</v>
      </c>
      <c r="D272" s="6" t="n">
        <v>31</v>
      </c>
      <c r="E272" s="4" t="n">
        <f aca="false">INDEX(Evaporasi!$B$5:$B$16,MATCH(B272,Evaporasi!$A$5:$A$16,0))</f>
        <v>161.16</v>
      </c>
      <c r="F272" s="17" t="n">
        <f aca="false">Kawasan!$B$11*Kawasan!$B$9*C272/1000</f>
        <v>632.32</v>
      </c>
      <c r="G272" s="17" t="n">
        <f aca="false">C272*Desain_Kolam!$B$9/1000</f>
        <v>402.23</v>
      </c>
      <c r="H272" s="17" t="n">
        <f aca="false">Kawasan!$B$27*D272</f>
        <v>1666.56</v>
      </c>
      <c r="I272" s="17" t="n">
        <f aca="false">E272*Desain_Kolam!$B$9/1000</f>
        <v>852.9393</v>
      </c>
      <c r="J272" s="17" t="n">
        <f aca="false">F272+G272-H272-I272</f>
        <v>-1484.9493</v>
      </c>
      <c r="K272" s="17" t="n">
        <f aca="false">K271+J272</f>
        <v>43555.7349</v>
      </c>
      <c r="L272" s="17" t="n">
        <f aca="false">MAX(L271,K272)</f>
        <v>60400.39515</v>
      </c>
      <c r="M272" s="17" t="n">
        <f aca="false">L272-K272</f>
        <v>16844.66025</v>
      </c>
      <c r="N272" s="17" t="n">
        <f aca="false">MIN(Desain_Kolam!$B$21,MAX(0,N271+F272+G272-H272-I272))</f>
        <v>0</v>
      </c>
      <c r="O272" s="6" t="n">
        <f aca="false">IF(N271+F272+G272-I272&gt;=H272,1,0)</f>
        <v>0</v>
      </c>
    </row>
    <row r="273" customFormat="false" ht="15" hidden="false" customHeight="false" outlineLevel="0" collapsed="false">
      <c r="A273" s="6" t="n">
        <v>2019</v>
      </c>
      <c r="B273" s="6" t="n">
        <v>9</v>
      </c>
      <c r="C273" s="4" t="n">
        <v>41</v>
      </c>
      <c r="D273" s="6" t="n">
        <v>30</v>
      </c>
      <c r="E273" s="4" t="n">
        <f aca="false">INDEX(Evaporasi!$B$5:$B$16,MATCH(B273,Evaporasi!$A$5:$A$16,0))</f>
        <v>159.21</v>
      </c>
      <c r="F273" s="17" t="n">
        <f aca="false">Kawasan!$B$11*Kawasan!$B$9*C273/1000</f>
        <v>341.12</v>
      </c>
      <c r="G273" s="17" t="n">
        <f aca="false">C273*Desain_Kolam!$B$9/1000</f>
        <v>216.9925</v>
      </c>
      <c r="H273" s="17" t="n">
        <f aca="false">Kawasan!$B$27*D273</f>
        <v>1612.8</v>
      </c>
      <c r="I273" s="17" t="n">
        <f aca="false">E273*Desain_Kolam!$B$9/1000</f>
        <v>842.618925</v>
      </c>
      <c r="J273" s="17" t="n">
        <f aca="false">F273+G273-H273-I273</f>
        <v>-1897.306425</v>
      </c>
      <c r="K273" s="17" t="n">
        <f aca="false">K272+J273</f>
        <v>41658.428475</v>
      </c>
      <c r="L273" s="17" t="n">
        <f aca="false">MAX(L272,K273)</f>
        <v>60400.39515</v>
      </c>
      <c r="M273" s="17" t="n">
        <f aca="false">L273-K273</f>
        <v>18741.966675</v>
      </c>
      <c r="N273" s="17" t="n">
        <f aca="false">MIN(Desain_Kolam!$B$21,MAX(0,N272+F273+G273-H273-I273))</f>
        <v>0</v>
      </c>
      <c r="O273" s="6" t="n">
        <f aca="false">IF(N272+F273+G273-I273&gt;=H273,1,0)</f>
        <v>0</v>
      </c>
    </row>
    <row r="274" customFormat="false" ht="15" hidden="false" customHeight="false" outlineLevel="0" collapsed="false">
      <c r="A274" s="6" t="n">
        <v>2019</v>
      </c>
      <c r="B274" s="6" t="n">
        <v>10</v>
      </c>
      <c r="C274" s="4" t="n">
        <v>548</v>
      </c>
      <c r="D274" s="6" t="n">
        <v>31</v>
      </c>
      <c r="E274" s="4" t="n">
        <f aca="false">INDEX(Evaporasi!$B$5:$B$16,MATCH(B274,Evaporasi!$A$5:$A$16,0))</f>
        <v>151.5</v>
      </c>
      <c r="F274" s="17" t="n">
        <f aca="false">Kawasan!$B$11*Kawasan!$B$9*C274/1000</f>
        <v>4559.36</v>
      </c>
      <c r="G274" s="17" t="n">
        <f aca="false">C274*Desain_Kolam!$B$9/1000</f>
        <v>2900.29</v>
      </c>
      <c r="H274" s="17" t="n">
        <f aca="false">Kawasan!$B$27*D274</f>
        <v>1666.56</v>
      </c>
      <c r="I274" s="17" t="n">
        <f aca="false">E274*Desain_Kolam!$B$9/1000</f>
        <v>801.81375</v>
      </c>
      <c r="J274" s="17" t="n">
        <f aca="false">F274+G274-H274-I274</f>
        <v>4991.27625</v>
      </c>
      <c r="K274" s="17" t="n">
        <f aca="false">K273+J274</f>
        <v>46649.704725</v>
      </c>
      <c r="L274" s="17" t="n">
        <f aca="false">MAX(L273,K274)</f>
        <v>60400.39515</v>
      </c>
      <c r="M274" s="17" t="n">
        <f aca="false">L274-K274</f>
        <v>13750.690425</v>
      </c>
      <c r="N274" s="17" t="n">
        <f aca="false">MIN(Desain_Kolam!$B$21,MAX(0,N273+F274+G274-H274-I274))</f>
        <v>4991.27625</v>
      </c>
      <c r="O274" s="6" t="n">
        <f aca="false">IF(N273+F274+G274-I274&gt;=H274,1,0)</f>
        <v>1</v>
      </c>
    </row>
    <row r="275" customFormat="false" ht="15" hidden="false" customHeight="false" outlineLevel="0" collapsed="false">
      <c r="A275" s="6" t="n">
        <v>2019</v>
      </c>
      <c r="B275" s="6" t="n">
        <v>11</v>
      </c>
      <c r="C275" s="4" t="n">
        <v>469</v>
      </c>
      <c r="D275" s="6" t="n">
        <v>30</v>
      </c>
      <c r="E275" s="4" t="n">
        <f aca="false">INDEX(Evaporasi!$B$5:$B$16,MATCH(B275,Evaporasi!$A$5:$A$16,0))</f>
        <v>142.3</v>
      </c>
      <c r="F275" s="17" t="n">
        <f aca="false">Kawasan!$B$11*Kawasan!$B$9*C275/1000</f>
        <v>3902.08</v>
      </c>
      <c r="G275" s="17" t="n">
        <f aca="false">C275*Desain_Kolam!$B$9/1000</f>
        <v>2482.1825</v>
      </c>
      <c r="H275" s="17" t="n">
        <f aca="false">Kawasan!$B$27*D275</f>
        <v>1612.8</v>
      </c>
      <c r="I275" s="17" t="n">
        <f aca="false">E275*Desain_Kolam!$B$9/1000</f>
        <v>753.12275</v>
      </c>
      <c r="J275" s="17" t="n">
        <f aca="false">F275+G275-H275-I275</f>
        <v>4018.33975</v>
      </c>
      <c r="K275" s="17" t="n">
        <f aca="false">K274+J275</f>
        <v>50668.044475</v>
      </c>
      <c r="L275" s="17" t="n">
        <f aca="false">MAX(L274,K275)</f>
        <v>60400.39515</v>
      </c>
      <c r="M275" s="17" t="n">
        <f aca="false">L275-K275</f>
        <v>9732.350675</v>
      </c>
      <c r="N275" s="17" t="n">
        <f aca="false">MIN(Desain_Kolam!$B$21,MAX(0,N274+F275+G275-H275-I275))</f>
        <v>9009.616</v>
      </c>
      <c r="O275" s="6" t="n">
        <f aca="false">IF(N274+F275+G275-I275&gt;=H275,1,0)</f>
        <v>1</v>
      </c>
    </row>
    <row r="276" customFormat="false" ht="15" hidden="false" customHeight="false" outlineLevel="0" collapsed="false">
      <c r="A276" s="6" t="n">
        <v>2019</v>
      </c>
      <c r="B276" s="6" t="n">
        <v>12</v>
      </c>
      <c r="C276" s="4" t="n">
        <v>357</v>
      </c>
      <c r="D276" s="6" t="n">
        <v>31</v>
      </c>
      <c r="E276" s="4" t="n">
        <f aca="false">INDEX(Evaporasi!$B$5:$B$16,MATCH(B276,Evaporasi!$A$5:$A$16,0))</f>
        <v>145.07</v>
      </c>
      <c r="F276" s="17" t="n">
        <f aca="false">Kawasan!$B$11*Kawasan!$B$9*C276/1000</f>
        <v>2970.24</v>
      </c>
      <c r="G276" s="17" t="n">
        <f aca="false">C276*Desain_Kolam!$B$9/1000</f>
        <v>1889.4225</v>
      </c>
      <c r="H276" s="17" t="n">
        <f aca="false">Kawasan!$B$27*D276</f>
        <v>1666.56</v>
      </c>
      <c r="I276" s="17" t="n">
        <f aca="false">E276*Desain_Kolam!$B$9/1000</f>
        <v>767.782975</v>
      </c>
      <c r="J276" s="17" t="n">
        <f aca="false">F276+G276-H276-I276</f>
        <v>2425.319525</v>
      </c>
      <c r="K276" s="17" t="n">
        <f aca="false">K275+J276</f>
        <v>53093.364</v>
      </c>
      <c r="L276" s="17" t="n">
        <f aca="false">MAX(L275,K276)</f>
        <v>60400.39515</v>
      </c>
      <c r="M276" s="17" t="n">
        <f aca="false">L276-K276</f>
        <v>7307.03115</v>
      </c>
      <c r="N276" s="17" t="n">
        <f aca="false">MIN(Desain_Kolam!$B$21,MAX(0,N275+F276+G276-H276-I276))</f>
        <v>11434.935525</v>
      </c>
      <c r="O276" s="6" t="n">
        <f aca="false">IF(N275+F276+G276-I276&gt;=H276,1,0)</f>
        <v>1</v>
      </c>
    </row>
    <row r="277" customFormat="false" ht="15" hidden="false" customHeight="false" outlineLevel="0" collapsed="false">
      <c r="A277" s="6" t="n">
        <v>2020</v>
      </c>
      <c r="B277" s="6" t="n">
        <v>1</v>
      </c>
      <c r="C277" s="4" t="n">
        <v>337</v>
      </c>
      <c r="D277" s="6" t="n">
        <v>31</v>
      </c>
      <c r="E277" s="4" t="n">
        <f aca="false">INDEX(Evaporasi!$B$5:$B$16,MATCH(B277,Evaporasi!$A$5:$A$16,0))</f>
        <v>149.98</v>
      </c>
      <c r="F277" s="17" t="n">
        <f aca="false">Kawasan!$B$11*Kawasan!$B$9*C277/1000</f>
        <v>2803.84</v>
      </c>
      <c r="G277" s="17" t="n">
        <f aca="false">C277*Desain_Kolam!$B$9/1000</f>
        <v>1783.5725</v>
      </c>
      <c r="H277" s="17" t="n">
        <f aca="false">Kawasan!$B$27*D277</f>
        <v>1666.56</v>
      </c>
      <c r="I277" s="17" t="n">
        <f aca="false">E277*Desain_Kolam!$B$9/1000</f>
        <v>793.76915</v>
      </c>
      <c r="J277" s="17" t="n">
        <f aca="false">F277+G277-H277-I277</f>
        <v>2127.08335</v>
      </c>
      <c r="K277" s="17" t="n">
        <f aca="false">K276+J277</f>
        <v>55220.44735</v>
      </c>
      <c r="L277" s="17" t="n">
        <f aca="false">MAX(L276,K277)</f>
        <v>60400.39515</v>
      </c>
      <c r="M277" s="17" t="n">
        <f aca="false">L277-K277</f>
        <v>5179.9478</v>
      </c>
      <c r="N277" s="17" t="n">
        <f aca="false">MIN(Desain_Kolam!$B$21,MAX(0,N276+F277+G277-H277-I277))</f>
        <v>13562.018875</v>
      </c>
      <c r="O277" s="6" t="n">
        <f aca="false">IF(N276+F277+G277-I277&gt;=H277,1,0)</f>
        <v>1</v>
      </c>
    </row>
    <row r="278" customFormat="false" ht="15" hidden="false" customHeight="false" outlineLevel="0" collapsed="false">
      <c r="A278" s="6" t="n">
        <v>2020</v>
      </c>
      <c r="B278" s="6" t="n">
        <v>2</v>
      </c>
      <c r="C278" s="4" t="n">
        <v>305</v>
      </c>
      <c r="D278" s="6" t="n">
        <v>29</v>
      </c>
      <c r="E278" s="4" t="n">
        <f aca="false">INDEX(Evaporasi!$B$5:$B$16,MATCH(B278,Evaporasi!$A$5:$A$16,0))</f>
        <v>148.64</v>
      </c>
      <c r="F278" s="17" t="n">
        <f aca="false">Kawasan!$B$11*Kawasan!$B$9*C278/1000</f>
        <v>2537.6</v>
      </c>
      <c r="G278" s="17" t="n">
        <f aca="false">C278*Desain_Kolam!$B$9/1000</f>
        <v>1614.2125</v>
      </c>
      <c r="H278" s="17" t="n">
        <f aca="false">Kawasan!$B$27*D278</f>
        <v>1559.04</v>
      </c>
      <c r="I278" s="17" t="n">
        <f aca="false">E278*Desain_Kolam!$B$9/1000</f>
        <v>786.6772</v>
      </c>
      <c r="J278" s="17" t="n">
        <f aca="false">F278+G278-H278-I278</f>
        <v>1806.0953</v>
      </c>
      <c r="K278" s="17" t="n">
        <f aca="false">K277+J278</f>
        <v>57026.54265</v>
      </c>
      <c r="L278" s="17" t="n">
        <f aca="false">MAX(L277,K278)</f>
        <v>60400.39515</v>
      </c>
      <c r="M278" s="17" t="n">
        <f aca="false">L278-K278</f>
        <v>3373.8525</v>
      </c>
      <c r="N278" s="17" t="n">
        <f aca="false">MIN(Desain_Kolam!$B$21,MAX(0,N277+F278+G278-H278-I278))</f>
        <v>15368.114175</v>
      </c>
      <c r="O278" s="6" t="n">
        <f aca="false">IF(N277+F278+G278-I278&gt;=H278,1,0)</f>
        <v>1</v>
      </c>
    </row>
    <row r="279" customFormat="false" ht="15" hidden="false" customHeight="false" outlineLevel="0" collapsed="false">
      <c r="A279" s="6" t="n">
        <v>2020</v>
      </c>
      <c r="B279" s="6" t="n">
        <v>3</v>
      </c>
      <c r="C279" s="4" t="n">
        <v>219</v>
      </c>
      <c r="D279" s="6" t="n">
        <v>31</v>
      </c>
      <c r="E279" s="4" t="n">
        <f aca="false">INDEX(Evaporasi!$B$5:$B$16,MATCH(B279,Evaporasi!$A$5:$A$16,0))</f>
        <v>166.18</v>
      </c>
      <c r="F279" s="17" t="n">
        <f aca="false">Kawasan!$B$11*Kawasan!$B$9*C279/1000</f>
        <v>1822.08</v>
      </c>
      <c r="G279" s="17" t="n">
        <f aca="false">C279*Desain_Kolam!$B$9/1000</f>
        <v>1159.0575</v>
      </c>
      <c r="H279" s="17" t="n">
        <f aca="false">Kawasan!$B$27*D279</f>
        <v>1666.56</v>
      </c>
      <c r="I279" s="17" t="n">
        <f aca="false">E279*Desain_Kolam!$B$9/1000</f>
        <v>879.50765</v>
      </c>
      <c r="J279" s="17" t="n">
        <f aca="false">F279+G279-H279-I279</f>
        <v>435.06985</v>
      </c>
      <c r="K279" s="17" t="n">
        <f aca="false">K278+J279</f>
        <v>57461.6125</v>
      </c>
      <c r="L279" s="17" t="n">
        <f aca="false">MAX(L278,K279)</f>
        <v>60400.39515</v>
      </c>
      <c r="M279" s="17" t="n">
        <f aca="false">L279-K279</f>
        <v>2938.78265</v>
      </c>
      <c r="N279" s="17" t="n">
        <f aca="false">MIN(Desain_Kolam!$B$21,MAX(0,N278+F279+G279-H279-I279))</f>
        <v>15803.184025</v>
      </c>
      <c r="O279" s="6" t="n">
        <f aca="false">IF(N278+F279+G279-I279&gt;=H279,1,0)</f>
        <v>1</v>
      </c>
    </row>
    <row r="280" customFormat="false" ht="15" hidden="false" customHeight="false" outlineLevel="0" collapsed="false">
      <c r="A280" s="6" t="n">
        <v>2020</v>
      </c>
      <c r="B280" s="6" t="n">
        <v>4</v>
      </c>
      <c r="C280" s="4" t="n">
        <v>358</v>
      </c>
      <c r="D280" s="6" t="n">
        <v>30</v>
      </c>
      <c r="E280" s="4" t="n">
        <f aca="false">INDEX(Evaporasi!$B$5:$B$16,MATCH(B280,Evaporasi!$A$5:$A$16,0))</f>
        <v>157.75</v>
      </c>
      <c r="F280" s="17" t="n">
        <f aca="false">Kawasan!$B$11*Kawasan!$B$9*C280/1000</f>
        <v>2978.56</v>
      </c>
      <c r="G280" s="17" t="n">
        <f aca="false">C280*Desain_Kolam!$B$9/1000</f>
        <v>1894.715</v>
      </c>
      <c r="H280" s="17" t="n">
        <f aca="false">Kawasan!$B$27*D280</f>
        <v>1612.8</v>
      </c>
      <c r="I280" s="17" t="n">
        <f aca="false">E280*Desain_Kolam!$B$9/1000</f>
        <v>834.891875</v>
      </c>
      <c r="J280" s="17" t="n">
        <f aca="false">F280+G280-H280-I280</f>
        <v>2425.583125</v>
      </c>
      <c r="K280" s="17" t="n">
        <f aca="false">K279+J280</f>
        <v>59887.195625</v>
      </c>
      <c r="L280" s="17" t="n">
        <f aca="false">MAX(L279,K280)</f>
        <v>60400.39515</v>
      </c>
      <c r="M280" s="17" t="n">
        <f aca="false">L280-K280</f>
        <v>513.199525000004</v>
      </c>
      <c r="N280" s="17" t="n">
        <f aca="false">MIN(Desain_Kolam!$B$21,MAX(0,N279+F280+G280-H280-I280))</f>
        <v>15823.566675</v>
      </c>
      <c r="O280" s="6" t="n">
        <f aca="false">IF(N279+F280+G280-I280&gt;=H280,1,0)</f>
        <v>1</v>
      </c>
    </row>
    <row r="281" customFormat="false" ht="15" hidden="false" customHeight="false" outlineLevel="0" collapsed="false">
      <c r="A281" s="6" t="n">
        <v>2020</v>
      </c>
      <c r="B281" s="6" t="n">
        <v>5</v>
      </c>
      <c r="C281" s="4" t="n">
        <v>305</v>
      </c>
      <c r="D281" s="6" t="n">
        <v>31</v>
      </c>
      <c r="E281" s="4" t="n">
        <f aca="false">INDEX(Evaporasi!$B$5:$B$16,MATCH(B281,Evaporasi!$A$5:$A$16,0))</f>
        <v>158.35</v>
      </c>
      <c r="F281" s="17" t="n">
        <f aca="false">Kawasan!$B$11*Kawasan!$B$9*C281/1000</f>
        <v>2537.6</v>
      </c>
      <c r="G281" s="17" t="n">
        <f aca="false">C281*Desain_Kolam!$B$9/1000</f>
        <v>1614.2125</v>
      </c>
      <c r="H281" s="17" t="n">
        <f aca="false">Kawasan!$B$27*D281</f>
        <v>1666.56</v>
      </c>
      <c r="I281" s="17" t="n">
        <f aca="false">E281*Desain_Kolam!$B$9/1000</f>
        <v>838.067375</v>
      </c>
      <c r="J281" s="17" t="n">
        <f aca="false">F281+G281-H281-I281</f>
        <v>1647.185125</v>
      </c>
      <c r="K281" s="17" t="n">
        <f aca="false">K280+J281</f>
        <v>61534.38075</v>
      </c>
      <c r="L281" s="17" t="n">
        <f aca="false">MAX(L280,K281)</f>
        <v>61534.38075</v>
      </c>
      <c r="M281" s="17" t="n">
        <f aca="false">L281-K281</f>
        <v>0</v>
      </c>
      <c r="N281" s="17" t="n">
        <f aca="false">MIN(Desain_Kolam!$B$21,MAX(0,N280+F281+G281-H281-I281))</f>
        <v>15823.566675</v>
      </c>
      <c r="O281" s="6" t="n">
        <f aca="false">IF(N280+F281+G281-I281&gt;=H281,1,0)</f>
        <v>1</v>
      </c>
    </row>
    <row r="282" customFormat="false" ht="15" hidden="false" customHeight="false" outlineLevel="0" collapsed="false">
      <c r="A282" s="6" t="n">
        <v>2020</v>
      </c>
      <c r="B282" s="6" t="n">
        <v>6</v>
      </c>
      <c r="C282" s="4" t="n">
        <v>388</v>
      </c>
      <c r="D282" s="6" t="n">
        <v>30</v>
      </c>
      <c r="E282" s="4" t="n">
        <f aca="false">INDEX(Evaporasi!$B$5:$B$16,MATCH(B282,Evaporasi!$A$5:$A$16,0))</f>
        <v>150.17</v>
      </c>
      <c r="F282" s="17" t="n">
        <f aca="false">Kawasan!$B$11*Kawasan!$B$9*C282/1000</f>
        <v>3228.16</v>
      </c>
      <c r="G282" s="17" t="n">
        <f aca="false">C282*Desain_Kolam!$B$9/1000</f>
        <v>2053.49</v>
      </c>
      <c r="H282" s="17" t="n">
        <f aca="false">Kawasan!$B$27*D282</f>
        <v>1612.8</v>
      </c>
      <c r="I282" s="17" t="n">
        <f aca="false">E282*Desain_Kolam!$B$9/1000</f>
        <v>794.774725</v>
      </c>
      <c r="J282" s="17" t="n">
        <f aca="false">F282+G282-H282-I282</f>
        <v>2874.075275</v>
      </c>
      <c r="K282" s="17" t="n">
        <f aca="false">K281+J282</f>
        <v>64408.456025</v>
      </c>
      <c r="L282" s="17" t="n">
        <f aca="false">MAX(L281,K282)</f>
        <v>64408.456025</v>
      </c>
      <c r="M282" s="17" t="n">
        <f aca="false">L282-K282</f>
        <v>0</v>
      </c>
      <c r="N282" s="17" t="n">
        <f aca="false">MIN(Desain_Kolam!$B$21,MAX(0,N281+F282+G282-H282-I282))</f>
        <v>15823.566675</v>
      </c>
      <c r="O282" s="6" t="n">
        <f aca="false">IF(N281+F282+G282-I282&gt;=H282,1,0)</f>
        <v>1</v>
      </c>
    </row>
    <row r="283" customFormat="false" ht="15" hidden="false" customHeight="false" outlineLevel="0" collapsed="false">
      <c r="A283" s="6" t="n">
        <v>2020</v>
      </c>
      <c r="B283" s="6" t="n">
        <v>7</v>
      </c>
      <c r="C283" s="4" t="n">
        <v>507</v>
      </c>
      <c r="D283" s="6" t="n">
        <v>31</v>
      </c>
      <c r="E283" s="4" t="n">
        <f aca="false">INDEX(Evaporasi!$B$5:$B$16,MATCH(B283,Evaporasi!$A$5:$A$16,0))</f>
        <v>160.84</v>
      </c>
      <c r="F283" s="17" t="n">
        <f aca="false">Kawasan!$B$11*Kawasan!$B$9*C283/1000</f>
        <v>4218.24</v>
      </c>
      <c r="G283" s="17" t="n">
        <f aca="false">C283*Desain_Kolam!$B$9/1000</f>
        <v>2683.2975</v>
      </c>
      <c r="H283" s="17" t="n">
        <f aca="false">Kawasan!$B$27*D283</f>
        <v>1666.56</v>
      </c>
      <c r="I283" s="17" t="n">
        <f aca="false">E283*Desain_Kolam!$B$9/1000</f>
        <v>851.2457</v>
      </c>
      <c r="J283" s="17" t="n">
        <f aca="false">F283+G283-H283-I283</f>
        <v>4383.7318</v>
      </c>
      <c r="K283" s="17" t="n">
        <f aca="false">K282+J283</f>
        <v>68792.187825</v>
      </c>
      <c r="L283" s="17" t="n">
        <f aca="false">MAX(L282,K283)</f>
        <v>68792.187825</v>
      </c>
      <c r="M283" s="17" t="n">
        <f aca="false">L283-K283</f>
        <v>0</v>
      </c>
      <c r="N283" s="17" t="n">
        <f aca="false">MIN(Desain_Kolam!$B$21,MAX(0,N282+F283+G283-H283-I283))</f>
        <v>15823.566675</v>
      </c>
      <c r="O283" s="6" t="n">
        <f aca="false">IF(N282+F283+G283-I283&gt;=H283,1,0)</f>
        <v>1</v>
      </c>
    </row>
    <row r="284" customFormat="false" ht="15" hidden="false" customHeight="false" outlineLevel="0" collapsed="false">
      <c r="A284" s="6" t="n">
        <v>2020</v>
      </c>
      <c r="B284" s="6" t="n">
        <v>8</v>
      </c>
      <c r="C284" s="4" t="n">
        <v>212</v>
      </c>
      <c r="D284" s="6" t="n">
        <v>31</v>
      </c>
      <c r="E284" s="4" t="n">
        <f aca="false">INDEX(Evaporasi!$B$5:$B$16,MATCH(B284,Evaporasi!$A$5:$A$16,0))</f>
        <v>161.16</v>
      </c>
      <c r="F284" s="17" t="n">
        <f aca="false">Kawasan!$B$11*Kawasan!$B$9*C284/1000</f>
        <v>1763.84</v>
      </c>
      <c r="G284" s="17" t="n">
        <f aca="false">C284*Desain_Kolam!$B$9/1000</f>
        <v>1122.01</v>
      </c>
      <c r="H284" s="17" t="n">
        <f aca="false">Kawasan!$B$27*D284</f>
        <v>1666.56</v>
      </c>
      <c r="I284" s="17" t="n">
        <f aca="false">E284*Desain_Kolam!$B$9/1000</f>
        <v>852.9393</v>
      </c>
      <c r="J284" s="17" t="n">
        <f aca="false">F284+G284-H284-I284</f>
        <v>366.3507</v>
      </c>
      <c r="K284" s="17" t="n">
        <f aca="false">K283+J284</f>
        <v>69158.538525</v>
      </c>
      <c r="L284" s="17" t="n">
        <f aca="false">MAX(L283,K284)</f>
        <v>69158.538525</v>
      </c>
      <c r="M284" s="17" t="n">
        <f aca="false">L284-K284</f>
        <v>0</v>
      </c>
      <c r="N284" s="17" t="n">
        <f aca="false">MIN(Desain_Kolam!$B$21,MAX(0,N283+F284+G284-H284-I284))</f>
        <v>15823.566675</v>
      </c>
      <c r="O284" s="6" t="n">
        <f aca="false">IF(N283+F284+G284-I284&gt;=H284,1,0)</f>
        <v>1</v>
      </c>
    </row>
    <row r="285" customFormat="false" ht="15" hidden="false" customHeight="false" outlineLevel="0" collapsed="false">
      <c r="A285" s="6" t="n">
        <v>2020</v>
      </c>
      <c r="B285" s="6" t="n">
        <v>9</v>
      </c>
      <c r="C285" s="4" t="n">
        <v>460</v>
      </c>
      <c r="D285" s="6" t="n">
        <v>30</v>
      </c>
      <c r="E285" s="4" t="n">
        <f aca="false">INDEX(Evaporasi!$B$5:$B$16,MATCH(B285,Evaporasi!$A$5:$A$16,0))</f>
        <v>159.21</v>
      </c>
      <c r="F285" s="17" t="n">
        <f aca="false">Kawasan!$B$11*Kawasan!$B$9*C285/1000</f>
        <v>3827.2</v>
      </c>
      <c r="G285" s="17" t="n">
        <f aca="false">C285*Desain_Kolam!$B$9/1000</f>
        <v>2434.55</v>
      </c>
      <c r="H285" s="17" t="n">
        <f aca="false">Kawasan!$B$27*D285</f>
        <v>1612.8</v>
      </c>
      <c r="I285" s="17" t="n">
        <f aca="false">E285*Desain_Kolam!$B$9/1000</f>
        <v>842.618925</v>
      </c>
      <c r="J285" s="17" t="n">
        <f aca="false">F285+G285-H285-I285</f>
        <v>3806.331075</v>
      </c>
      <c r="K285" s="17" t="n">
        <f aca="false">K284+J285</f>
        <v>72964.8696</v>
      </c>
      <c r="L285" s="17" t="n">
        <f aca="false">MAX(L284,K285)</f>
        <v>72964.8696</v>
      </c>
      <c r="M285" s="17" t="n">
        <f aca="false">L285-K285</f>
        <v>0</v>
      </c>
      <c r="N285" s="17" t="n">
        <f aca="false">MIN(Desain_Kolam!$B$21,MAX(0,N284+F285+G285-H285-I285))</f>
        <v>15823.566675</v>
      </c>
      <c r="O285" s="6" t="n">
        <f aca="false">IF(N284+F285+G285-I285&gt;=H285,1,0)</f>
        <v>1</v>
      </c>
    </row>
    <row r="286" customFormat="false" ht="15" hidden="false" customHeight="false" outlineLevel="0" collapsed="false">
      <c r="A286" s="6" t="n">
        <v>2020</v>
      </c>
      <c r="B286" s="6" t="n">
        <v>10</v>
      </c>
      <c r="C286" s="4" t="n">
        <v>256</v>
      </c>
      <c r="D286" s="6" t="n">
        <v>31</v>
      </c>
      <c r="E286" s="4" t="n">
        <f aca="false">INDEX(Evaporasi!$B$5:$B$16,MATCH(B286,Evaporasi!$A$5:$A$16,0))</f>
        <v>151.5</v>
      </c>
      <c r="F286" s="17" t="n">
        <f aca="false">Kawasan!$B$11*Kawasan!$B$9*C286/1000</f>
        <v>2129.92</v>
      </c>
      <c r="G286" s="17" t="n">
        <f aca="false">C286*Desain_Kolam!$B$9/1000</f>
        <v>1354.88</v>
      </c>
      <c r="H286" s="17" t="n">
        <f aca="false">Kawasan!$B$27*D286</f>
        <v>1666.56</v>
      </c>
      <c r="I286" s="17" t="n">
        <f aca="false">E286*Desain_Kolam!$B$9/1000</f>
        <v>801.81375</v>
      </c>
      <c r="J286" s="17" t="n">
        <f aca="false">F286+G286-H286-I286</f>
        <v>1016.42625</v>
      </c>
      <c r="K286" s="17" t="n">
        <f aca="false">K285+J286</f>
        <v>73981.29585</v>
      </c>
      <c r="L286" s="17" t="n">
        <f aca="false">MAX(L285,K286)</f>
        <v>73981.29585</v>
      </c>
      <c r="M286" s="17" t="n">
        <f aca="false">L286-K286</f>
        <v>0</v>
      </c>
      <c r="N286" s="17" t="n">
        <f aca="false">MIN(Desain_Kolam!$B$21,MAX(0,N285+F286+G286-H286-I286))</f>
        <v>15823.566675</v>
      </c>
      <c r="O286" s="6" t="n">
        <f aca="false">IF(N285+F286+G286-I286&gt;=H286,1,0)</f>
        <v>1</v>
      </c>
    </row>
    <row r="287" customFormat="false" ht="15" hidden="false" customHeight="false" outlineLevel="0" collapsed="false">
      <c r="A287" s="6" t="n">
        <v>2020</v>
      </c>
      <c r="B287" s="6" t="n">
        <v>11</v>
      </c>
      <c r="C287" s="4" t="n">
        <v>568</v>
      </c>
      <c r="D287" s="6" t="n">
        <v>30</v>
      </c>
      <c r="E287" s="4" t="n">
        <f aca="false">INDEX(Evaporasi!$B$5:$B$16,MATCH(B287,Evaporasi!$A$5:$A$16,0))</f>
        <v>142.3</v>
      </c>
      <c r="F287" s="17" t="n">
        <f aca="false">Kawasan!$B$11*Kawasan!$B$9*C287/1000</f>
        <v>4725.76</v>
      </c>
      <c r="G287" s="17" t="n">
        <f aca="false">C287*Desain_Kolam!$B$9/1000</f>
        <v>3006.14</v>
      </c>
      <c r="H287" s="17" t="n">
        <f aca="false">Kawasan!$B$27*D287</f>
        <v>1612.8</v>
      </c>
      <c r="I287" s="17" t="n">
        <f aca="false">E287*Desain_Kolam!$B$9/1000</f>
        <v>753.12275</v>
      </c>
      <c r="J287" s="17" t="n">
        <f aca="false">F287+G287-H287-I287</f>
        <v>5365.97725</v>
      </c>
      <c r="K287" s="17" t="n">
        <f aca="false">K286+J287</f>
        <v>79347.2731</v>
      </c>
      <c r="L287" s="17" t="n">
        <f aca="false">MAX(L286,K287)</f>
        <v>79347.2731</v>
      </c>
      <c r="M287" s="17" t="n">
        <f aca="false">L287-K287</f>
        <v>0</v>
      </c>
      <c r="N287" s="17" t="n">
        <f aca="false">MIN(Desain_Kolam!$B$21,MAX(0,N286+F287+G287-H287-I287))</f>
        <v>15823.566675</v>
      </c>
      <c r="O287" s="6" t="n">
        <f aca="false">IF(N286+F287+G287-I287&gt;=H287,1,0)</f>
        <v>1</v>
      </c>
    </row>
    <row r="288" customFormat="false" ht="15" hidden="false" customHeight="false" outlineLevel="0" collapsed="false">
      <c r="A288" s="6" t="n">
        <v>2020</v>
      </c>
      <c r="B288" s="6" t="n">
        <v>12</v>
      </c>
      <c r="C288" s="4" t="n">
        <v>274</v>
      </c>
      <c r="D288" s="6" t="n">
        <v>31</v>
      </c>
      <c r="E288" s="4" t="n">
        <f aca="false">INDEX(Evaporasi!$B$5:$B$16,MATCH(B288,Evaporasi!$A$5:$A$16,0))</f>
        <v>145.07</v>
      </c>
      <c r="F288" s="17" t="n">
        <f aca="false">Kawasan!$B$11*Kawasan!$B$9*C288/1000</f>
        <v>2279.68</v>
      </c>
      <c r="G288" s="17" t="n">
        <f aca="false">C288*Desain_Kolam!$B$9/1000</f>
        <v>1450.145</v>
      </c>
      <c r="H288" s="17" t="n">
        <f aca="false">Kawasan!$B$27*D288</f>
        <v>1666.56</v>
      </c>
      <c r="I288" s="17" t="n">
        <f aca="false">E288*Desain_Kolam!$B$9/1000</f>
        <v>767.782975</v>
      </c>
      <c r="J288" s="17" t="n">
        <f aca="false">F288+G288-H288-I288</f>
        <v>1295.482025</v>
      </c>
      <c r="K288" s="17" t="n">
        <f aca="false">K287+J288</f>
        <v>80642.755125</v>
      </c>
      <c r="L288" s="17" t="n">
        <f aca="false">MAX(L287,K288)</f>
        <v>80642.755125</v>
      </c>
      <c r="M288" s="17" t="n">
        <f aca="false">L288-K288</f>
        <v>0</v>
      </c>
      <c r="N288" s="17" t="n">
        <f aca="false">MIN(Desain_Kolam!$B$21,MAX(0,N287+F288+G288-H288-I288))</f>
        <v>15823.566675</v>
      </c>
      <c r="O288" s="6" t="n">
        <f aca="false">IF(N287+F288+G288-I288&gt;=H288,1,0)</f>
        <v>1</v>
      </c>
    </row>
    <row r="289" customFormat="false" ht="15" hidden="false" customHeight="false" outlineLevel="0" collapsed="false">
      <c r="A289" s="6" t="n">
        <v>2021</v>
      </c>
      <c r="B289" s="6" t="n">
        <v>1</v>
      </c>
      <c r="C289" s="4" t="n">
        <v>310</v>
      </c>
      <c r="D289" s="6" t="n">
        <v>31</v>
      </c>
      <c r="E289" s="4" t="n">
        <f aca="false">INDEX(Evaporasi!$B$5:$B$16,MATCH(B289,Evaporasi!$A$5:$A$16,0))</f>
        <v>149.98</v>
      </c>
      <c r="F289" s="17" t="n">
        <f aca="false">Kawasan!$B$11*Kawasan!$B$9*C289/1000</f>
        <v>2579.2</v>
      </c>
      <c r="G289" s="17" t="n">
        <f aca="false">C289*Desain_Kolam!$B$9/1000</f>
        <v>1640.675</v>
      </c>
      <c r="H289" s="17" t="n">
        <f aca="false">Kawasan!$B$27*D289</f>
        <v>1666.56</v>
      </c>
      <c r="I289" s="17" t="n">
        <f aca="false">E289*Desain_Kolam!$B$9/1000</f>
        <v>793.76915</v>
      </c>
      <c r="J289" s="17" t="n">
        <f aca="false">F289+G289-H289-I289</f>
        <v>1759.54585</v>
      </c>
      <c r="K289" s="17" t="n">
        <f aca="false">K288+J289</f>
        <v>82402.300975</v>
      </c>
      <c r="L289" s="17" t="n">
        <f aca="false">MAX(L288,K289)</f>
        <v>82402.300975</v>
      </c>
      <c r="M289" s="17" t="n">
        <f aca="false">L289-K289</f>
        <v>0</v>
      </c>
      <c r="N289" s="17" t="n">
        <f aca="false">MIN(Desain_Kolam!$B$21,MAX(0,N288+F289+G289-H289-I289))</f>
        <v>15823.566675</v>
      </c>
      <c r="O289" s="6" t="n">
        <f aca="false">IF(N288+F289+G289-I289&gt;=H289,1,0)</f>
        <v>1</v>
      </c>
    </row>
    <row r="290" customFormat="false" ht="15" hidden="false" customHeight="false" outlineLevel="0" collapsed="false">
      <c r="A290" s="6" t="n">
        <v>2021</v>
      </c>
      <c r="B290" s="6" t="n">
        <v>2</v>
      </c>
      <c r="C290" s="4" t="n">
        <v>50</v>
      </c>
      <c r="D290" s="6" t="n">
        <v>28</v>
      </c>
      <c r="E290" s="4" t="n">
        <f aca="false">INDEX(Evaporasi!$B$5:$B$16,MATCH(B290,Evaporasi!$A$5:$A$16,0))</f>
        <v>148.64</v>
      </c>
      <c r="F290" s="17" t="n">
        <f aca="false">Kawasan!$B$11*Kawasan!$B$9*C290/1000</f>
        <v>416</v>
      </c>
      <c r="G290" s="17" t="n">
        <f aca="false">C290*Desain_Kolam!$B$9/1000</f>
        <v>264.625</v>
      </c>
      <c r="H290" s="17" t="n">
        <f aca="false">Kawasan!$B$27*D290</f>
        <v>1505.28</v>
      </c>
      <c r="I290" s="17" t="n">
        <f aca="false">E290*Desain_Kolam!$B$9/1000</f>
        <v>786.6772</v>
      </c>
      <c r="J290" s="17" t="n">
        <f aca="false">F290+G290-H290-I290</f>
        <v>-1611.3322</v>
      </c>
      <c r="K290" s="17" t="n">
        <f aca="false">K289+J290</f>
        <v>80790.968775</v>
      </c>
      <c r="L290" s="17" t="n">
        <f aca="false">MAX(L289,K290)</f>
        <v>82402.300975</v>
      </c>
      <c r="M290" s="17" t="n">
        <f aca="false">L290-K290</f>
        <v>1611.3322</v>
      </c>
      <c r="N290" s="17" t="n">
        <f aca="false">MIN(Desain_Kolam!$B$21,MAX(0,N289+F290+G290-H290-I290))</f>
        <v>14212.234475</v>
      </c>
      <c r="O290" s="6" t="n">
        <f aca="false">IF(N289+F290+G290-I290&gt;=H290,1,0)</f>
        <v>1</v>
      </c>
    </row>
    <row r="291" customFormat="false" ht="15" hidden="false" customHeight="false" outlineLevel="0" collapsed="false">
      <c r="A291" s="6" t="n">
        <v>2021</v>
      </c>
      <c r="B291" s="6" t="n">
        <v>3</v>
      </c>
      <c r="C291" s="4" t="n">
        <v>263</v>
      </c>
      <c r="D291" s="6" t="n">
        <v>31</v>
      </c>
      <c r="E291" s="4" t="n">
        <f aca="false">INDEX(Evaporasi!$B$5:$B$16,MATCH(B291,Evaporasi!$A$5:$A$16,0))</f>
        <v>166.18</v>
      </c>
      <c r="F291" s="17" t="n">
        <f aca="false">Kawasan!$B$11*Kawasan!$B$9*C291/1000</f>
        <v>2188.16</v>
      </c>
      <c r="G291" s="17" t="n">
        <f aca="false">C291*Desain_Kolam!$B$9/1000</f>
        <v>1391.9275</v>
      </c>
      <c r="H291" s="17" t="n">
        <f aca="false">Kawasan!$B$27*D291</f>
        <v>1666.56</v>
      </c>
      <c r="I291" s="17" t="n">
        <f aca="false">E291*Desain_Kolam!$B$9/1000</f>
        <v>879.50765</v>
      </c>
      <c r="J291" s="17" t="n">
        <f aca="false">F291+G291-H291-I291</f>
        <v>1034.01985</v>
      </c>
      <c r="K291" s="17" t="n">
        <f aca="false">K290+J291</f>
        <v>81824.988625</v>
      </c>
      <c r="L291" s="17" t="n">
        <f aca="false">MAX(L290,K291)</f>
        <v>82402.300975</v>
      </c>
      <c r="M291" s="17" t="n">
        <f aca="false">L291-K291</f>
        <v>577.312350000007</v>
      </c>
      <c r="N291" s="17" t="n">
        <f aca="false">MIN(Desain_Kolam!$B$21,MAX(0,N290+F291+G291-H291-I291))</f>
        <v>15246.254325</v>
      </c>
      <c r="O291" s="6" t="n">
        <f aca="false">IF(N290+F291+G291-I291&gt;=H291,1,0)</f>
        <v>1</v>
      </c>
    </row>
    <row r="292" customFormat="false" ht="15" hidden="false" customHeight="false" outlineLevel="0" collapsed="false">
      <c r="A292" s="6" t="n">
        <v>2021</v>
      </c>
      <c r="B292" s="6" t="n">
        <v>4</v>
      </c>
      <c r="C292" s="4" t="n">
        <v>240</v>
      </c>
      <c r="D292" s="6" t="n">
        <v>30</v>
      </c>
      <c r="E292" s="4" t="n">
        <f aca="false">INDEX(Evaporasi!$B$5:$B$16,MATCH(B292,Evaporasi!$A$5:$A$16,0))</f>
        <v>157.75</v>
      </c>
      <c r="F292" s="17" t="n">
        <f aca="false">Kawasan!$B$11*Kawasan!$B$9*C292/1000</f>
        <v>1996.8</v>
      </c>
      <c r="G292" s="17" t="n">
        <f aca="false">C292*Desain_Kolam!$B$9/1000</f>
        <v>1270.2</v>
      </c>
      <c r="H292" s="17" t="n">
        <f aca="false">Kawasan!$B$27*D292</f>
        <v>1612.8</v>
      </c>
      <c r="I292" s="17" t="n">
        <f aca="false">E292*Desain_Kolam!$B$9/1000</f>
        <v>834.891875</v>
      </c>
      <c r="J292" s="17" t="n">
        <f aca="false">F292+G292-H292-I292</f>
        <v>819.308125</v>
      </c>
      <c r="K292" s="17" t="n">
        <f aca="false">K291+J292</f>
        <v>82644.29675</v>
      </c>
      <c r="L292" s="17" t="n">
        <f aca="false">MAX(L291,K292)</f>
        <v>82644.29675</v>
      </c>
      <c r="M292" s="17" t="n">
        <f aca="false">L292-K292</f>
        <v>0</v>
      </c>
      <c r="N292" s="17" t="n">
        <f aca="false">MIN(Desain_Kolam!$B$21,MAX(0,N291+F292+G292-H292-I292))</f>
        <v>15823.566675</v>
      </c>
      <c r="O292" s="6" t="n">
        <f aca="false">IF(N291+F292+G292-I292&gt;=H292,1,0)</f>
        <v>1</v>
      </c>
    </row>
    <row r="293" customFormat="false" ht="15" hidden="false" customHeight="false" outlineLevel="0" collapsed="false">
      <c r="A293" s="6" t="n">
        <v>2021</v>
      </c>
      <c r="B293" s="6" t="n">
        <v>5</v>
      </c>
      <c r="C293" s="4" t="n">
        <v>465</v>
      </c>
      <c r="D293" s="6" t="n">
        <v>31</v>
      </c>
      <c r="E293" s="4" t="n">
        <f aca="false">INDEX(Evaporasi!$B$5:$B$16,MATCH(B293,Evaporasi!$A$5:$A$16,0))</f>
        <v>158.35</v>
      </c>
      <c r="F293" s="17" t="n">
        <f aca="false">Kawasan!$B$11*Kawasan!$B$9*C293/1000</f>
        <v>3868.8</v>
      </c>
      <c r="G293" s="17" t="n">
        <f aca="false">C293*Desain_Kolam!$B$9/1000</f>
        <v>2461.0125</v>
      </c>
      <c r="H293" s="17" t="n">
        <f aca="false">Kawasan!$B$27*D293</f>
        <v>1666.56</v>
      </c>
      <c r="I293" s="17" t="n">
        <f aca="false">E293*Desain_Kolam!$B$9/1000</f>
        <v>838.067375</v>
      </c>
      <c r="J293" s="17" t="n">
        <f aca="false">F293+G293-H293-I293</f>
        <v>3825.185125</v>
      </c>
      <c r="K293" s="17" t="n">
        <f aca="false">K292+J293</f>
        <v>86469.481875</v>
      </c>
      <c r="L293" s="17" t="n">
        <f aca="false">MAX(L292,K293)</f>
        <v>86469.481875</v>
      </c>
      <c r="M293" s="17" t="n">
        <f aca="false">L293-K293</f>
        <v>0</v>
      </c>
      <c r="N293" s="17" t="n">
        <f aca="false">MIN(Desain_Kolam!$B$21,MAX(0,N292+F293+G293-H293-I293))</f>
        <v>15823.566675</v>
      </c>
      <c r="O293" s="6" t="n">
        <f aca="false">IF(N292+F293+G293-I293&gt;=H293,1,0)</f>
        <v>1</v>
      </c>
    </row>
    <row r="294" customFormat="false" ht="15" hidden="false" customHeight="false" outlineLevel="0" collapsed="false">
      <c r="A294" s="6" t="n">
        <v>2021</v>
      </c>
      <c r="B294" s="6" t="n">
        <v>6</v>
      </c>
      <c r="C294" s="4" t="n">
        <v>390</v>
      </c>
      <c r="D294" s="6" t="n">
        <v>30</v>
      </c>
      <c r="E294" s="4" t="n">
        <f aca="false">INDEX(Evaporasi!$B$5:$B$16,MATCH(B294,Evaporasi!$A$5:$A$16,0))</f>
        <v>150.17</v>
      </c>
      <c r="F294" s="17" t="n">
        <f aca="false">Kawasan!$B$11*Kawasan!$B$9*C294/1000</f>
        <v>3244.8</v>
      </c>
      <c r="G294" s="17" t="n">
        <f aca="false">C294*Desain_Kolam!$B$9/1000</f>
        <v>2064.075</v>
      </c>
      <c r="H294" s="17" t="n">
        <f aca="false">Kawasan!$B$27*D294</f>
        <v>1612.8</v>
      </c>
      <c r="I294" s="17" t="n">
        <f aca="false">E294*Desain_Kolam!$B$9/1000</f>
        <v>794.774725</v>
      </c>
      <c r="J294" s="17" t="n">
        <f aca="false">F294+G294-H294-I294</f>
        <v>2901.300275</v>
      </c>
      <c r="K294" s="17" t="n">
        <f aca="false">K293+J294</f>
        <v>89370.78215</v>
      </c>
      <c r="L294" s="17" t="n">
        <f aca="false">MAX(L293,K294)</f>
        <v>89370.78215</v>
      </c>
      <c r="M294" s="17" t="n">
        <f aca="false">L294-K294</f>
        <v>0</v>
      </c>
      <c r="N294" s="17" t="n">
        <f aca="false">MIN(Desain_Kolam!$B$21,MAX(0,N293+F294+G294-H294-I294))</f>
        <v>15823.566675</v>
      </c>
      <c r="O294" s="6" t="n">
        <f aca="false">IF(N293+F294+G294-I294&gt;=H294,1,0)</f>
        <v>1</v>
      </c>
    </row>
    <row r="295" customFormat="false" ht="15" hidden="false" customHeight="false" outlineLevel="0" collapsed="false">
      <c r="A295" s="6" t="n">
        <v>2021</v>
      </c>
      <c r="B295" s="6" t="n">
        <v>7</v>
      </c>
      <c r="C295" s="4" t="n">
        <v>211</v>
      </c>
      <c r="D295" s="6" t="n">
        <v>31</v>
      </c>
      <c r="E295" s="4" t="n">
        <f aca="false">INDEX(Evaporasi!$B$5:$B$16,MATCH(B295,Evaporasi!$A$5:$A$16,0))</f>
        <v>160.84</v>
      </c>
      <c r="F295" s="17" t="n">
        <f aca="false">Kawasan!$B$11*Kawasan!$B$9*C295/1000</f>
        <v>1755.52</v>
      </c>
      <c r="G295" s="17" t="n">
        <f aca="false">C295*Desain_Kolam!$B$9/1000</f>
        <v>1116.7175</v>
      </c>
      <c r="H295" s="17" t="n">
        <f aca="false">Kawasan!$B$27*D295</f>
        <v>1666.56</v>
      </c>
      <c r="I295" s="17" t="n">
        <f aca="false">E295*Desain_Kolam!$B$9/1000</f>
        <v>851.2457</v>
      </c>
      <c r="J295" s="17" t="n">
        <f aca="false">F295+G295-H295-I295</f>
        <v>354.4318</v>
      </c>
      <c r="K295" s="17" t="n">
        <f aca="false">K294+J295</f>
        <v>89725.21395</v>
      </c>
      <c r="L295" s="17" t="n">
        <f aca="false">MAX(L294,K295)</f>
        <v>89725.21395</v>
      </c>
      <c r="M295" s="17" t="n">
        <f aca="false">L295-K295</f>
        <v>0</v>
      </c>
      <c r="N295" s="17" t="n">
        <f aca="false">MIN(Desain_Kolam!$B$21,MAX(0,N294+F295+G295-H295-I295))</f>
        <v>15823.566675</v>
      </c>
      <c r="O295" s="6" t="n">
        <f aca="false">IF(N294+F295+G295-I295&gt;=H295,1,0)</f>
        <v>1</v>
      </c>
    </row>
    <row r="296" customFormat="false" ht="15" hidden="false" customHeight="false" outlineLevel="0" collapsed="false">
      <c r="A296" s="6" t="n">
        <v>2021</v>
      </c>
      <c r="B296" s="6" t="n">
        <v>8</v>
      </c>
      <c r="C296" s="4" t="n">
        <v>587</v>
      </c>
      <c r="D296" s="6" t="n">
        <v>31</v>
      </c>
      <c r="E296" s="4" t="n">
        <f aca="false">INDEX(Evaporasi!$B$5:$B$16,MATCH(B296,Evaporasi!$A$5:$A$16,0))</f>
        <v>161.16</v>
      </c>
      <c r="F296" s="17" t="n">
        <f aca="false">Kawasan!$B$11*Kawasan!$B$9*C296/1000</f>
        <v>4883.84</v>
      </c>
      <c r="G296" s="17" t="n">
        <f aca="false">C296*Desain_Kolam!$B$9/1000</f>
        <v>3106.6975</v>
      </c>
      <c r="H296" s="17" t="n">
        <f aca="false">Kawasan!$B$27*D296</f>
        <v>1666.56</v>
      </c>
      <c r="I296" s="17" t="n">
        <f aca="false">E296*Desain_Kolam!$B$9/1000</f>
        <v>852.9393</v>
      </c>
      <c r="J296" s="17" t="n">
        <f aca="false">F296+G296-H296-I296</f>
        <v>5471.0382</v>
      </c>
      <c r="K296" s="17" t="n">
        <f aca="false">K295+J296</f>
        <v>95196.25215</v>
      </c>
      <c r="L296" s="17" t="n">
        <f aca="false">MAX(L295,K296)</f>
        <v>95196.25215</v>
      </c>
      <c r="M296" s="17" t="n">
        <f aca="false">L296-K296</f>
        <v>0</v>
      </c>
      <c r="N296" s="17" t="n">
        <f aca="false">MIN(Desain_Kolam!$B$21,MAX(0,N295+F296+G296-H296-I296))</f>
        <v>15823.566675</v>
      </c>
      <c r="O296" s="6" t="n">
        <f aca="false">IF(N295+F296+G296-I296&gt;=H296,1,0)</f>
        <v>1</v>
      </c>
    </row>
    <row r="297" customFormat="false" ht="15" hidden="false" customHeight="false" outlineLevel="0" collapsed="false">
      <c r="A297" s="6" t="n">
        <v>2021</v>
      </c>
      <c r="B297" s="6" t="n">
        <v>9</v>
      </c>
      <c r="C297" s="4" t="n">
        <v>524</v>
      </c>
      <c r="D297" s="6" t="n">
        <v>30</v>
      </c>
      <c r="E297" s="4" t="n">
        <f aca="false">INDEX(Evaporasi!$B$5:$B$16,MATCH(B297,Evaporasi!$A$5:$A$16,0))</f>
        <v>159.21</v>
      </c>
      <c r="F297" s="17" t="n">
        <f aca="false">Kawasan!$B$11*Kawasan!$B$9*C297/1000</f>
        <v>4359.68</v>
      </c>
      <c r="G297" s="17" t="n">
        <f aca="false">C297*Desain_Kolam!$B$9/1000</f>
        <v>2773.27</v>
      </c>
      <c r="H297" s="17" t="n">
        <f aca="false">Kawasan!$B$27*D297</f>
        <v>1612.8</v>
      </c>
      <c r="I297" s="17" t="n">
        <f aca="false">E297*Desain_Kolam!$B$9/1000</f>
        <v>842.618925</v>
      </c>
      <c r="J297" s="17" t="n">
        <f aca="false">F297+G297-H297-I297</f>
        <v>4677.531075</v>
      </c>
      <c r="K297" s="17" t="n">
        <f aca="false">K296+J297</f>
        <v>99873.783225</v>
      </c>
      <c r="L297" s="17" t="n">
        <f aca="false">MAX(L296,K297)</f>
        <v>99873.783225</v>
      </c>
      <c r="M297" s="17" t="n">
        <f aca="false">L297-K297</f>
        <v>0</v>
      </c>
      <c r="N297" s="17" t="n">
        <f aca="false">MIN(Desain_Kolam!$B$21,MAX(0,N296+F297+G297-H297-I297))</f>
        <v>15823.566675</v>
      </c>
      <c r="O297" s="6" t="n">
        <f aca="false">IF(N296+F297+G297-I297&gt;=H297,1,0)</f>
        <v>1</v>
      </c>
    </row>
    <row r="298" customFormat="false" ht="15" hidden="false" customHeight="false" outlineLevel="0" collapsed="false">
      <c r="A298" s="6" t="n">
        <v>2021</v>
      </c>
      <c r="B298" s="6" t="n">
        <v>10</v>
      </c>
      <c r="C298" s="4" t="n">
        <v>252</v>
      </c>
      <c r="D298" s="6" t="n">
        <v>31</v>
      </c>
      <c r="E298" s="4" t="n">
        <f aca="false">INDEX(Evaporasi!$B$5:$B$16,MATCH(B298,Evaporasi!$A$5:$A$16,0))</f>
        <v>151.5</v>
      </c>
      <c r="F298" s="17" t="n">
        <f aca="false">Kawasan!$B$11*Kawasan!$B$9*C298/1000</f>
        <v>2096.64</v>
      </c>
      <c r="G298" s="17" t="n">
        <f aca="false">C298*Desain_Kolam!$B$9/1000</f>
        <v>1333.71</v>
      </c>
      <c r="H298" s="17" t="n">
        <f aca="false">Kawasan!$B$27*D298</f>
        <v>1666.56</v>
      </c>
      <c r="I298" s="17" t="n">
        <f aca="false">E298*Desain_Kolam!$B$9/1000</f>
        <v>801.81375</v>
      </c>
      <c r="J298" s="17" t="n">
        <f aca="false">F298+G298-H298-I298</f>
        <v>961.97625</v>
      </c>
      <c r="K298" s="17" t="n">
        <f aca="false">K297+J298</f>
        <v>100835.759475</v>
      </c>
      <c r="L298" s="17" t="n">
        <f aca="false">MAX(L297,K298)</f>
        <v>100835.759475</v>
      </c>
      <c r="M298" s="17" t="n">
        <f aca="false">L298-K298</f>
        <v>0</v>
      </c>
      <c r="N298" s="17" t="n">
        <f aca="false">MIN(Desain_Kolam!$B$21,MAX(0,N297+F298+G298-H298-I298))</f>
        <v>15823.566675</v>
      </c>
      <c r="O298" s="6" t="n">
        <f aca="false">IF(N297+F298+G298-I298&gt;=H298,1,0)</f>
        <v>1</v>
      </c>
    </row>
    <row r="299" customFormat="false" ht="15" hidden="false" customHeight="false" outlineLevel="0" collapsed="false">
      <c r="A299" s="6" t="n">
        <v>2021</v>
      </c>
      <c r="B299" s="6" t="n">
        <v>11</v>
      </c>
      <c r="C299" s="4" t="n">
        <v>252</v>
      </c>
      <c r="D299" s="6" t="n">
        <v>30</v>
      </c>
      <c r="E299" s="4" t="n">
        <f aca="false">INDEX(Evaporasi!$B$5:$B$16,MATCH(B299,Evaporasi!$A$5:$A$16,0))</f>
        <v>142.3</v>
      </c>
      <c r="F299" s="17" t="n">
        <f aca="false">Kawasan!$B$11*Kawasan!$B$9*C299/1000</f>
        <v>2096.64</v>
      </c>
      <c r="G299" s="17" t="n">
        <f aca="false">C299*Desain_Kolam!$B$9/1000</f>
        <v>1333.71</v>
      </c>
      <c r="H299" s="17" t="n">
        <f aca="false">Kawasan!$B$27*D299</f>
        <v>1612.8</v>
      </c>
      <c r="I299" s="17" t="n">
        <f aca="false">E299*Desain_Kolam!$B$9/1000</f>
        <v>753.12275</v>
      </c>
      <c r="J299" s="17" t="n">
        <f aca="false">F299+G299-H299-I299</f>
        <v>1064.42725</v>
      </c>
      <c r="K299" s="17" t="n">
        <f aca="false">K298+J299</f>
        <v>101900.186725</v>
      </c>
      <c r="L299" s="17" t="n">
        <f aca="false">MAX(L298,K299)</f>
        <v>101900.186725</v>
      </c>
      <c r="M299" s="17" t="n">
        <f aca="false">L299-K299</f>
        <v>0</v>
      </c>
      <c r="N299" s="17" t="n">
        <f aca="false">MIN(Desain_Kolam!$B$21,MAX(0,N298+F299+G299-H299-I299))</f>
        <v>15823.566675</v>
      </c>
      <c r="O299" s="6" t="n">
        <f aca="false">IF(N298+F299+G299-I299&gt;=H299,1,0)</f>
        <v>1</v>
      </c>
    </row>
    <row r="300" customFormat="false" ht="15" hidden="false" customHeight="false" outlineLevel="0" collapsed="false">
      <c r="A300" s="6" t="n">
        <v>2021</v>
      </c>
      <c r="B300" s="6" t="n">
        <v>12</v>
      </c>
      <c r="C300" s="4" t="n">
        <v>152</v>
      </c>
      <c r="D300" s="6" t="n">
        <v>31</v>
      </c>
      <c r="E300" s="4" t="n">
        <f aca="false">INDEX(Evaporasi!$B$5:$B$16,MATCH(B300,Evaporasi!$A$5:$A$16,0))</f>
        <v>145.07</v>
      </c>
      <c r="F300" s="17" t="n">
        <f aca="false">Kawasan!$B$11*Kawasan!$B$9*C300/1000</f>
        <v>1264.64</v>
      </c>
      <c r="G300" s="17" t="n">
        <f aca="false">C300*Desain_Kolam!$B$9/1000</f>
        <v>804.46</v>
      </c>
      <c r="H300" s="17" t="n">
        <f aca="false">Kawasan!$B$27*D300</f>
        <v>1666.56</v>
      </c>
      <c r="I300" s="17" t="n">
        <f aca="false">E300*Desain_Kolam!$B$9/1000</f>
        <v>767.782975</v>
      </c>
      <c r="J300" s="17" t="n">
        <f aca="false">F300+G300-H300-I300</f>
        <v>-365.242975</v>
      </c>
      <c r="K300" s="17" t="n">
        <f aca="false">K299+J300</f>
        <v>101534.94375</v>
      </c>
      <c r="L300" s="17" t="n">
        <f aca="false">MAX(L299,K300)</f>
        <v>101900.186725</v>
      </c>
      <c r="M300" s="17" t="n">
        <f aca="false">L300-K300</f>
        <v>365.242975000001</v>
      </c>
      <c r="N300" s="17" t="n">
        <f aca="false">MIN(Desain_Kolam!$B$21,MAX(0,N299+F300+G300-H300-I300))</f>
        <v>15458.3237</v>
      </c>
      <c r="O300" s="6" t="n">
        <f aca="false">IF(N299+F300+G300-I300&gt;=H300,1,0)</f>
        <v>1</v>
      </c>
    </row>
    <row r="301" customFormat="false" ht="15" hidden="false" customHeight="false" outlineLevel="0" collapsed="false">
      <c r="A301" s="6" t="n">
        <v>2022</v>
      </c>
      <c r="B301" s="6" t="n">
        <v>1</v>
      </c>
      <c r="C301" s="4" t="n">
        <v>145</v>
      </c>
      <c r="D301" s="6" t="n">
        <v>31</v>
      </c>
      <c r="E301" s="4" t="n">
        <f aca="false">INDEX(Evaporasi!$B$5:$B$16,MATCH(B301,Evaporasi!$A$5:$A$16,0))</f>
        <v>149.98</v>
      </c>
      <c r="F301" s="17" t="n">
        <f aca="false">Kawasan!$B$11*Kawasan!$B$9*C301/1000</f>
        <v>1206.4</v>
      </c>
      <c r="G301" s="17" t="n">
        <f aca="false">C301*Desain_Kolam!$B$9/1000</f>
        <v>767.4125</v>
      </c>
      <c r="H301" s="17" t="n">
        <f aca="false">Kawasan!$B$27*D301</f>
        <v>1666.56</v>
      </c>
      <c r="I301" s="17" t="n">
        <f aca="false">E301*Desain_Kolam!$B$9/1000</f>
        <v>793.76915</v>
      </c>
      <c r="J301" s="17" t="n">
        <f aca="false">F301+G301-H301-I301</f>
        <v>-486.51665</v>
      </c>
      <c r="K301" s="17" t="n">
        <f aca="false">K300+J301</f>
        <v>101048.4271</v>
      </c>
      <c r="L301" s="17" t="n">
        <f aca="false">MAX(L300,K301)</f>
        <v>101900.186725</v>
      </c>
      <c r="M301" s="17" t="n">
        <f aca="false">L301-K301</f>
        <v>851.759625000006</v>
      </c>
      <c r="N301" s="17" t="n">
        <f aca="false">MIN(Desain_Kolam!$B$21,MAX(0,N300+F301+G301-H301-I301))</f>
        <v>14971.80705</v>
      </c>
      <c r="O301" s="6" t="n">
        <f aca="false">IF(N300+F301+G301-I301&gt;=H301,1,0)</f>
        <v>1</v>
      </c>
    </row>
    <row r="302" customFormat="false" ht="15" hidden="false" customHeight="false" outlineLevel="0" collapsed="false">
      <c r="A302" s="6" t="n">
        <v>2022</v>
      </c>
      <c r="B302" s="6" t="n">
        <v>2</v>
      </c>
      <c r="C302" s="4" t="n">
        <v>106</v>
      </c>
      <c r="D302" s="6" t="n">
        <v>28</v>
      </c>
      <c r="E302" s="4" t="n">
        <f aca="false">INDEX(Evaporasi!$B$5:$B$16,MATCH(B302,Evaporasi!$A$5:$A$16,0))</f>
        <v>148.64</v>
      </c>
      <c r="F302" s="17" t="n">
        <f aca="false">Kawasan!$B$11*Kawasan!$B$9*C302/1000</f>
        <v>881.92</v>
      </c>
      <c r="G302" s="17" t="n">
        <f aca="false">C302*Desain_Kolam!$B$9/1000</f>
        <v>561.005</v>
      </c>
      <c r="H302" s="17" t="n">
        <f aca="false">Kawasan!$B$27*D302</f>
        <v>1505.28</v>
      </c>
      <c r="I302" s="17" t="n">
        <f aca="false">E302*Desain_Kolam!$B$9/1000</f>
        <v>786.6772</v>
      </c>
      <c r="J302" s="17" t="n">
        <f aca="false">F302+G302-H302-I302</f>
        <v>-849.0322</v>
      </c>
      <c r="K302" s="17" t="n">
        <f aca="false">K301+J302</f>
        <v>100199.3949</v>
      </c>
      <c r="L302" s="17" t="n">
        <f aca="false">MAX(L301,K302)</f>
        <v>101900.186725</v>
      </c>
      <c r="M302" s="17" t="n">
        <f aca="false">L302-K302</f>
        <v>1700.79182500001</v>
      </c>
      <c r="N302" s="17" t="n">
        <f aca="false">MIN(Desain_Kolam!$B$21,MAX(0,N301+F302+G302-H302-I302))</f>
        <v>14122.77485</v>
      </c>
      <c r="O302" s="6" t="n">
        <f aca="false">IF(N301+F302+G302-I302&gt;=H302,1,0)</f>
        <v>1</v>
      </c>
    </row>
    <row r="303" customFormat="false" ht="15" hidden="false" customHeight="false" outlineLevel="0" collapsed="false">
      <c r="A303" s="6" t="n">
        <v>2022</v>
      </c>
      <c r="B303" s="6" t="n">
        <v>3</v>
      </c>
      <c r="C303" s="4" t="n">
        <v>104</v>
      </c>
      <c r="D303" s="6" t="n">
        <v>31</v>
      </c>
      <c r="E303" s="4" t="n">
        <f aca="false">INDEX(Evaporasi!$B$5:$B$16,MATCH(B303,Evaporasi!$A$5:$A$16,0))</f>
        <v>166.18</v>
      </c>
      <c r="F303" s="17" t="n">
        <f aca="false">Kawasan!$B$11*Kawasan!$B$9*C303/1000</f>
        <v>865.28</v>
      </c>
      <c r="G303" s="17" t="n">
        <f aca="false">C303*Desain_Kolam!$B$9/1000</f>
        <v>550.42</v>
      </c>
      <c r="H303" s="17" t="n">
        <f aca="false">Kawasan!$B$27*D303</f>
        <v>1666.56</v>
      </c>
      <c r="I303" s="17" t="n">
        <f aca="false">E303*Desain_Kolam!$B$9/1000</f>
        <v>879.50765</v>
      </c>
      <c r="J303" s="17" t="n">
        <f aca="false">F303+G303-H303-I303</f>
        <v>-1130.36765</v>
      </c>
      <c r="K303" s="17" t="n">
        <f aca="false">K302+J303</f>
        <v>99069.02725</v>
      </c>
      <c r="L303" s="17" t="n">
        <f aca="false">MAX(L302,K303)</f>
        <v>101900.186725</v>
      </c>
      <c r="M303" s="17" t="n">
        <f aca="false">L303-K303</f>
        <v>2831.15947500001</v>
      </c>
      <c r="N303" s="17" t="n">
        <f aca="false">MIN(Desain_Kolam!$B$21,MAX(0,N302+F303+G303-H303-I303))</f>
        <v>12992.4072</v>
      </c>
      <c r="O303" s="6" t="n">
        <f aca="false">IF(N302+F303+G303-I303&gt;=H303,1,0)</f>
        <v>1</v>
      </c>
    </row>
    <row r="304" customFormat="false" ht="15" hidden="false" customHeight="false" outlineLevel="0" collapsed="false">
      <c r="A304" s="6" t="n">
        <v>2022</v>
      </c>
      <c r="B304" s="6" t="n">
        <v>4</v>
      </c>
      <c r="C304" s="4" t="n">
        <v>301</v>
      </c>
      <c r="D304" s="6" t="n">
        <v>30</v>
      </c>
      <c r="E304" s="4" t="n">
        <f aca="false">INDEX(Evaporasi!$B$5:$B$16,MATCH(B304,Evaporasi!$A$5:$A$16,0))</f>
        <v>157.75</v>
      </c>
      <c r="F304" s="17" t="n">
        <f aca="false">Kawasan!$B$11*Kawasan!$B$9*C304/1000</f>
        <v>2504.32</v>
      </c>
      <c r="G304" s="17" t="n">
        <f aca="false">C304*Desain_Kolam!$B$9/1000</f>
        <v>1593.0425</v>
      </c>
      <c r="H304" s="17" t="n">
        <f aca="false">Kawasan!$B$27*D304</f>
        <v>1612.8</v>
      </c>
      <c r="I304" s="17" t="n">
        <f aca="false">E304*Desain_Kolam!$B$9/1000</f>
        <v>834.891875</v>
      </c>
      <c r="J304" s="17" t="n">
        <f aca="false">F304+G304-H304-I304</f>
        <v>1649.670625</v>
      </c>
      <c r="K304" s="17" t="n">
        <f aca="false">K303+J304</f>
        <v>100718.697875</v>
      </c>
      <c r="L304" s="17" t="n">
        <f aca="false">MAX(L303,K304)</f>
        <v>101900.186725</v>
      </c>
      <c r="M304" s="17" t="n">
        <f aca="false">L304-K304</f>
        <v>1181.48885000001</v>
      </c>
      <c r="N304" s="17" t="n">
        <f aca="false">MIN(Desain_Kolam!$B$21,MAX(0,N303+F304+G304-H304-I304))</f>
        <v>14642.077825</v>
      </c>
      <c r="O304" s="6" t="n">
        <f aca="false">IF(N303+F304+G304-I304&gt;=H304,1,0)</f>
        <v>1</v>
      </c>
    </row>
    <row r="305" customFormat="false" ht="15" hidden="false" customHeight="false" outlineLevel="0" collapsed="false">
      <c r="A305" s="6" t="n">
        <v>2022</v>
      </c>
      <c r="B305" s="6" t="n">
        <v>5</v>
      </c>
      <c r="C305" s="4" t="n">
        <v>201</v>
      </c>
      <c r="D305" s="6" t="n">
        <v>31</v>
      </c>
      <c r="E305" s="4" t="n">
        <f aca="false">INDEX(Evaporasi!$B$5:$B$16,MATCH(B305,Evaporasi!$A$5:$A$16,0))</f>
        <v>158.35</v>
      </c>
      <c r="F305" s="17" t="n">
        <f aca="false">Kawasan!$B$11*Kawasan!$B$9*C305/1000</f>
        <v>1672.32</v>
      </c>
      <c r="G305" s="17" t="n">
        <f aca="false">C305*Desain_Kolam!$B$9/1000</f>
        <v>1063.7925</v>
      </c>
      <c r="H305" s="17" t="n">
        <f aca="false">Kawasan!$B$27*D305</f>
        <v>1666.56</v>
      </c>
      <c r="I305" s="17" t="n">
        <f aca="false">E305*Desain_Kolam!$B$9/1000</f>
        <v>838.067375</v>
      </c>
      <c r="J305" s="17" t="n">
        <f aca="false">F305+G305-H305-I305</f>
        <v>231.485125</v>
      </c>
      <c r="K305" s="17" t="n">
        <f aca="false">K304+J305</f>
        <v>100950.183</v>
      </c>
      <c r="L305" s="17" t="n">
        <f aca="false">MAX(L304,K305)</f>
        <v>101900.186725</v>
      </c>
      <c r="M305" s="17" t="n">
        <f aca="false">L305-K305</f>
        <v>950.003725000002</v>
      </c>
      <c r="N305" s="17" t="n">
        <f aca="false">MIN(Desain_Kolam!$B$21,MAX(0,N304+F305+G305-H305-I305))</f>
        <v>14873.56295</v>
      </c>
      <c r="O305" s="6" t="n">
        <f aca="false">IF(N304+F305+G305-I305&gt;=H305,1,0)</f>
        <v>1</v>
      </c>
    </row>
    <row r="306" customFormat="false" ht="15" hidden="false" customHeight="false" outlineLevel="0" collapsed="false">
      <c r="A306" s="6" t="n">
        <v>2022</v>
      </c>
      <c r="B306" s="6" t="n">
        <v>6</v>
      </c>
      <c r="C306" s="4" t="n">
        <v>293</v>
      </c>
      <c r="D306" s="6" t="n">
        <v>30</v>
      </c>
      <c r="E306" s="4" t="n">
        <f aca="false">INDEX(Evaporasi!$B$5:$B$16,MATCH(B306,Evaporasi!$A$5:$A$16,0))</f>
        <v>150.17</v>
      </c>
      <c r="F306" s="17" t="n">
        <f aca="false">Kawasan!$B$11*Kawasan!$B$9*C306/1000</f>
        <v>2437.76</v>
      </c>
      <c r="G306" s="17" t="n">
        <f aca="false">C306*Desain_Kolam!$B$9/1000</f>
        <v>1550.7025</v>
      </c>
      <c r="H306" s="17" t="n">
        <f aca="false">Kawasan!$B$27*D306</f>
        <v>1612.8</v>
      </c>
      <c r="I306" s="17" t="n">
        <f aca="false">E306*Desain_Kolam!$B$9/1000</f>
        <v>794.774725</v>
      </c>
      <c r="J306" s="17" t="n">
        <f aca="false">F306+G306-H306-I306</f>
        <v>1580.887775</v>
      </c>
      <c r="K306" s="17" t="n">
        <f aca="false">K305+J306</f>
        <v>102531.070775</v>
      </c>
      <c r="L306" s="17" t="n">
        <f aca="false">MAX(L305,K306)</f>
        <v>102531.070775</v>
      </c>
      <c r="M306" s="17" t="n">
        <f aca="false">L306-K306</f>
        <v>0</v>
      </c>
      <c r="N306" s="17" t="n">
        <f aca="false">MIN(Desain_Kolam!$B$21,MAX(0,N305+F306+G306-H306-I306))</f>
        <v>15823.566675</v>
      </c>
      <c r="O306" s="6" t="n">
        <f aca="false">IF(N305+F306+G306-I306&gt;=H306,1,0)</f>
        <v>1</v>
      </c>
    </row>
    <row r="307" customFormat="false" ht="15" hidden="false" customHeight="false" outlineLevel="0" collapsed="false">
      <c r="A307" s="6" t="n">
        <v>2022</v>
      </c>
      <c r="B307" s="6" t="n">
        <v>7</v>
      </c>
      <c r="C307" s="4" t="n">
        <v>272</v>
      </c>
      <c r="D307" s="6" t="n">
        <v>31</v>
      </c>
      <c r="E307" s="4" t="n">
        <f aca="false">INDEX(Evaporasi!$B$5:$B$16,MATCH(B307,Evaporasi!$A$5:$A$16,0))</f>
        <v>160.84</v>
      </c>
      <c r="F307" s="17" t="n">
        <f aca="false">Kawasan!$B$11*Kawasan!$B$9*C307/1000</f>
        <v>2263.04</v>
      </c>
      <c r="G307" s="17" t="n">
        <f aca="false">C307*Desain_Kolam!$B$9/1000</f>
        <v>1439.56</v>
      </c>
      <c r="H307" s="17" t="n">
        <f aca="false">Kawasan!$B$27*D307</f>
        <v>1666.56</v>
      </c>
      <c r="I307" s="17" t="n">
        <f aca="false">E307*Desain_Kolam!$B$9/1000</f>
        <v>851.2457</v>
      </c>
      <c r="J307" s="17" t="n">
        <f aca="false">F307+G307-H307-I307</f>
        <v>1184.7943</v>
      </c>
      <c r="K307" s="17" t="n">
        <f aca="false">K306+J307</f>
        <v>103715.865075</v>
      </c>
      <c r="L307" s="17" t="n">
        <f aca="false">MAX(L306,K307)</f>
        <v>103715.865075</v>
      </c>
      <c r="M307" s="17" t="n">
        <f aca="false">L307-K307</f>
        <v>0</v>
      </c>
      <c r="N307" s="17" t="n">
        <f aca="false">MIN(Desain_Kolam!$B$21,MAX(0,N306+F307+G307-H307-I307))</f>
        <v>15823.566675</v>
      </c>
      <c r="O307" s="6" t="n">
        <f aca="false">IF(N306+F307+G307-I307&gt;=H307,1,0)</f>
        <v>1</v>
      </c>
    </row>
    <row r="308" customFormat="false" ht="15" hidden="false" customHeight="false" outlineLevel="0" collapsed="false">
      <c r="A308" s="6" t="n">
        <v>2022</v>
      </c>
      <c r="B308" s="6" t="n">
        <v>8</v>
      </c>
      <c r="C308" s="4" t="n">
        <v>354</v>
      </c>
      <c r="D308" s="6" t="n">
        <v>31</v>
      </c>
      <c r="E308" s="4" t="n">
        <f aca="false">INDEX(Evaporasi!$B$5:$B$16,MATCH(B308,Evaporasi!$A$5:$A$16,0))</f>
        <v>161.16</v>
      </c>
      <c r="F308" s="17" t="n">
        <f aca="false">Kawasan!$B$11*Kawasan!$B$9*C308/1000</f>
        <v>2945.28</v>
      </c>
      <c r="G308" s="17" t="n">
        <f aca="false">C308*Desain_Kolam!$B$9/1000</f>
        <v>1873.545</v>
      </c>
      <c r="H308" s="17" t="n">
        <f aca="false">Kawasan!$B$27*D308</f>
        <v>1666.56</v>
      </c>
      <c r="I308" s="17" t="n">
        <f aca="false">E308*Desain_Kolam!$B$9/1000</f>
        <v>852.9393</v>
      </c>
      <c r="J308" s="17" t="n">
        <f aca="false">F308+G308-H308-I308</f>
        <v>2299.3257</v>
      </c>
      <c r="K308" s="17" t="n">
        <f aca="false">K307+J308</f>
        <v>106015.190775</v>
      </c>
      <c r="L308" s="17" t="n">
        <f aca="false">MAX(L307,K308)</f>
        <v>106015.190775</v>
      </c>
      <c r="M308" s="17" t="n">
        <f aca="false">L308-K308</f>
        <v>0</v>
      </c>
      <c r="N308" s="17" t="n">
        <f aca="false">MIN(Desain_Kolam!$B$21,MAX(0,N307+F308+G308-H308-I308))</f>
        <v>15823.566675</v>
      </c>
      <c r="O308" s="6" t="n">
        <f aca="false">IF(N307+F308+G308-I308&gt;=H308,1,0)</f>
        <v>1</v>
      </c>
    </row>
    <row r="309" customFormat="false" ht="15" hidden="false" customHeight="false" outlineLevel="0" collapsed="false">
      <c r="A309" s="6" t="n">
        <v>2022</v>
      </c>
      <c r="B309" s="6" t="n">
        <v>9</v>
      </c>
      <c r="C309" s="4" t="n">
        <v>275</v>
      </c>
      <c r="D309" s="6" t="n">
        <v>30</v>
      </c>
      <c r="E309" s="4" t="n">
        <f aca="false">INDEX(Evaporasi!$B$5:$B$16,MATCH(B309,Evaporasi!$A$5:$A$16,0))</f>
        <v>159.21</v>
      </c>
      <c r="F309" s="17" t="n">
        <f aca="false">Kawasan!$B$11*Kawasan!$B$9*C309/1000</f>
        <v>2288</v>
      </c>
      <c r="G309" s="17" t="n">
        <f aca="false">C309*Desain_Kolam!$B$9/1000</f>
        <v>1455.4375</v>
      </c>
      <c r="H309" s="17" t="n">
        <f aca="false">Kawasan!$B$27*D309</f>
        <v>1612.8</v>
      </c>
      <c r="I309" s="17" t="n">
        <f aca="false">E309*Desain_Kolam!$B$9/1000</f>
        <v>842.618925</v>
      </c>
      <c r="J309" s="17" t="n">
        <f aca="false">F309+G309-H309-I309</f>
        <v>1288.018575</v>
      </c>
      <c r="K309" s="17" t="n">
        <f aca="false">K308+J309</f>
        <v>107303.20935</v>
      </c>
      <c r="L309" s="17" t="n">
        <f aca="false">MAX(L308,K309)</f>
        <v>107303.20935</v>
      </c>
      <c r="M309" s="17" t="n">
        <f aca="false">L309-K309</f>
        <v>0</v>
      </c>
      <c r="N309" s="17" t="n">
        <f aca="false">MIN(Desain_Kolam!$B$21,MAX(0,N308+F309+G309-H309-I309))</f>
        <v>15823.566675</v>
      </c>
      <c r="O309" s="6" t="n">
        <f aca="false">IF(N308+F309+G309-I309&gt;=H309,1,0)</f>
        <v>1</v>
      </c>
    </row>
    <row r="310" customFormat="false" ht="15" hidden="false" customHeight="false" outlineLevel="0" collapsed="false">
      <c r="A310" s="6" t="n">
        <v>2022</v>
      </c>
      <c r="B310" s="6" t="n">
        <v>10</v>
      </c>
      <c r="C310" s="4" t="n">
        <v>423</v>
      </c>
      <c r="D310" s="6" t="n">
        <v>31</v>
      </c>
      <c r="E310" s="4" t="n">
        <f aca="false">INDEX(Evaporasi!$B$5:$B$16,MATCH(B310,Evaporasi!$A$5:$A$16,0))</f>
        <v>151.5</v>
      </c>
      <c r="F310" s="17" t="n">
        <f aca="false">Kawasan!$B$11*Kawasan!$B$9*C310/1000</f>
        <v>3519.36</v>
      </c>
      <c r="G310" s="17" t="n">
        <f aca="false">C310*Desain_Kolam!$B$9/1000</f>
        <v>2238.7275</v>
      </c>
      <c r="H310" s="17" t="n">
        <f aca="false">Kawasan!$B$27*D310</f>
        <v>1666.56</v>
      </c>
      <c r="I310" s="17" t="n">
        <f aca="false">E310*Desain_Kolam!$B$9/1000</f>
        <v>801.81375</v>
      </c>
      <c r="J310" s="17" t="n">
        <f aca="false">F310+G310-H310-I310</f>
        <v>3289.71375</v>
      </c>
      <c r="K310" s="17" t="n">
        <f aca="false">K309+J310</f>
        <v>110592.9231</v>
      </c>
      <c r="L310" s="17" t="n">
        <f aca="false">MAX(L309,K310)</f>
        <v>110592.9231</v>
      </c>
      <c r="M310" s="17" t="n">
        <f aca="false">L310-K310</f>
        <v>0</v>
      </c>
      <c r="N310" s="17" t="n">
        <f aca="false">MIN(Desain_Kolam!$B$21,MAX(0,N309+F310+G310-H310-I310))</f>
        <v>15823.566675</v>
      </c>
      <c r="O310" s="6" t="n">
        <f aca="false">IF(N309+F310+G310-I310&gt;=H310,1,0)</f>
        <v>1</v>
      </c>
    </row>
    <row r="311" customFormat="false" ht="15" hidden="false" customHeight="false" outlineLevel="0" collapsed="false">
      <c r="A311" s="6" t="n">
        <v>2022</v>
      </c>
      <c r="B311" s="6" t="n">
        <v>11</v>
      </c>
      <c r="C311" s="4" t="n">
        <v>237</v>
      </c>
      <c r="D311" s="6" t="n">
        <v>30</v>
      </c>
      <c r="E311" s="4" t="n">
        <f aca="false">INDEX(Evaporasi!$B$5:$B$16,MATCH(B311,Evaporasi!$A$5:$A$16,0))</f>
        <v>142.3</v>
      </c>
      <c r="F311" s="17" t="n">
        <f aca="false">Kawasan!$B$11*Kawasan!$B$9*C311/1000</f>
        <v>1971.84</v>
      </c>
      <c r="G311" s="17" t="n">
        <f aca="false">C311*Desain_Kolam!$B$9/1000</f>
        <v>1254.3225</v>
      </c>
      <c r="H311" s="17" t="n">
        <f aca="false">Kawasan!$B$27*D311</f>
        <v>1612.8</v>
      </c>
      <c r="I311" s="17" t="n">
        <f aca="false">E311*Desain_Kolam!$B$9/1000</f>
        <v>753.12275</v>
      </c>
      <c r="J311" s="17" t="n">
        <f aca="false">F311+G311-H311-I311</f>
        <v>860.23975</v>
      </c>
      <c r="K311" s="17" t="n">
        <f aca="false">K310+J311</f>
        <v>111453.16285</v>
      </c>
      <c r="L311" s="17" t="n">
        <f aca="false">MAX(L310,K311)</f>
        <v>111453.16285</v>
      </c>
      <c r="M311" s="17" t="n">
        <f aca="false">L311-K311</f>
        <v>0</v>
      </c>
      <c r="N311" s="17" t="n">
        <f aca="false">MIN(Desain_Kolam!$B$21,MAX(0,N310+F311+G311-H311-I311))</f>
        <v>15823.566675</v>
      </c>
      <c r="O311" s="6" t="n">
        <f aca="false">IF(N310+F311+G311-I311&gt;=H311,1,0)</f>
        <v>1</v>
      </c>
    </row>
    <row r="312" customFormat="false" ht="15" hidden="false" customHeight="false" outlineLevel="0" collapsed="false">
      <c r="A312" s="6" t="n">
        <v>2022</v>
      </c>
      <c r="B312" s="6" t="n">
        <v>12</v>
      </c>
      <c r="C312" s="4" t="n">
        <v>215</v>
      </c>
      <c r="D312" s="6" t="n">
        <v>31</v>
      </c>
      <c r="E312" s="4" t="n">
        <f aca="false">INDEX(Evaporasi!$B$5:$B$16,MATCH(B312,Evaporasi!$A$5:$A$16,0))</f>
        <v>145.07</v>
      </c>
      <c r="F312" s="17" t="n">
        <f aca="false">Kawasan!$B$11*Kawasan!$B$9*C312/1000</f>
        <v>1788.8</v>
      </c>
      <c r="G312" s="17" t="n">
        <f aca="false">C312*Desain_Kolam!$B$9/1000</f>
        <v>1137.8875</v>
      </c>
      <c r="H312" s="17" t="n">
        <f aca="false">Kawasan!$B$27*D312</f>
        <v>1666.56</v>
      </c>
      <c r="I312" s="17" t="n">
        <f aca="false">E312*Desain_Kolam!$B$9/1000</f>
        <v>767.782975</v>
      </c>
      <c r="J312" s="17" t="n">
        <f aca="false">F312+G312-H312-I312</f>
        <v>492.344525</v>
      </c>
      <c r="K312" s="17" t="n">
        <f aca="false">K311+J312</f>
        <v>111945.507375</v>
      </c>
      <c r="L312" s="17" t="n">
        <f aca="false">MAX(L311,K312)</f>
        <v>111945.507375</v>
      </c>
      <c r="M312" s="17" t="n">
        <f aca="false">L312-K312</f>
        <v>0</v>
      </c>
      <c r="N312" s="17" t="n">
        <f aca="false">MIN(Desain_Kolam!$B$21,MAX(0,N311+F312+G312-H312-I312))</f>
        <v>15823.566675</v>
      </c>
      <c r="O312" s="6" t="n">
        <f aca="false">IF(N311+F312+G312-I312&gt;=H312,1,0)</f>
        <v>1</v>
      </c>
    </row>
    <row r="313" customFormat="false" ht="15" hidden="false" customHeight="false" outlineLevel="0" collapsed="false">
      <c r="A313" s="6" t="n">
        <v>2023</v>
      </c>
      <c r="B313" s="6" t="n">
        <v>1</v>
      </c>
      <c r="C313" s="4" t="n">
        <v>258</v>
      </c>
      <c r="D313" s="6" t="n">
        <v>31</v>
      </c>
      <c r="E313" s="4" t="n">
        <f aca="false">INDEX(Evaporasi!$B$5:$B$16,MATCH(B313,Evaporasi!$A$5:$A$16,0))</f>
        <v>149.98</v>
      </c>
      <c r="F313" s="17" t="n">
        <f aca="false">Kawasan!$B$11*Kawasan!$B$9*C313/1000</f>
        <v>2146.56</v>
      </c>
      <c r="G313" s="17" t="n">
        <f aca="false">C313*Desain_Kolam!$B$9/1000</f>
        <v>1365.465</v>
      </c>
      <c r="H313" s="17" t="n">
        <f aca="false">Kawasan!$B$27*D313</f>
        <v>1666.56</v>
      </c>
      <c r="I313" s="17" t="n">
        <f aca="false">E313*Desain_Kolam!$B$9/1000</f>
        <v>793.76915</v>
      </c>
      <c r="J313" s="17" t="n">
        <f aca="false">F313+G313-H313-I313</f>
        <v>1051.69585</v>
      </c>
      <c r="K313" s="17" t="n">
        <f aca="false">K312+J313</f>
        <v>112997.203225</v>
      </c>
      <c r="L313" s="17" t="n">
        <f aca="false">MAX(L312,K313)</f>
        <v>112997.203225</v>
      </c>
      <c r="M313" s="17" t="n">
        <f aca="false">L313-K313</f>
        <v>0</v>
      </c>
      <c r="N313" s="17" t="n">
        <f aca="false">MIN(Desain_Kolam!$B$21,MAX(0,N312+F313+G313-H313-I313))</f>
        <v>15823.566675</v>
      </c>
      <c r="O313" s="6" t="n">
        <f aca="false">IF(N312+F313+G313-I313&gt;=H313,1,0)</f>
        <v>1</v>
      </c>
    </row>
    <row r="314" customFormat="false" ht="15" hidden="false" customHeight="false" outlineLevel="0" collapsed="false">
      <c r="A314" s="6" t="n">
        <v>2023</v>
      </c>
      <c r="B314" s="6" t="n">
        <v>2</v>
      </c>
      <c r="C314" s="4" t="n">
        <v>185</v>
      </c>
      <c r="D314" s="6" t="n">
        <v>28</v>
      </c>
      <c r="E314" s="4" t="n">
        <f aca="false">INDEX(Evaporasi!$B$5:$B$16,MATCH(B314,Evaporasi!$A$5:$A$16,0))</f>
        <v>148.64</v>
      </c>
      <c r="F314" s="17" t="n">
        <f aca="false">Kawasan!$B$11*Kawasan!$B$9*C314/1000</f>
        <v>1539.2</v>
      </c>
      <c r="G314" s="17" t="n">
        <f aca="false">C314*Desain_Kolam!$B$9/1000</f>
        <v>979.1125</v>
      </c>
      <c r="H314" s="17" t="n">
        <f aca="false">Kawasan!$B$27*D314</f>
        <v>1505.28</v>
      </c>
      <c r="I314" s="17" t="n">
        <f aca="false">E314*Desain_Kolam!$B$9/1000</f>
        <v>786.6772</v>
      </c>
      <c r="J314" s="17" t="n">
        <f aca="false">F314+G314-H314-I314</f>
        <v>226.3553</v>
      </c>
      <c r="K314" s="17" t="n">
        <f aca="false">K313+J314</f>
        <v>113223.558525</v>
      </c>
      <c r="L314" s="17" t="n">
        <f aca="false">MAX(L313,K314)</f>
        <v>113223.558525</v>
      </c>
      <c r="M314" s="17" t="n">
        <f aca="false">L314-K314</f>
        <v>0</v>
      </c>
      <c r="N314" s="17" t="n">
        <f aca="false">MIN(Desain_Kolam!$B$21,MAX(0,N313+F314+G314-H314-I314))</f>
        <v>15823.566675</v>
      </c>
      <c r="O314" s="6" t="n">
        <f aca="false">IF(N313+F314+G314-I314&gt;=H314,1,0)</f>
        <v>1</v>
      </c>
    </row>
    <row r="315" customFormat="false" ht="15" hidden="false" customHeight="false" outlineLevel="0" collapsed="false">
      <c r="A315" s="6" t="n">
        <v>2023</v>
      </c>
      <c r="B315" s="6" t="n">
        <v>3</v>
      </c>
      <c r="C315" s="4" t="n">
        <v>309</v>
      </c>
      <c r="D315" s="6" t="n">
        <v>31</v>
      </c>
      <c r="E315" s="4" t="n">
        <f aca="false">INDEX(Evaporasi!$B$5:$B$16,MATCH(B315,Evaporasi!$A$5:$A$16,0))</f>
        <v>166.18</v>
      </c>
      <c r="F315" s="17" t="n">
        <f aca="false">Kawasan!$B$11*Kawasan!$B$9*C315/1000</f>
        <v>2570.88</v>
      </c>
      <c r="G315" s="17" t="n">
        <f aca="false">C315*Desain_Kolam!$B$9/1000</f>
        <v>1635.3825</v>
      </c>
      <c r="H315" s="17" t="n">
        <f aca="false">Kawasan!$B$27*D315</f>
        <v>1666.56</v>
      </c>
      <c r="I315" s="17" t="n">
        <f aca="false">E315*Desain_Kolam!$B$9/1000</f>
        <v>879.50765</v>
      </c>
      <c r="J315" s="17" t="n">
        <f aca="false">F315+G315-H315-I315</f>
        <v>1660.19485</v>
      </c>
      <c r="K315" s="17" t="n">
        <f aca="false">K314+J315</f>
        <v>114883.753375</v>
      </c>
      <c r="L315" s="17" t="n">
        <f aca="false">MAX(L314,K315)</f>
        <v>114883.753375</v>
      </c>
      <c r="M315" s="17" t="n">
        <f aca="false">L315-K315</f>
        <v>0</v>
      </c>
      <c r="N315" s="17" t="n">
        <f aca="false">MIN(Desain_Kolam!$B$21,MAX(0,N314+F315+G315-H315-I315))</f>
        <v>15823.566675</v>
      </c>
      <c r="O315" s="6" t="n">
        <f aca="false">IF(N314+F315+G315-I315&gt;=H315,1,0)</f>
        <v>1</v>
      </c>
    </row>
    <row r="316" customFormat="false" ht="15" hidden="false" customHeight="false" outlineLevel="0" collapsed="false">
      <c r="A316" s="6" t="n">
        <v>2023</v>
      </c>
      <c r="B316" s="6" t="n">
        <v>4</v>
      </c>
      <c r="C316" s="4" t="n">
        <v>189</v>
      </c>
      <c r="D316" s="6" t="n">
        <v>30</v>
      </c>
      <c r="E316" s="4" t="n">
        <f aca="false">INDEX(Evaporasi!$B$5:$B$16,MATCH(B316,Evaporasi!$A$5:$A$16,0))</f>
        <v>157.75</v>
      </c>
      <c r="F316" s="17" t="n">
        <f aca="false">Kawasan!$B$11*Kawasan!$B$9*C316/1000</f>
        <v>1572.48</v>
      </c>
      <c r="G316" s="17" t="n">
        <f aca="false">C316*Desain_Kolam!$B$9/1000</f>
        <v>1000.2825</v>
      </c>
      <c r="H316" s="17" t="n">
        <f aca="false">Kawasan!$B$27*D316</f>
        <v>1612.8</v>
      </c>
      <c r="I316" s="17" t="n">
        <f aca="false">E316*Desain_Kolam!$B$9/1000</f>
        <v>834.891875</v>
      </c>
      <c r="J316" s="17" t="n">
        <f aca="false">F316+G316-H316-I316</f>
        <v>125.070625</v>
      </c>
      <c r="K316" s="17" t="n">
        <f aca="false">K315+J316</f>
        <v>115008.824</v>
      </c>
      <c r="L316" s="17" t="n">
        <f aca="false">MAX(L315,K316)</f>
        <v>115008.824</v>
      </c>
      <c r="M316" s="17" t="n">
        <f aca="false">L316-K316</f>
        <v>0</v>
      </c>
      <c r="N316" s="17" t="n">
        <f aca="false">MIN(Desain_Kolam!$B$21,MAX(0,N315+F316+G316-H316-I316))</f>
        <v>15823.566675</v>
      </c>
      <c r="O316" s="6" t="n">
        <f aca="false">IF(N315+F316+G316-I316&gt;=H316,1,0)</f>
        <v>1</v>
      </c>
    </row>
    <row r="317" customFormat="false" ht="15" hidden="false" customHeight="false" outlineLevel="0" collapsed="false">
      <c r="A317" s="6" t="n">
        <v>2023</v>
      </c>
      <c r="B317" s="6" t="n">
        <v>5</v>
      </c>
      <c r="C317" s="4" t="n">
        <v>333</v>
      </c>
      <c r="D317" s="6" t="n">
        <v>31</v>
      </c>
      <c r="E317" s="4" t="n">
        <f aca="false">INDEX(Evaporasi!$B$5:$B$16,MATCH(B317,Evaporasi!$A$5:$A$16,0))</f>
        <v>158.35</v>
      </c>
      <c r="F317" s="17" t="n">
        <f aca="false">Kawasan!$B$11*Kawasan!$B$9*C317/1000</f>
        <v>2770.56</v>
      </c>
      <c r="G317" s="17" t="n">
        <f aca="false">C317*Desain_Kolam!$B$9/1000</f>
        <v>1762.4025</v>
      </c>
      <c r="H317" s="17" t="n">
        <f aca="false">Kawasan!$B$27*D317</f>
        <v>1666.56</v>
      </c>
      <c r="I317" s="17" t="n">
        <f aca="false">E317*Desain_Kolam!$B$9/1000</f>
        <v>838.067375</v>
      </c>
      <c r="J317" s="17" t="n">
        <f aca="false">F317+G317-H317-I317</f>
        <v>2028.335125</v>
      </c>
      <c r="K317" s="17" t="n">
        <f aca="false">K316+J317</f>
        <v>117037.159125</v>
      </c>
      <c r="L317" s="17" t="n">
        <f aca="false">MAX(L316,K317)</f>
        <v>117037.159125</v>
      </c>
      <c r="M317" s="17" t="n">
        <f aca="false">L317-K317</f>
        <v>0</v>
      </c>
      <c r="N317" s="17" t="n">
        <f aca="false">MIN(Desain_Kolam!$B$21,MAX(0,N316+F317+G317-H317-I317))</f>
        <v>15823.566675</v>
      </c>
      <c r="O317" s="6" t="n">
        <f aca="false">IF(N316+F317+G317-I317&gt;=H317,1,0)</f>
        <v>1</v>
      </c>
    </row>
    <row r="318" customFormat="false" ht="15" hidden="false" customHeight="false" outlineLevel="0" collapsed="false">
      <c r="A318" s="6" t="n">
        <v>2023</v>
      </c>
      <c r="B318" s="6" t="n">
        <v>6</v>
      </c>
      <c r="C318" s="4" t="n">
        <v>263</v>
      </c>
      <c r="D318" s="6" t="n">
        <v>30</v>
      </c>
      <c r="E318" s="4" t="n">
        <f aca="false">INDEX(Evaporasi!$B$5:$B$16,MATCH(B318,Evaporasi!$A$5:$A$16,0))</f>
        <v>150.17</v>
      </c>
      <c r="F318" s="17" t="n">
        <f aca="false">Kawasan!$B$11*Kawasan!$B$9*C318/1000</f>
        <v>2188.16</v>
      </c>
      <c r="G318" s="17" t="n">
        <f aca="false">C318*Desain_Kolam!$B$9/1000</f>
        <v>1391.9275</v>
      </c>
      <c r="H318" s="17" t="n">
        <f aca="false">Kawasan!$B$27*D318</f>
        <v>1612.8</v>
      </c>
      <c r="I318" s="17" t="n">
        <f aca="false">E318*Desain_Kolam!$B$9/1000</f>
        <v>794.774725</v>
      </c>
      <c r="J318" s="17" t="n">
        <f aca="false">F318+G318-H318-I318</f>
        <v>1172.512775</v>
      </c>
      <c r="K318" s="17" t="n">
        <f aca="false">K317+J318</f>
        <v>118209.6719</v>
      </c>
      <c r="L318" s="17" t="n">
        <f aca="false">MAX(L317,K318)</f>
        <v>118209.6719</v>
      </c>
      <c r="M318" s="17" t="n">
        <f aca="false">L318-K318</f>
        <v>0</v>
      </c>
      <c r="N318" s="17" t="n">
        <f aca="false">MIN(Desain_Kolam!$B$21,MAX(0,N317+F318+G318-H318-I318))</f>
        <v>15823.566675</v>
      </c>
      <c r="O318" s="6" t="n">
        <f aca="false">IF(N317+F318+G318-I318&gt;=H318,1,0)</f>
        <v>1</v>
      </c>
    </row>
    <row r="319" customFormat="false" ht="15" hidden="false" customHeight="false" outlineLevel="0" collapsed="false">
      <c r="A319" s="6" t="n">
        <v>2023</v>
      </c>
      <c r="B319" s="6" t="n">
        <v>7</v>
      </c>
      <c r="C319" s="4" t="n">
        <v>405</v>
      </c>
      <c r="D319" s="6" t="n">
        <v>31</v>
      </c>
      <c r="E319" s="4" t="n">
        <f aca="false">INDEX(Evaporasi!$B$5:$B$16,MATCH(B319,Evaporasi!$A$5:$A$16,0))</f>
        <v>160.84</v>
      </c>
      <c r="F319" s="17" t="n">
        <f aca="false">Kawasan!$B$11*Kawasan!$B$9*C319/1000</f>
        <v>3369.6</v>
      </c>
      <c r="G319" s="17" t="n">
        <f aca="false">C319*Desain_Kolam!$B$9/1000</f>
        <v>2143.4625</v>
      </c>
      <c r="H319" s="17" t="n">
        <f aca="false">Kawasan!$B$27*D319</f>
        <v>1666.56</v>
      </c>
      <c r="I319" s="17" t="n">
        <f aca="false">E319*Desain_Kolam!$B$9/1000</f>
        <v>851.2457</v>
      </c>
      <c r="J319" s="17" t="n">
        <f aca="false">F319+G319-H319-I319</f>
        <v>2995.2568</v>
      </c>
      <c r="K319" s="17" t="n">
        <f aca="false">K318+J319</f>
        <v>121204.9287</v>
      </c>
      <c r="L319" s="17" t="n">
        <f aca="false">MAX(L318,K319)</f>
        <v>121204.9287</v>
      </c>
      <c r="M319" s="17" t="n">
        <f aca="false">L319-K319</f>
        <v>0</v>
      </c>
      <c r="N319" s="17" t="n">
        <f aca="false">MIN(Desain_Kolam!$B$21,MAX(0,N318+F319+G319-H319-I319))</f>
        <v>15823.566675</v>
      </c>
      <c r="O319" s="6" t="n">
        <f aca="false">IF(N318+F319+G319-I319&gt;=H319,1,0)</f>
        <v>1</v>
      </c>
    </row>
    <row r="320" customFormat="false" ht="15" hidden="false" customHeight="false" outlineLevel="0" collapsed="false">
      <c r="A320" s="6" t="n">
        <v>2023</v>
      </c>
      <c r="B320" s="6" t="n">
        <v>8</v>
      </c>
      <c r="C320" s="4" t="n">
        <v>164</v>
      </c>
      <c r="D320" s="6" t="n">
        <v>31</v>
      </c>
      <c r="E320" s="4" t="n">
        <f aca="false">INDEX(Evaporasi!$B$5:$B$16,MATCH(B320,Evaporasi!$A$5:$A$16,0))</f>
        <v>161.16</v>
      </c>
      <c r="F320" s="17" t="n">
        <f aca="false">Kawasan!$B$11*Kawasan!$B$9*C320/1000</f>
        <v>1364.48</v>
      </c>
      <c r="G320" s="17" t="n">
        <f aca="false">C320*Desain_Kolam!$B$9/1000</f>
        <v>867.97</v>
      </c>
      <c r="H320" s="17" t="n">
        <f aca="false">Kawasan!$B$27*D320</f>
        <v>1666.56</v>
      </c>
      <c r="I320" s="17" t="n">
        <f aca="false">E320*Desain_Kolam!$B$9/1000</f>
        <v>852.9393</v>
      </c>
      <c r="J320" s="17" t="n">
        <f aca="false">F320+G320-H320-I320</f>
        <v>-287.0493</v>
      </c>
      <c r="K320" s="17" t="n">
        <f aca="false">K319+J320</f>
        <v>120917.8794</v>
      </c>
      <c r="L320" s="17" t="n">
        <f aca="false">MAX(L319,K320)</f>
        <v>121204.9287</v>
      </c>
      <c r="M320" s="17" t="n">
        <f aca="false">L320-K320</f>
        <v>287.049299999999</v>
      </c>
      <c r="N320" s="17" t="n">
        <f aca="false">MIN(Desain_Kolam!$B$21,MAX(0,N319+F320+G320-H320-I320))</f>
        <v>15536.517375</v>
      </c>
      <c r="O320" s="6" t="n">
        <f aca="false">IF(N319+F320+G320-I320&gt;=H320,1,0)</f>
        <v>1</v>
      </c>
    </row>
    <row r="321" customFormat="false" ht="15" hidden="false" customHeight="false" outlineLevel="0" collapsed="false">
      <c r="A321" s="6" t="n">
        <v>2023</v>
      </c>
      <c r="B321" s="6" t="n">
        <v>9</v>
      </c>
      <c r="C321" s="4" t="n">
        <v>218</v>
      </c>
      <c r="D321" s="6" t="n">
        <v>30</v>
      </c>
      <c r="E321" s="4" t="n">
        <f aca="false">INDEX(Evaporasi!$B$5:$B$16,MATCH(B321,Evaporasi!$A$5:$A$16,0))</f>
        <v>159.21</v>
      </c>
      <c r="F321" s="17" t="n">
        <f aca="false">Kawasan!$B$11*Kawasan!$B$9*C321/1000</f>
        <v>1813.76</v>
      </c>
      <c r="G321" s="17" t="n">
        <f aca="false">C321*Desain_Kolam!$B$9/1000</f>
        <v>1153.765</v>
      </c>
      <c r="H321" s="17" t="n">
        <f aca="false">Kawasan!$B$27*D321</f>
        <v>1612.8</v>
      </c>
      <c r="I321" s="17" t="n">
        <f aca="false">E321*Desain_Kolam!$B$9/1000</f>
        <v>842.618925</v>
      </c>
      <c r="J321" s="17" t="n">
        <f aca="false">F321+G321-H321-I321</f>
        <v>512.106075</v>
      </c>
      <c r="K321" s="17" t="n">
        <f aca="false">K320+J321</f>
        <v>121429.985475</v>
      </c>
      <c r="L321" s="17" t="n">
        <f aca="false">MAX(L320,K321)</f>
        <v>121429.985475</v>
      </c>
      <c r="M321" s="17" t="n">
        <f aca="false">L321-K321</f>
        <v>0</v>
      </c>
      <c r="N321" s="17" t="n">
        <f aca="false">MIN(Desain_Kolam!$B$21,MAX(0,N320+F321+G321-H321-I321))</f>
        <v>15823.566675</v>
      </c>
      <c r="O321" s="6" t="n">
        <f aca="false">IF(N320+F321+G321-I321&gt;=H321,1,0)</f>
        <v>1</v>
      </c>
    </row>
    <row r="322" customFormat="false" ht="15" hidden="false" customHeight="false" outlineLevel="0" collapsed="false">
      <c r="A322" s="6" t="n">
        <v>2023</v>
      </c>
      <c r="B322" s="6" t="n">
        <v>10</v>
      </c>
      <c r="C322" s="4" t="n">
        <v>250</v>
      </c>
      <c r="D322" s="6" t="n">
        <v>31</v>
      </c>
      <c r="E322" s="4" t="n">
        <f aca="false">INDEX(Evaporasi!$B$5:$B$16,MATCH(B322,Evaporasi!$A$5:$A$16,0))</f>
        <v>151.5</v>
      </c>
      <c r="F322" s="17" t="n">
        <f aca="false">Kawasan!$B$11*Kawasan!$B$9*C322/1000</f>
        <v>2080</v>
      </c>
      <c r="G322" s="17" t="n">
        <f aca="false">C322*Desain_Kolam!$B$9/1000</f>
        <v>1323.125</v>
      </c>
      <c r="H322" s="17" t="n">
        <f aca="false">Kawasan!$B$27*D322</f>
        <v>1666.56</v>
      </c>
      <c r="I322" s="17" t="n">
        <f aca="false">E322*Desain_Kolam!$B$9/1000</f>
        <v>801.81375</v>
      </c>
      <c r="J322" s="17" t="n">
        <f aca="false">F322+G322-H322-I322</f>
        <v>934.75125</v>
      </c>
      <c r="K322" s="17" t="n">
        <f aca="false">K321+J322</f>
        <v>122364.736725</v>
      </c>
      <c r="L322" s="17" t="n">
        <f aca="false">MAX(L321,K322)</f>
        <v>122364.736725</v>
      </c>
      <c r="M322" s="17" t="n">
        <f aca="false">L322-K322</f>
        <v>0</v>
      </c>
      <c r="N322" s="17" t="n">
        <f aca="false">MIN(Desain_Kolam!$B$21,MAX(0,N321+F322+G322-H322-I322))</f>
        <v>15823.566675</v>
      </c>
      <c r="O322" s="6" t="n">
        <f aca="false">IF(N321+F322+G322-I322&gt;=H322,1,0)</f>
        <v>1</v>
      </c>
    </row>
    <row r="323" customFormat="false" ht="15" hidden="false" customHeight="false" outlineLevel="0" collapsed="false">
      <c r="A323" s="6" t="n">
        <v>2023</v>
      </c>
      <c r="B323" s="6" t="n">
        <v>11</v>
      </c>
      <c r="C323" s="4" t="n">
        <v>265</v>
      </c>
      <c r="D323" s="6" t="n">
        <v>30</v>
      </c>
      <c r="E323" s="4" t="n">
        <f aca="false">INDEX(Evaporasi!$B$5:$B$16,MATCH(B323,Evaporasi!$A$5:$A$16,0))</f>
        <v>142.3</v>
      </c>
      <c r="F323" s="17" t="n">
        <f aca="false">Kawasan!$B$11*Kawasan!$B$9*C323/1000</f>
        <v>2204.8</v>
      </c>
      <c r="G323" s="17" t="n">
        <f aca="false">C323*Desain_Kolam!$B$9/1000</f>
        <v>1402.5125</v>
      </c>
      <c r="H323" s="17" t="n">
        <f aca="false">Kawasan!$B$27*D323</f>
        <v>1612.8</v>
      </c>
      <c r="I323" s="17" t="n">
        <f aca="false">E323*Desain_Kolam!$B$9/1000</f>
        <v>753.12275</v>
      </c>
      <c r="J323" s="17" t="n">
        <f aca="false">F323+G323-H323-I323</f>
        <v>1241.38975</v>
      </c>
      <c r="K323" s="17" t="n">
        <f aca="false">K322+J323</f>
        <v>123606.126475</v>
      </c>
      <c r="L323" s="17" t="n">
        <f aca="false">MAX(L322,K323)</f>
        <v>123606.126475</v>
      </c>
      <c r="M323" s="17" t="n">
        <f aca="false">L323-K323</f>
        <v>0</v>
      </c>
      <c r="N323" s="17" t="n">
        <f aca="false">MIN(Desain_Kolam!$B$21,MAX(0,N322+F323+G323-H323-I323))</f>
        <v>15823.566675</v>
      </c>
      <c r="O323" s="6" t="n">
        <f aca="false">IF(N322+F323+G323-I323&gt;=H323,1,0)</f>
        <v>1</v>
      </c>
    </row>
    <row r="324" customFormat="false" ht="15" hidden="false" customHeight="false" outlineLevel="0" collapsed="false">
      <c r="A324" s="6" t="n">
        <v>2023</v>
      </c>
      <c r="B324" s="6" t="n">
        <v>12</v>
      </c>
      <c r="C324" s="4" t="n">
        <v>421</v>
      </c>
      <c r="D324" s="6" t="n">
        <v>31</v>
      </c>
      <c r="E324" s="4" t="n">
        <f aca="false">INDEX(Evaporasi!$B$5:$B$16,MATCH(B324,Evaporasi!$A$5:$A$16,0))</f>
        <v>145.07</v>
      </c>
      <c r="F324" s="17" t="n">
        <f aca="false">Kawasan!$B$11*Kawasan!$B$9*C324/1000</f>
        <v>3502.72</v>
      </c>
      <c r="G324" s="17" t="n">
        <f aca="false">C324*Desain_Kolam!$B$9/1000</f>
        <v>2228.1425</v>
      </c>
      <c r="H324" s="17" t="n">
        <f aca="false">Kawasan!$B$27*D324</f>
        <v>1666.56</v>
      </c>
      <c r="I324" s="17" t="n">
        <f aca="false">E324*Desain_Kolam!$B$9/1000</f>
        <v>767.782975</v>
      </c>
      <c r="J324" s="17" t="n">
        <f aca="false">F324+G324-H324-I324</f>
        <v>3296.519525</v>
      </c>
      <c r="K324" s="17" t="n">
        <f aca="false">K323+J324</f>
        <v>126902.646</v>
      </c>
      <c r="L324" s="17" t="n">
        <f aca="false">MAX(L323,K324)</f>
        <v>126902.646</v>
      </c>
      <c r="M324" s="17" t="n">
        <f aca="false">L324-K324</f>
        <v>0</v>
      </c>
      <c r="N324" s="17" t="n">
        <f aca="false">MIN(Desain_Kolam!$B$21,MAX(0,N323+F324+G324-H324-I324))</f>
        <v>15823.566675</v>
      </c>
      <c r="O324" s="6" t="n">
        <f aca="false">IF(N323+F324+G324-I324&gt;=H324,1,0)</f>
        <v>1</v>
      </c>
    </row>
    <row r="325" customFormat="false" ht="15" hidden="false" customHeight="false" outlineLevel="0" collapsed="false">
      <c r="A325" s="6" t="n">
        <v>2024</v>
      </c>
      <c r="B325" s="6" t="n">
        <v>1</v>
      </c>
      <c r="C325" s="4" t="n">
        <v>379</v>
      </c>
      <c r="D325" s="6" t="n">
        <v>31</v>
      </c>
      <c r="E325" s="4" t="n">
        <f aca="false">INDEX(Evaporasi!$B$5:$B$16,MATCH(B325,Evaporasi!$A$5:$A$16,0))</f>
        <v>149.98</v>
      </c>
      <c r="F325" s="17" t="n">
        <f aca="false">Kawasan!$B$11*Kawasan!$B$9*C325/1000</f>
        <v>3153.28</v>
      </c>
      <c r="G325" s="17" t="n">
        <f aca="false">C325*Desain_Kolam!$B$9/1000</f>
        <v>2005.8575</v>
      </c>
      <c r="H325" s="17" t="n">
        <f aca="false">Kawasan!$B$27*D325</f>
        <v>1666.56</v>
      </c>
      <c r="I325" s="17" t="n">
        <f aca="false">E325*Desain_Kolam!$B$9/1000</f>
        <v>793.76915</v>
      </c>
      <c r="J325" s="17" t="n">
        <f aca="false">F325+G325-H325-I325</f>
        <v>2698.80835</v>
      </c>
      <c r="K325" s="17" t="n">
        <f aca="false">K324+J325</f>
        <v>129601.45435</v>
      </c>
      <c r="L325" s="17" t="n">
        <f aca="false">MAX(L324,K325)</f>
        <v>129601.45435</v>
      </c>
      <c r="M325" s="17" t="n">
        <f aca="false">L325-K325</f>
        <v>0</v>
      </c>
      <c r="N325" s="17" t="n">
        <f aca="false">MIN(Desain_Kolam!$B$21,MAX(0,N324+F325+G325-H325-I325))</f>
        <v>15823.566675</v>
      </c>
      <c r="O325" s="6" t="n">
        <f aca="false">IF(N324+F325+G325-I325&gt;=H325,1,0)</f>
        <v>1</v>
      </c>
    </row>
    <row r="326" customFormat="false" ht="15" hidden="false" customHeight="false" outlineLevel="0" collapsed="false">
      <c r="A326" s="6" t="n">
        <v>2024</v>
      </c>
      <c r="B326" s="6" t="n">
        <v>2</v>
      </c>
      <c r="C326" s="4" t="n">
        <v>300</v>
      </c>
      <c r="D326" s="6" t="n">
        <v>29</v>
      </c>
      <c r="E326" s="4" t="n">
        <f aca="false">INDEX(Evaporasi!$B$5:$B$16,MATCH(B326,Evaporasi!$A$5:$A$16,0))</f>
        <v>148.64</v>
      </c>
      <c r="F326" s="17" t="n">
        <f aca="false">Kawasan!$B$11*Kawasan!$B$9*C326/1000</f>
        <v>2496</v>
      </c>
      <c r="G326" s="17" t="n">
        <f aca="false">C326*Desain_Kolam!$B$9/1000</f>
        <v>1587.75</v>
      </c>
      <c r="H326" s="17" t="n">
        <f aca="false">Kawasan!$B$27*D326</f>
        <v>1559.04</v>
      </c>
      <c r="I326" s="17" t="n">
        <f aca="false">E326*Desain_Kolam!$B$9/1000</f>
        <v>786.6772</v>
      </c>
      <c r="J326" s="17" t="n">
        <f aca="false">F326+G326-H326-I326</f>
        <v>1738.0328</v>
      </c>
      <c r="K326" s="17" t="n">
        <f aca="false">K325+J326</f>
        <v>131339.48715</v>
      </c>
      <c r="L326" s="17" t="n">
        <f aca="false">MAX(L325,K326)</f>
        <v>131339.48715</v>
      </c>
      <c r="M326" s="17" t="n">
        <f aca="false">L326-K326</f>
        <v>0</v>
      </c>
      <c r="N326" s="17" t="n">
        <f aca="false">MIN(Desain_Kolam!$B$21,MAX(0,N325+F326+G326-H326-I326))</f>
        <v>15823.566675</v>
      </c>
      <c r="O326" s="6" t="n">
        <f aca="false">IF(N325+F326+G326-I326&gt;=H326,1,0)</f>
        <v>1</v>
      </c>
    </row>
    <row r="327" customFormat="false" ht="15" hidden="false" customHeight="false" outlineLevel="0" collapsed="false">
      <c r="A327" s="6" t="n">
        <v>2024</v>
      </c>
      <c r="B327" s="6" t="n">
        <v>3</v>
      </c>
      <c r="C327" s="4" t="n">
        <v>512</v>
      </c>
      <c r="D327" s="6" t="n">
        <v>31</v>
      </c>
      <c r="E327" s="4" t="n">
        <f aca="false">INDEX(Evaporasi!$B$5:$B$16,MATCH(B327,Evaporasi!$A$5:$A$16,0))</f>
        <v>166.18</v>
      </c>
      <c r="F327" s="17" t="n">
        <f aca="false">Kawasan!$B$11*Kawasan!$B$9*C327/1000</f>
        <v>4259.84</v>
      </c>
      <c r="G327" s="17" t="n">
        <f aca="false">C327*Desain_Kolam!$B$9/1000</f>
        <v>2709.76</v>
      </c>
      <c r="H327" s="17" t="n">
        <f aca="false">Kawasan!$B$27*D327</f>
        <v>1666.56</v>
      </c>
      <c r="I327" s="17" t="n">
        <f aca="false">E327*Desain_Kolam!$B$9/1000</f>
        <v>879.50765</v>
      </c>
      <c r="J327" s="17" t="n">
        <f aca="false">F327+G327-H327-I327</f>
        <v>4423.53235</v>
      </c>
      <c r="K327" s="17" t="n">
        <f aca="false">K326+J327</f>
        <v>135763.0195</v>
      </c>
      <c r="L327" s="17" t="n">
        <f aca="false">MAX(L326,K327)</f>
        <v>135763.0195</v>
      </c>
      <c r="M327" s="17" t="n">
        <f aca="false">L327-K327</f>
        <v>0</v>
      </c>
      <c r="N327" s="17" t="n">
        <f aca="false">MIN(Desain_Kolam!$B$21,MAX(0,N326+F327+G327-H327-I327))</f>
        <v>15823.566675</v>
      </c>
      <c r="O327" s="6" t="n">
        <f aca="false">IF(N326+F327+G327-I327&gt;=H327,1,0)</f>
        <v>1</v>
      </c>
    </row>
    <row r="328" customFormat="false" ht="15" hidden="false" customHeight="false" outlineLevel="0" collapsed="false">
      <c r="A328" s="6" t="n">
        <v>2024</v>
      </c>
      <c r="B328" s="6" t="n">
        <v>4</v>
      </c>
      <c r="C328" s="4" t="n">
        <v>327</v>
      </c>
      <c r="D328" s="6" t="n">
        <v>30</v>
      </c>
      <c r="E328" s="4" t="n">
        <f aca="false">INDEX(Evaporasi!$B$5:$B$16,MATCH(B328,Evaporasi!$A$5:$A$16,0))</f>
        <v>157.75</v>
      </c>
      <c r="F328" s="17" t="n">
        <f aca="false">Kawasan!$B$11*Kawasan!$B$9*C328/1000</f>
        <v>2720.64</v>
      </c>
      <c r="G328" s="17" t="n">
        <f aca="false">C328*Desain_Kolam!$B$9/1000</f>
        <v>1730.6475</v>
      </c>
      <c r="H328" s="17" t="n">
        <f aca="false">Kawasan!$B$27*D328</f>
        <v>1612.8</v>
      </c>
      <c r="I328" s="17" t="n">
        <f aca="false">E328*Desain_Kolam!$B$9/1000</f>
        <v>834.891875</v>
      </c>
      <c r="J328" s="17" t="n">
        <f aca="false">F328+G328-H328-I328</f>
        <v>2003.595625</v>
      </c>
      <c r="K328" s="17" t="n">
        <f aca="false">K327+J328</f>
        <v>137766.615125</v>
      </c>
      <c r="L328" s="17" t="n">
        <f aca="false">MAX(L327,K328)</f>
        <v>137766.615125</v>
      </c>
      <c r="M328" s="17" t="n">
        <f aca="false">L328-K328</f>
        <v>0</v>
      </c>
      <c r="N328" s="17" t="n">
        <f aca="false">MIN(Desain_Kolam!$B$21,MAX(0,N327+F328+G328-H328-I328))</f>
        <v>15823.566675</v>
      </c>
      <c r="O328" s="6" t="n">
        <f aca="false">IF(N327+F328+G328-I328&gt;=H328,1,0)</f>
        <v>1</v>
      </c>
    </row>
    <row r="329" customFormat="false" ht="15" hidden="false" customHeight="false" outlineLevel="0" collapsed="false">
      <c r="A329" s="6" t="n">
        <v>2024</v>
      </c>
      <c r="B329" s="6" t="n">
        <v>5</v>
      </c>
      <c r="C329" s="4" t="n">
        <v>406</v>
      </c>
      <c r="D329" s="6" t="n">
        <v>31</v>
      </c>
      <c r="E329" s="4" t="n">
        <f aca="false">INDEX(Evaporasi!$B$5:$B$16,MATCH(B329,Evaporasi!$A$5:$A$16,0))</f>
        <v>158.35</v>
      </c>
      <c r="F329" s="17" t="n">
        <f aca="false">Kawasan!$B$11*Kawasan!$B$9*C329/1000</f>
        <v>3377.92</v>
      </c>
      <c r="G329" s="17" t="n">
        <f aca="false">C329*Desain_Kolam!$B$9/1000</f>
        <v>2148.755</v>
      </c>
      <c r="H329" s="17" t="n">
        <f aca="false">Kawasan!$B$27*D329</f>
        <v>1666.56</v>
      </c>
      <c r="I329" s="17" t="n">
        <f aca="false">E329*Desain_Kolam!$B$9/1000</f>
        <v>838.067375</v>
      </c>
      <c r="J329" s="17" t="n">
        <f aca="false">F329+G329-H329-I329</f>
        <v>3022.047625</v>
      </c>
      <c r="K329" s="17" t="n">
        <f aca="false">K328+J329</f>
        <v>140788.66275</v>
      </c>
      <c r="L329" s="17" t="n">
        <f aca="false">MAX(L328,K329)</f>
        <v>140788.66275</v>
      </c>
      <c r="M329" s="17" t="n">
        <f aca="false">L329-K329</f>
        <v>0</v>
      </c>
      <c r="N329" s="17" t="n">
        <f aca="false">MIN(Desain_Kolam!$B$21,MAX(0,N328+F329+G329-H329-I329))</f>
        <v>15823.566675</v>
      </c>
      <c r="O329" s="6" t="n">
        <f aca="false">IF(N328+F329+G329-I329&gt;=H329,1,0)</f>
        <v>1</v>
      </c>
    </row>
    <row r="330" customFormat="false" ht="15" hidden="false" customHeight="false" outlineLevel="0" collapsed="false">
      <c r="A330" s="6" t="n">
        <v>2024</v>
      </c>
      <c r="B330" s="6" t="n">
        <v>6</v>
      </c>
      <c r="C330" s="4" t="n">
        <v>166</v>
      </c>
      <c r="D330" s="6" t="n">
        <v>30</v>
      </c>
      <c r="E330" s="4" t="n">
        <f aca="false">INDEX(Evaporasi!$B$5:$B$16,MATCH(B330,Evaporasi!$A$5:$A$16,0))</f>
        <v>150.17</v>
      </c>
      <c r="F330" s="17" t="n">
        <f aca="false">Kawasan!$B$11*Kawasan!$B$9*C330/1000</f>
        <v>1381.12</v>
      </c>
      <c r="G330" s="17" t="n">
        <f aca="false">C330*Desain_Kolam!$B$9/1000</f>
        <v>878.555</v>
      </c>
      <c r="H330" s="17" t="n">
        <f aca="false">Kawasan!$B$27*D330</f>
        <v>1612.8</v>
      </c>
      <c r="I330" s="17" t="n">
        <f aca="false">E330*Desain_Kolam!$B$9/1000</f>
        <v>794.774725</v>
      </c>
      <c r="J330" s="17" t="n">
        <f aca="false">F330+G330-H330-I330</f>
        <v>-147.899725</v>
      </c>
      <c r="K330" s="17" t="n">
        <f aca="false">K329+J330</f>
        <v>140640.763025</v>
      </c>
      <c r="L330" s="17" t="n">
        <f aca="false">MAX(L329,K330)</f>
        <v>140788.66275</v>
      </c>
      <c r="M330" s="17" t="n">
        <f aca="false">L330-K330</f>
        <v>147.899724999996</v>
      </c>
      <c r="N330" s="17" t="n">
        <f aca="false">MIN(Desain_Kolam!$B$21,MAX(0,N329+F330+G330-H330-I330))</f>
        <v>15675.66695</v>
      </c>
      <c r="O330" s="6" t="n">
        <f aca="false">IF(N329+F330+G330-I330&gt;=H330,1,0)</f>
        <v>1</v>
      </c>
    </row>
    <row r="331" customFormat="false" ht="15" hidden="false" customHeight="false" outlineLevel="0" collapsed="false">
      <c r="A331" s="6" t="n">
        <v>2024</v>
      </c>
      <c r="B331" s="6" t="n">
        <v>7</v>
      </c>
      <c r="C331" s="4" t="n">
        <v>114</v>
      </c>
      <c r="D331" s="6" t="n">
        <v>31</v>
      </c>
      <c r="E331" s="4" t="n">
        <f aca="false">INDEX(Evaporasi!$B$5:$B$16,MATCH(B331,Evaporasi!$A$5:$A$16,0))</f>
        <v>160.84</v>
      </c>
      <c r="F331" s="17" t="n">
        <f aca="false">Kawasan!$B$11*Kawasan!$B$9*C331/1000</f>
        <v>948.48</v>
      </c>
      <c r="G331" s="17" t="n">
        <f aca="false">C331*Desain_Kolam!$B$9/1000</f>
        <v>603.345</v>
      </c>
      <c r="H331" s="17" t="n">
        <f aca="false">Kawasan!$B$27*D331</f>
        <v>1666.56</v>
      </c>
      <c r="I331" s="17" t="n">
        <f aca="false">E331*Desain_Kolam!$B$9/1000</f>
        <v>851.2457</v>
      </c>
      <c r="J331" s="17" t="n">
        <f aca="false">F331+G331-H331-I331</f>
        <v>-965.9807</v>
      </c>
      <c r="K331" s="17" t="n">
        <f aca="false">K330+J331</f>
        <v>139674.782325</v>
      </c>
      <c r="L331" s="17" t="n">
        <f aca="false">MAX(L330,K331)</f>
        <v>140788.66275</v>
      </c>
      <c r="M331" s="17" t="n">
        <f aca="false">L331-K331</f>
        <v>1113.88042499998</v>
      </c>
      <c r="N331" s="17" t="n">
        <f aca="false">MIN(Desain_Kolam!$B$21,MAX(0,N330+F331+G331-H331-I331))</f>
        <v>14709.68625</v>
      </c>
      <c r="O331" s="6" t="n">
        <f aca="false">IF(N330+F331+G331-I331&gt;=H331,1,0)</f>
        <v>1</v>
      </c>
    </row>
    <row r="332" customFormat="false" ht="15" hidden="false" customHeight="false" outlineLevel="0" collapsed="false">
      <c r="A332" s="6" t="n">
        <v>2024</v>
      </c>
      <c r="B332" s="6" t="n">
        <v>8</v>
      </c>
      <c r="C332" s="4" t="n">
        <v>350</v>
      </c>
      <c r="D332" s="6" t="n">
        <v>31</v>
      </c>
      <c r="E332" s="4" t="n">
        <f aca="false">INDEX(Evaporasi!$B$5:$B$16,MATCH(B332,Evaporasi!$A$5:$A$16,0))</f>
        <v>161.16</v>
      </c>
      <c r="F332" s="17" t="n">
        <f aca="false">Kawasan!$B$11*Kawasan!$B$9*C332/1000</f>
        <v>2912</v>
      </c>
      <c r="G332" s="17" t="n">
        <f aca="false">C332*Desain_Kolam!$B$9/1000</f>
        <v>1852.375</v>
      </c>
      <c r="H332" s="17" t="n">
        <f aca="false">Kawasan!$B$27*D332</f>
        <v>1666.56</v>
      </c>
      <c r="I332" s="17" t="n">
        <f aca="false">E332*Desain_Kolam!$B$9/1000</f>
        <v>852.9393</v>
      </c>
      <c r="J332" s="17" t="n">
        <f aca="false">F332+G332-H332-I332</f>
        <v>2244.8757</v>
      </c>
      <c r="K332" s="17" t="n">
        <f aca="false">K331+J332</f>
        <v>141919.658025</v>
      </c>
      <c r="L332" s="17" t="n">
        <f aca="false">MAX(L331,K332)</f>
        <v>141919.658025</v>
      </c>
      <c r="M332" s="17" t="n">
        <f aca="false">L332-K332</f>
        <v>0</v>
      </c>
      <c r="N332" s="17" t="n">
        <f aca="false">MIN(Desain_Kolam!$B$21,MAX(0,N331+F332+G332-H332-I332))</f>
        <v>15823.566675</v>
      </c>
      <c r="O332" s="6" t="n">
        <f aca="false">IF(N331+F332+G332-I332&gt;=H332,1,0)</f>
        <v>1</v>
      </c>
    </row>
    <row r="333" customFormat="false" ht="15" hidden="false" customHeight="false" outlineLevel="0" collapsed="false">
      <c r="A333" s="6" t="n">
        <v>2024</v>
      </c>
      <c r="B333" s="6" t="n">
        <v>9</v>
      </c>
      <c r="C333" s="4" t="n">
        <v>197</v>
      </c>
      <c r="D333" s="6" t="n">
        <v>30</v>
      </c>
      <c r="E333" s="4" t="n">
        <f aca="false">INDEX(Evaporasi!$B$5:$B$16,MATCH(B333,Evaporasi!$A$5:$A$16,0))</f>
        <v>159.21</v>
      </c>
      <c r="F333" s="17" t="n">
        <f aca="false">Kawasan!$B$11*Kawasan!$B$9*C333/1000</f>
        <v>1639.04</v>
      </c>
      <c r="G333" s="17" t="n">
        <f aca="false">C333*Desain_Kolam!$B$9/1000</f>
        <v>1042.6225</v>
      </c>
      <c r="H333" s="17" t="n">
        <f aca="false">Kawasan!$B$27*D333</f>
        <v>1612.8</v>
      </c>
      <c r="I333" s="17" t="n">
        <f aca="false">E333*Desain_Kolam!$B$9/1000</f>
        <v>842.618925</v>
      </c>
      <c r="J333" s="17" t="n">
        <f aca="false">F333+G333-H333-I333</f>
        <v>226.243575</v>
      </c>
      <c r="K333" s="17" t="n">
        <f aca="false">K332+J333</f>
        <v>142145.9016</v>
      </c>
      <c r="L333" s="17" t="n">
        <f aca="false">MAX(L332,K333)</f>
        <v>142145.9016</v>
      </c>
      <c r="M333" s="17" t="n">
        <f aca="false">L333-K333</f>
        <v>0</v>
      </c>
      <c r="N333" s="17" t="n">
        <f aca="false">MIN(Desain_Kolam!$B$21,MAX(0,N332+F333+G333-H333-I333))</f>
        <v>15823.566675</v>
      </c>
      <c r="O333" s="6" t="n">
        <f aca="false">IF(N332+F333+G333-I333&gt;=H333,1,0)</f>
        <v>1</v>
      </c>
    </row>
    <row r="334" customFormat="false" ht="15" hidden="false" customHeight="false" outlineLevel="0" collapsed="false">
      <c r="A334" s="6" t="n">
        <v>2024</v>
      </c>
      <c r="B334" s="6" t="n">
        <v>10</v>
      </c>
      <c r="C334" s="4" t="n">
        <v>327</v>
      </c>
      <c r="D334" s="6" t="n">
        <v>31</v>
      </c>
      <c r="E334" s="4" t="n">
        <f aca="false">INDEX(Evaporasi!$B$5:$B$16,MATCH(B334,Evaporasi!$A$5:$A$16,0))</f>
        <v>151.5</v>
      </c>
      <c r="F334" s="17" t="n">
        <f aca="false">Kawasan!$B$11*Kawasan!$B$9*C334/1000</f>
        <v>2720.64</v>
      </c>
      <c r="G334" s="17" t="n">
        <f aca="false">C334*Desain_Kolam!$B$9/1000</f>
        <v>1730.6475</v>
      </c>
      <c r="H334" s="17" t="n">
        <f aca="false">Kawasan!$B$27*D334</f>
        <v>1666.56</v>
      </c>
      <c r="I334" s="17" t="n">
        <f aca="false">E334*Desain_Kolam!$B$9/1000</f>
        <v>801.81375</v>
      </c>
      <c r="J334" s="17" t="n">
        <f aca="false">F334+G334-H334-I334</f>
        <v>1982.91375</v>
      </c>
      <c r="K334" s="17" t="n">
        <f aca="false">K333+J334</f>
        <v>144128.81535</v>
      </c>
      <c r="L334" s="17" t="n">
        <f aca="false">MAX(L333,K334)</f>
        <v>144128.81535</v>
      </c>
      <c r="M334" s="17" t="n">
        <f aca="false">L334-K334</f>
        <v>0</v>
      </c>
      <c r="N334" s="17" t="n">
        <f aca="false">MIN(Desain_Kolam!$B$21,MAX(0,N333+F334+G334-H334-I334))</f>
        <v>15823.566675</v>
      </c>
      <c r="O334" s="6" t="n">
        <f aca="false">IF(N333+F334+G334-I334&gt;=H334,1,0)</f>
        <v>1</v>
      </c>
    </row>
    <row r="335" customFormat="false" ht="15" hidden="false" customHeight="false" outlineLevel="0" collapsed="false">
      <c r="A335" s="6" t="n">
        <v>2024</v>
      </c>
      <c r="B335" s="6" t="n">
        <v>11</v>
      </c>
      <c r="C335" s="4" t="n">
        <v>419</v>
      </c>
      <c r="D335" s="6" t="n">
        <v>30</v>
      </c>
      <c r="E335" s="4" t="n">
        <f aca="false">INDEX(Evaporasi!$B$5:$B$16,MATCH(B335,Evaporasi!$A$5:$A$16,0))</f>
        <v>142.3</v>
      </c>
      <c r="F335" s="17" t="n">
        <f aca="false">Kawasan!$B$11*Kawasan!$B$9*C335/1000</f>
        <v>3486.08</v>
      </c>
      <c r="G335" s="17" t="n">
        <f aca="false">C335*Desain_Kolam!$B$9/1000</f>
        <v>2217.5575</v>
      </c>
      <c r="H335" s="17" t="n">
        <f aca="false">Kawasan!$B$27*D335</f>
        <v>1612.8</v>
      </c>
      <c r="I335" s="17" t="n">
        <f aca="false">E335*Desain_Kolam!$B$9/1000</f>
        <v>753.12275</v>
      </c>
      <c r="J335" s="17" t="n">
        <f aca="false">F335+G335-H335-I335</f>
        <v>3337.71475</v>
      </c>
      <c r="K335" s="17" t="n">
        <f aca="false">K334+J335</f>
        <v>147466.5301</v>
      </c>
      <c r="L335" s="17" t="n">
        <f aca="false">MAX(L334,K335)</f>
        <v>147466.5301</v>
      </c>
      <c r="M335" s="17" t="n">
        <f aca="false">L335-K335</f>
        <v>0</v>
      </c>
      <c r="N335" s="17" t="n">
        <f aca="false">MIN(Desain_Kolam!$B$21,MAX(0,N334+F335+G335-H335-I335))</f>
        <v>15823.566675</v>
      </c>
      <c r="O335" s="6" t="n">
        <f aca="false">IF(N334+F335+G335-I335&gt;=H335,1,0)</f>
        <v>1</v>
      </c>
    </row>
    <row r="336" customFormat="false" ht="15" hidden="false" customHeight="false" outlineLevel="0" collapsed="false">
      <c r="A336" s="6" t="n">
        <v>2024</v>
      </c>
      <c r="B336" s="6" t="n">
        <v>12</v>
      </c>
      <c r="C336" s="4" t="n">
        <v>214</v>
      </c>
      <c r="D336" s="6" t="n">
        <v>31</v>
      </c>
      <c r="E336" s="4" t="n">
        <f aca="false">INDEX(Evaporasi!$B$5:$B$16,MATCH(B336,Evaporasi!$A$5:$A$16,0))</f>
        <v>145.07</v>
      </c>
      <c r="F336" s="17" t="n">
        <f aca="false">Kawasan!$B$11*Kawasan!$B$9*C336/1000</f>
        <v>1780.48</v>
      </c>
      <c r="G336" s="17" t="n">
        <f aca="false">C336*Desain_Kolam!$B$9/1000</f>
        <v>1132.595</v>
      </c>
      <c r="H336" s="17" t="n">
        <f aca="false">Kawasan!$B$27*D336</f>
        <v>1666.56</v>
      </c>
      <c r="I336" s="17" t="n">
        <f aca="false">E336*Desain_Kolam!$B$9/1000</f>
        <v>767.782975</v>
      </c>
      <c r="J336" s="17" t="n">
        <f aca="false">F336+G336-H336-I336</f>
        <v>478.732025</v>
      </c>
      <c r="K336" s="17" t="n">
        <f aca="false">K335+J336</f>
        <v>147945.262125</v>
      </c>
      <c r="L336" s="17" t="n">
        <f aca="false">MAX(L335,K336)</f>
        <v>147945.262125</v>
      </c>
      <c r="M336" s="17" t="n">
        <f aca="false">L336-K336</f>
        <v>0</v>
      </c>
      <c r="N336" s="17" t="n">
        <f aca="false">MIN(Desain_Kolam!$B$21,MAX(0,N335+F336+G336-H336-I336))</f>
        <v>15823.566675</v>
      </c>
      <c r="O336" s="6" t="n">
        <f aca="false">IF(N335+F336+G336-I336&gt;=H336,1,0)</f>
        <v>1</v>
      </c>
    </row>
    <row r="337" customFormat="false" ht="15" hidden="false" customHeight="false" outlineLevel="0" collapsed="false">
      <c r="A337" s="6" t="n">
        <v>2025</v>
      </c>
      <c r="B337" s="6" t="n">
        <v>1</v>
      </c>
      <c r="C337" s="4" t="n">
        <v>400</v>
      </c>
      <c r="D337" s="6" t="n">
        <v>31</v>
      </c>
      <c r="E337" s="4" t="n">
        <f aca="false">INDEX(Evaporasi!$B$5:$B$16,MATCH(B337,Evaporasi!$A$5:$A$16,0))</f>
        <v>149.98</v>
      </c>
      <c r="F337" s="17" t="n">
        <f aca="false">Kawasan!$B$11*Kawasan!$B$9*C337/1000</f>
        <v>3328</v>
      </c>
      <c r="G337" s="17" t="n">
        <f aca="false">C337*Desain_Kolam!$B$9/1000</f>
        <v>2117</v>
      </c>
      <c r="H337" s="17" t="n">
        <f aca="false">Kawasan!$B$27*D337</f>
        <v>1666.56</v>
      </c>
      <c r="I337" s="17" t="n">
        <f aca="false">E337*Desain_Kolam!$B$9/1000</f>
        <v>793.76915</v>
      </c>
      <c r="J337" s="17" t="n">
        <f aca="false">F337+G337-H337-I337</f>
        <v>2984.67085</v>
      </c>
      <c r="K337" s="17" t="n">
        <f aca="false">K336+J337</f>
        <v>150929.932975</v>
      </c>
      <c r="L337" s="17" t="n">
        <f aca="false">MAX(L336,K337)</f>
        <v>150929.932975</v>
      </c>
      <c r="M337" s="17" t="n">
        <f aca="false">L337-K337</f>
        <v>0</v>
      </c>
      <c r="N337" s="17" t="n">
        <f aca="false">MIN(Desain_Kolam!$B$21,MAX(0,N336+F337+G337-H337-I337))</f>
        <v>15823.566675</v>
      </c>
      <c r="O337" s="6" t="n">
        <f aca="false">IF(N336+F337+G337-I337&gt;=H337,1,0)</f>
        <v>1</v>
      </c>
    </row>
    <row r="338" customFormat="false" ht="15" hidden="false" customHeight="false" outlineLevel="0" collapsed="false">
      <c r="A338" s="6" t="n">
        <v>2025</v>
      </c>
      <c r="B338" s="6" t="n">
        <v>2</v>
      </c>
      <c r="C338" s="4" t="n">
        <v>210</v>
      </c>
      <c r="D338" s="6" t="n">
        <v>28</v>
      </c>
      <c r="E338" s="4" t="n">
        <f aca="false">INDEX(Evaporasi!$B$5:$B$16,MATCH(B338,Evaporasi!$A$5:$A$16,0))</f>
        <v>148.64</v>
      </c>
      <c r="F338" s="17" t="n">
        <f aca="false">Kawasan!$B$11*Kawasan!$B$9*C338/1000</f>
        <v>1747.2</v>
      </c>
      <c r="G338" s="17" t="n">
        <f aca="false">C338*Desain_Kolam!$B$9/1000</f>
        <v>1111.425</v>
      </c>
      <c r="H338" s="17" t="n">
        <f aca="false">Kawasan!$B$27*D338</f>
        <v>1505.28</v>
      </c>
      <c r="I338" s="17" t="n">
        <f aca="false">E338*Desain_Kolam!$B$9/1000</f>
        <v>786.6772</v>
      </c>
      <c r="J338" s="17" t="n">
        <f aca="false">F338+G338-H338-I338</f>
        <v>566.6678</v>
      </c>
      <c r="K338" s="17" t="n">
        <f aca="false">K337+J338</f>
        <v>151496.600775</v>
      </c>
      <c r="L338" s="17" t="n">
        <f aca="false">MAX(L337,K338)</f>
        <v>151496.600775</v>
      </c>
      <c r="M338" s="17" t="n">
        <f aca="false">L338-K338</f>
        <v>0</v>
      </c>
      <c r="N338" s="17" t="n">
        <f aca="false">MIN(Desain_Kolam!$B$21,MAX(0,N337+F338+G338-H338-I338))</f>
        <v>15823.566675</v>
      </c>
      <c r="O338" s="6" t="n">
        <f aca="false">IF(N337+F338+G338-I338&gt;=H338,1,0)</f>
        <v>1</v>
      </c>
    </row>
    <row r="339" customFormat="false" ht="15" hidden="false" customHeight="false" outlineLevel="0" collapsed="false">
      <c r="A339" s="6" t="n">
        <v>2025</v>
      </c>
      <c r="B339" s="6" t="n">
        <v>3</v>
      </c>
      <c r="C339" s="4" t="n">
        <v>302</v>
      </c>
      <c r="D339" s="6" t="n">
        <v>31</v>
      </c>
      <c r="E339" s="4" t="n">
        <f aca="false">INDEX(Evaporasi!$B$5:$B$16,MATCH(B339,Evaporasi!$A$5:$A$16,0))</f>
        <v>166.18</v>
      </c>
      <c r="F339" s="17" t="n">
        <f aca="false">Kawasan!$B$11*Kawasan!$B$9*C339/1000</f>
        <v>2512.64</v>
      </c>
      <c r="G339" s="17" t="n">
        <f aca="false">C339*Desain_Kolam!$B$9/1000</f>
        <v>1598.335</v>
      </c>
      <c r="H339" s="17" t="n">
        <f aca="false">Kawasan!$B$27*D339</f>
        <v>1666.56</v>
      </c>
      <c r="I339" s="17" t="n">
        <f aca="false">E339*Desain_Kolam!$B$9/1000</f>
        <v>879.50765</v>
      </c>
      <c r="J339" s="17" t="n">
        <f aca="false">F339+G339-H339-I339</f>
        <v>1564.90735</v>
      </c>
      <c r="K339" s="17" t="n">
        <f aca="false">K338+J339</f>
        <v>153061.508125</v>
      </c>
      <c r="L339" s="17" t="n">
        <f aca="false">MAX(L338,K339)</f>
        <v>153061.508125</v>
      </c>
      <c r="M339" s="17" t="n">
        <f aca="false">L339-K339</f>
        <v>0</v>
      </c>
      <c r="N339" s="17" t="n">
        <f aca="false">MIN(Desain_Kolam!$B$21,MAX(0,N338+F339+G339-H339-I339))</f>
        <v>15823.566675</v>
      </c>
      <c r="O339" s="6" t="n">
        <f aca="false">IF(N338+F339+G339-I339&gt;=H339,1,0)</f>
        <v>1</v>
      </c>
    </row>
    <row r="340" customFormat="false" ht="15" hidden="false" customHeight="false" outlineLevel="0" collapsed="false">
      <c r="A340" s="6" t="n">
        <v>2025</v>
      </c>
      <c r="B340" s="6" t="n">
        <v>4</v>
      </c>
      <c r="C340" s="4" t="n">
        <v>231</v>
      </c>
      <c r="D340" s="6" t="n">
        <v>30</v>
      </c>
      <c r="E340" s="4" t="n">
        <f aca="false">INDEX(Evaporasi!$B$5:$B$16,MATCH(B340,Evaporasi!$A$5:$A$16,0))</f>
        <v>157.75</v>
      </c>
      <c r="F340" s="17" t="n">
        <f aca="false">Kawasan!$B$11*Kawasan!$B$9*C340/1000</f>
        <v>1921.92</v>
      </c>
      <c r="G340" s="17" t="n">
        <f aca="false">C340*Desain_Kolam!$B$9/1000</f>
        <v>1222.5675</v>
      </c>
      <c r="H340" s="17" t="n">
        <f aca="false">Kawasan!$B$27*D340</f>
        <v>1612.8</v>
      </c>
      <c r="I340" s="17" t="n">
        <f aca="false">E340*Desain_Kolam!$B$9/1000</f>
        <v>834.891875</v>
      </c>
      <c r="J340" s="17" t="n">
        <f aca="false">F340+G340-H340-I340</f>
        <v>696.795625</v>
      </c>
      <c r="K340" s="17" t="n">
        <f aca="false">K339+J340</f>
        <v>153758.30375</v>
      </c>
      <c r="L340" s="17" t="n">
        <f aca="false">MAX(L339,K340)</f>
        <v>153758.30375</v>
      </c>
      <c r="M340" s="17" t="n">
        <f aca="false">L340-K340</f>
        <v>0</v>
      </c>
      <c r="N340" s="17" t="n">
        <f aca="false">MIN(Desain_Kolam!$B$21,MAX(0,N339+F340+G340-H340-I340))</f>
        <v>15823.566675</v>
      </c>
      <c r="O340" s="6" t="n">
        <f aca="false">IF(N339+F340+G340-I340&gt;=H340,1,0)</f>
        <v>1</v>
      </c>
    </row>
    <row r="341" customFormat="false" ht="15" hidden="false" customHeight="false" outlineLevel="0" collapsed="false">
      <c r="A341" s="6" t="n">
        <v>2025</v>
      </c>
      <c r="B341" s="6" t="n">
        <v>5</v>
      </c>
      <c r="C341" s="4" t="n">
        <v>231</v>
      </c>
      <c r="D341" s="6" t="n">
        <v>31</v>
      </c>
      <c r="E341" s="4" t="n">
        <f aca="false">INDEX(Evaporasi!$B$5:$B$16,MATCH(B341,Evaporasi!$A$5:$A$16,0))</f>
        <v>158.35</v>
      </c>
      <c r="F341" s="17" t="n">
        <f aca="false">Kawasan!$B$11*Kawasan!$B$9*C341/1000</f>
        <v>1921.92</v>
      </c>
      <c r="G341" s="17" t="n">
        <f aca="false">C341*Desain_Kolam!$B$9/1000</f>
        <v>1222.5675</v>
      </c>
      <c r="H341" s="17" t="n">
        <f aca="false">Kawasan!$B$27*D341</f>
        <v>1666.56</v>
      </c>
      <c r="I341" s="17" t="n">
        <f aca="false">E341*Desain_Kolam!$B$9/1000</f>
        <v>838.067375</v>
      </c>
      <c r="J341" s="17" t="n">
        <f aca="false">F341+G341-H341-I341</f>
        <v>639.860125</v>
      </c>
      <c r="K341" s="17" t="n">
        <f aca="false">K340+J341</f>
        <v>154398.163875</v>
      </c>
      <c r="L341" s="17" t="n">
        <f aca="false">MAX(L340,K341)</f>
        <v>154398.163875</v>
      </c>
      <c r="M341" s="17" t="n">
        <f aca="false">L341-K341</f>
        <v>0</v>
      </c>
      <c r="N341" s="17" t="n">
        <f aca="false">MIN(Desain_Kolam!$B$21,MAX(0,N340+F341+G341-H341-I341))</f>
        <v>15823.566675</v>
      </c>
      <c r="O341" s="6" t="n">
        <f aca="false">IF(N340+F341+G341-I341&gt;=H341,1,0)</f>
        <v>1</v>
      </c>
    </row>
    <row r="342" customFormat="false" ht="15" hidden="false" customHeight="false" outlineLevel="0" collapsed="false">
      <c r="A342" s="6" t="n">
        <v>2025</v>
      </c>
      <c r="B342" s="6" t="n">
        <v>6</v>
      </c>
      <c r="C342" s="4" t="n">
        <v>167</v>
      </c>
      <c r="D342" s="6" t="n">
        <v>30</v>
      </c>
      <c r="E342" s="4" t="n">
        <f aca="false">INDEX(Evaporasi!$B$5:$B$16,MATCH(B342,Evaporasi!$A$5:$A$16,0))</f>
        <v>150.17</v>
      </c>
      <c r="F342" s="17" t="n">
        <f aca="false">Kawasan!$B$11*Kawasan!$B$9*C342/1000</f>
        <v>1389.44</v>
      </c>
      <c r="G342" s="17" t="n">
        <f aca="false">C342*Desain_Kolam!$B$9/1000</f>
        <v>883.8475</v>
      </c>
      <c r="H342" s="17" t="n">
        <f aca="false">Kawasan!$B$27*D342</f>
        <v>1612.8</v>
      </c>
      <c r="I342" s="17" t="n">
        <f aca="false">E342*Desain_Kolam!$B$9/1000</f>
        <v>794.774725</v>
      </c>
      <c r="J342" s="17" t="n">
        <f aca="false">F342+G342-H342-I342</f>
        <v>-134.287225</v>
      </c>
      <c r="K342" s="17" t="n">
        <f aca="false">K341+J342</f>
        <v>154263.87665</v>
      </c>
      <c r="L342" s="17" t="n">
        <f aca="false">MAX(L341,K342)</f>
        <v>154398.163875</v>
      </c>
      <c r="M342" s="17" t="n">
        <f aca="false">L342-K342</f>
        <v>134.287225000007</v>
      </c>
      <c r="N342" s="17" t="n">
        <f aca="false">MIN(Desain_Kolam!$B$21,MAX(0,N341+F342+G342-H342-I342))</f>
        <v>15689.27945</v>
      </c>
      <c r="O342" s="6" t="n">
        <f aca="false">IF(N341+F342+G342-I342&gt;=H342,1,0)</f>
        <v>1</v>
      </c>
    </row>
    <row r="343" customFormat="false" ht="15" hidden="false" customHeight="false" outlineLevel="0" collapsed="false">
      <c r="A343" s="6" t="n">
        <v>2025</v>
      </c>
      <c r="B343" s="6" t="n">
        <v>7</v>
      </c>
      <c r="C343" s="4" t="n">
        <v>159</v>
      </c>
      <c r="D343" s="6" t="n">
        <v>31</v>
      </c>
      <c r="E343" s="4" t="n">
        <f aca="false">INDEX(Evaporasi!$B$5:$B$16,MATCH(B343,Evaporasi!$A$5:$A$16,0))</f>
        <v>160.84</v>
      </c>
      <c r="F343" s="17" t="n">
        <f aca="false">Kawasan!$B$11*Kawasan!$B$9*C343/1000</f>
        <v>1322.88</v>
      </c>
      <c r="G343" s="17" t="n">
        <f aca="false">C343*Desain_Kolam!$B$9/1000</f>
        <v>841.5075</v>
      </c>
      <c r="H343" s="17" t="n">
        <f aca="false">Kawasan!$B$27*D343</f>
        <v>1666.56</v>
      </c>
      <c r="I343" s="17" t="n">
        <f aca="false">E343*Desain_Kolam!$B$9/1000</f>
        <v>851.2457</v>
      </c>
      <c r="J343" s="17" t="n">
        <f aca="false">F343+G343-H343-I343</f>
        <v>-353.4182</v>
      </c>
      <c r="K343" s="17" t="n">
        <f aca="false">K342+J343</f>
        <v>153910.45845</v>
      </c>
      <c r="L343" s="17" t="n">
        <f aca="false">MAX(L342,K343)</f>
        <v>154398.163875</v>
      </c>
      <c r="M343" s="17" t="n">
        <f aca="false">L343-K343</f>
        <v>487.705424999993</v>
      </c>
      <c r="N343" s="17" t="n">
        <f aca="false">MIN(Desain_Kolam!$B$21,MAX(0,N342+F343+G343-H343-I343))</f>
        <v>15335.86125</v>
      </c>
      <c r="O343" s="6" t="n">
        <f aca="false">IF(N342+F343+G343-I343&gt;=H343,1,0)</f>
        <v>1</v>
      </c>
    </row>
    <row r="344" customFormat="false" ht="15" hidden="false" customHeight="false" outlineLevel="0" collapsed="false">
      <c r="A344" s="6" t="n">
        <v>2025</v>
      </c>
      <c r="B344" s="6" t="n">
        <v>8</v>
      </c>
      <c r="C344" s="4" t="n">
        <v>392</v>
      </c>
      <c r="D344" s="6" t="n">
        <v>31</v>
      </c>
      <c r="E344" s="4" t="n">
        <f aca="false">INDEX(Evaporasi!$B$5:$B$16,MATCH(B344,Evaporasi!$A$5:$A$16,0))</f>
        <v>161.16</v>
      </c>
      <c r="F344" s="17" t="n">
        <f aca="false">Kawasan!$B$11*Kawasan!$B$9*C344/1000</f>
        <v>3261.44</v>
      </c>
      <c r="G344" s="17" t="n">
        <f aca="false">C344*Desain_Kolam!$B$9/1000</f>
        <v>2074.66</v>
      </c>
      <c r="H344" s="17" t="n">
        <f aca="false">Kawasan!$B$27*D344</f>
        <v>1666.56</v>
      </c>
      <c r="I344" s="17" t="n">
        <f aca="false">E344*Desain_Kolam!$B$9/1000</f>
        <v>852.9393</v>
      </c>
      <c r="J344" s="17" t="n">
        <f aca="false">F344+G344-H344-I344</f>
        <v>2816.6007</v>
      </c>
      <c r="K344" s="17" t="n">
        <f aca="false">K343+J344</f>
        <v>156727.05915</v>
      </c>
      <c r="L344" s="17" t="n">
        <f aca="false">MAX(L343,K344)</f>
        <v>156727.05915</v>
      </c>
      <c r="M344" s="17" t="n">
        <f aca="false">L344-K344</f>
        <v>0</v>
      </c>
      <c r="N344" s="17" t="n">
        <f aca="false">MIN(Desain_Kolam!$B$21,MAX(0,N343+F344+G344-H344-I344))</f>
        <v>15823.566675</v>
      </c>
      <c r="O344" s="6" t="n">
        <f aca="false">IF(N343+F344+G344-I344&gt;=H344,1,0)</f>
        <v>1</v>
      </c>
    </row>
    <row r="345" customFormat="false" ht="15" hidden="false" customHeight="false" outlineLevel="0" collapsed="false">
      <c r="A345" s="6" t="n">
        <v>2025</v>
      </c>
      <c r="B345" s="6" t="n">
        <v>9</v>
      </c>
      <c r="C345" s="4" t="n">
        <v>360</v>
      </c>
      <c r="D345" s="6" t="n">
        <v>30</v>
      </c>
      <c r="E345" s="4" t="n">
        <f aca="false">INDEX(Evaporasi!$B$5:$B$16,MATCH(B345,Evaporasi!$A$5:$A$16,0))</f>
        <v>159.21</v>
      </c>
      <c r="F345" s="17" t="n">
        <f aca="false">Kawasan!$B$11*Kawasan!$B$9*C345/1000</f>
        <v>2995.2</v>
      </c>
      <c r="G345" s="17" t="n">
        <f aca="false">C345*Desain_Kolam!$B$9/1000</f>
        <v>1905.3</v>
      </c>
      <c r="H345" s="17" t="n">
        <f aca="false">Kawasan!$B$27*D345</f>
        <v>1612.8</v>
      </c>
      <c r="I345" s="17" t="n">
        <f aca="false">E345*Desain_Kolam!$B$9/1000</f>
        <v>842.618925</v>
      </c>
      <c r="J345" s="17" t="n">
        <f aca="false">F345+G345-H345-I345</f>
        <v>2445.081075</v>
      </c>
      <c r="K345" s="17" t="n">
        <f aca="false">K344+J345</f>
        <v>159172.140225</v>
      </c>
      <c r="L345" s="17" t="n">
        <f aca="false">MAX(L344,K345)</f>
        <v>159172.140225</v>
      </c>
      <c r="M345" s="17" t="n">
        <f aca="false">L345-K345</f>
        <v>0</v>
      </c>
      <c r="N345" s="17" t="n">
        <f aca="false">MIN(Desain_Kolam!$B$21,MAX(0,N344+F345+G345-H345-I345))</f>
        <v>15823.566675</v>
      </c>
      <c r="O345" s="6" t="n">
        <f aca="false">IF(N344+F345+G345-I345&gt;=H345,1,0)</f>
        <v>1</v>
      </c>
    </row>
    <row r="346" customFormat="false" ht="15" hidden="false" customHeight="false" outlineLevel="0" collapsed="false">
      <c r="A346" s="6" t="n">
        <v>2025</v>
      </c>
      <c r="B346" s="6" t="n">
        <v>10</v>
      </c>
      <c r="C346" s="4" t="n">
        <v>391</v>
      </c>
      <c r="D346" s="6" t="n">
        <v>31</v>
      </c>
      <c r="E346" s="4" t="n">
        <f aca="false">INDEX(Evaporasi!$B$5:$B$16,MATCH(B346,Evaporasi!$A$5:$A$16,0))</f>
        <v>151.5</v>
      </c>
      <c r="F346" s="17" t="n">
        <f aca="false">Kawasan!$B$11*Kawasan!$B$9*C346/1000</f>
        <v>3253.12</v>
      </c>
      <c r="G346" s="17" t="n">
        <f aca="false">C346*Desain_Kolam!$B$9/1000</f>
        <v>2069.3675</v>
      </c>
      <c r="H346" s="17" t="n">
        <f aca="false">Kawasan!$B$27*D346</f>
        <v>1666.56</v>
      </c>
      <c r="I346" s="17" t="n">
        <f aca="false">E346*Desain_Kolam!$B$9/1000</f>
        <v>801.81375</v>
      </c>
      <c r="J346" s="17" t="n">
        <f aca="false">F346+G346-H346-I346</f>
        <v>2854.11375</v>
      </c>
      <c r="K346" s="17" t="n">
        <f aca="false">K345+J346</f>
        <v>162026.253975</v>
      </c>
      <c r="L346" s="17" t="n">
        <f aca="false">MAX(L345,K346)</f>
        <v>162026.253975</v>
      </c>
      <c r="M346" s="17" t="n">
        <f aca="false">L346-K346</f>
        <v>0</v>
      </c>
      <c r="N346" s="17" t="n">
        <f aca="false">MIN(Desain_Kolam!$B$21,MAX(0,N345+F346+G346-H346-I346))</f>
        <v>15823.566675</v>
      </c>
      <c r="O346" s="6" t="n">
        <f aca="false">IF(N345+F346+G346-I346&gt;=H346,1,0)</f>
        <v>1</v>
      </c>
    </row>
    <row r="347" customFormat="false" ht="15" hidden="false" customHeight="false" outlineLevel="0" collapsed="false">
      <c r="A347" s="6" t="n">
        <v>2025</v>
      </c>
      <c r="B347" s="6" t="n">
        <v>11</v>
      </c>
      <c r="C347" s="4" t="n">
        <v>327</v>
      </c>
      <c r="D347" s="6" t="n">
        <v>30</v>
      </c>
      <c r="E347" s="4" t="n">
        <f aca="false">INDEX(Evaporasi!$B$5:$B$16,MATCH(B347,Evaporasi!$A$5:$A$16,0))</f>
        <v>142.3</v>
      </c>
      <c r="F347" s="17" t="n">
        <f aca="false">Kawasan!$B$11*Kawasan!$B$9*C347/1000</f>
        <v>2720.64</v>
      </c>
      <c r="G347" s="17" t="n">
        <f aca="false">C347*Desain_Kolam!$B$9/1000</f>
        <v>1730.6475</v>
      </c>
      <c r="H347" s="17" t="n">
        <f aca="false">Kawasan!$B$27*D347</f>
        <v>1612.8</v>
      </c>
      <c r="I347" s="17" t="n">
        <f aca="false">E347*Desain_Kolam!$B$9/1000</f>
        <v>753.12275</v>
      </c>
      <c r="J347" s="17" t="n">
        <f aca="false">F347+G347-H347-I347</f>
        <v>2085.36475</v>
      </c>
      <c r="K347" s="17" t="n">
        <f aca="false">K346+J347</f>
        <v>164111.618725</v>
      </c>
      <c r="L347" s="17" t="n">
        <f aca="false">MAX(L346,K347)</f>
        <v>164111.618725</v>
      </c>
      <c r="M347" s="17" t="n">
        <f aca="false">L347-K347</f>
        <v>0</v>
      </c>
      <c r="N347" s="17" t="n">
        <f aca="false">MIN(Desain_Kolam!$B$21,MAX(0,N346+F347+G347-H347-I347))</f>
        <v>15823.566675</v>
      </c>
      <c r="O347" s="6" t="n">
        <f aca="false">IF(N346+F347+G347-I347&gt;=H347,1,0)</f>
        <v>1</v>
      </c>
    </row>
    <row r="348" customFormat="false" ht="15" hidden="false" customHeight="false" outlineLevel="0" collapsed="false">
      <c r="A348" s="6" t="n">
        <v>2025</v>
      </c>
      <c r="B348" s="6" t="n">
        <v>12</v>
      </c>
      <c r="C348" s="4" t="n">
        <v>140</v>
      </c>
      <c r="D348" s="6" t="n">
        <v>31</v>
      </c>
      <c r="E348" s="4" t="n">
        <f aca="false">INDEX(Evaporasi!$B$5:$B$16,MATCH(B348,Evaporasi!$A$5:$A$16,0))</f>
        <v>145.07</v>
      </c>
      <c r="F348" s="17" t="n">
        <f aca="false">Kawasan!$B$11*Kawasan!$B$9*C348/1000</f>
        <v>1164.8</v>
      </c>
      <c r="G348" s="17" t="n">
        <f aca="false">C348*Desain_Kolam!$B$9/1000</f>
        <v>740.95</v>
      </c>
      <c r="H348" s="17" t="n">
        <f aca="false">Kawasan!$B$27*D348</f>
        <v>1666.56</v>
      </c>
      <c r="I348" s="17" t="n">
        <f aca="false">E348*Desain_Kolam!$B$9/1000</f>
        <v>767.782975</v>
      </c>
      <c r="J348" s="17" t="n">
        <f aca="false">F348+G348-H348-I348</f>
        <v>-528.592975</v>
      </c>
      <c r="K348" s="17" t="n">
        <f aca="false">K347+J348</f>
        <v>163583.02575</v>
      </c>
      <c r="L348" s="17" t="n">
        <f aca="false">MAX(L347,K348)</f>
        <v>164111.618725</v>
      </c>
      <c r="M348" s="17" t="n">
        <f aca="false">L348-K348</f>
        <v>528.592975000007</v>
      </c>
      <c r="N348" s="17" t="n">
        <f aca="false">MIN(Desain_Kolam!$B$21,MAX(0,N347+F348+G348-H348-I348))</f>
        <v>15294.9737</v>
      </c>
      <c r="O348" s="6" t="n">
        <f aca="false">IF(N347+F348+G348-I348&gt;=H348,1,0)</f>
        <v>1</v>
      </c>
    </row>
    <row r="349" customFormat="false" ht="15" hidden="false" customHeight="false" outlineLevel="0" collapsed="false">
      <c r="A349" s="28" t="s">
        <v>5432</v>
      </c>
      <c r="B349" s="28"/>
      <c r="C349" s="28"/>
      <c r="D349" s="28"/>
      <c r="E349" s="29" t="n">
        <f aca="false">MAX(M181:M348)</f>
        <v>18741.966675</v>
      </c>
    </row>
    <row r="350" customFormat="false" ht="15" hidden="false" customHeight="false" outlineLevel="0" collapsed="false">
      <c r="A350" s="28" t="s">
        <v>5428</v>
      </c>
      <c r="B350" s="28"/>
      <c r="C350" s="28"/>
      <c r="D350" s="28"/>
      <c r="E350" s="30" t="n">
        <f aca="false">100*SUM(O181:O348)/COUNT(O181:O348)</f>
        <v>98.8095238095238</v>
      </c>
    </row>
    <row r="351" customFormat="false" ht="15" hidden="false" customHeight="false" outlineLevel="0" collapsed="false">
      <c r="A351" s="28" t="s">
        <v>5429</v>
      </c>
      <c r="B351" s="28"/>
      <c r="C351" s="28"/>
      <c r="D351" s="28"/>
      <c r="E351" s="31" t="n">
        <f aca="false">SUM(O181:O348)</f>
        <v>166</v>
      </c>
    </row>
    <row r="352" customFormat="false" ht="15" hidden="false" customHeight="false" outlineLevel="0" collapsed="false">
      <c r="A352" s="28" t="s">
        <v>5430</v>
      </c>
      <c r="B352" s="28"/>
      <c r="C352" s="28"/>
      <c r="D352" s="28"/>
      <c r="E352" s="29" t="n">
        <f aca="false">K348</f>
        <v>163583.02575</v>
      </c>
    </row>
    <row r="354" customFormat="false" ht="15" hidden="false" customHeight="false" outlineLevel="0" collapsed="false">
      <c r="A354" s="32" t="s">
        <v>5433</v>
      </c>
    </row>
    <row r="355" customFormat="false" ht="23.85" hidden="false" customHeight="false" outlineLevel="0" collapsed="false">
      <c r="A355" s="1" t="s">
        <v>0</v>
      </c>
      <c r="B355" s="1" t="s">
        <v>1</v>
      </c>
      <c r="C355" s="1" t="s">
        <v>5414</v>
      </c>
      <c r="D355" s="1" t="s">
        <v>5415</v>
      </c>
      <c r="E355" s="1" t="s">
        <v>5416</v>
      </c>
      <c r="F355" s="1" t="s">
        <v>5417</v>
      </c>
      <c r="G355" s="1" t="s">
        <v>5418</v>
      </c>
      <c r="H355" s="1" t="s">
        <v>5419</v>
      </c>
      <c r="I355" s="1" t="s">
        <v>5420</v>
      </c>
      <c r="J355" s="1" t="s">
        <v>5421</v>
      </c>
      <c r="K355" s="1" t="s">
        <v>5422</v>
      </c>
      <c r="L355" s="1" t="s">
        <v>5423</v>
      </c>
      <c r="M355" s="1" t="s">
        <v>5424</v>
      </c>
      <c r="N355" s="1" t="s">
        <v>5425</v>
      </c>
      <c r="O355" s="1" t="s">
        <v>5426</v>
      </c>
    </row>
    <row r="356" customFormat="false" ht="15" hidden="false" customHeight="false" outlineLevel="0" collapsed="false">
      <c r="A356" s="6" t="n">
        <v>2012</v>
      </c>
      <c r="B356" s="6" t="n">
        <v>1</v>
      </c>
      <c r="C356" s="4" t="n">
        <v>349</v>
      </c>
      <c r="D356" s="6" t="n">
        <v>31</v>
      </c>
      <c r="E356" s="4" t="n">
        <f aca="false">INDEX(Evaporasi!$B$5:$B$16,MATCH(B356,Evaporasi!$A$5:$A$16,0))</f>
        <v>149.98</v>
      </c>
      <c r="F356" s="17" t="n">
        <f aca="false">Kawasan!$B$11*Kawasan!$B$9*C356/1000</f>
        <v>2903.68</v>
      </c>
      <c r="G356" s="17" t="n">
        <f aca="false">C356*Desain_Kolam!$B$9/1000</f>
        <v>1847.0825</v>
      </c>
      <c r="H356" s="17" t="n">
        <f aca="false">Kawasan!$B$28*D356</f>
        <v>1547.52</v>
      </c>
      <c r="I356" s="17" t="n">
        <f aca="false">E356*Desain_Kolam!$B$9/1000</f>
        <v>793.76915</v>
      </c>
      <c r="J356" s="17" t="n">
        <f aca="false">F356+G356-H356-I356</f>
        <v>2409.47335</v>
      </c>
      <c r="K356" s="17" t="n">
        <f aca="false">J356</f>
        <v>2409.47335</v>
      </c>
      <c r="L356" s="17" t="n">
        <f aca="false">MAX(0,K356)</f>
        <v>2409.47335</v>
      </c>
      <c r="M356" s="17" t="n">
        <f aca="false">L356-K356</f>
        <v>0</v>
      </c>
      <c r="N356" s="17" t="n">
        <f aca="false">MIN(Desain_Kolam!$B$21,MAX(0,F356+G356-H356-I356))</f>
        <v>2409.47335</v>
      </c>
      <c r="O356" s="6" t="n">
        <f aca="false">IF(F356+G356-I356&gt;=H356,1,0)</f>
        <v>1</v>
      </c>
    </row>
    <row r="357" customFormat="false" ht="15" hidden="false" customHeight="false" outlineLevel="0" collapsed="false">
      <c r="A357" s="6" t="n">
        <v>2012</v>
      </c>
      <c r="B357" s="6" t="n">
        <v>2</v>
      </c>
      <c r="C357" s="4" t="n">
        <v>340</v>
      </c>
      <c r="D357" s="6" t="n">
        <v>29</v>
      </c>
      <c r="E357" s="4" t="n">
        <f aca="false">INDEX(Evaporasi!$B$5:$B$16,MATCH(B357,Evaporasi!$A$5:$A$16,0))</f>
        <v>148.64</v>
      </c>
      <c r="F357" s="17" t="n">
        <f aca="false">Kawasan!$B$11*Kawasan!$B$9*C357/1000</f>
        <v>2828.8</v>
      </c>
      <c r="G357" s="17" t="n">
        <f aca="false">C357*Desain_Kolam!$B$9/1000</f>
        <v>1799.45</v>
      </c>
      <c r="H357" s="17" t="n">
        <f aca="false">Kawasan!$B$28*D357</f>
        <v>1447.68</v>
      </c>
      <c r="I357" s="17" t="n">
        <f aca="false">E357*Desain_Kolam!$B$9/1000</f>
        <v>786.6772</v>
      </c>
      <c r="J357" s="17" t="n">
        <f aca="false">F357+G357-H357-I357</f>
        <v>2393.8928</v>
      </c>
      <c r="K357" s="17" t="n">
        <f aca="false">K356+J357</f>
        <v>4803.36615</v>
      </c>
      <c r="L357" s="17" t="n">
        <f aca="false">MAX(L356,K357)</f>
        <v>4803.36615</v>
      </c>
      <c r="M357" s="17" t="n">
        <f aca="false">L357-K357</f>
        <v>0</v>
      </c>
      <c r="N357" s="17" t="n">
        <f aca="false">MIN(Desain_Kolam!$B$21,MAX(0,N356+F357+G357-H357-I357))</f>
        <v>4803.36615</v>
      </c>
      <c r="O357" s="6" t="n">
        <f aca="false">IF(N356+F357+G357-I357&gt;=H357,1,0)</f>
        <v>1</v>
      </c>
    </row>
    <row r="358" customFormat="false" ht="15" hidden="false" customHeight="false" outlineLevel="0" collapsed="false">
      <c r="A358" s="6" t="n">
        <v>2012</v>
      </c>
      <c r="B358" s="6" t="n">
        <v>3</v>
      </c>
      <c r="C358" s="4" t="n">
        <v>244</v>
      </c>
      <c r="D358" s="6" t="n">
        <v>31</v>
      </c>
      <c r="E358" s="4" t="n">
        <f aca="false">INDEX(Evaporasi!$B$5:$B$16,MATCH(B358,Evaporasi!$A$5:$A$16,0))</f>
        <v>166.18</v>
      </c>
      <c r="F358" s="17" t="n">
        <f aca="false">Kawasan!$B$11*Kawasan!$B$9*C358/1000</f>
        <v>2030.08</v>
      </c>
      <c r="G358" s="17" t="n">
        <f aca="false">C358*Desain_Kolam!$B$9/1000</f>
        <v>1291.37</v>
      </c>
      <c r="H358" s="17" t="n">
        <f aca="false">Kawasan!$B$28*D358</f>
        <v>1547.52</v>
      </c>
      <c r="I358" s="17" t="n">
        <f aca="false">E358*Desain_Kolam!$B$9/1000</f>
        <v>879.50765</v>
      </c>
      <c r="J358" s="17" t="n">
        <f aca="false">F358+G358-H358-I358</f>
        <v>894.42235</v>
      </c>
      <c r="K358" s="17" t="n">
        <f aca="false">K357+J358</f>
        <v>5697.7885</v>
      </c>
      <c r="L358" s="17" t="n">
        <f aca="false">MAX(L357,K358)</f>
        <v>5697.7885</v>
      </c>
      <c r="M358" s="17" t="n">
        <f aca="false">L358-K358</f>
        <v>0</v>
      </c>
      <c r="N358" s="17" t="n">
        <f aca="false">MIN(Desain_Kolam!$B$21,MAX(0,N357+F358+G358-H358-I358))</f>
        <v>5697.7885</v>
      </c>
      <c r="O358" s="6" t="n">
        <f aca="false">IF(N357+F358+G358-I358&gt;=H358,1,0)</f>
        <v>1</v>
      </c>
    </row>
    <row r="359" customFormat="false" ht="15" hidden="false" customHeight="false" outlineLevel="0" collapsed="false">
      <c r="A359" s="6" t="n">
        <v>2012</v>
      </c>
      <c r="B359" s="6" t="n">
        <v>4</v>
      </c>
      <c r="C359" s="4" t="n">
        <v>282</v>
      </c>
      <c r="D359" s="6" t="n">
        <v>30</v>
      </c>
      <c r="E359" s="4" t="n">
        <f aca="false">INDEX(Evaporasi!$B$5:$B$16,MATCH(B359,Evaporasi!$A$5:$A$16,0))</f>
        <v>157.75</v>
      </c>
      <c r="F359" s="17" t="n">
        <f aca="false">Kawasan!$B$11*Kawasan!$B$9*C359/1000</f>
        <v>2346.24</v>
      </c>
      <c r="G359" s="17" t="n">
        <f aca="false">C359*Desain_Kolam!$B$9/1000</f>
        <v>1492.485</v>
      </c>
      <c r="H359" s="17" t="n">
        <f aca="false">Kawasan!$B$28*D359</f>
        <v>1497.6</v>
      </c>
      <c r="I359" s="17" t="n">
        <f aca="false">E359*Desain_Kolam!$B$9/1000</f>
        <v>834.891875</v>
      </c>
      <c r="J359" s="17" t="n">
        <f aca="false">F359+G359-H359-I359</f>
        <v>1506.233125</v>
      </c>
      <c r="K359" s="17" t="n">
        <f aca="false">K358+J359</f>
        <v>7204.021625</v>
      </c>
      <c r="L359" s="17" t="n">
        <f aca="false">MAX(L358,K359)</f>
        <v>7204.021625</v>
      </c>
      <c r="M359" s="17" t="n">
        <f aca="false">L359-K359</f>
        <v>0</v>
      </c>
      <c r="N359" s="17" t="n">
        <f aca="false">MIN(Desain_Kolam!$B$21,MAX(0,N358+F359+G359-H359-I359))</f>
        <v>7204.021625</v>
      </c>
      <c r="O359" s="6" t="n">
        <f aca="false">IF(N358+F359+G359-I359&gt;=H359,1,0)</f>
        <v>1</v>
      </c>
    </row>
    <row r="360" customFormat="false" ht="15" hidden="false" customHeight="false" outlineLevel="0" collapsed="false">
      <c r="A360" s="6" t="n">
        <v>2012</v>
      </c>
      <c r="B360" s="6" t="n">
        <v>5</v>
      </c>
      <c r="C360" s="4" t="n">
        <v>319</v>
      </c>
      <c r="D360" s="6" t="n">
        <v>31</v>
      </c>
      <c r="E360" s="4" t="n">
        <f aca="false">INDEX(Evaporasi!$B$5:$B$16,MATCH(B360,Evaporasi!$A$5:$A$16,0))</f>
        <v>158.35</v>
      </c>
      <c r="F360" s="17" t="n">
        <f aca="false">Kawasan!$B$11*Kawasan!$B$9*C360/1000</f>
        <v>2654.08</v>
      </c>
      <c r="G360" s="17" t="n">
        <f aca="false">C360*Desain_Kolam!$B$9/1000</f>
        <v>1688.3075</v>
      </c>
      <c r="H360" s="17" t="n">
        <f aca="false">Kawasan!$B$28*D360</f>
        <v>1547.52</v>
      </c>
      <c r="I360" s="17" t="n">
        <f aca="false">E360*Desain_Kolam!$B$9/1000</f>
        <v>838.067375</v>
      </c>
      <c r="J360" s="17" t="n">
        <f aca="false">F360+G360-H360-I360</f>
        <v>1956.800125</v>
      </c>
      <c r="K360" s="17" t="n">
        <f aca="false">K359+J360</f>
        <v>9160.82175</v>
      </c>
      <c r="L360" s="17" t="n">
        <f aca="false">MAX(L359,K360)</f>
        <v>9160.82175</v>
      </c>
      <c r="M360" s="17" t="n">
        <f aca="false">L360-K360</f>
        <v>0</v>
      </c>
      <c r="N360" s="17" t="n">
        <f aca="false">MIN(Desain_Kolam!$B$21,MAX(0,N359+F360+G360-H360-I360))</f>
        <v>9160.82175</v>
      </c>
      <c r="O360" s="6" t="n">
        <f aca="false">IF(N359+F360+G360-I360&gt;=H360,1,0)</f>
        <v>1</v>
      </c>
    </row>
    <row r="361" customFormat="false" ht="15" hidden="false" customHeight="false" outlineLevel="0" collapsed="false">
      <c r="A361" s="6" t="n">
        <v>2012</v>
      </c>
      <c r="B361" s="6" t="n">
        <v>6</v>
      </c>
      <c r="C361" s="4" t="n">
        <v>107</v>
      </c>
      <c r="D361" s="6" t="n">
        <v>30</v>
      </c>
      <c r="E361" s="4" t="n">
        <f aca="false">INDEX(Evaporasi!$B$5:$B$16,MATCH(B361,Evaporasi!$A$5:$A$16,0))</f>
        <v>150.17</v>
      </c>
      <c r="F361" s="17" t="n">
        <f aca="false">Kawasan!$B$11*Kawasan!$B$9*C361/1000</f>
        <v>890.24</v>
      </c>
      <c r="G361" s="17" t="n">
        <f aca="false">C361*Desain_Kolam!$B$9/1000</f>
        <v>566.2975</v>
      </c>
      <c r="H361" s="17" t="n">
        <f aca="false">Kawasan!$B$28*D361</f>
        <v>1497.6</v>
      </c>
      <c r="I361" s="17" t="n">
        <f aca="false">E361*Desain_Kolam!$B$9/1000</f>
        <v>794.774725</v>
      </c>
      <c r="J361" s="17" t="n">
        <f aca="false">F361+G361-H361-I361</f>
        <v>-835.837225</v>
      </c>
      <c r="K361" s="17" t="n">
        <f aca="false">K360+J361</f>
        <v>8324.984525</v>
      </c>
      <c r="L361" s="17" t="n">
        <f aca="false">MAX(L360,K361)</f>
        <v>9160.82175</v>
      </c>
      <c r="M361" s="17" t="n">
        <f aca="false">L361-K361</f>
        <v>835.837224999999</v>
      </c>
      <c r="N361" s="17" t="n">
        <f aca="false">MIN(Desain_Kolam!$B$21,MAX(0,N360+F361+G361-H361-I361))</f>
        <v>8324.984525</v>
      </c>
      <c r="O361" s="6" t="n">
        <f aca="false">IF(N360+F361+G361-I361&gt;=H361,1,0)</f>
        <v>1</v>
      </c>
    </row>
    <row r="362" customFormat="false" ht="15" hidden="false" customHeight="false" outlineLevel="0" collapsed="false">
      <c r="A362" s="6" t="n">
        <v>2012</v>
      </c>
      <c r="B362" s="6" t="n">
        <v>7</v>
      </c>
      <c r="C362" s="4" t="n">
        <v>133</v>
      </c>
      <c r="D362" s="6" t="n">
        <v>31</v>
      </c>
      <c r="E362" s="4" t="n">
        <f aca="false">INDEX(Evaporasi!$B$5:$B$16,MATCH(B362,Evaporasi!$A$5:$A$16,0))</f>
        <v>160.84</v>
      </c>
      <c r="F362" s="17" t="n">
        <f aca="false">Kawasan!$B$11*Kawasan!$B$9*C362/1000</f>
        <v>1106.56</v>
      </c>
      <c r="G362" s="17" t="n">
        <f aca="false">C362*Desain_Kolam!$B$9/1000</f>
        <v>703.9025</v>
      </c>
      <c r="H362" s="17" t="n">
        <f aca="false">Kawasan!$B$28*D362</f>
        <v>1547.52</v>
      </c>
      <c r="I362" s="17" t="n">
        <f aca="false">E362*Desain_Kolam!$B$9/1000</f>
        <v>851.2457</v>
      </c>
      <c r="J362" s="17" t="n">
        <f aca="false">F362+G362-H362-I362</f>
        <v>-588.3032</v>
      </c>
      <c r="K362" s="17" t="n">
        <f aca="false">K361+J362</f>
        <v>7736.681325</v>
      </c>
      <c r="L362" s="17" t="n">
        <f aca="false">MAX(L361,K362)</f>
        <v>9160.82175</v>
      </c>
      <c r="M362" s="17" t="n">
        <f aca="false">L362-K362</f>
        <v>1424.140425</v>
      </c>
      <c r="N362" s="17" t="n">
        <f aca="false">MIN(Desain_Kolam!$B$21,MAX(0,N361+F362+G362-H362-I362))</f>
        <v>7736.681325</v>
      </c>
      <c r="O362" s="6" t="n">
        <f aca="false">IF(N361+F362+G362-I362&gt;=H362,1,0)</f>
        <v>1</v>
      </c>
    </row>
    <row r="363" customFormat="false" ht="15" hidden="false" customHeight="false" outlineLevel="0" collapsed="false">
      <c r="A363" s="6" t="n">
        <v>2012</v>
      </c>
      <c r="B363" s="6" t="n">
        <v>8</v>
      </c>
      <c r="C363" s="4" t="n">
        <v>105</v>
      </c>
      <c r="D363" s="6" t="n">
        <v>31</v>
      </c>
      <c r="E363" s="4" t="n">
        <f aca="false">INDEX(Evaporasi!$B$5:$B$16,MATCH(B363,Evaporasi!$A$5:$A$16,0))</f>
        <v>161.16</v>
      </c>
      <c r="F363" s="17" t="n">
        <f aca="false">Kawasan!$B$11*Kawasan!$B$9*C363/1000</f>
        <v>873.6</v>
      </c>
      <c r="G363" s="17" t="n">
        <f aca="false">C363*Desain_Kolam!$B$9/1000</f>
        <v>555.7125</v>
      </c>
      <c r="H363" s="17" t="n">
        <f aca="false">Kawasan!$B$28*D363</f>
        <v>1547.52</v>
      </c>
      <c r="I363" s="17" t="n">
        <f aca="false">E363*Desain_Kolam!$B$9/1000</f>
        <v>852.9393</v>
      </c>
      <c r="J363" s="17" t="n">
        <f aca="false">F363+G363-H363-I363</f>
        <v>-971.1468</v>
      </c>
      <c r="K363" s="17" t="n">
        <f aca="false">K362+J363</f>
        <v>6765.534525</v>
      </c>
      <c r="L363" s="17" t="n">
        <f aca="false">MAX(L362,K363)</f>
        <v>9160.82175</v>
      </c>
      <c r="M363" s="17" t="n">
        <f aca="false">L363-K363</f>
        <v>2395.287225</v>
      </c>
      <c r="N363" s="17" t="n">
        <f aca="false">MIN(Desain_Kolam!$B$21,MAX(0,N362+F363+G363-H363-I363))</f>
        <v>6765.534525</v>
      </c>
      <c r="O363" s="6" t="n">
        <f aca="false">IF(N362+F363+G363-I363&gt;=H363,1,0)</f>
        <v>1</v>
      </c>
    </row>
    <row r="364" customFormat="false" ht="15" hidden="false" customHeight="false" outlineLevel="0" collapsed="false">
      <c r="A364" s="6" t="n">
        <v>2012</v>
      </c>
      <c r="B364" s="6" t="n">
        <v>9</v>
      </c>
      <c r="C364" s="4" t="n">
        <v>174</v>
      </c>
      <c r="D364" s="6" t="n">
        <v>30</v>
      </c>
      <c r="E364" s="4" t="n">
        <f aca="false">INDEX(Evaporasi!$B$5:$B$16,MATCH(B364,Evaporasi!$A$5:$A$16,0))</f>
        <v>159.21</v>
      </c>
      <c r="F364" s="17" t="n">
        <f aca="false">Kawasan!$B$11*Kawasan!$B$9*C364/1000</f>
        <v>1447.68</v>
      </c>
      <c r="G364" s="17" t="n">
        <f aca="false">C364*Desain_Kolam!$B$9/1000</f>
        <v>920.895</v>
      </c>
      <c r="H364" s="17" t="n">
        <f aca="false">Kawasan!$B$28*D364</f>
        <v>1497.6</v>
      </c>
      <c r="I364" s="17" t="n">
        <f aca="false">E364*Desain_Kolam!$B$9/1000</f>
        <v>842.618925</v>
      </c>
      <c r="J364" s="17" t="n">
        <f aca="false">F364+G364-H364-I364</f>
        <v>28.3560749999997</v>
      </c>
      <c r="K364" s="17" t="n">
        <f aca="false">K363+J364</f>
        <v>6793.8906</v>
      </c>
      <c r="L364" s="17" t="n">
        <f aca="false">MAX(L363,K364)</f>
        <v>9160.82175</v>
      </c>
      <c r="M364" s="17" t="n">
        <f aca="false">L364-K364</f>
        <v>2366.93115</v>
      </c>
      <c r="N364" s="17" t="n">
        <f aca="false">MIN(Desain_Kolam!$B$21,MAX(0,N363+F364+G364-H364-I364))</f>
        <v>6793.8906</v>
      </c>
      <c r="O364" s="6" t="n">
        <f aca="false">IF(N363+F364+G364-I364&gt;=H364,1,0)</f>
        <v>1</v>
      </c>
    </row>
    <row r="365" customFormat="false" ht="15" hidden="false" customHeight="false" outlineLevel="0" collapsed="false">
      <c r="A365" s="6" t="n">
        <v>2012</v>
      </c>
      <c r="B365" s="6" t="n">
        <v>10</v>
      </c>
      <c r="C365" s="4" t="n">
        <v>436</v>
      </c>
      <c r="D365" s="6" t="n">
        <v>31</v>
      </c>
      <c r="E365" s="4" t="n">
        <f aca="false">INDEX(Evaporasi!$B$5:$B$16,MATCH(B365,Evaporasi!$A$5:$A$16,0))</f>
        <v>151.5</v>
      </c>
      <c r="F365" s="17" t="n">
        <f aca="false">Kawasan!$B$11*Kawasan!$B$9*C365/1000</f>
        <v>3627.52</v>
      </c>
      <c r="G365" s="17" t="n">
        <f aca="false">C365*Desain_Kolam!$B$9/1000</f>
        <v>2307.53</v>
      </c>
      <c r="H365" s="17" t="n">
        <f aca="false">Kawasan!$B$28*D365</f>
        <v>1547.52</v>
      </c>
      <c r="I365" s="17" t="n">
        <f aca="false">E365*Desain_Kolam!$B$9/1000</f>
        <v>801.81375</v>
      </c>
      <c r="J365" s="17" t="n">
        <f aca="false">F365+G365-H365-I365</f>
        <v>3585.71625</v>
      </c>
      <c r="K365" s="17" t="n">
        <f aca="false">K364+J365</f>
        <v>10379.60685</v>
      </c>
      <c r="L365" s="17" t="n">
        <f aca="false">MAX(L364,K365)</f>
        <v>10379.60685</v>
      </c>
      <c r="M365" s="17" t="n">
        <f aca="false">L365-K365</f>
        <v>0</v>
      </c>
      <c r="N365" s="17" t="n">
        <f aca="false">MIN(Desain_Kolam!$B$21,MAX(0,N364+F365+G365-H365-I365))</f>
        <v>10379.60685</v>
      </c>
      <c r="O365" s="6" t="n">
        <f aca="false">IF(N364+F365+G365-I365&gt;=H365,1,0)</f>
        <v>1</v>
      </c>
    </row>
    <row r="366" customFormat="false" ht="15" hidden="false" customHeight="false" outlineLevel="0" collapsed="false">
      <c r="A366" s="6" t="n">
        <v>2012</v>
      </c>
      <c r="B366" s="6" t="n">
        <v>11</v>
      </c>
      <c r="C366" s="4" t="n">
        <v>323</v>
      </c>
      <c r="D366" s="6" t="n">
        <v>30</v>
      </c>
      <c r="E366" s="4" t="n">
        <f aca="false">INDEX(Evaporasi!$B$5:$B$16,MATCH(B366,Evaporasi!$A$5:$A$16,0))</f>
        <v>142.3</v>
      </c>
      <c r="F366" s="17" t="n">
        <f aca="false">Kawasan!$B$11*Kawasan!$B$9*C366/1000</f>
        <v>2687.36</v>
      </c>
      <c r="G366" s="17" t="n">
        <f aca="false">C366*Desain_Kolam!$B$9/1000</f>
        <v>1709.4775</v>
      </c>
      <c r="H366" s="17" t="n">
        <f aca="false">Kawasan!$B$28*D366</f>
        <v>1497.6</v>
      </c>
      <c r="I366" s="17" t="n">
        <f aca="false">E366*Desain_Kolam!$B$9/1000</f>
        <v>753.12275</v>
      </c>
      <c r="J366" s="17" t="n">
        <f aca="false">F366+G366-H366-I366</f>
        <v>2146.11475</v>
      </c>
      <c r="K366" s="17" t="n">
        <f aca="false">K365+J366</f>
        <v>12525.7216</v>
      </c>
      <c r="L366" s="17" t="n">
        <f aca="false">MAX(L365,K366)</f>
        <v>12525.7216</v>
      </c>
      <c r="M366" s="17" t="n">
        <f aca="false">L366-K366</f>
        <v>0</v>
      </c>
      <c r="N366" s="17" t="n">
        <f aca="false">MIN(Desain_Kolam!$B$21,MAX(0,N365+F366+G366-H366-I366))</f>
        <v>12525.7216</v>
      </c>
      <c r="O366" s="6" t="n">
        <f aca="false">IF(N365+F366+G366-I366&gt;=H366,1,0)</f>
        <v>1</v>
      </c>
    </row>
    <row r="367" customFormat="false" ht="15" hidden="false" customHeight="false" outlineLevel="0" collapsed="false">
      <c r="A367" s="6" t="n">
        <v>2012</v>
      </c>
      <c r="B367" s="6" t="n">
        <v>12</v>
      </c>
      <c r="C367" s="4" t="n">
        <v>297</v>
      </c>
      <c r="D367" s="6" t="n">
        <v>31</v>
      </c>
      <c r="E367" s="4" t="n">
        <f aca="false">INDEX(Evaporasi!$B$5:$B$16,MATCH(B367,Evaporasi!$A$5:$A$16,0))</f>
        <v>145.07</v>
      </c>
      <c r="F367" s="17" t="n">
        <f aca="false">Kawasan!$B$11*Kawasan!$B$9*C367/1000</f>
        <v>2471.04</v>
      </c>
      <c r="G367" s="17" t="n">
        <f aca="false">C367*Desain_Kolam!$B$9/1000</f>
        <v>1571.8725</v>
      </c>
      <c r="H367" s="17" t="n">
        <f aca="false">Kawasan!$B$28*D367</f>
        <v>1547.52</v>
      </c>
      <c r="I367" s="17" t="n">
        <f aca="false">E367*Desain_Kolam!$B$9/1000</f>
        <v>767.782975</v>
      </c>
      <c r="J367" s="17" t="n">
        <f aca="false">F367+G367-H367-I367</f>
        <v>1727.609525</v>
      </c>
      <c r="K367" s="17" t="n">
        <f aca="false">K366+J367</f>
        <v>14253.331125</v>
      </c>
      <c r="L367" s="17" t="n">
        <f aca="false">MAX(L366,K367)</f>
        <v>14253.331125</v>
      </c>
      <c r="M367" s="17" t="n">
        <f aca="false">L367-K367</f>
        <v>0</v>
      </c>
      <c r="N367" s="17" t="n">
        <f aca="false">MIN(Desain_Kolam!$B$21,MAX(0,N366+F367+G367-H367-I367))</f>
        <v>14253.331125</v>
      </c>
      <c r="O367" s="6" t="n">
        <f aca="false">IF(N366+F367+G367-I367&gt;=H367,1,0)</f>
        <v>1</v>
      </c>
    </row>
    <row r="368" customFormat="false" ht="15" hidden="false" customHeight="false" outlineLevel="0" collapsed="false">
      <c r="A368" s="6" t="n">
        <v>2013</v>
      </c>
      <c r="B368" s="6" t="n">
        <v>1</v>
      </c>
      <c r="C368" s="4" t="n">
        <v>141</v>
      </c>
      <c r="D368" s="6" t="n">
        <v>31</v>
      </c>
      <c r="E368" s="4" t="n">
        <f aca="false">INDEX(Evaporasi!$B$5:$B$16,MATCH(B368,Evaporasi!$A$5:$A$16,0))</f>
        <v>149.98</v>
      </c>
      <c r="F368" s="17" t="n">
        <f aca="false">Kawasan!$B$11*Kawasan!$B$9*C368/1000</f>
        <v>1173.12</v>
      </c>
      <c r="G368" s="17" t="n">
        <f aca="false">C368*Desain_Kolam!$B$9/1000</f>
        <v>746.2425</v>
      </c>
      <c r="H368" s="17" t="n">
        <f aca="false">Kawasan!$B$28*D368</f>
        <v>1547.52</v>
      </c>
      <c r="I368" s="17" t="n">
        <f aca="false">E368*Desain_Kolam!$B$9/1000</f>
        <v>793.76915</v>
      </c>
      <c r="J368" s="17" t="n">
        <f aca="false">F368+G368-H368-I368</f>
        <v>-421.92665</v>
      </c>
      <c r="K368" s="17" t="n">
        <f aca="false">K367+J368</f>
        <v>13831.404475</v>
      </c>
      <c r="L368" s="17" t="n">
        <f aca="false">MAX(L367,K368)</f>
        <v>14253.331125</v>
      </c>
      <c r="M368" s="17" t="n">
        <f aca="false">L368-K368</f>
        <v>421.926649999999</v>
      </c>
      <c r="N368" s="17" t="n">
        <f aca="false">MIN(Desain_Kolam!$B$21,MAX(0,N367+F368+G368-H368-I368))</f>
        <v>13831.404475</v>
      </c>
      <c r="O368" s="6" t="n">
        <f aca="false">IF(N367+F368+G368-I368&gt;=H368,1,0)</f>
        <v>1</v>
      </c>
    </row>
    <row r="369" customFormat="false" ht="15" hidden="false" customHeight="false" outlineLevel="0" collapsed="false">
      <c r="A369" s="6" t="n">
        <v>2013</v>
      </c>
      <c r="B369" s="6" t="n">
        <v>2</v>
      </c>
      <c r="C369" s="4" t="n">
        <v>291</v>
      </c>
      <c r="D369" s="6" t="n">
        <v>28</v>
      </c>
      <c r="E369" s="4" t="n">
        <f aca="false">INDEX(Evaporasi!$B$5:$B$16,MATCH(B369,Evaporasi!$A$5:$A$16,0))</f>
        <v>148.64</v>
      </c>
      <c r="F369" s="17" t="n">
        <f aca="false">Kawasan!$B$11*Kawasan!$B$9*C369/1000</f>
        <v>2421.12</v>
      </c>
      <c r="G369" s="17" t="n">
        <f aca="false">C369*Desain_Kolam!$B$9/1000</f>
        <v>1540.1175</v>
      </c>
      <c r="H369" s="17" t="n">
        <f aca="false">Kawasan!$B$28*D369</f>
        <v>1397.76</v>
      </c>
      <c r="I369" s="17" t="n">
        <f aca="false">E369*Desain_Kolam!$B$9/1000</f>
        <v>786.6772</v>
      </c>
      <c r="J369" s="17" t="n">
        <f aca="false">F369+G369-H369-I369</f>
        <v>1776.8003</v>
      </c>
      <c r="K369" s="17" t="n">
        <f aca="false">K368+J369</f>
        <v>15608.204775</v>
      </c>
      <c r="L369" s="17" t="n">
        <f aca="false">MAX(L368,K369)</f>
        <v>15608.204775</v>
      </c>
      <c r="M369" s="17" t="n">
        <f aca="false">L369-K369</f>
        <v>0</v>
      </c>
      <c r="N369" s="17" t="n">
        <f aca="false">MIN(Desain_Kolam!$B$21,MAX(0,N368+F369+G369-H369-I369))</f>
        <v>15608.204775</v>
      </c>
      <c r="O369" s="6" t="n">
        <f aca="false">IF(N368+F369+G369-I369&gt;=H369,1,0)</f>
        <v>1</v>
      </c>
    </row>
    <row r="370" customFormat="false" ht="15" hidden="false" customHeight="false" outlineLevel="0" collapsed="false">
      <c r="A370" s="6" t="n">
        <v>2013</v>
      </c>
      <c r="B370" s="6" t="n">
        <v>3</v>
      </c>
      <c r="C370" s="4" t="n">
        <v>152</v>
      </c>
      <c r="D370" s="6" t="n">
        <v>31</v>
      </c>
      <c r="E370" s="4" t="n">
        <f aca="false">INDEX(Evaporasi!$B$5:$B$16,MATCH(B370,Evaporasi!$A$5:$A$16,0))</f>
        <v>166.18</v>
      </c>
      <c r="F370" s="17" t="n">
        <f aca="false">Kawasan!$B$11*Kawasan!$B$9*C370/1000</f>
        <v>1264.64</v>
      </c>
      <c r="G370" s="17" t="n">
        <f aca="false">C370*Desain_Kolam!$B$9/1000</f>
        <v>804.46</v>
      </c>
      <c r="H370" s="17" t="n">
        <f aca="false">Kawasan!$B$28*D370</f>
        <v>1547.52</v>
      </c>
      <c r="I370" s="17" t="n">
        <f aca="false">E370*Desain_Kolam!$B$9/1000</f>
        <v>879.50765</v>
      </c>
      <c r="J370" s="17" t="n">
        <f aca="false">F370+G370-H370-I370</f>
        <v>-357.92765</v>
      </c>
      <c r="K370" s="17" t="n">
        <f aca="false">K369+J370</f>
        <v>15250.277125</v>
      </c>
      <c r="L370" s="17" t="n">
        <f aca="false">MAX(L369,K370)</f>
        <v>15608.204775</v>
      </c>
      <c r="M370" s="17" t="n">
        <f aca="false">L370-K370</f>
        <v>357.92765</v>
      </c>
      <c r="N370" s="17" t="n">
        <f aca="false">MIN(Desain_Kolam!$B$21,MAX(0,N369+F370+G370-H370-I370))</f>
        <v>15250.277125</v>
      </c>
      <c r="O370" s="6" t="n">
        <f aca="false">IF(N369+F370+G370-I370&gt;=H370,1,0)</f>
        <v>1</v>
      </c>
    </row>
    <row r="371" customFormat="false" ht="15" hidden="false" customHeight="false" outlineLevel="0" collapsed="false">
      <c r="A371" s="6" t="n">
        <v>2013</v>
      </c>
      <c r="B371" s="6" t="n">
        <v>4</v>
      </c>
      <c r="C371" s="4" t="n">
        <v>435</v>
      </c>
      <c r="D371" s="6" t="n">
        <v>30</v>
      </c>
      <c r="E371" s="4" t="n">
        <f aca="false">INDEX(Evaporasi!$B$5:$B$16,MATCH(B371,Evaporasi!$A$5:$A$16,0))</f>
        <v>157.75</v>
      </c>
      <c r="F371" s="17" t="n">
        <f aca="false">Kawasan!$B$11*Kawasan!$B$9*C371/1000</f>
        <v>3619.2</v>
      </c>
      <c r="G371" s="17" t="n">
        <f aca="false">C371*Desain_Kolam!$B$9/1000</f>
        <v>2302.2375</v>
      </c>
      <c r="H371" s="17" t="n">
        <f aca="false">Kawasan!$B$28*D371</f>
        <v>1497.6</v>
      </c>
      <c r="I371" s="17" t="n">
        <f aca="false">E371*Desain_Kolam!$B$9/1000</f>
        <v>834.891875</v>
      </c>
      <c r="J371" s="17" t="n">
        <f aca="false">F371+G371-H371-I371</f>
        <v>3588.945625</v>
      </c>
      <c r="K371" s="17" t="n">
        <f aca="false">K370+J371</f>
        <v>18839.22275</v>
      </c>
      <c r="L371" s="17" t="n">
        <f aca="false">MAX(L370,K371)</f>
        <v>18839.22275</v>
      </c>
      <c r="M371" s="17" t="n">
        <f aca="false">L371-K371</f>
        <v>0</v>
      </c>
      <c r="N371" s="17" t="n">
        <f aca="false">MIN(Desain_Kolam!$B$21,MAX(0,N370+F371+G371-H371-I371))</f>
        <v>15823.566675</v>
      </c>
      <c r="O371" s="6" t="n">
        <f aca="false">IF(N370+F371+G371-I371&gt;=H371,1,0)</f>
        <v>1</v>
      </c>
    </row>
    <row r="372" customFormat="false" ht="15" hidden="false" customHeight="false" outlineLevel="0" collapsed="false">
      <c r="A372" s="6" t="n">
        <v>2013</v>
      </c>
      <c r="B372" s="6" t="n">
        <v>5</v>
      </c>
      <c r="C372" s="4" t="n">
        <v>358</v>
      </c>
      <c r="D372" s="6" t="n">
        <v>31</v>
      </c>
      <c r="E372" s="4" t="n">
        <f aca="false">INDEX(Evaporasi!$B$5:$B$16,MATCH(B372,Evaporasi!$A$5:$A$16,0))</f>
        <v>158.35</v>
      </c>
      <c r="F372" s="17" t="n">
        <f aca="false">Kawasan!$B$11*Kawasan!$B$9*C372/1000</f>
        <v>2978.56</v>
      </c>
      <c r="G372" s="17" t="n">
        <f aca="false">C372*Desain_Kolam!$B$9/1000</f>
        <v>1894.715</v>
      </c>
      <c r="H372" s="17" t="n">
        <f aca="false">Kawasan!$B$28*D372</f>
        <v>1547.52</v>
      </c>
      <c r="I372" s="17" t="n">
        <f aca="false">E372*Desain_Kolam!$B$9/1000</f>
        <v>838.067375</v>
      </c>
      <c r="J372" s="17" t="n">
        <f aca="false">F372+G372-H372-I372</f>
        <v>2487.687625</v>
      </c>
      <c r="K372" s="17" t="n">
        <f aca="false">K371+J372</f>
        <v>21326.910375</v>
      </c>
      <c r="L372" s="17" t="n">
        <f aca="false">MAX(L371,K372)</f>
        <v>21326.910375</v>
      </c>
      <c r="M372" s="17" t="n">
        <f aca="false">L372-K372</f>
        <v>0</v>
      </c>
      <c r="N372" s="17" t="n">
        <f aca="false">MIN(Desain_Kolam!$B$21,MAX(0,N371+F372+G372-H372-I372))</f>
        <v>15823.566675</v>
      </c>
      <c r="O372" s="6" t="n">
        <f aca="false">IF(N371+F372+G372-I372&gt;=H372,1,0)</f>
        <v>1</v>
      </c>
    </row>
    <row r="373" customFormat="false" ht="15" hidden="false" customHeight="false" outlineLevel="0" collapsed="false">
      <c r="A373" s="6" t="n">
        <v>2013</v>
      </c>
      <c r="B373" s="6" t="n">
        <v>6</v>
      </c>
      <c r="C373" s="4" t="n">
        <v>212</v>
      </c>
      <c r="D373" s="6" t="n">
        <v>30</v>
      </c>
      <c r="E373" s="4" t="n">
        <f aca="false">INDEX(Evaporasi!$B$5:$B$16,MATCH(B373,Evaporasi!$A$5:$A$16,0))</f>
        <v>150.17</v>
      </c>
      <c r="F373" s="17" t="n">
        <f aca="false">Kawasan!$B$11*Kawasan!$B$9*C373/1000</f>
        <v>1763.84</v>
      </c>
      <c r="G373" s="17" t="n">
        <f aca="false">C373*Desain_Kolam!$B$9/1000</f>
        <v>1122.01</v>
      </c>
      <c r="H373" s="17" t="n">
        <f aca="false">Kawasan!$B$28*D373</f>
        <v>1497.6</v>
      </c>
      <c r="I373" s="17" t="n">
        <f aca="false">E373*Desain_Kolam!$B$9/1000</f>
        <v>794.774725</v>
      </c>
      <c r="J373" s="17" t="n">
        <f aca="false">F373+G373-H373-I373</f>
        <v>593.475275</v>
      </c>
      <c r="K373" s="17" t="n">
        <f aca="false">K372+J373</f>
        <v>21920.38565</v>
      </c>
      <c r="L373" s="17" t="n">
        <f aca="false">MAX(L372,K373)</f>
        <v>21920.38565</v>
      </c>
      <c r="M373" s="17" t="n">
        <f aca="false">L373-K373</f>
        <v>0</v>
      </c>
      <c r="N373" s="17" t="n">
        <f aca="false">MIN(Desain_Kolam!$B$21,MAX(0,N372+F373+G373-H373-I373))</f>
        <v>15823.566675</v>
      </c>
      <c r="O373" s="6" t="n">
        <f aca="false">IF(N372+F373+G373-I373&gt;=H373,1,0)</f>
        <v>1</v>
      </c>
    </row>
    <row r="374" customFormat="false" ht="15" hidden="false" customHeight="false" outlineLevel="0" collapsed="false">
      <c r="A374" s="6" t="n">
        <v>2013</v>
      </c>
      <c r="B374" s="6" t="n">
        <v>7</v>
      </c>
      <c r="C374" s="4" t="n">
        <v>320</v>
      </c>
      <c r="D374" s="6" t="n">
        <v>31</v>
      </c>
      <c r="E374" s="4" t="n">
        <f aca="false">INDEX(Evaporasi!$B$5:$B$16,MATCH(B374,Evaporasi!$A$5:$A$16,0))</f>
        <v>160.84</v>
      </c>
      <c r="F374" s="17" t="n">
        <f aca="false">Kawasan!$B$11*Kawasan!$B$9*C374/1000</f>
        <v>2662.4</v>
      </c>
      <c r="G374" s="17" t="n">
        <f aca="false">C374*Desain_Kolam!$B$9/1000</f>
        <v>1693.6</v>
      </c>
      <c r="H374" s="17" t="n">
        <f aca="false">Kawasan!$B$28*D374</f>
        <v>1547.52</v>
      </c>
      <c r="I374" s="17" t="n">
        <f aca="false">E374*Desain_Kolam!$B$9/1000</f>
        <v>851.2457</v>
      </c>
      <c r="J374" s="17" t="n">
        <f aca="false">F374+G374-H374-I374</f>
        <v>1957.2343</v>
      </c>
      <c r="K374" s="17" t="n">
        <f aca="false">K373+J374</f>
        <v>23877.61995</v>
      </c>
      <c r="L374" s="17" t="n">
        <f aca="false">MAX(L373,K374)</f>
        <v>23877.61995</v>
      </c>
      <c r="M374" s="17" t="n">
        <f aca="false">L374-K374</f>
        <v>0</v>
      </c>
      <c r="N374" s="17" t="n">
        <f aca="false">MIN(Desain_Kolam!$B$21,MAX(0,N373+F374+G374-H374-I374))</f>
        <v>15823.566675</v>
      </c>
      <c r="O374" s="6" t="n">
        <f aca="false">IF(N373+F374+G374-I374&gt;=H374,1,0)</f>
        <v>1</v>
      </c>
    </row>
    <row r="375" customFormat="false" ht="15" hidden="false" customHeight="false" outlineLevel="0" collapsed="false">
      <c r="A375" s="6" t="n">
        <v>2013</v>
      </c>
      <c r="B375" s="6" t="n">
        <v>8</v>
      </c>
      <c r="C375" s="4" t="n">
        <v>167</v>
      </c>
      <c r="D375" s="6" t="n">
        <v>31</v>
      </c>
      <c r="E375" s="4" t="n">
        <f aca="false">INDEX(Evaporasi!$B$5:$B$16,MATCH(B375,Evaporasi!$A$5:$A$16,0))</f>
        <v>161.16</v>
      </c>
      <c r="F375" s="17" t="n">
        <f aca="false">Kawasan!$B$11*Kawasan!$B$9*C375/1000</f>
        <v>1389.44</v>
      </c>
      <c r="G375" s="17" t="n">
        <f aca="false">C375*Desain_Kolam!$B$9/1000</f>
        <v>883.8475</v>
      </c>
      <c r="H375" s="17" t="n">
        <f aca="false">Kawasan!$B$28*D375</f>
        <v>1547.52</v>
      </c>
      <c r="I375" s="17" t="n">
        <f aca="false">E375*Desain_Kolam!$B$9/1000</f>
        <v>852.9393</v>
      </c>
      <c r="J375" s="17" t="n">
        <f aca="false">F375+G375-H375-I375</f>
        <v>-127.1718</v>
      </c>
      <c r="K375" s="17" t="n">
        <f aca="false">K374+J375</f>
        <v>23750.44815</v>
      </c>
      <c r="L375" s="17" t="n">
        <f aca="false">MAX(L374,K375)</f>
        <v>23877.61995</v>
      </c>
      <c r="M375" s="17" t="n">
        <f aca="false">L375-K375</f>
        <v>127.1718</v>
      </c>
      <c r="N375" s="17" t="n">
        <f aca="false">MIN(Desain_Kolam!$B$21,MAX(0,N374+F375+G375-H375-I375))</f>
        <v>15696.394875</v>
      </c>
      <c r="O375" s="6" t="n">
        <f aca="false">IF(N374+F375+G375-I375&gt;=H375,1,0)</f>
        <v>1</v>
      </c>
    </row>
    <row r="376" customFormat="false" ht="15" hidden="false" customHeight="false" outlineLevel="0" collapsed="false">
      <c r="A376" s="6" t="n">
        <v>2013</v>
      </c>
      <c r="B376" s="6" t="n">
        <v>9</v>
      </c>
      <c r="C376" s="4" t="n">
        <v>129</v>
      </c>
      <c r="D376" s="6" t="n">
        <v>30</v>
      </c>
      <c r="E376" s="4" t="n">
        <f aca="false">INDEX(Evaporasi!$B$5:$B$16,MATCH(B376,Evaporasi!$A$5:$A$16,0))</f>
        <v>159.21</v>
      </c>
      <c r="F376" s="17" t="n">
        <f aca="false">Kawasan!$B$11*Kawasan!$B$9*C376/1000</f>
        <v>1073.28</v>
      </c>
      <c r="G376" s="17" t="n">
        <f aca="false">C376*Desain_Kolam!$B$9/1000</f>
        <v>682.7325</v>
      </c>
      <c r="H376" s="17" t="n">
        <f aca="false">Kawasan!$B$28*D376</f>
        <v>1497.6</v>
      </c>
      <c r="I376" s="17" t="n">
        <f aca="false">E376*Desain_Kolam!$B$9/1000</f>
        <v>842.618925</v>
      </c>
      <c r="J376" s="17" t="n">
        <f aca="false">F376+G376-H376-I376</f>
        <v>-584.206425</v>
      </c>
      <c r="K376" s="17" t="n">
        <f aca="false">K375+J376</f>
        <v>23166.241725</v>
      </c>
      <c r="L376" s="17" t="n">
        <f aca="false">MAX(L375,K376)</f>
        <v>23877.61995</v>
      </c>
      <c r="M376" s="17" t="n">
        <f aca="false">L376-K376</f>
        <v>711.378225</v>
      </c>
      <c r="N376" s="17" t="n">
        <f aca="false">MIN(Desain_Kolam!$B$21,MAX(0,N375+F376+G376-H376-I376))</f>
        <v>15112.18845</v>
      </c>
      <c r="O376" s="6" t="n">
        <f aca="false">IF(N375+F376+G376-I376&gt;=H376,1,0)</f>
        <v>1</v>
      </c>
    </row>
    <row r="377" customFormat="false" ht="15" hidden="false" customHeight="false" outlineLevel="0" collapsed="false">
      <c r="A377" s="6" t="n">
        <v>2013</v>
      </c>
      <c r="B377" s="6" t="n">
        <v>10</v>
      </c>
      <c r="C377" s="4" t="n">
        <v>151</v>
      </c>
      <c r="D377" s="6" t="n">
        <v>31</v>
      </c>
      <c r="E377" s="4" t="n">
        <f aca="false">INDEX(Evaporasi!$B$5:$B$16,MATCH(B377,Evaporasi!$A$5:$A$16,0))</f>
        <v>151.5</v>
      </c>
      <c r="F377" s="17" t="n">
        <f aca="false">Kawasan!$B$11*Kawasan!$B$9*C377/1000</f>
        <v>1256.32</v>
      </c>
      <c r="G377" s="17" t="n">
        <f aca="false">C377*Desain_Kolam!$B$9/1000</f>
        <v>799.1675</v>
      </c>
      <c r="H377" s="17" t="n">
        <f aca="false">Kawasan!$B$28*D377</f>
        <v>1547.52</v>
      </c>
      <c r="I377" s="17" t="n">
        <f aca="false">E377*Desain_Kolam!$B$9/1000</f>
        <v>801.81375</v>
      </c>
      <c r="J377" s="17" t="n">
        <f aca="false">F377+G377-H377-I377</f>
        <v>-293.84625</v>
      </c>
      <c r="K377" s="17" t="n">
        <f aca="false">K376+J377</f>
        <v>22872.395475</v>
      </c>
      <c r="L377" s="17" t="n">
        <f aca="false">MAX(L376,K377)</f>
        <v>23877.61995</v>
      </c>
      <c r="M377" s="17" t="n">
        <f aca="false">L377-K377</f>
        <v>1005.224475</v>
      </c>
      <c r="N377" s="17" t="n">
        <f aca="false">MIN(Desain_Kolam!$B$21,MAX(0,N376+F377+G377-H377-I377))</f>
        <v>14818.3422</v>
      </c>
      <c r="O377" s="6" t="n">
        <f aca="false">IF(N376+F377+G377-I377&gt;=H377,1,0)</f>
        <v>1</v>
      </c>
    </row>
    <row r="378" customFormat="false" ht="15" hidden="false" customHeight="false" outlineLevel="0" collapsed="false">
      <c r="A378" s="6" t="n">
        <v>2013</v>
      </c>
      <c r="B378" s="6" t="n">
        <v>11</v>
      </c>
      <c r="C378" s="4" t="n">
        <v>280</v>
      </c>
      <c r="D378" s="6" t="n">
        <v>30</v>
      </c>
      <c r="E378" s="4" t="n">
        <f aca="false">INDEX(Evaporasi!$B$5:$B$16,MATCH(B378,Evaporasi!$A$5:$A$16,0))</f>
        <v>142.3</v>
      </c>
      <c r="F378" s="17" t="n">
        <f aca="false">Kawasan!$B$11*Kawasan!$B$9*C378/1000</f>
        <v>2329.6</v>
      </c>
      <c r="G378" s="17" t="n">
        <f aca="false">C378*Desain_Kolam!$B$9/1000</f>
        <v>1481.9</v>
      </c>
      <c r="H378" s="17" t="n">
        <f aca="false">Kawasan!$B$28*D378</f>
        <v>1497.6</v>
      </c>
      <c r="I378" s="17" t="n">
        <f aca="false">E378*Desain_Kolam!$B$9/1000</f>
        <v>753.12275</v>
      </c>
      <c r="J378" s="17" t="n">
        <f aca="false">F378+G378-H378-I378</f>
        <v>1560.77725</v>
      </c>
      <c r="K378" s="17" t="n">
        <f aca="false">K377+J378</f>
        <v>24433.172725</v>
      </c>
      <c r="L378" s="17" t="n">
        <f aca="false">MAX(L377,K378)</f>
        <v>24433.172725</v>
      </c>
      <c r="M378" s="17" t="n">
        <f aca="false">L378-K378</f>
        <v>0</v>
      </c>
      <c r="N378" s="17" t="n">
        <f aca="false">MIN(Desain_Kolam!$B$21,MAX(0,N377+F378+G378-H378-I378))</f>
        <v>15823.566675</v>
      </c>
      <c r="O378" s="6" t="n">
        <f aca="false">IF(N377+F378+G378-I378&gt;=H378,1,0)</f>
        <v>1</v>
      </c>
    </row>
    <row r="379" customFormat="false" ht="15" hidden="false" customHeight="false" outlineLevel="0" collapsed="false">
      <c r="A379" s="6" t="n">
        <v>2013</v>
      </c>
      <c r="B379" s="6" t="n">
        <v>12</v>
      </c>
      <c r="C379" s="4" t="n">
        <v>280</v>
      </c>
      <c r="D379" s="6" t="n">
        <v>31</v>
      </c>
      <c r="E379" s="4" t="n">
        <f aca="false">INDEX(Evaporasi!$B$5:$B$16,MATCH(B379,Evaporasi!$A$5:$A$16,0))</f>
        <v>145.07</v>
      </c>
      <c r="F379" s="17" t="n">
        <f aca="false">Kawasan!$B$11*Kawasan!$B$9*C379/1000</f>
        <v>2329.6</v>
      </c>
      <c r="G379" s="17" t="n">
        <f aca="false">C379*Desain_Kolam!$B$9/1000</f>
        <v>1481.9</v>
      </c>
      <c r="H379" s="17" t="n">
        <f aca="false">Kawasan!$B$28*D379</f>
        <v>1547.52</v>
      </c>
      <c r="I379" s="17" t="n">
        <f aca="false">E379*Desain_Kolam!$B$9/1000</f>
        <v>767.782975</v>
      </c>
      <c r="J379" s="17" t="n">
        <f aca="false">F379+G379-H379-I379</f>
        <v>1496.197025</v>
      </c>
      <c r="K379" s="17" t="n">
        <f aca="false">K378+J379</f>
        <v>25929.36975</v>
      </c>
      <c r="L379" s="17" t="n">
        <f aca="false">MAX(L378,K379)</f>
        <v>25929.36975</v>
      </c>
      <c r="M379" s="17" t="n">
        <f aca="false">L379-K379</f>
        <v>0</v>
      </c>
      <c r="N379" s="17" t="n">
        <f aca="false">MIN(Desain_Kolam!$B$21,MAX(0,N378+F379+G379-H379-I379))</f>
        <v>15823.566675</v>
      </c>
      <c r="O379" s="6" t="n">
        <f aca="false">IF(N378+F379+G379-I379&gt;=H379,1,0)</f>
        <v>1</v>
      </c>
    </row>
    <row r="380" customFormat="false" ht="15" hidden="false" customHeight="false" outlineLevel="0" collapsed="false">
      <c r="A380" s="6" t="n">
        <v>2014</v>
      </c>
      <c r="B380" s="6" t="n">
        <v>1</v>
      </c>
      <c r="C380" s="4" t="n">
        <v>66</v>
      </c>
      <c r="D380" s="6" t="n">
        <v>31</v>
      </c>
      <c r="E380" s="4" t="n">
        <f aca="false">INDEX(Evaporasi!$B$5:$B$16,MATCH(B380,Evaporasi!$A$5:$A$16,0))</f>
        <v>149.98</v>
      </c>
      <c r="F380" s="17" t="n">
        <f aca="false">Kawasan!$B$11*Kawasan!$B$9*C380/1000</f>
        <v>549.12</v>
      </c>
      <c r="G380" s="17" t="n">
        <f aca="false">C380*Desain_Kolam!$B$9/1000</f>
        <v>349.305</v>
      </c>
      <c r="H380" s="17" t="n">
        <f aca="false">Kawasan!$B$28*D380</f>
        <v>1547.52</v>
      </c>
      <c r="I380" s="17" t="n">
        <f aca="false">E380*Desain_Kolam!$B$9/1000</f>
        <v>793.76915</v>
      </c>
      <c r="J380" s="17" t="n">
        <f aca="false">F380+G380-H380-I380</f>
        <v>-1442.86415</v>
      </c>
      <c r="K380" s="17" t="n">
        <f aca="false">K379+J380</f>
        <v>24486.5056</v>
      </c>
      <c r="L380" s="17" t="n">
        <f aca="false">MAX(L379,K380)</f>
        <v>25929.36975</v>
      </c>
      <c r="M380" s="17" t="n">
        <f aca="false">L380-K380</f>
        <v>1442.86415</v>
      </c>
      <c r="N380" s="17" t="n">
        <f aca="false">MIN(Desain_Kolam!$B$21,MAX(0,N379+F380+G380-H380-I380))</f>
        <v>14380.702525</v>
      </c>
      <c r="O380" s="6" t="n">
        <f aca="false">IF(N379+F380+G380-I380&gt;=H380,1,0)</f>
        <v>1</v>
      </c>
    </row>
    <row r="381" customFormat="false" ht="15" hidden="false" customHeight="false" outlineLevel="0" collapsed="false">
      <c r="A381" s="6" t="n">
        <v>2014</v>
      </c>
      <c r="B381" s="6" t="n">
        <v>2</v>
      </c>
      <c r="C381" s="4" t="n">
        <v>24</v>
      </c>
      <c r="D381" s="6" t="n">
        <v>28</v>
      </c>
      <c r="E381" s="4" t="n">
        <f aca="false">INDEX(Evaporasi!$B$5:$B$16,MATCH(B381,Evaporasi!$A$5:$A$16,0))</f>
        <v>148.64</v>
      </c>
      <c r="F381" s="17" t="n">
        <f aca="false">Kawasan!$B$11*Kawasan!$B$9*C381/1000</f>
        <v>199.68</v>
      </c>
      <c r="G381" s="17" t="n">
        <f aca="false">C381*Desain_Kolam!$B$9/1000</f>
        <v>127.02</v>
      </c>
      <c r="H381" s="17" t="n">
        <f aca="false">Kawasan!$B$28*D381</f>
        <v>1397.76</v>
      </c>
      <c r="I381" s="17" t="n">
        <f aca="false">E381*Desain_Kolam!$B$9/1000</f>
        <v>786.6772</v>
      </c>
      <c r="J381" s="17" t="n">
        <f aca="false">F381+G381-H381-I381</f>
        <v>-1857.7372</v>
      </c>
      <c r="K381" s="17" t="n">
        <f aca="false">K380+J381</f>
        <v>22628.7684</v>
      </c>
      <c r="L381" s="17" t="n">
        <f aca="false">MAX(L380,K381)</f>
        <v>25929.36975</v>
      </c>
      <c r="M381" s="17" t="n">
        <f aca="false">L381-K381</f>
        <v>3300.60135</v>
      </c>
      <c r="N381" s="17" t="n">
        <f aca="false">MIN(Desain_Kolam!$B$21,MAX(0,N380+F381+G381-H381-I381))</f>
        <v>12522.965325</v>
      </c>
      <c r="O381" s="6" t="n">
        <f aca="false">IF(N380+F381+G381-I381&gt;=H381,1,0)</f>
        <v>1</v>
      </c>
    </row>
    <row r="382" customFormat="false" ht="15" hidden="false" customHeight="false" outlineLevel="0" collapsed="false">
      <c r="A382" s="6" t="n">
        <v>2014</v>
      </c>
      <c r="B382" s="6" t="n">
        <v>3</v>
      </c>
      <c r="C382" s="4" t="n">
        <v>141</v>
      </c>
      <c r="D382" s="6" t="n">
        <v>31</v>
      </c>
      <c r="E382" s="4" t="n">
        <f aca="false">INDEX(Evaporasi!$B$5:$B$16,MATCH(B382,Evaporasi!$A$5:$A$16,0))</f>
        <v>166.18</v>
      </c>
      <c r="F382" s="17" t="n">
        <f aca="false">Kawasan!$B$11*Kawasan!$B$9*C382/1000</f>
        <v>1173.12</v>
      </c>
      <c r="G382" s="17" t="n">
        <f aca="false">C382*Desain_Kolam!$B$9/1000</f>
        <v>746.2425</v>
      </c>
      <c r="H382" s="17" t="n">
        <f aca="false">Kawasan!$B$28*D382</f>
        <v>1547.52</v>
      </c>
      <c r="I382" s="17" t="n">
        <f aca="false">E382*Desain_Kolam!$B$9/1000</f>
        <v>879.50765</v>
      </c>
      <c r="J382" s="17" t="n">
        <f aca="false">F382+G382-H382-I382</f>
        <v>-507.66515</v>
      </c>
      <c r="K382" s="17" t="n">
        <f aca="false">K381+J382</f>
        <v>22121.10325</v>
      </c>
      <c r="L382" s="17" t="n">
        <f aca="false">MAX(L381,K382)</f>
        <v>25929.36975</v>
      </c>
      <c r="M382" s="17" t="n">
        <f aca="false">L382-K382</f>
        <v>3808.2665</v>
      </c>
      <c r="N382" s="17" t="n">
        <f aca="false">MIN(Desain_Kolam!$B$21,MAX(0,N381+F382+G382-H382-I382))</f>
        <v>12015.300175</v>
      </c>
      <c r="O382" s="6" t="n">
        <f aca="false">IF(N381+F382+G382-I382&gt;=H382,1,0)</f>
        <v>1</v>
      </c>
    </row>
    <row r="383" customFormat="false" ht="15" hidden="false" customHeight="false" outlineLevel="0" collapsed="false">
      <c r="A383" s="6" t="n">
        <v>2014</v>
      </c>
      <c r="B383" s="6" t="n">
        <v>4</v>
      </c>
      <c r="C383" s="4" t="n">
        <v>129</v>
      </c>
      <c r="D383" s="6" t="n">
        <v>30</v>
      </c>
      <c r="E383" s="4" t="n">
        <f aca="false">INDEX(Evaporasi!$B$5:$B$16,MATCH(B383,Evaporasi!$A$5:$A$16,0))</f>
        <v>157.75</v>
      </c>
      <c r="F383" s="17" t="n">
        <f aca="false">Kawasan!$B$11*Kawasan!$B$9*C383/1000</f>
        <v>1073.28</v>
      </c>
      <c r="G383" s="17" t="n">
        <f aca="false">C383*Desain_Kolam!$B$9/1000</f>
        <v>682.7325</v>
      </c>
      <c r="H383" s="17" t="n">
        <f aca="false">Kawasan!$B$28*D383</f>
        <v>1497.6</v>
      </c>
      <c r="I383" s="17" t="n">
        <f aca="false">E383*Desain_Kolam!$B$9/1000</f>
        <v>834.891875</v>
      </c>
      <c r="J383" s="17" t="n">
        <f aca="false">F383+G383-H383-I383</f>
        <v>-576.479375</v>
      </c>
      <c r="K383" s="17" t="n">
        <f aca="false">K382+J383</f>
        <v>21544.623875</v>
      </c>
      <c r="L383" s="17" t="n">
        <f aca="false">MAX(L382,K383)</f>
        <v>25929.36975</v>
      </c>
      <c r="M383" s="17" t="n">
        <f aca="false">L383-K383</f>
        <v>4384.745875</v>
      </c>
      <c r="N383" s="17" t="n">
        <f aca="false">MIN(Desain_Kolam!$B$21,MAX(0,N382+F383+G383-H383-I383))</f>
        <v>11438.8208</v>
      </c>
      <c r="O383" s="6" t="n">
        <f aca="false">IF(N382+F383+G383-I383&gt;=H383,1,0)</f>
        <v>1</v>
      </c>
    </row>
    <row r="384" customFormat="false" ht="15" hidden="false" customHeight="false" outlineLevel="0" collapsed="false">
      <c r="A384" s="6" t="n">
        <v>2014</v>
      </c>
      <c r="B384" s="6" t="n">
        <v>5</v>
      </c>
      <c r="C384" s="4" t="n">
        <v>279</v>
      </c>
      <c r="D384" s="6" t="n">
        <v>31</v>
      </c>
      <c r="E384" s="4" t="n">
        <f aca="false">INDEX(Evaporasi!$B$5:$B$16,MATCH(B384,Evaporasi!$A$5:$A$16,0))</f>
        <v>158.35</v>
      </c>
      <c r="F384" s="17" t="n">
        <f aca="false">Kawasan!$B$11*Kawasan!$B$9*C384/1000</f>
        <v>2321.28</v>
      </c>
      <c r="G384" s="17" t="n">
        <f aca="false">C384*Desain_Kolam!$B$9/1000</f>
        <v>1476.6075</v>
      </c>
      <c r="H384" s="17" t="n">
        <f aca="false">Kawasan!$B$28*D384</f>
        <v>1547.52</v>
      </c>
      <c r="I384" s="17" t="n">
        <f aca="false">E384*Desain_Kolam!$B$9/1000</f>
        <v>838.067375</v>
      </c>
      <c r="J384" s="17" t="n">
        <f aca="false">F384+G384-H384-I384</f>
        <v>1412.300125</v>
      </c>
      <c r="K384" s="17" t="n">
        <f aca="false">K383+J384</f>
        <v>22956.924</v>
      </c>
      <c r="L384" s="17" t="n">
        <f aca="false">MAX(L383,K384)</f>
        <v>25929.36975</v>
      </c>
      <c r="M384" s="17" t="n">
        <f aca="false">L384-K384</f>
        <v>2972.44575</v>
      </c>
      <c r="N384" s="17" t="n">
        <f aca="false">MIN(Desain_Kolam!$B$21,MAX(0,N383+F384+G384-H384-I384))</f>
        <v>12851.120925</v>
      </c>
      <c r="O384" s="6" t="n">
        <f aca="false">IF(N383+F384+G384-I384&gt;=H384,1,0)</f>
        <v>1</v>
      </c>
    </row>
    <row r="385" customFormat="false" ht="15" hidden="false" customHeight="false" outlineLevel="0" collapsed="false">
      <c r="A385" s="6" t="n">
        <v>2014</v>
      </c>
      <c r="B385" s="6" t="n">
        <v>6</v>
      </c>
      <c r="C385" s="4" t="n">
        <v>231</v>
      </c>
      <c r="D385" s="6" t="n">
        <v>30</v>
      </c>
      <c r="E385" s="4" t="n">
        <f aca="false">INDEX(Evaporasi!$B$5:$B$16,MATCH(B385,Evaporasi!$A$5:$A$16,0))</f>
        <v>150.17</v>
      </c>
      <c r="F385" s="17" t="n">
        <f aca="false">Kawasan!$B$11*Kawasan!$B$9*C385/1000</f>
        <v>1921.92</v>
      </c>
      <c r="G385" s="17" t="n">
        <f aca="false">C385*Desain_Kolam!$B$9/1000</f>
        <v>1222.5675</v>
      </c>
      <c r="H385" s="17" t="n">
        <f aca="false">Kawasan!$B$28*D385</f>
        <v>1497.6</v>
      </c>
      <c r="I385" s="17" t="n">
        <f aca="false">E385*Desain_Kolam!$B$9/1000</f>
        <v>794.774725</v>
      </c>
      <c r="J385" s="17" t="n">
        <f aca="false">F385+G385-H385-I385</f>
        <v>852.112775</v>
      </c>
      <c r="K385" s="17" t="n">
        <f aca="false">K384+J385</f>
        <v>23809.036775</v>
      </c>
      <c r="L385" s="17" t="n">
        <f aca="false">MAX(L384,K385)</f>
        <v>25929.36975</v>
      </c>
      <c r="M385" s="17" t="n">
        <f aca="false">L385-K385</f>
        <v>2120.332975</v>
      </c>
      <c r="N385" s="17" t="n">
        <f aca="false">MIN(Desain_Kolam!$B$21,MAX(0,N384+F385+G385-H385-I385))</f>
        <v>13703.2337</v>
      </c>
      <c r="O385" s="6" t="n">
        <f aca="false">IF(N384+F385+G385-I385&gt;=H385,1,0)</f>
        <v>1</v>
      </c>
    </row>
    <row r="386" customFormat="false" ht="15" hidden="false" customHeight="false" outlineLevel="0" collapsed="false">
      <c r="A386" s="6" t="n">
        <v>2014</v>
      </c>
      <c r="B386" s="6" t="n">
        <v>7</v>
      </c>
      <c r="C386" s="4" t="n">
        <v>93</v>
      </c>
      <c r="D386" s="6" t="n">
        <v>31</v>
      </c>
      <c r="E386" s="4" t="n">
        <f aca="false">INDEX(Evaporasi!$B$5:$B$16,MATCH(B386,Evaporasi!$A$5:$A$16,0))</f>
        <v>160.84</v>
      </c>
      <c r="F386" s="17" t="n">
        <f aca="false">Kawasan!$B$11*Kawasan!$B$9*C386/1000</f>
        <v>773.76</v>
      </c>
      <c r="G386" s="17" t="n">
        <f aca="false">C386*Desain_Kolam!$B$9/1000</f>
        <v>492.2025</v>
      </c>
      <c r="H386" s="17" t="n">
        <f aca="false">Kawasan!$B$28*D386</f>
        <v>1547.52</v>
      </c>
      <c r="I386" s="17" t="n">
        <f aca="false">E386*Desain_Kolam!$B$9/1000</f>
        <v>851.2457</v>
      </c>
      <c r="J386" s="17" t="n">
        <f aca="false">F386+G386-H386-I386</f>
        <v>-1132.8032</v>
      </c>
      <c r="K386" s="17" t="n">
        <f aca="false">K385+J386</f>
        <v>22676.233575</v>
      </c>
      <c r="L386" s="17" t="n">
        <f aca="false">MAX(L385,K386)</f>
        <v>25929.36975</v>
      </c>
      <c r="M386" s="17" t="n">
        <f aca="false">L386-K386</f>
        <v>3253.136175</v>
      </c>
      <c r="N386" s="17" t="n">
        <f aca="false">MIN(Desain_Kolam!$B$21,MAX(0,N385+F386+G386-H386-I386))</f>
        <v>12570.4305</v>
      </c>
      <c r="O386" s="6" t="n">
        <f aca="false">IF(N385+F386+G386-I386&gt;=H386,1,0)</f>
        <v>1</v>
      </c>
    </row>
    <row r="387" customFormat="false" ht="15" hidden="false" customHeight="false" outlineLevel="0" collapsed="false">
      <c r="A387" s="6" t="n">
        <v>2014</v>
      </c>
      <c r="B387" s="6" t="n">
        <v>8</v>
      </c>
      <c r="C387" s="4" t="n">
        <v>303</v>
      </c>
      <c r="D387" s="6" t="n">
        <v>31</v>
      </c>
      <c r="E387" s="4" t="n">
        <f aca="false">INDEX(Evaporasi!$B$5:$B$16,MATCH(B387,Evaporasi!$A$5:$A$16,0))</f>
        <v>161.16</v>
      </c>
      <c r="F387" s="17" t="n">
        <f aca="false">Kawasan!$B$11*Kawasan!$B$9*C387/1000</f>
        <v>2520.96</v>
      </c>
      <c r="G387" s="17" t="n">
        <f aca="false">C387*Desain_Kolam!$B$9/1000</f>
        <v>1603.6275</v>
      </c>
      <c r="H387" s="17" t="n">
        <f aca="false">Kawasan!$B$28*D387</f>
        <v>1547.52</v>
      </c>
      <c r="I387" s="17" t="n">
        <f aca="false">E387*Desain_Kolam!$B$9/1000</f>
        <v>852.9393</v>
      </c>
      <c r="J387" s="17" t="n">
        <f aca="false">F387+G387-H387-I387</f>
        <v>1724.1282</v>
      </c>
      <c r="K387" s="17" t="n">
        <f aca="false">K386+J387</f>
        <v>24400.361775</v>
      </c>
      <c r="L387" s="17" t="n">
        <f aca="false">MAX(L386,K387)</f>
        <v>25929.36975</v>
      </c>
      <c r="M387" s="17" t="n">
        <f aca="false">L387-K387</f>
        <v>1529.007975</v>
      </c>
      <c r="N387" s="17" t="n">
        <f aca="false">MIN(Desain_Kolam!$B$21,MAX(0,N386+F387+G387-H387-I387))</f>
        <v>14294.5587</v>
      </c>
      <c r="O387" s="6" t="n">
        <f aca="false">IF(N386+F387+G387-I387&gt;=H387,1,0)</f>
        <v>1</v>
      </c>
    </row>
    <row r="388" customFormat="false" ht="15" hidden="false" customHeight="false" outlineLevel="0" collapsed="false">
      <c r="A388" s="6" t="n">
        <v>2014</v>
      </c>
      <c r="B388" s="6" t="n">
        <v>9</v>
      </c>
      <c r="C388" s="4" t="n">
        <v>156</v>
      </c>
      <c r="D388" s="6" t="n">
        <v>30</v>
      </c>
      <c r="E388" s="4" t="n">
        <f aca="false">INDEX(Evaporasi!$B$5:$B$16,MATCH(B388,Evaporasi!$A$5:$A$16,0))</f>
        <v>159.21</v>
      </c>
      <c r="F388" s="17" t="n">
        <f aca="false">Kawasan!$B$11*Kawasan!$B$9*C388/1000</f>
        <v>1297.92</v>
      </c>
      <c r="G388" s="17" t="n">
        <f aca="false">C388*Desain_Kolam!$B$9/1000</f>
        <v>825.63</v>
      </c>
      <c r="H388" s="17" t="n">
        <f aca="false">Kawasan!$B$28*D388</f>
        <v>1497.6</v>
      </c>
      <c r="I388" s="17" t="n">
        <f aca="false">E388*Desain_Kolam!$B$9/1000</f>
        <v>842.618925</v>
      </c>
      <c r="J388" s="17" t="n">
        <f aca="false">F388+G388-H388-I388</f>
        <v>-216.668925</v>
      </c>
      <c r="K388" s="17" t="n">
        <f aca="false">K387+J388</f>
        <v>24183.69285</v>
      </c>
      <c r="L388" s="17" t="n">
        <f aca="false">MAX(L387,K388)</f>
        <v>25929.36975</v>
      </c>
      <c r="M388" s="17" t="n">
        <f aca="false">L388-K388</f>
        <v>1745.6769</v>
      </c>
      <c r="N388" s="17" t="n">
        <f aca="false">MIN(Desain_Kolam!$B$21,MAX(0,N387+F388+G388-H388-I388))</f>
        <v>14077.889775</v>
      </c>
      <c r="O388" s="6" t="n">
        <f aca="false">IF(N387+F388+G388-I388&gt;=H388,1,0)</f>
        <v>1</v>
      </c>
    </row>
    <row r="389" customFormat="false" ht="15" hidden="false" customHeight="false" outlineLevel="0" collapsed="false">
      <c r="A389" s="6" t="n">
        <v>2014</v>
      </c>
      <c r="B389" s="6" t="n">
        <v>10</v>
      </c>
      <c r="C389" s="4" t="n">
        <v>226</v>
      </c>
      <c r="D389" s="6" t="n">
        <v>31</v>
      </c>
      <c r="E389" s="4" t="n">
        <f aca="false">INDEX(Evaporasi!$B$5:$B$16,MATCH(B389,Evaporasi!$A$5:$A$16,0))</f>
        <v>151.5</v>
      </c>
      <c r="F389" s="17" t="n">
        <f aca="false">Kawasan!$B$11*Kawasan!$B$9*C389/1000</f>
        <v>1880.32</v>
      </c>
      <c r="G389" s="17" t="n">
        <f aca="false">C389*Desain_Kolam!$B$9/1000</f>
        <v>1196.105</v>
      </c>
      <c r="H389" s="17" t="n">
        <f aca="false">Kawasan!$B$28*D389</f>
        <v>1547.52</v>
      </c>
      <c r="I389" s="17" t="n">
        <f aca="false">E389*Desain_Kolam!$B$9/1000</f>
        <v>801.81375</v>
      </c>
      <c r="J389" s="17" t="n">
        <f aca="false">F389+G389-H389-I389</f>
        <v>727.09125</v>
      </c>
      <c r="K389" s="17" t="n">
        <f aca="false">K388+J389</f>
        <v>24910.7841</v>
      </c>
      <c r="L389" s="17" t="n">
        <f aca="false">MAX(L388,K389)</f>
        <v>25929.36975</v>
      </c>
      <c r="M389" s="17" t="n">
        <f aca="false">L389-K389</f>
        <v>1018.58565</v>
      </c>
      <c r="N389" s="17" t="n">
        <f aca="false">MIN(Desain_Kolam!$B$21,MAX(0,N388+F389+G389-H389-I389))</f>
        <v>14804.981025</v>
      </c>
      <c r="O389" s="6" t="n">
        <f aca="false">IF(N388+F389+G389-I389&gt;=H389,1,0)</f>
        <v>1</v>
      </c>
    </row>
    <row r="390" customFormat="false" ht="15" hidden="false" customHeight="false" outlineLevel="0" collapsed="false">
      <c r="A390" s="6" t="n">
        <v>2014</v>
      </c>
      <c r="B390" s="6" t="n">
        <v>11</v>
      </c>
      <c r="C390" s="4" t="n">
        <v>290</v>
      </c>
      <c r="D390" s="6" t="n">
        <v>30</v>
      </c>
      <c r="E390" s="4" t="n">
        <f aca="false">INDEX(Evaporasi!$B$5:$B$16,MATCH(B390,Evaporasi!$A$5:$A$16,0))</f>
        <v>142.3</v>
      </c>
      <c r="F390" s="17" t="n">
        <f aca="false">Kawasan!$B$11*Kawasan!$B$9*C390/1000</f>
        <v>2412.8</v>
      </c>
      <c r="G390" s="17" t="n">
        <f aca="false">C390*Desain_Kolam!$B$9/1000</f>
        <v>1534.825</v>
      </c>
      <c r="H390" s="17" t="n">
        <f aca="false">Kawasan!$B$28*D390</f>
        <v>1497.6</v>
      </c>
      <c r="I390" s="17" t="n">
        <f aca="false">E390*Desain_Kolam!$B$9/1000</f>
        <v>753.12275</v>
      </c>
      <c r="J390" s="17" t="n">
        <f aca="false">F390+G390-H390-I390</f>
        <v>1696.90225</v>
      </c>
      <c r="K390" s="17" t="n">
        <f aca="false">K389+J390</f>
        <v>26607.68635</v>
      </c>
      <c r="L390" s="17" t="n">
        <f aca="false">MAX(L389,K390)</f>
        <v>26607.68635</v>
      </c>
      <c r="M390" s="17" t="n">
        <f aca="false">L390-K390</f>
        <v>0</v>
      </c>
      <c r="N390" s="17" t="n">
        <f aca="false">MIN(Desain_Kolam!$B$21,MAX(0,N389+F390+G390-H390-I390))</f>
        <v>15823.566675</v>
      </c>
      <c r="O390" s="6" t="n">
        <f aca="false">IF(N389+F390+G390-I390&gt;=H390,1,0)</f>
        <v>1</v>
      </c>
    </row>
    <row r="391" customFormat="false" ht="15" hidden="false" customHeight="false" outlineLevel="0" collapsed="false">
      <c r="A391" s="6" t="n">
        <v>2014</v>
      </c>
      <c r="B391" s="6" t="n">
        <v>12</v>
      </c>
      <c r="C391" s="4" t="n">
        <v>448</v>
      </c>
      <c r="D391" s="6" t="n">
        <v>31</v>
      </c>
      <c r="E391" s="4" t="n">
        <f aca="false">INDEX(Evaporasi!$B$5:$B$16,MATCH(B391,Evaporasi!$A$5:$A$16,0))</f>
        <v>145.07</v>
      </c>
      <c r="F391" s="17" t="n">
        <f aca="false">Kawasan!$B$11*Kawasan!$B$9*C391/1000</f>
        <v>3727.36</v>
      </c>
      <c r="G391" s="17" t="n">
        <f aca="false">C391*Desain_Kolam!$B$9/1000</f>
        <v>2371.04</v>
      </c>
      <c r="H391" s="17" t="n">
        <f aca="false">Kawasan!$B$28*D391</f>
        <v>1547.52</v>
      </c>
      <c r="I391" s="17" t="n">
        <f aca="false">E391*Desain_Kolam!$B$9/1000</f>
        <v>767.782975</v>
      </c>
      <c r="J391" s="17" t="n">
        <f aca="false">F391+G391-H391-I391</f>
        <v>3783.097025</v>
      </c>
      <c r="K391" s="17" t="n">
        <f aca="false">K390+J391</f>
        <v>30390.783375</v>
      </c>
      <c r="L391" s="17" t="n">
        <f aca="false">MAX(L390,K391)</f>
        <v>30390.783375</v>
      </c>
      <c r="M391" s="17" t="n">
        <f aca="false">L391-K391</f>
        <v>0</v>
      </c>
      <c r="N391" s="17" t="n">
        <f aca="false">MIN(Desain_Kolam!$B$21,MAX(0,N390+F391+G391-H391-I391))</f>
        <v>15823.566675</v>
      </c>
      <c r="O391" s="6" t="n">
        <f aca="false">IF(N390+F391+G391-I391&gt;=H391,1,0)</f>
        <v>1</v>
      </c>
    </row>
    <row r="392" customFormat="false" ht="15" hidden="false" customHeight="false" outlineLevel="0" collapsed="false">
      <c r="A392" s="6" t="n">
        <v>2015</v>
      </c>
      <c r="B392" s="6" t="n">
        <v>1</v>
      </c>
      <c r="C392" s="4" t="n">
        <v>266</v>
      </c>
      <c r="D392" s="6" t="n">
        <v>31</v>
      </c>
      <c r="E392" s="4" t="n">
        <f aca="false">INDEX(Evaporasi!$B$5:$B$16,MATCH(B392,Evaporasi!$A$5:$A$16,0))</f>
        <v>149.98</v>
      </c>
      <c r="F392" s="17" t="n">
        <f aca="false">Kawasan!$B$11*Kawasan!$B$9*C392/1000</f>
        <v>2213.12</v>
      </c>
      <c r="G392" s="17" t="n">
        <f aca="false">C392*Desain_Kolam!$B$9/1000</f>
        <v>1407.805</v>
      </c>
      <c r="H392" s="17" t="n">
        <f aca="false">Kawasan!$B$28*D392</f>
        <v>1547.52</v>
      </c>
      <c r="I392" s="17" t="n">
        <f aca="false">E392*Desain_Kolam!$B$9/1000</f>
        <v>793.76915</v>
      </c>
      <c r="J392" s="17" t="n">
        <f aca="false">F392+G392-H392-I392</f>
        <v>1279.63585</v>
      </c>
      <c r="K392" s="17" t="n">
        <f aca="false">K391+J392</f>
        <v>31670.419225</v>
      </c>
      <c r="L392" s="17" t="n">
        <f aca="false">MAX(L391,K392)</f>
        <v>31670.419225</v>
      </c>
      <c r="M392" s="17" t="n">
        <f aca="false">L392-K392</f>
        <v>0</v>
      </c>
      <c r="N392" s="17" t="n">
        <f aca="false">MIN(Desain_Kolam!$B$21,MAX(0,N391+F392+G392-H392-I392))</f>
        <v>15823.566675</v>
      </c>
      <c r="O392" s="6" t="n">
        <f aca="false">IF(N391+F392+G392-I392&gt;=H392,1,0)</f>
        <v>1</v>
      </c>
    </row>
    <row r="393" customFormat="false" ht="15" hidden="false" customHeight="false" outlineLevel="0" collapsed="false">
      <c r="A393" s="6" t="n">
        <v>2015</v>
      </c>
      <c r="B393" s="6" t="n">
        <v>2</v>
      </c>
      <c r="C393" s="4" t="n">
        <v>351</v>
      </c>
      <c r="D393" s="6" t="n">
        <v>28</v>
      </c>
      <c r="E393" s="4" t="n">
        <f aca="false">INDEX(Evaporasi!$B$5:$B$16,MATCH(B393,Evaporasi!$A$5:$A$16,0))</f>
        <v>148.64</v>
      </c>
      <c r="F393" s="17" t="n">
        <f aca="false">Kawasan!$B$11*Kawasan!$B$9*C393/1000</f>
        <v>2920.32</v>
      </c>
      <c r="G393" s="17" t="n">
        <f aca="false">C393*Desain_Kolam!$B$9/1000</f>
        <v>1857.6675</v>
      </c>
      <c r="H393" s="17" t="n">
        <f aca="false">Kawasan!$B$28*D393</f>
        <v>1397.76</v>
      </c>
      <c r="I393" s="17" t="n">
        <f aca="false">E393*Desain_Kolam!$B$9/1000</f>
        <v>786.6772</v>
      </c>
      <c r="J393" s="17" t="n">
        <f aca="false">F393+G393-H393-I393</f>
        <v>2593.5503</v>
      </c>
      <c r="K393" s="17" t="n">
        <f aca="false">K392+J393</f>
        <v>34263.969525</v>
      </c>
      <c r="L393" s="17" t="n">
        <f aca="false">MAX(L392,K393)</f>
        <v>34263.969525</v>
      </c>
      <c r="M393" s="17" t="n">
        <f aca="false">L393-K393</f>
        <v>0</v>
      </c>
      <c r="N393" s="17" t="n">
        <f aca="false">MIN(Desain_Kolam!$B$21,MAX(0,N392+F393+G393-H393-I393))</f>
        <v>15823.566675</v>
      </c>
      <c r="O393" s="6" t="n">
        <f aca="false">IF(N392+F393+G393-I393&gt;=H393,1,0)</f>
        <v>1</v>
      </c>
    </row>
    <row r="394" customFormat="false" ht="15" hidden="false" customHeight="false" outlineLevel="0" collapsed="false">
      <c r="A394" s="6" t="n">
        <v>2015</v>
      </c>
      <c r="B394" s="6" t="n">
        <v>3</v>
      </c>
      <c r="C394" s="4" t="n">
        <v>222</v>
      </c>
      <c r="D394" s="6" t="n">
        <v>31</v>
      </c>
      <c r="E394" s="4" t="n">
        <f aca="false">INDEX(Evaporasi!$B$5:$B$16,MATCH(B394,Evaporasi!$A$5:$A$16,0))</f>
        <v>166.18</v>
      </c>
      <c r="F394" s="17" t="n">
        <f aca="false">Kawasan!$B$11*Kawasan!$B$9*C394/1000</f>
        <v>1847.04</v>
      </c>
      <c r="G394" s="17" t="n">
        <f aca="false">C394*Desain_Kolam!$B$9/1000</f>
        <v>1174.935</v>
      </c>
      <c r="H394" s="17" t="n">
        <f aca="false">Kawasan!$B$28*D394</f>
        <v>1547.52</v>
      </c>
      <c r="I394" s="17" t="n">
        <f aca="false">E394*Desain_Kolam!$B$9/1000</f>
        <v>879.50765</v>
      </c>
      <c r="J394" s="17" t="n">
        <f aca="false">F394+G394-H394-I394</f>
        <v>594.94735</v>
      </c>
      <c r="K394" s="17" t="n">
        <f aca="false">K393+J394</f>
        <v>34858.916875</v>
      </c>
      <c r="L394" s="17" t="n">
        <f aca="false">MAX(L393,K394)</f>
        <v>34858.916875</v>
      </c>
      <c r="M394" s="17" t="n">
        <f aca="false">L394-K394</f>
        <v>0</v>
      </c>
      <c r="N394" s="17" t="n">
        <f aca="false">MIN(Desain_Kolam!$B$21,MAX(0,N393+F394+G394-H394-I394))</f>
        <v>15823.566675</v>
      </c>
      <c r="O394" s="6" t="n">
        <f aca="false">IF(N393+F394+G394-I394&gt;=H394,1,0)</f>
        <v>1</v>
      </c>
    </row>
    <row r="395" customFormat="false" ht="15" hidden="false" customHeight="false" outlineLevel="0" collapsed="false">
      <c r="A395" s="6" t="n">
        <v>2015</v>
      </c>
      <c r="B395" s="6" t="n">
        <v>4</v>
      </c>
      <c r="C395" s="4" t="n">
        <v>202</v>
      </c>
      <c r="D395" s="6" t="n">
        <v>30</v>
      </c>
      <c r="E395" s="4" t="n">
        <f aca="false">INDEX(Evaporasi!$B$5:$B$16,MATCH(B395,Evaporasi!$A$5:$A$16,0))</f>
        <v>157.75</v>
      </c>
      <c r="F395" s="17" t="n">
        <f aca="false">Kawasan!$B$11*Kawasan!$B$9*C395/1000</f>
        <v>1680.64</v>
      </c>
      <c r="G395" s="17" t="n">
        <f aca="false">C395*Desain_Kolam!$B$9/1000</f>
        <v>1069.085</v>
      </c>
      <c r="H395" s="17" t="n">
        <f aca="false">Kawasan!$B$28*D395</f>
        <v>1497.6</v>
      </c>
      <c r="I395" s="17" t="n">
        <f aca="false">E395*Desain_Kolam!$B$9/1000</f>
        <v>834.891875</v>
      </c>
      <c r="J395" s="17" t="n">
        <f aca="false">F395+G395-H395-I395</f>
        <v>417.233125</v>
      </c>
      <c r="K395" s="17" t="n">
        <f aca="false">K394+J395</f>
        <v>35276.15</v>
      </c>
      <c r="L395" s="17" t="n">
        <f aca="false">MAX(L394,K395)</f>
        <v>35276.15</v>
      </c>
      <c r="M395" s="17" t="n">
        <f aca="false">L395-K395</f>
        <v>0</v>
      </c>
      <c r="N395" s="17" t="n">
        <f aca="false">MIN(Desain_Kolam!$B$21,MAX(0,N394+F395+G395-H395-I395))</f>
        <v>15823.566675</v>
      </c>
      <c r="O395" s="6" t="n">
        <f aca="false">IF(N394+F395+G395-I395&gt;=H395,1,0)</f>
        <v>1</v>
      </c>
    </row>
    <row r="396" customFormat="false" ht="15" hidden="false" customHeight="false" outlineLevel="0" collapsed="false">
      <c r="A396" s="6" t="n">
        <v>2015</v>
      </c>
      <c r="B396" s="6" t="n">
        <v>5</v>
      </c>
      <c r="C396" s="4" t="n">
        <v>341</v>
      </c>
      <c r="D396" s="6" t="n">
        <v>31</v>
      </c>
      <c r="E396" s="4" t="n">
        <f aca="false">INDEX(Evaporasi!$B$5:$B$16,MATCH(B396,Evaporasi!$A$5:$A$16,0))</f>
        <v>158.35</v>
      </c>
      <c r="F396" s="17" t="n">
        <f aca="false">Kawasan!$B$11*Kawasan!$B$9*C396/1000</f>
        <v>2837.12</v>
      </c>
      <c r="G396" s="17" t="n">
        <f aca="false">C396*Desain_Kolam!$B$9/1000</f>
        <v>1804.7425</v>
      </c>
      <c r="H396" s="17" t="n">
        <f aca="false">Kawasan!$B$28*D396</f>
        <v>1547.52</v>
      </c>
      <c r="I396" s="17" t="n">
        <f aca="false">E396*Desain_Kolam!$B$9/1000</f>
        <v>838.067375</v>
      </c>
      <c r="J396" s="17" t="n">
        <f aca="false">F396+G396-H396-I396</f>
        <v>2256.275125</v>
      </c>
      <c r="K396" s="17" t="n">
        <f aca="false">K395+J396</f>
        <v>37532.425125</v>
      </c>
      <c r="L396" s="17" t="n">
        <f aca="false">MAX(L395,K396)</f>
        <v>37532.425125</v>
      </c>
      <c r="M396" s="17" t="n">
        <f aca="false">L396-K396</f>
        <v>0</v>
      </c>
      <c r="N396" s="17" t="n">
        <f aca="false">MIN(Desain_Kolam!$B$21,MAX(0,N395+F396+G396-H396-I396))</f>
        <v>15823.566675</v>
      </c>
      <c r="O396" s="6" t="n">
        <f aca="false">IF(N395+F396+G396-I396&gt;=H396,1,0)</f>
        <v>1</v>
      </c>
    </row>
    <row r="397" customFormat="false" ht="15" hidden="false" customHeight="false" outlineLevel="0" collapsed="false">
      <c r="A397" s="6" t="n">
        <v>2015</v>
      </c>
      <c r="B397" s="6" t="n">
        <v>6</v>
      </c>
      <c r="C397" s="4" t="n">
        <v>284</v>
      </c>
      <c r="D397" s="6" t="n">
        <v>30</v>
      </c>
      <c r="E397" s="4" t="n">
        <f aca="false">INDEX(Evaporasi!$B$5:$B$16,MATCH(B397,Evaporasi!$A$5:$A$16,0))</f>
        <v>150.17</v>
      </c>
      <c r="F397" s="17" t="n">
        <f aca="false">Kawasan!$B$11*Kawasan!$B$9*C397/1000</f>
        <v>2362.88</v>
      </c>
      <c r="G397" s="17" t="n">
        <f aca="false">C397*Desain_Kolam!$B$9/1000</f>
        <v>1503.07</v>
      </c>
      <c r="H397" s="17" t="n">
        <f aca="false">Kawasan!$B$28*D397</f>
        <v>1497.6</v>
      </c>
      <c r="I397" s="17" t="n">
        <f aca="false">E397*Desain_Kolam!$B$9/1000</f>
        <v>794.774725</v>
      </c>
      <c r="J397" s="17" t="n">
        <f aca="false">F397+G397-H397-I397</f>
        <v>1573.575275</v>
      </c>
      <c r="K397" s="17" t="n">
        <f aca="false">K396+J397</f>
        <v>39106.0004</v>
      </c>
      <c r="L397" s="17" t="n">
        <f aca="false">MAX(L396,K397)</f>
        <v>39106.0004</v>
      </c>
      <c r="M397" s="17" t="n">
        <f aca="false">L397-K397</f>
        <v>0</v>
      </c>
      <c r="N397" s="17" t="n">
        <f aca="false">MIN(Desain_Kolam!$B$21,MAX(0,N396+F397+G397-H397-I397))</f>
        <v>15823.566675</v>
      </c>
      <c r="O397" s="6" t="n">
        <f aca="false">IF(N396+F397+G397-I397&gt;=H397,1,0)</f>
        <v>1</v>
      </c>
    </row>
    <row r="398" customFormat="false" ht="15" hidden="false" customHeight="false" outlineLevel="0" collapsed="false">
      <c r="A398" s="6" t="n">
        <v>2015</v>
      </c>
      <c r="B398" s="6" t="n">
        <v>7</v>
      </c>
      <c r="C398" s="4" t="n">
        <v>290</v>
      </c>
      <c r="D398" s="6" t="n">
        <v>31</v>
      </c>
      <c r="E398" s="4" t="n">
        <f aca="false">INDEX(Evaporasi!$B$5:$B$16,MATCH(B398,Evaporasi!$A$5:$A$16,0))</f>
        <v>160.84</v>
      </c>
      <c r="F398" s="17" t="n">
        <f aca="false">Kawasan!$B$11*Kawasan!$B$9*C398/1000</f>
        <v>2412.8</v>
      </c>
      <c r="G398" s="17" t="n">
        <f aca="false">C398*Desain_Kolam!$B$9/1000</f>
        <v>1534.825</v>
      </c>
      <c r="H398" s="17" t="n">
        <f aca="false">Kawasan!$B$28*D398</f>
        <v>1547.52</v>
      </c>
      <c r="I398" s="17" t="n">
        <f aca="false">E398*Desain_Kolam!$B$9/1000</f>
        <v>851.2457</v>
      </c>
      <c r="J398" s="17" t="n">
        <f aca="false">F398+G398-H398-I398</f>
        <v>1548.8593</v>
      </c>
      <c r="K398" s="17" t="n">
        <f aca="false">K397+J398</f>
        <v>40654.8597</v>
      </c>
      <c r="L398" s="17" t="n">
        <f aca="false">MAX(L397,K398)</f>
        <v>40654.8597</v>
      </c>
      <c r="M398" s="17" t="n">
        <f aca="false">L398-K398</f>
        <v>0</v>
      </c>
      <c r="N398" s="17" t="n">
        <f aca="false">MIN(Desain_Kolam!$B$21,MAX(0,N397+F398+G398-H398-I398))</f>
        <v>15823.566675</v>
      </c>
      <c r="O398" s="6" t="n">
        <f aca="false">IF(N397+F398+G398-I398&gt;=H398,1,0)</f>
        <v>1</v>
      </c>
    </row>
    <row r="399" customFormat="false" ht="15" hidden="false" customHeight="false" outlineLevel="0" collapsed="false">
      <c r="A399" s="6" t="n">
        <v>2015</v>
      </c>
      <c r="B399" s="6" t="n">
        <v>8</v>
      </c>
      <c r="C399" s="4" t="n">
        <v>86</v>
      </c>
      <c r="D399" s="6" t="n">
        <v>31</v>
      </c>
      <c r="E399" s="4" t="n">
        <f aca="false">INDEX(Evaporasi!$B$5:$B$16,MATCH(B399,Evaporasi!$A$5:$A$16,0))</f>
        <v>161.16</v>
      </c>
      <c r="F399" s="17" t="n">
        <f aca="false">Kawasan!$B$11*Kawasan!$B$9*C399/1000</f>
        <v>715.52</v>
      </c>
      <c r="G399" s="17" t="n">
        <f aca="false">C399*Desain_Kolam!$B$9/1000</f>
        <v>455.155</v>
      </c>
      <c r="H399" s="17" t="n">
        <f aca="false">Kawasan!$B$28*D399</f>
        <v>1547.52</v>
      </c>
      <c r="I399" s="17" t="n">
        <f aca="false">E399*Desain_Kolam!$B$9/1000</f>
        <v>852.9393</v>
      </c>
      <c r="J399" s="17" t="n">
        <f aca="false">F399+G399-H399-I399</f>
        <v>-1229.7843</v>
      </c>
      <c r="K399" s="17" t="n">
        <f aca="false">K398+J399</f>
        <v>39425.0754</v>
      </c>
      <c r="L399" s="17" t="n">
        <f aca="false">MAX(L398,K399)</f>
        <v>40654.8597</v>
      </c>
      <c r="M399" s="17" t="n">
        <f aca="false">L399-K399</f>
        <v>1229.7843</v>
      </c>
      <c r="N399" s="17" t="n">
        <f aca="false">MIN(Desain_Kolam!$B$21,MAX(0,N398+F399+G399-H399-I399))</f>
        <v>14593.782375</v>
      </c>
      <c r="O399" s="6" t="n">
        <f aca="false">IF(N398+F399+G399-I399&gt;=H399,1,0)</f>
        <v>1</v>
      </c>
    </row>
    <row r="400" customFormat="false" ht="15" hidden="false" customHeight="false" outlineLevel="0" collapsed="false">
      <c r="A400" s="6" t="n">
        <v>2015</v>
      </c>
      <c r="B400" s="6" t="n">
        <v>9</v>
      </c>
      <c r="C400" s="4" t="n">
        <v>37</v>
      </c>
      <c r="D400" s="6" t="n">
        <v>30</v>
      </c>
      <c r="E400" s="4" t="n">
        <f aca="false">INDEX(Evaporasi!$B$5:$B$16,MATCH(B400,Evaporasi!$A$5:$A$16,0))</f>
        <v>159.21</v>
      </c>
      <c r="F400" s="17" t="n">
        <f aca="false">Kawasan!$B$11*Kawasan!$B$9*C400/1000</f>
        <v>307.84</v>
      </c>
      <c r="G400" s="17" t="n">
        <f aca="false">C400*Desain_Kolam!$B$9/1000</f>
        <v>195.8225</v>
      </c>
      <c r="H400" s="17" t="n">
        <f aca="false">Kawasan!$B$28*D400</f>
        <v>1497.6</v>
      </c>
      <c r="I400" s="17" t="n">
        <f aca="false">E400*Desain_Kolam!$B$9/1000</f>
        <v>842.618925</v>
      </c>
      <c r="J400" s="17" t="n">
        <f aca="false">F400+G400-H400-I400</f>
        <v>-1836.556425</v>
      </c>
      <c r="K400" s="17" t="n">
        <f aca="false">K399+J400</f>
        <v>37588.518975</v>
      </c>
      <c r="L400" s="17" t="n">
        <f aca="false">MAX(L399,K400)</f>
        <v>40654.8597</v>
      </c>
      <c r="M400" s="17" t="n">
        <f aca="false">L400-K400</f>
        <v>3066.340725</v>
      </c>
      <c r="N400" s="17" t="n">
        <f aca="false">MIN(Desain_Kolam!$B$21,MAX(0,N399+F400+G400-H400-I400))</f>
        <v>12757.22595</v>
      </c>
      <c r="O400" s="6" t="n">
        <f aca="false">IF(N399+F400+G400-I400&gt;=H400,1,0)</f>
        <v>1</v>
      </c>
    </row>
    <row r="401" customFormat="false" ht="15" hidden="false" customHeight="false" outlineLevel="0" collapsed="false">
      <c r="A401" s="6" t="n">
        <v>2015</v>
      </c>
      <c r="B401" s="6" t="n">
        <v>10</v>
      </c>
      <c r="C401" s="4" t="n">
        <v>159</v>
      </c>
      <c r="D401" s="6" t="n">
        <v>31</v>
      </c>
      <c r="E401" s="4" t="n">
        <f aca="false">INDEX(Evaporasi!$B$5:$B$16,MATCH(B401,Evaporasi!$A$5:$A$16,0))</f>
        <v>151.5</v>
      </c>
      <c r="F401" s="17" t="n">
        <f aca="false">Kawasan!$B$11*Kawasan!$B$9*C401/1000</f>
        <v>1322.88</v>
      </c>
      <c r="G401" s="17" t="n">
        <f aca="false">C401*Desain_Kolam!$B$9/1000</f>
        <v>841.5075</v>
      </c>
      <c r="H401" s="17" t="n">
        <f aca="false">Kawasan!$B$28*D401</f>
        <v>1547.52</v>
      </c>
      <c r="I401" s="17" t="n">
        <f aca="false">E401*Desain_Kolam!$B$9/1000</f>
        <v>801.81375</v>
      </c>
      <c r="J401" s="17" t="n">
        <f aca="false">F401+G401-H401-I401</f>
        <v>-184.94625</v>
      </c>
      <c r="K401" s="17" t="n">
        <f aca="false">K400+J401</f>
        <v>37403.572725</v>
      </c>
      <c r="L401" s="17" t="n">
        <f aca="false">MAX(L400,K401)</f>
        <v>40654.8597</v>
      </c>
      <c r="M401" s="17" t="n">
        <f aca="false">L401-K401</f>
        <v>3251.286975</v>
      </c>
      <c r="N401" s="17" t="n">
        <f aca="false">MIN(Desain_Kolam!$B$21,MAX(0,N400+F401+G401-H401-I401))</f>
        <v>12572.2797</v>
      </c>
      <c r="O401" s="6" t="n">
        <f aca="false">IF(N400+F401+G401-I401&gt;=H401,1,0)</f>
        <v>1</v>
      </c>
    </row>
    <row r="402" customFormat="false" ht="15" hidden="false" customHeight="false" outlineLevel="0" collapsed="false">
      <c r="A402" s="6" t="n">
        <v>2015</v>
      </c>
      <c r="B402" s="6" t="n">
        <v>11</v>
      </c>
      <c r="C402" s="4" t="n">
        <v>471</v>
      </c>
      <c r="D402" s="6" t="n">
        <v>30</v>
      </c>
      <c r="E402" s="4" t="n">
        <f aca="false">INDEX(Evaporasi!$B$5:$B$16,MATCH(B402,Evaporasi!$A$5:$A$16,0))</f>
        <v>142.3</v>
      </c>
      <c r="F402" s="17" t="n">
        <f aca="false">Kawasan!$B$11*Kawasan!$B$9*C402/1000</f>
        <v>3918.72</v>
      </c>
      <c r="G402" s="17" t="n">
        <f aca="false">C402*Desain_Kolam!$B$9/1000</f>
        <v>2492.7675</v>
      </c>
      <c r="H402" s="17" t="n">
        <f aca="false">Kawasan!$B$28*D402</f>
        <v>1497.6</v>
      </c>
      <c r="I402" s="17" t="n">
        <f aca="false">E402*Desain_Kolam!$B$9/1000</f>
        <v>753.12275</v>
      </c>
      <c r="J402" s="17" t="n">
        <f aca="false">F402+G402-H402-I402</f>
        <v>4160.76475</v>
      </c>
      <c r="K402" s="17" t="n">
        <f aca="false">K401+J402</f>
        <v>41564.337475</v>
      </c>
      <c r="L402" s="17" t="n">
        <f aca="false">MAX(L401,K402)</f>
        <v>41564.337475</v>
      </c>
      <c r="M402" s="17" t="n">
        <f aca="false">L402-K402</f>
        <v>0</v>
      </c>
      <c r="N402" s="17" t="n">
        <f aca="false">MIN(Desain_Kolam!$B$21,MAX(0,N401+F402+G402-H402-I402))</f>
        <v>15823.566675</v>
      </c>
      <c r="O402" s="6" t="n">
        <f aca="false">IF(N401+F402+G402-I402&gt;=H402,1,0)</f>
        <v>1</v>
      </c>
    </row>
    <row r="403" customFormat="false" ht="15" hidden="false" customHeight="false" outlineLevel="0" collapsed="false">
      <c r="A403" s="6" t="n">
        <v>2015</v>
      </c>
      <c r="B403" s="6" t="n">
        <v>12</v>
      </c>
      <c r="C403" s="4" t="n">
        <v>252</v>
      </c>
      <c r="D403" s="6" t="n">
        <v>31</v>
      </c>
      <c r="E403" s="4" t="n">
        <f aca="false">INDEX(Evaporasi!$B$5:$B$16,MATCH(B403,Evaporasi!$A$5:$A$16,0))</f>
        <v>145.07</v>
      </c>
      <c r="F403" s="17" t="n">
        <f aca="false">Kawasan!$B$11*Kawasan!$B$9*C403/1000</f>
        <v>2096.64</v>
      </c>
      <c r="G403" s="17" t="n">
        <f aca="false">C403*Desain_Kolam!$B$9/1000</f>
        <v>1333.71</v>
      </c>
      <c r="H403" s="17" t="n">
        <f aca="false">Kawasan!$B$28*D403</f>
        <v>1547.52</v>
      </c>
      <c r="I403" s="17" t="n">
        <f aca="false">E403*Desain_Kolam!$B$9/1000</f>
        <v>767.782975</v>
      </c>
      <c r="J403" s="17" t="n">
        <f aca="false">F403+G403-H403-I403</f>
        <v>1115.047025</v>
      </c>
      <c r="K403" s="17" t="n">
        <f aca="false">K402+J403</f>
        <v>42679.3845</v>
      </c>
      <c r="L403" s="17" t="n">
        <f aca="false">MAX(L402,K403)</f>
        <v>42679.3845</v>
      </c>
      <c r="M403" s="17" t="n">
        <f aca="false">L403-K403</f>
        <v>0</v>
      </c>
      <c r="N403" s="17" t="n">
        <f aca="false">MIN(Desain_Kolam!$B$21,MAX(0,N402+F403+G403-H403-I403))</f>
        <v>15823.566675</v>
      </c>
      <c r="O403" s="6" t="n">
        <f aca="false">IF(N402+F403+G403-I403&gt;=H403,1,0)</f>
        <v>1</v>
      </c>
    </row>
    <row r="404" customFormat="false" ht="15" hidden="false" customHeight="false" outlineLevel="0" collapsed="false">
      <c r="A404" s="6" t="n">
        <v>2016</v>
      </c>
      <c r="B404" s="6" t="n">
        <v>1</v>
      </c>
      <c r="C404" s="4" t="n">
        <v>245</v>
      </c>
      <c r="D404" s="6" t="n">
        <v>31</v>
      </c>
      <c r="E404" s="4" t="n">
        <f aca="false">INDEX(Evaporasi!$B$5:$B$16,MATCH(B404,Evaporasi!$A$5:$A$16,0))</f>
        <v>149.98</v>
      </c>
      <c r="F404" s="17" t="n">
        <f aca="false">Kawasan!$B$11*Kawasan!$B$9*C404/1000</f>
        <v>2038.4</v>
      </c>
      <c r="G404" s="17" t="n">
        <f aca="false">C404*Desain_Kolam!$B$9/1000</f>
        <v>1296.6625</v>
      </c>
      <c r="H404" s="17" t="n">
        <f aca="false">Kawasan!$B$28*D404</f>
        <v>1547.52</v>
      </c>
      <c r="I404" s="17" t="n">
        <f aca="false">E404*Desain_Kolam!$B$9/1000</f>
        <v>793.76915</v>
      </c>
      <c r="J404" s="17" t="n">
        <f aca="false">F404+G404-H404-I404</f>
        <v>993.77335</v>
      </c>
      <c r="K404" s="17" t="n">
        <f aca="false">K403+J404</f>
        <v>43673.15785</v>
      </c>
      <c r="L404" s="17" t="n">
        <f aca="false">MAX(L403,K404)</f>
        <v>43673.15785</v>
      </c>
      <c r="M404" s="17" t="n">
        <f aca="false">L404-K404</f>
        <v>0</v>
      </c>
      <c r="N404" s="17" t="n">
        <f aca="false">MIN(Desain_Kolam!$B$21,MAX(0,N403+F404+G404-H404-I404))</f>
        <v>15823.566675</v>
      </c>
      <c r="O404" s="6" t="n">
        <f aca="false">IF(N403+F404+G404-I404&gt;=H404,1,0)</f>
        <v>1</v>
      </c>
    </row>
    <row r="405" customFormat="false" ht="15" hidden="false" customHeight="false" outlineLevel="0" collapsed="false">
      <c r="A405" s="6" t="n">
        <v>2016</v>
      </c>
      <c r="B405" s="6" t="n">
        <v>2</v>
      </c>
      <c r="C405" s="4" t="n">
        <v>204</v>
      </c>
      <c r="D405" s="6" t="n">
        <v>29</v>
      </c>
      <c r="E405" s="4" t="n">
        <f aca="false">INDEX(Evaporasi!$B$5:$B$16,MATCH(B405,Evaporasi!$A$5:$A$16,0))</f>
        <v>148.64</v>
      </c>
      <c r="F405" s="17" t="n">
        <f aca="false">Kawasan!$B$11*Kawasan!$B$9*C405/1000</f>
        <v>1697.28</v>
      </c>
      <c r="G405" s="17" t="n">
        <f aca="false">C405*Desain_Kolam!$B$9/1000</f>
        <v>1079.67</v>
      </c>
      <c r="H405" s="17" t="n">
        <f aca="false">Kawasan!$B$28*D405</f>
        <v>1447.68</v>
      </c>
      <c r="I405" s="17" t="n">
        <f aca="false">E405*Desain_Kolam!$B$9/1000</f>
        <v>786.6772</v>
      </c>
      <c r="J405" s="17" t="n">
        <f aca="false">F405+G405-H405-I405</f>
        <v>542.5928</v>
      </c>
      <c r="K405" s="17" t="n">
        <f aca="false">K404+J405</f>
        <v>44215.75065</v>
      </c>
      <c r="L405" s="17" t="n">
        <f aca="false">MAX(L404,K405)</f>
        <v>44215.75065</v>
      </c>
      <c r="M405" s="17" t="n">
        <f aca="false">L405-K405</f>
        <v>0</v>
      </c>
      <c r="N405" s="17" t="n">
        <f aca="false">MIN(Desain_Kolam!$B$21,MAX(0,N404+F405+G405-H405-I405))</f>
        <v>15823.566675</v>
      </c>
      <c r="O405" s="6" t="n">
        <f aca="false">IF(N404+F405+G405-I405&gt;=H405,1,0)</f>
        <v>1</v>
      </c>
    </row>
    <row r="406" customFormat="false" ht="15" hidden="false" customHeight="false" outlineLevel="0" collapsed="false">
      <c r="A406" s="6" t="n">
        <v>2016</v>
      </c>
      <c r="B406" s="6" t="n">
        <v>3</v>
      </c>
      <c r="C406" s="4" t="n">
        <v>381</v>
      </c>
      <c r="D406" s="6" t="n">
        <v>31</v>
      </c>
      <c r="E406" s="4" t="n">
        <f aca="false">INDEX(Evaporasi!$B$5:$B$16,MATCH(B406,Evaporasi!$A$5:$A$16,0))</f>
        <v>166.18</v>
      </c>
      <c r="F406" s="17" t="n">
        <f aca="false">Kawasan!$B$11*Kawasan!$B$9*C406/1000</f>
        <v>3169.92</v>
      </c>
      <c r="G406" s="17" t="n">
        <f aca="false">C406*Desain_Kolam!$B$9/1000</f>
        <v>2016.4425</v>
      </c>
      <c r="H406" s="17" t="n">
        <f aca="false">Kawasan!$B$28*D406</f>
        <v>1547.52</v>
      </c>
      <c r="I406" s="17" t="n">
        <f aca="false">E406*Desain_Kolam!$B$9/1000</f>
        <v>879.50765</v>
      </c>
      <c r="J406" s="17" t="n">
        <f aca="false">F406+G406-H406-I406</f>
        <v>2759.33485</v>
      </c>
      <c r="K406" s="17" t="n">
        <f aca="false">K405+J406</f>
        <v>46975.0855</v>
      </c>
      <c r="L406" s="17" t="n">
        <f aca="false">MAX(L405,K406)</f>
        <v>46975.0855</v>
      </c>
      <c r="M406" s="17" t="n">
        <f aca="false">L406-K406</f>
        <v>0</v>
      </c>
      <c r="N406" s="17" t="n">
        <f aca="false">MIN(Desain_Kolam!$B$21,MAX(0,N405+F406+G406-H406-I406))</f>
        <v>15823.566675</v>
      </c>
      <c r="O406" s="6" t="n">
        <f aca="false">IF(N405+F406+G406-I406&gt;=H406,1,0)</f>
        <v>1</v>
      </c>
    </row>
    <row r="407" customFormat="false" ht="15" hidden="false" customHeight="false" outlineLevel="0" collapsed="false">
      <c r="A407" s="6" t="n">
        <v>2016</v>
      </c>
      <c r="B407" s="6" t="n">
        <v>4</v>
      </c>
      <c r="C407" s="4" t="n">
        <v>274</v>
      </c>
      <c r="D407" s="6" t="n">
        <v>30</v>
      </c>
      <c r="E407" s="4" t="n">
        <f aca="false">INDEX(Evaporasi!$B$5:$B$16,MATCH(B407,Evaporasi!$A$5:$A$16,0))</f>
        <v>157.75</v>
      </c>
      <c r="F407" s="17" t="n">
        <f aca="false">Kawasan!$B$11*Kawasan!$B$9*C407/1000</f>
        <v>2279.68</v>
      </c>
      <c r="G407" s="17" t="n">
        <f aca="false">C407*Desain_Kolam!$B$9/1000</f>
        <v>1450.145</v>
      </c>
      <c r="H407" s="17" t="n">
        <f aca="false">Kawasan!$B$28*D407</f>
        <v>1497.6</v>
      </c>
      <c r="I407" s="17" t="n">
        <f aca="false">E407*Desain_Kolam!$B$9/1000</f>
        <v>834.891875</v>
      </c>
      <c r="J407" s="17" t="n">
        <f aca="false">F407+G407-H407-I407</f>
        <v>1397.333125</v>
      </c>
      <c r="K407" s="17" t="n">
        <f aca="false">K406+J407</f>
        <v>48372.418625</v>
      </c>
      <c r="L407" s="17" t="n">
        <f aca="false">MAX(L406,K407)</f>
        <v>48372.418625</v>
      </c>
      <c r="M407" s="17" t="n">
        <f aca="false">L407-K407</f>
        <v>0</v>
      </c>
      <c r="N407" s="17" t="n">
        <f aca="false">MIN(Desain_Kolam!$B$21,MAX(0,N406+F407+G407-H407-I407))</f>
        <v>15823.566675</v>
      </c>
      <c r="O407" s="6" t="n">
        <f aca="false">IF(N406+F407+G407-I407&gt;=H407,1,0)</f>
        <v>1</v>
      </c>
    </row>
    <row r="408" customFormat="false" ht="15" hidden="false" customHeight="false" outlineLevel="0" collapsed="false">
      <c r="A408" s="6" t="n">
        <v>2016</v>
      </c>
      <c r="B408" s="6" t="n">
        <v>5</v>
      </c>
      <c r="C408" s="4" t="n">
        <v>514</v>
      </c>
      <c r="D408" s="6" t="n">
        <v>31</v>
      </c>
      <c r="E408" s="4" t="n">
        <f aca="false">INDEX(Evaporasi!$B$5:$B$16,MATCH(B408,Evaporasi!$A$5:$A$16,0))</f>
        <v>158.35</v>
      </c>
      <c r="F408" s="17" t="n">
        <f aca="false">Kawasan!$B$11*Kawasan!$B$9*C408/1000</f>
        <v>4276.48</v>
      </c>
      <c r="G408" s="17" t="n">
        <f aca="false">C408*Desain_Kolam!$B$9/1000</f>
        <v>2720.345</v>
      </c>
      <c r="H408" s="17" t="n">
        <f aca="false">Kawasan!$B$28*D408</f>
        <v>1547.52</v>
      </c>
      <c r="I408" s="17" t="n">
        <f aca="false">E408*Desain_Kolam!$B$9/1000</f>
        <v>838.067375</v>
      </c>
      <c r="J408" s="17" t="n">
        <f aca="false">F408+G408-H408-I408</f>
        <v>4611.237625</v>
      </c>
      <c r="K408" s="17" t="n">
        <f aca="false">K407+J408</f>
        <v>52983.65625</v>
      </c>
      <c r="L408" s="17" t="n">
        <f aca="false">MAX(L407,K408)</f>
        <v>52983.65625</v>
      </c>
      <c r="M408" s="17" t="n">
        <f aca="false">L408-K408</f>
        <v>0</v>
      </c>
      <c r="N408" s="17" t="n">
        <f aca="false">MIN(Desain_Kolam!$B$21,MAX(0,N407+F408+G408-H408-I408))</f>
        <v>15823.566675</v>
      </c>
      <c r="O408" s="6" t="n">
        <f aca="false">IF(N407+F408+G408-I408&gt;=H408,1,0)</f>
        <v>1</v>
      </c>
    </row>
    <row r="409" customFormat="false" ht="15" hidden="false" customHeight="false" outlineLevel="0" collapsed="false">
      <c r="A409" s="6" t="n">
        <v>2016</v>
      </c>
      <c r="B409" s="6" t="n">
        <v>6</v>
      </c>
      <c r="C409" s="4" t="n">
        <v>279</v>
      </c>
      <c r="D409" s="6" t="n">
        <v>30</v>
      </c>
      <c r="E409" s="4" t="n">
        <f aca="false">INDEX(Evaporasi!$B$5:$B$16,MATCH(B409,Evaporasi!$A$5:$A$16,0))</f>
        <v>150.17</v>
      </c>
      <c r="F409" s="17" t="n">
        <f aca="false">Kawasan!$B$11*Kawasan!$B$9*C409/1000</f>
        <v>2321.28</v>
      </c>
      <c r="G409" s="17" t="n">
        <f aca="false">C409*Desain_Kolam!$B$9/1000</f>
        <v>1476.6075</v>
      </c>
      <c r="H409" s="17" t="n">
        <f aca="false">Kawasan!$B$28*D409</f>
        <v>1497.6</v>
      </c>
      <c r="I409" s="17" t="n">
        <f aca="false">E409*Desain_Kolam!$B$9/1000</f>
        <v>794.774725</v>
      </c>
      <c r="J409" s="17" t="n">
        <f aca="false">F409+G409-H409-I409</f>
        <v>1505.512775</v>
      </c>
      <c r="K409" s="17" t="n">
        <f aca="false">K408+J409</f>
        <v>54489.169025</v>
      </c>
      <c r="L409" s="17" t="n">
        <f aca="false">MAX(L408,K409)</f>
        <v>54489.169025</v>
      </c>
      <c r="M409" s="17" t="n">
        <f aca="false">L409-K409</f>
        <v>0</v>
      </c>
      <c r="N409" s="17" t="n">
        <f aca="false">MIN(Desain_Kolam!$B$21,MAX(0,N408+F409+G409-H409-I409))</f>
        <v>15823.566675</v>
      </c>
      <c r="O409" s="6" t="n">
        <f aca="false">IF(N408+F409+G409-I409&gt;=H409,1,0)</f>
        <v>1</v>
      </c>
    </row>
    <row r="410" customFormat="false" ht="15" hidden="false" customHeight="false" outlineLevel="0" collapsed="false">
      <c r="A410" s="6" t="n">
        <v>2016</v>
      </c>
      <c r="B410" s="6" t="n">
        <v>7</v>
      </c>
      <c r="C410" s="4" t="n">
        <v>254</v>
      </c>
      <c r="D410" s="6" t="n">
        <v>31</v>
      </c>
      <c r="E410" s="4" t="n">
        <f aca="false">INDEX(Evaporasi!$B$5:$B$16,MATCH(B410,Evaporasi!$A$5:$A$16,0))</f>
        <v>160.84</v>
      </c>
      <c r="F410" s="17" t="n">
        <f aca="false">Kawasan!$B$11*Kawasan!$B$9*C410/1000</f>
        <v>2113.28</v>
      </c>
      <c r="G410" s="17" t="n">
        <f aca="false">C410*Desain_Kolam!$B$9/1000</f>
        <v>1344.295</v>
      </c>
      <c r="H410" s="17" t="n">
        <f aca="false">Kawasan!$B$28*D410</f>
        <v>1547.52</v>
      </c>
      <c r="I410" s="17" t="n">
        <f aca="false">E410*Desain_Kolam!$B$9/1000</f>
        <v>851.2457</v>
      </c>
      <c r="J410" s="17" t="n">
        <f aca="false">F410+G410-H410-I410</f>
        <v>1058.8093</v>
      </c>
      <c r="K410" s="17" t="n">
        <f aca="false">K409+J410</f>
        <v>55547.978325</v>
      </c>
      <c r="L410" s="17" t="n">
        <f aca="false">MAX(L409,K410)</f>
        <v>55547.978325</v>
      </c>
      <c r="M410" s="17" t="n">
        <f aca="false">L410-K410</f>
        <v>0</v>
      </c>
      <c r="N410" s="17" t="n">
        <f aca="false">MIN(Desain_Kolam!$B$21,MAX(0,N409+F410+G410-H410-I410))</f>
        <v>15823.566675</v>
      </c>
      <c r="O410" s="6" t="n">
        <f aca="false">IF(N409+F410+G410-I410&gt;=H410,1,0)</f>
        <v>1</v>
      </c>
    </row>
    <row r="411" customFormat="false" ht="15" hidden="false" customHeight="false" outlineLevel="0" collapsed="false">
      <c r="A411" s="6" t="n">
        <v>2016</v>
      </c>
      <c r="B411" s="6" t="n">
        <v>8</v>
      </c>
      <c r="C411" s="4" t="n">
        <v>14</v>
      </c>
      <c r="D411" s="6" t="n">
        <v>31</v>
      </c>
      <c r="E411" s="4" t="n">
        <f aca="false">INDEX(Evaporasi!$B$5:$B$16,MATCH(B411,Evaporasi!$A$5:$A$16,0))</f>
        <v>161.16</v>
      </c>
      <c r="F411" s="17" t="n">
        <f aca="false">Kawasan!$B$11*Kawasan!$B$9*C411/1000</f>
        <v>116.48</v>
      </c>
      <c r="G411" s="17" t="n">
        <f aca="false">C411*Desain_Kolam!$B$9/1000</f>
        <v>74.095</v>
      </c>
      <c r="H411" s="17" t="n">
        <f aca="false">Kawasan!$B$28*D411</f>
        <v>1547.52</v>
      </c>
      <c r="I411" s="17" t="n">
        <f aca="false">E411*Desain_Kolam!$B$9/1000</f>
        <v>852.9393</v>
      </c>
      <c r="J411" s="17" t="n">
        <f aca="false">F411+G411-H411-I411</f>
        <v>-2209.8843</v>
      </c>
      <c r="K411" s="17" t="n">
        <f aca="false">K410+J411</f>
        <v>53338.094025</v>
      </c>
      <c r="L411" s="17" t="n">
        <f aca="false">MAX(L410,K411)</f>
        <v>55547.978325</v>
      </c>
      <c r="M411" s="17" t="n">
        <f aca="false">L411-K411</f>
        <v>2209.8843</v>
      </c>
      <c r="N411" s="17" t="n">
        <f aca="false">MIN(Desain_Kolam!$B$21,MAX(0,N410+F411+G411-H411-I411))</f>
        <v>13613.682375</v>
      </c>
      <c r="O411" s="6" t="n">
        <f aca="false">IF(N410+F411+G411-I411&gt;=H411,1,0)</f>
        <v>1</v>
      </c>
    </row>
    <row r="412" customFormat="false" ht="15" hidden="false" customHeight="false" outlineLevel="0" collapsed="false">
      <c r="A412" s="6" t="n">
        <v>2016</v>
      </c>
      <c r="B412" s="6" t="n">
        <v>9</v>
      </c>
      <c r="C412" s="4" t="n">
        <v>200</v>
      </c>
      <c r="D412" s="6" t="n">
        <v>30</v>
      </c>
      <c r="E412" s="4" t="n">
        <f aca="false">INDEX(Evaporasi!$B$5:$B$16,MATCH(B412,Evaporasi!$A$5:$A$16,0))</f>
        <v>159.21</v>
      </c>
      <c r="F412" s="17" t="n">
        <f aca="false">Kawasan!$B$11*Kawasan!$B$9*C412/1000</f>
        <v>1664</v>
      </c>
      <c r="G412" s="17" t="n">
        <f aca="false">C412*Desain_Kolam!$B$9/1000</f>
        <v>1058.5</v>
      </c>
      <c r="H412" s="17" t="n">
        <f aca="false">Kawasan!$B$28*D412</f>
        <v>1497.6</v>
      </c>
      <c r="I412" s="17" t="n">
        <f aca="false">E412*Desain_Kolam!$B$9/1000</f>
        <v>842.618925</v>
      </c>
      <c r="J412" s="17" t="n">
        <f aca="false">F412+G412-H412-I412</f>
        <v>382.281075</v>
      </c>
      <c r="K412" s="17" t="n">
        <f aca="false">K411+J412</f>
        <v>53720.3751</v>
      </c>
      <c r="L412" s="17" t="n">
        <f aca="false">MAX(L411,K412)</f>
        <v>55547.978325</v>
      </c>
      <c r="M412" s="17" t="n">
        <f aca="false">L412-K412</f>
        <v>1827.603225</v>
      </c>
      <c r="N412" s="17" t="n">
        <f aca="false">MIN(Desain_Kolam!$B$21,MAX(0,N411+F412+G412-H412-I412))</f>
        <v>13995.96345</v>
      </c>
      <c r="O412" s="6" t="n">
        <f aca="false">IF(N411+F412+G412-I412&gt;=H412,1,0)</f>
        <v>1</v>
      </c>
    </row>
    <row r="413" customFormat="false" ht="15" hidden="false" customHeight="false" outlineLevel="0" collapsed="false">
      <c r="A413" s="6" t="n">
        <v>2016</v>
      </c>
      <c r="B413" s="6" t="n">
        <v>10</v>
      </c>
      <c r="C413" s="4" t="n">
        <v>302</v>
      </c>
      <c r="D413" s="6" t="n">
        <v>31</v>
      </c>
      <c r="E413" s="4" t="n">
        <f aca="false">INDEX(Evaporasi!$B$5:$B$16,MATCH(B413,Evaporasi!$A$5:$A$16,0))</f>
        <v>151.5</v>
      </c>
      <c r="F413" s="17" t="n">
        <f aca="false">Kawasan!$B$11*Kawasan!$B$9*C413/1000</f>
        <v>2512.64</v>
      </c>
      <c r="G413" s="17" t="n">
        <f aca="false">C413*Desain_Kolam!$B$9/1000</f>
        <v>1598.335</v>
      </c>
      <c r="H413" s="17" t="n">
        <f aca="false">Kawasan!$B$28*D413</f>
        <v>1547.52</v>
      </c>
      <c r="I413" s="17" t="n">
        <f aca="false">E413*Desain_Kolam!$B$9/1000</f>
        <v>801.81375</v>
      </c>
      <c r="J413" s="17" t="n">
        <f aca="false">F413+G413-H413-I413</f>
        <v>1761.64125</v>
      </c>
      <c r="K413" s="17" t="n">
        <f aca="false">K412+J413</f>
        <v>55482.01635</v>
      </c>
      <c r="L413" s="17" t="n">
        <f aca="false">MAX(L412,K413)</f>
        <v>55547.978325</v>
      </c>
      <c r="M413" s="17" t="n">
        <f aca="false">L413-K413</f>
        <v>65.9619749999984</v>
      </c>
      <c r="N413" s="17" t="n">
        <f aca="false">MIN(Desain_Kolam!$B$21,MAX(0,N412+F413+G413-H413-I413))</f>
        <v>15757.6047</v>
      </c>
      <c r="O413" s="6" t="n">
        <f aca="false">IF(N412+F413+G413-I413&gt;=H413,1,0)</f>
        <v>1</v>
      </c>
    </row>
    <row r="414" customFormat="false" ht="15" hidden="false" customHeight="false" outlineLevel="0" collapsed="false">
      <c r="A414" s="6" t="n">
        <v>2016</v>
      </c>
      <c r="B414" s="6" t="n">
        <v>11</v>
      </c>
      <c r="C414" s="4" t="n">
        <v>256</v>
      </c>
      <c r="D414" s="6" t="n">
        <v>30</v>
      </c>
      <c r="E414" s="4" t="n">
        <f aca="false">INDEX(Evaporasi!$B$5:$B$16,MATCH(B414,Evaporasi!$A$5:$A$16,0))</f>
        <v>142.3</v>
      </c>
      <c r="F414" s="17" t="n">
        <f aca="false">Kawasan!$B$11*Kawasan!$B$9*C414/1000</f>
        <v>2129.92</v>
      </c>
      <c r="G414" s="17" t="n">
        <f aca="false">C414*Desain_Kolam!$B$9/1000</f>
        <v>1354.88</v>
      </c>
      <c r="H414" s="17" t="n">
        <f aca="false">Kawasan!$B$28*D414</f>
        <v>1497.6</v>
      </c>
      <c r="I414" s="17" t="n">
        <f aca="false">E414*Desain_Kolam!$B$9/1000</f>
        <v>753.12275</v>
      </c>
      <c r="J414" s="17" t="n">
        <f aca="false">F414+G414-H414-I414</f>
        <v>1234.07725</v>
      </c>
      <c r="K414" s="17" t="n">
        <f aca="false">K413+J414</f>
        <v>56716.0936</v>
      </c>
      <c r="L414" s="17" t="n">
        <f aca="false">MAX(L413,K414)</f>
        <v>56716.0936</v>
      </c>
      <c r="M414" s="17" t="n">
        <f aca="false">L414-K414</f>
        <v>0</v>
      </c>
      <c r="N414" s="17" t="n">
        <f aca="false">MIN(Desain_Kolam!$B$21,MAX(0,N413+F414+G414-H414-I414))</f>
        <v>15823.566675</v>
      </c>
      <c r="O414" s="6" t="n">
        <f aca="false">IF(N413+F414+G414-I414&gt;=H414,1,0)</f>
        <v>1</v>
      </c>
    </row>
    <row r="415" customFormat="false" ht="15" hidden="false" customHeight="false" outlineLevel="0" collapsed="false">
      <c r="A415" s="6" t="n">
        <v>2016</v>
      </c>
      <c r="B415" s="6" t="n">
        <v>12</v>
      </c>
      <c r="C415" s="4" t="n">
        <v>305</v>
      </c>
      <c r="D415" s="6" t="n">
        <v>31</v>
      </c>
      <c r="E415" s="4" t="n">
        <f aca="false">INDEX(Evaporasi!$B$5:$B$16,MATCH(B415,Evaporasi!$A$5:$A$16,0))</f>
        <v>145.07</v>
      </c>
      <c r="F415" s="17" t="n">
        <f aca="false">Kawasan!$B$11*Kawasan!$B$9*C415/1000</f>
        <v>2537.6</v>
      </c>
      <c r="G415" s="17" t="n">
        <f aca="false">C415*Desain_Kolam!$B$9/1000</f>
        <v>1614.2125</v>
      </c>
      <c r="H415" s="17" t="n">
        <f aca="false">Kawasan!$B$28*D415</f>
        <v>1547.52</v>
      </c>
      <c r="I415" s="17" t="n">
        <f aca="false">E415*Desain_Kolam!$B$9/1000</f>
        <v>767.782975</v>
      </c>
      <c r="J415" s="17" t="n">
        <f aca="false">F415+G415-H415-I415</f>
        <v>1836.509525</v>
      </c>
      <c r="K415" s="17" t="n">
        <f aca="false">K414+J415</f>
        <v>58552.603125</v>
      </c>
      <c r="L415" s="17" t="n">
        <f aca="false">MAX(L414,K415)</f>
        <v>58552.603125</v>
      </c>
      <c r="M415" s="17" t="n">
        <f aca="false">L415-K415</f>
        <v>0</v>
      </c>
      <c r="N415" s="17" t="n">
        <f aca="false">MIN(Desain_Kolam!$B$21,MAX(0,N414+F415+G415-H415-I415))</f>
        <v>15823.566675</v>
      </c>
      <c r="O415" s="6" t="n">
        <f aca="false">IF(N414+F415+G415-I415&gt;=H415,1,0)</f>
        <v>1</v>
      </c>
    </row>
    <row r="416" customFormat="false" ht="15" hidden="false" customHeight="false" outlineLevel="0" collapsed="false">
      <c r="A416" s="6" t="n">
        <v>2017</v>
      </c>
      <c r="B416" s="6" t="n">
        <v>1</v>
      </c>
      <c r="C416" s="4" t="n">
        <v>212</v>
      </c>
      <c r="D416" s="6" t="n">
        <v>31</v>
      </c>
      <c r="E416" s="4" t="n">
        <f aca="false">INDEX(Evaporasi!$B$5:$B$16,MATCH(B416,Evaporasi!$A$5:$A$16,0))</f>
        <v>149.98</v>
      </c>
      <c r="F416" s="17" t="n">
        <f aca="false">Kawasan!$B$11*Kawasan!$B$9*C416/1000</f>
        <v>1763.84</v>
      </c>
      <c r="G416" s="17" t="n">
        <f aca="false">C416*Desain_Kolam!$B$9/1000</f>
        <v>1122.01</v>
      </c>
      <c r="H416" s="17" t="n">
        <f aca="false">Kawasan!$B$28*D416</f>
        <v>1547.52</v>
      </c>
      <c r="I416" s="17" t="n">
        <f aca="false">E416*Desain_Kolam!$B$9/1000</f>
        <v>793.76915</v>
      </c>
      <c r="J416" s="17" t="n">
        <f aca="false">F416+G416-H416-I416</f>
        <v>544.56085</v>
      </c>
      <c r="K416" s="17" t="n">
        <f aca="false">K415+J416</f>
        <v>59097.163975</v>
      </c>
      <c r="L416" s="17" t="n">
        <f aca="false">MAX(L415,K416)</f>
        <v>59097.163975</v>
      </c>
      <c r="M416" s="17" t="n">
        <f aca="false">L416-K416</f>
        <v>0</v>
      </c>
      <c r="N416" s="17" t="n">
        <f aca="false">MIN(Desain_Kolam!$B$21,MAX(0,N415+F416+G416-H416-I416))</f>
        <v>15823.566675</v>
      </c>
      <c r="O416" s="6" t="n">
        <f aca="false">IF(N415+F416+G416-I416&gt;=H416,1,0)</f>
        <v>1</v>
      </c>
    </row>
    <row r="417" customFormat="false" ht="15" hidden="false" customHeight="false" outlineLevel="0" collapsed="false">
      <c r="A417" s="6" t="n">
        <v>2017</v>
      </c>
      <c r="B417" s="6" t="n">
        <v>2</v>
      </c>
      <c r="C417" s="4" t="n">
        <v>198</v>
      </c>
      <c r="D417" s="6" t="n">
        <v>28</v>
      </c>
      <c r="E417" s="4" t="n">
        <f aca="false">INDEX(Evaporasi!$B$5:$B$16,MATCH(B417,Evaporasi!$A$5:$A$16,0))</f>
        <v>148.64</v>
      </c>
      <c r="F417" s="17" t="n">
        <f aca="false">Kawasan!$B$11*Kawasan!$B$9*C417/1000</f>
        <v>1647.36</v>
      </c>
      <c r="G417" s="17" t="n">
        <f aca="false">C417*Desain_Kolam!$B$9/1000</f>
        <v>1047.915</v>
      </c>
      <c r="H417" s="17" t="n">
        <f aca="false">Kawasan!$B$28*D417</f>
        <v>1397.76</v>
      </c>
      <c r="I417" s="17" t="n">
        <f aca="false">E417*Desain_Kolam!$B$9/1000</f>
        <v>786.6772</v>
      </c>
      <c r="J417" s="17" t="n">
        <f aca="false">F417+G417-H417-I417</f>
        <v>510.8378</v>
      </c>
      <c r="K417" s="17" t="n">
        <f aca="false">K416+J417</f>
        <v>59608.001775</v>
      </c>
      <c r="L417" s="17" t="n">
        <f aca="false">MAX(L416,K417)</f>
        <v>59608.001775</v>
      </c>
      <c r="M417" s="17" t="n">
        <f aca="false">L417-K417</f>
        <v>0</v>
      </c>
      <c r="N417" s="17" t="n">
        <f aca="false">MIN(Desain_Kolam!$B$21,MAX(0,N416+F417+G417-H417-I417))</f>
        <v>15823.566675</v>
      </c>
      <c r="O417" s="6" t="n">
        <f aca="false">IF(N416+F417+G417-I417&gt;=H417,1,0)</f>
        <v>1</v>
      </c>
    </row>
    <row r="418" customFormat="false" ht="15" hidden="false" customHeight="false" outlineLevel="0" collapsed="false">
      <c r="A418" s="6" t="n">
        <v>2017</v>
      </c>
      <c r="B418" s="6" t="n">
        <v>3</v>
      </c>
      <c r="C418" s="4" t="n">
        <v>310</v>
      </c>
      <c r="D418" s="6" t="n">
        <v>31</v>
      </c>
      <c r="E418" s="4" t="n">
        <f aca="false">INDEX(Evaporasi!$B$5:$B$16,MATCH(B418,Evaporasi!$A$5:$A$16,0))</f>
        <v>166.18</v>
      </c>
      <c r="F418" s="17" t="n">
        <f aca="false">Kawasan!$B$11*Kawasan!$B$9*C418/1000</f>
        <v>2579.2</v>
      </c>
      <c r="G418" s="17" t="n">
        <f aca="false">C418*Desain_Kolam!$B$9/1000</f>
        <v>1640.675</v>
      </c>
      <c r="H418" s="17" t="n">
        <f aca="false">Kawasan!$B$28*D418</f>
        <v>1547.52</v>
      </c>
      <c r="I418" s="17" t="n">
        <f aca="false">E418*Desain_Kolam!$B$9/1000</f>
        <v>879.50765</v>
      </c>
      <c r="J418" s="17" t="n">
        <f aca="false">F418+G418-H418-I418</f>
        <v>1792.84735</v>
      </c>
      <c r="K418" s="17" t="n">
        <f aca="false">K417+J418</f>
        <v>61400.849125</v>
      </c>
      <c r="L418" s="17" t="n">
        <f aca="false">MAX(L417,K418)</f>
        <v>61400.849125</v>
      </c>
      <c r="M418" s="17" t="n">
        <f aca="false">L418-K418</f>
        <v>0</v>
      </c>
      <c r="N418" s="17" t="n">
        <f aca="false">MIN(Desain_Kolam!$B$21,MAX(0,N417+F418+G418-H418-I418))</f>
        <v>15823.566675</v>
      </c>
      <c r="O418" s="6" t="n">
        <f aca="false">IF(N417+F418+G418-I418&gt;=H418,1,0)</f>
        <v>1</v>
      </c>
    </row>
    <row r="419" customFormat="false" ht="15" hidden="false" customHeight="false" outlineLevel="0" collapsed="false">
      <c r="A419" s="6" t="n">
        <v>2017</v>
      </c>
      <c r="B419" s="6" t="n">
        <v>4</v>
      </c>
      <c r="C419" s="4" t="n">
        <v>216</v>
      </c>
      <c r="D419" s="6" t="n">
        <v>30</v>
      </c>
      <c r="E419" s="4" t="n">
        <f aca="false">INDEX(Evaporasi!$B$5:$B$16,MATCH(B419,Evaporasi!$A$5:$A$16,0))</f>
        <v>157.75</v>
      </c>
      <c r="F419" s="17" t="n">
        <f aca="false">Kawasan!$B$11*Kawasan!$B$9*C419/1000</f>
        <v>1797.12</v>
      </c>
      <c r="G419" s="17" t="n">
        <f aca="false">C419*Desain_Kolam!$B$9/1000</f>
        <v>1143.18</v>
      </c>
      <c r="H419" s="17" t="n">
        <f aca="false">Kawasan!$B$28*D419</f>
        <v>1497.6</v>
      </c>
      <c r="I419" s="17" t="n">
        <f aca="false">E419*Desain_Kolam!$B$9/1000</f>
        <v>834.891875</v>
      </c>
      <c r="J419" s="17" t="n">
        <f aca="false">F419+G419-H419-I419</f>
        <v>607.808125</v>
      </c>
      <c r="K419" s="17" t="n">
        <f aca="false">K418+J419</f>
        <v>62008.65725</v>
      </c>
      <c r="L419" s="17" t="n">
        <f aca="false">MAX(L418,K419)</f>
        <v>62008.65725</v>
      </c>
      <c r="M419" s="17" t="n">
        <f aca="false">L419-K419</f>
        <v>0</v>
      </c>
      <c r="N419" s="17" t="n">
        <f aca="false">MIN(Desain_Kolam!$B$21,MAX(0,N418+F419+G419-H419-I419))</f>
        <v>15823.566675</v>
      </c>
      <c r="O419" s="6" t="n">
        <f aca="false">IF(N418+F419+G419-I419&gt;=H419,1,0)</f>
        <v>1</v>
      </c>
    </row>
    <row r="420" customFormat="false" ht="15" hidden="false" customHeight="false" outlineLevel="0" collapsed="false">
      <c r="A420" s="6" t="n">
        <v>2017</v>
      </c>
      <c r="B420" s="6" t="n">
        <v>5</v>
      </c>
      <c r="C420" s="4" t="n">
        <v>314</v>
      </c>
      <c r="D420" s="6" t="n">
        <v>31</v>
      </c>
      <c r="E420" s="4" t="n">
        <f aca="false">INDEX(Evaporasi!$B$5:$B$16,MATCH(B420,Evaporasi!$A$5:$A$16,0))</f>
        <v>158.35</v>
      </c>
      <c r="F420" s="17" t="n">
        <f aca="false">Kawasan!$B$11*Kawasan!$B$9*C420/1000</f>
        <v>2612.48</v>
      </c>
      <c r="G420" s="17" t="n">
        <f aca="false">C420*Desain_Kolam!$B$9/1000</f>
        <v>1661.845</v>
      </c>
      <c r="H420" s="17" t="n">
        <f aca="false">Kawasan!$B$28*D420</f>
        <v>1547.52</v>
      </c>
      <c r="I420" s="17" t="n">
        <f aca="false">E420*Desain_Kolam!$B$9/1000</f>
        <v>838.067375</v>
      </c>
      <c r="J420" s="17" t="n">
        <f aca="false">F420+G420-H420-I420</f>
        <v>1888.737625</v>
      </c>
      <c r="K420" s="17" t="n">
        <f aca="false">K419+J420</f>
        <v>63897.394875</v>
      </c>
      <c r="L420" s="17" t="n">
        <f aca="false">MAX(L419,K420)</f>
        <v>63897.394875</v>
      </c>
      <c r="M420" s="17" t="n">
        <f aca="false">L420-K420</f>
        <v>0</v>
      </c>
      <c r="N420" s="17" t="n">
        <f aca="false">MIN(Desain_Kolam!$B$21,MAX(0,N419+F420+G420-H420-I420))</f>
        <v>15823.566675</v>
      </c>
      <c r="O420" s="6" t="n">
        <f aca="false">IF(N419+F420+G420-I420&gt;=H420,1,0)</f>
        <v>1</v>
      </c>
    </row>
    <row r="421" customFormat="false" ht="15" hidden="false" customHeight="false" outlineLevel="0" collapsed="false">
      <c r="A421" s="6" t="n">
        <v>2017</v>
      </c>
      <c r="B421" s="6" t="n">
        <v>6</v>
      </c>
      <c r="C421" s="4" t="n">
        <v>248</v>
      </c>
      <c r="D421" s="6" t="n">
        <v>30</v>
      </c>
      <c r="E421" s="4" t="n">
        <f aca="false">INDEX(Evaporasi!$B$5:$B$16,MATCH(B421,Evaporasi!$A$5:$A$16,0))</f>
        <v>150.17</v>
      </c>
      <c r="F421" s="17" t="n">
        <f aca="false">Kawasan!$B$11*Kawasan!$B$9*C421/1000</f>
        <v>2063.36</v>
      </c>
      <c r="G421" s="17" t="n">
        <f aca="false">C421*Desain_Kolam!$B$9/1000</f>
        <v>1312.54</v>
      </c>
      <c r="H421" s="17" t="n">
        <f aca="false">Kawasan!$B$28*D421</f>
        <v>1497.6</v>
      </c>
      <c r="I421" s="17" t="n">
        <f aca="false">E421*Desain_Kolam!$B$9/1000</f>
        <v>794.774725</v>
      </c>
      <c r="J421" s="17" t="n">
        <f aca="false">F421+G421-H421-I421</f>
        <v>1083.525275</v>
      </c>
      <c r="K421" s="17" t="n">
        <f aca="false">K420+J421</f>
        <v>64980.92015</v>
      </c>
      <c r="L421" s="17" t="n">
        <f aca="false">MAX(L420,K421)</f>
        <v>64980.92015</v>
      </c>
      <c r="M421" s="17" t="n">
        <f aca="false">L421-K421</f>
        <v>0</v>
      </c>
      <c r="N421" s="17" t="n">
        <f aca="false">MIN(Desain_Kolam!$B$21,MAX(0,N420+F421+G421-H421-I421))</f>
        <v>15823.566675</v>
      </c>
      <c r="O421" s="6" t="n">
        <f aca="false">IF(N420+F421+G421-I421&gt;=H421,1,0)</f>
        <v>1</v>
      </c>
    </row>
    <row r="422" customFormat="false" ht="15" hidden="false" customHeight="false" outlineLevel="0" collapsed="false">
      <c r="A422" s="6" t="n">
        <v>2017</v>
      </c>
      <c r="B422" s="6" t="n">
        <v>7</v>
      </c>
      <c r="C422" s="4" t="n">
        <v>279</v>
      </c>
      <c r="D422" s="6" t="n">
        <v>31</v>
      </c>
      <c r="E422" s="4" t="n">
        <f aca="false">INDEX(Evaporasi!$B$5:$B$16,MATCH(B422,Evaporasi!$A$5:$A$16,0))</f>
        <v>160.84</v>
      </c>
      <c r="F422" s="17" t="n">
        <f aca="false">Kawasan!$B$11*Kawasan!$B$9*C422/1000</f>
        <v>2321.28</v>
      </c>
      <c r="G422" s="17" t="n">
        <f aca="false">C422*Desain_Kolam!$B$9/1000</f>
        <v>1476.6075</v>
      </c>
      <c r="H422" s="17" t="n">
        <f aca="false">Kawasan!$B$28*D422</f>
        <v>1547.52</v>
      </c>
      <c r="I422" s="17" t="n">
        <f aca="false">E422*Desain_Kolam!$B$9/1000</f>
        <v>851.2457</v>
      </c>
      <c r="J422" s="17" t="n">
        <f aca="false">F422+G422-H422-I422</f>
        <v>1399.1218</v>
      </c>
      <c r="K422" s="17" t="n">
        <f aca="false">K421+J422</f>
        <v>66380.04195</v>
      </c>
      <c r="L422" s="17" t="n">
        <f aca="false">MAX(L421,K422)</f>
        <v>66380.04195</v>
      </c>
      <c r="M422" s="17" t="n">
        <f aca="false">L422-K422</f>
        <v>0</v>
      </c>
      <c r="N422" s="17" t="n">
        <f aca="false">MIN(Desain_Kolam!$B$21,MAX(0,N421+F422+G422-H422-I422))</f>
        <v>15823.566675</v>
      </c>
      <c r="O422" s="6" t="n">
        <f aca="false">IF(N421+F422+G422-I422&gt;=H422,1,0)</f>
        <v>1</v>
      </c>
    </row>
    <row r="423" customFormat="false" ht="15" hidden="false" customHeight="false" outlineLevel="0" collapsed="false">
      <c r="A423" s="6" t="n">
        <v>2017</v>
      </c>
      <c r="B423" s="6" t="n">
        <v>8</v>
      </c>
      <c r="C423" s="4" t="n">
        <v>321</v>
      </c>
      <c r="D423" s="6" t="n">
        <v>31</v>
      </c>
      <c r="E423" s="4" t="n">
        <f aca="false">INDEX(Evaporasi!$B$5:$B$16,MATCH(B423,Evaporasi!$A$5:$A$16,0))</f>
        <v>161.16</v>
      </c>
      <c r="F423" s="17" t="n">
        <f aca="false">Kawasan!$B$11*Kawasan!$B$9*C423/1000</f>
        <v>2670.72</v>
      </c>
      <c r="G423" s="17" t="n">
        <f aca="false">C423*Desain_Kolam!$B$9/1000</f>
        <v>1698.8925</v>
      </c>
      <c r="H423" s="17" t="n">
        <f aca="false">Kawasan!$B$28*D423</f>
        <v>1547.52</v>
      </c>
      <c r="I423" s="17" t="n">
        <f aca="false">E423*Desain_Kolam!$B$9/1000</f>
        <v>852.9393</v>
      </c>
      <c r="J423" s="17" t="n">
        <f aca="false">F423+G423-H423-I423</f>
        <v>1969.1532</v>
      </c>
      <c r="K423" s="17" t="n">
        <f aca="false">K422+J423</f>
        <v>68349.19515</v>
      </c>
      <c r="L423" s="17" t="n">
        <f aca="false">MAX(L422,K423)</f>
        <v>68349.19515</v>
      </c>
      <c r="M423" s="17" t="n">
        <f aca="false">L423-K423</f>
        <v>0</v>
      </c>
      <c r="N423" s="17" t="n">
        <f aca="false">MIN(Desain_Kolam!$B$21,MAX(0,N422+F423+G423-H423-I423))</f>
        <v>15823.566675</v>
      </c>
      <c r="O423" s="6" t="n">
        <f aca="false">IF(N422+F423+G423-I423&gt;=H423,1,0)</f>
        <v>1</v>
      </c>
    </row>
    <row r="424" customFormat="false" ht="15" hidden="false" customHeight="false" outlineLevel="0" collapsed="false">
      <c r="A424" s="6" t="n">
        <v>2017</v>
      </c>
      <c r="B424" s="6" t="n">
        <v>9</v>
      </c>
      <c r="C424" s="4" t="n">
        <v>122</v>
      </c>
      <c r="D424" s="6" t="n">
        <v>30</v>
      </c>
      <c r="E424" s="4" t="n">
        <f aca="false">INDEX(Evaporasi!$B$5:$B$16,MATCH(B424,Evaporasi!$A$5:$A$16,0))</f>
        <v>159.21</v>
      </c>
      <c r="F424" s="17" t="n">
        <f aca="false">Kawasan!$B$11*Kawasan!$B$9*C424/1000</f>
        <v>1015.04</v>
      </c>
      <c r="G424" s="17" t="n">
        <f aca="false">C424*Desain_Kolam!$B$9/1000</f>
        <v>645.685</v>
      </c>
      <c r="H424" s="17" t="n">
        <f aca="false">Kawasan!$B$28*D424</f>
        <v>1497.6</v>
      </c>
      <c r="I424" s="17" t="n">
        <f aca="false">E424*Desain_Kolam!$B$9/1000</f>
        <v>842.618925</v>
      </c>
      <c r="J424" s="17" t="n">
        <f aca="false">F424+G424-H424-I424</f>
        <v>-679.493925</v>
      </c>
      <c r="K424" s="17" t="n">
        <f aca="false">K423+J424</f>
        <v>67669.701225</v>
      </c>
      <c r="L424" s="17" t="n">
        <f aca="false">MAX(L423,K424)</f>
        <v>68349.19515</v>
      </c>
      <c r="M424" s="17" t="n">
        <f aca="false">L424-K424</f>
        <v>679.493925000003</v>
      </c>
      <c r="N424" s="17" t="n">
        <f aca="false">MIN(Desain_Kolam!$B$21,MAX(0,N423+F424+G424-H424-I424))</f>
        <v>15144.07275</v>
      </c>
      <c r="O424" s="6" t="n">
        <f aca="false">IF(N423+F424+G424-I424&gt;=H424,1,0)</f>
        <v>1</v>
      </c>
    </row>
    <row r="425" customFormat="false" ht="15" hidden="false" customHeight="false" outlineLevel="0" collapsed="false">
      <c r="A425" s="6" t="n">
        <v>2017</v>
      </c>
      <c r="B425" s="6" t="n">
        <v>10</v>
      </c>
      <c r="C425" s="4" t="n">
        <v>107</v>
      </c>
      <c r="D425" s="6" t="n">
        <v>31</v>
      </c>
      <c r="E425" s="4" t="n">
        <f aca="false">INDEX(Evaporasi!$B$5:$B$16,MATCH(B425,Evaporasi!$A$5:$A$16,0))</f>
        <v>151.5</v>
      </c>
      <c r="F425" s="17" t="n">
        <f aca="false">Kawasan!$B$11*Kawasan!$B$9*C425/1000</f>
        <v>890.24</v>
      </c>
      <c r="G425" s="17" t="n">
        <f aca="false">C425*Desain_Kolam!$B$9/1000</f>
        <v>566.2975</v>
      </c>
      <c r="H425" s="17" t="n">
        <f aca="false">Kawasan!$B$28*D425</f>
        <v>1547.52</v>
      </c>
      <c r="I425" s="17" t="n">
        <f aca="false">E425*Desain_Kolam!$B$9/1000</f>
        <v>801.81375</v>
      </c>
      <c r="J425" s="17" t="n">
        <f aca="false">F425+G425-H425-I425</f>
        <v>-892.79625</v>
      </c>
      <c r="K425" s="17" t="n">
        <f aca="false">K424+J425</f>
        <v>66776.904975</v>
      </c>
      <c r="L425" s="17" t="n">
        <f aca="false">MAX(L424,K425)</f>
        <v>68349.19515</v>
      </c>
      <c r="M425" s="17" t="n">
        <f aca="false">L425-K425</f>
        <v>1572.290175</v>
      </c>
      <c r="N425" s="17" t="n">
        <f aca="false">MIN(Desain_Kolam!$B$21,MAX(0,N424+F425+G425-H425-I425))</f>
        <v>14251.2765</v>
      </c>
      <c r="O425" s="6" t="n">
        <f aca="false">IF(N424+F425+G425-I425&gt;=H425,1,0)</f>
        <v>1</v>
      </c>
    </row>
    <row r="426" customFormat="false" ht="15" hidden="false" customHeight="false" outlineLevel="0" collapsed="false">
      <c r="A426" s="6" t="n">
        <v>2017</v>
      </c>
      <c r="B426" s="6" t="n">
        <v>11</v>
      </c>
      <c r="C426" s="4" t="n">
        <v>184</v>
      </c>
      <c r="D426" s="6" t="n">
        <v>30</v>
      </c>
      <c r="E426" s="4" t="n">
        <f aca="false">INDEX(Evaporasi!$B$5:$B$16,MATCH(B426,Evaporasi!$A$5:$A$16,0))</f>
        <v>142.3</v>
      </c>
      <c r="F426" s="17" t="n">
        <f aca="false">Kawasan!$B$11*Kawasan!$B$9*C426/1000</f>
        <v>1530.88</v>
      </c>
      <c r="G426" s="17" t="n">
        <f aca="false">C426*Desain_Kolam!$B$9/1000</f>
        <v>973.82</v>
      </c>
      <c r="H426" s="17" t="n">
        <f aca="false">Kawasan!$B$28*D426</f>
        <v>1497.6</v>
      </c>
      <c r="I426" s="17" t="n">
        <f aca="false">E426*Desain_Kolam!$B$9/1000</f>
        <v>753.12275</v>
      </c>
      <c r="J426" s="17" t="n">
        <f aca="false">F426+G426-H426-I426</f>
        <v>253.97725</v>
      </c>
      <c r="K426" s="17" t="n">
        <f aca="false">K425+J426</f>
        <v>67030.882225</v>
      </c>
      <c r="L426" s="17" t="n">
        <f aca="false">MAX(L425,K426)</f>
        <v>68349.19515</v>
      </c>
      <c r="M426" s="17" t="n">
        <f aca="false">L426-K426</f>
        <v>1318.31292500001</v>
      </c>
      <c r="N426" s="17" t="n">
        <f aca="false">MIN(Desain_Kolam!$B$21,MAX(0,N425+F426+G426-H426-I426))</f>
        <v>14505.25375</v>
      </c>
      <c r="O426" s="6" t="n">
        <f aca="false">IF(N425+F426+G426-I426&gt;=H426,1,0)</f>
        <v>1</v>
      </c>
    </row>
    <row r="427" customFormat="false" ht="15" hidden="false" customHeight="false" outlineLevel="0" collapsed="false">
      <c r="A427" s="6" t="n">
        <v>2017</v>
      </c>
      <c r="B427" s="6" t="n">
        <v>12</v>
      </c>
      <c r="C427" s="4" t="n">
        <v>120</v>
      </c>
      <c r="D427" s="6" t="n">
        <v>31</v>
      </c>
      <c r="E427" s="4" t="n">
        <f aca="false">INDEX(Evaporasi!$B$5:$B$16,MATCH(B427,Evaporasi!$A$5:$A$16,0))</f>
        <v>145.07</v>
      </c>
      <c r="F427" s="17" t="n">
        <f aca="false">Kawasan!$B$11*Kawasan!$B$9*C427/1000</f>
        <v>998.4</v>
      </c>
      <c r="G427" s="17" t="n">
        <f aca="false">C427*Desain_Kolam!$B$9/1000</f>
        <v>635.1</v>
      </c>
      <c r="H427" s="17" t="n">
        <f aca="false">Kawasan!$B$28*D427</f>
        <v>1547.52</v>
      </c>
      <c r="I427" s="17" t="n">
        <f aca="false">E427*Desain_Kolam!$B$9/1000</f>
        <v>767.782975</v>
      </c>
      <c r="J427" s="17" t="n">
        <f aca="false">F427+G427-H427-I427</f>
        <v>-681.802975</v>
      </c>
      <c r="K427" s="17" t="n">
        <f aca="false">K426+J427</f>
        <v>66349.07925</v>
      </c>
      <c r="L427" s="17" t="n">
        <f aca="false">MAX(L426,K427)</f>
        <v>68349.19515</v>
      </c>
      <c r="M427" s="17" t="n">
        <f aca="false">L427-K427</f>
        <v>2000.1159</v>
      </c>
      <c r="N427" s="17" t="n">
        <f aca="false">MIN(Desain_Kolam!$B$21,MAX(0,N426+F427+G427-H427-I427))</f>
        <v>13823.450775</v>
      </c>
      <c r="O427" s="6" t="n">
        <f aca="false">IF(N426+F427+G427-I427&gt;=H427,1,0)</f>
        <v>1</v>
      </c>
    </row>
    <row r="428" customFormat="false" ht="15" hidden="false" customHeight="false" outlineLevel="0" collapsed="false">
      <c r="A428" s="6" t="n">
        <v>2018</v>
      </c>
      <c r="B428" s="6" t="n">
        <v>1</v>
      </c>
      <c r="C428" s="4" t="n">
        <v>220</v>
      </c>
      <c r="D428" s="6" t="n">
        <v>31</v>
      </c>
      <c r="E428" s="4" t="n">
        <f aca="false">INDEX(Evaporasi!$B$5:$B$16,MATCH(B428,Evaporasi!$A$5:$A$16,0))</f>
        <v>149.98</v>
      </c>
      <c r="F428" s="17" t="n">
        <f aca="false">Kawasan!$B$11*Kawasan!$B$9*C428/1000</f>
        <v>1830.4</v>
      </c>
      <c r="G428" s="17" t="n">
        <f aca="false">C428*Desain_Kolam!$B$9/1000</f>
        <v>1164.35</v>
      </c>
      <c r="H428" s="17" t="n">
        <f aca="false">Kawasan!$B$28*D428</f>
        <v>1547.52</v>
      </c>
      <c r="I428" s="17" t="n">
        <f aca="false">E428*Desain_Kolam!$B$9/1000</f>
        <v>793.76915</v>
      </c>
      <c r="J428" s="17" t="n">
        <f aca="false">F428+G428-H428-I428</f>
        <v>653.46085</v>
      </c>
      <c r="K428" s="17" t="n">
        <f aca="false">K427+J428</f>
        <v>67002.5401</v>
      </c>
      <c r="L428" s="17" t="n">
        <f aca="false">MAX(L427,K428)</f>
        <v>68349.19515</v>
      </c>
      <c r="M428" s="17" t="n">
        <f aca="false">L428-K428</f>
        <v>1346.65505</v>
      </c>
      <c r="N428" s="17" t="n">
        <f aca="false">MIN(Desain_Kolam!$B$21,MAX(0,N427+F428+G428-H428-I428))</f>
        <v>14476.911625</v>
      </c>
      <c r="O428" s="6" t="n">
        <f aca="false">IF(N427+F428+G428-I428&gt;=H428,1,0)</f>
        <v>1</v>
      </c>
    </row>
    <row r="429" customFormat="false" ht="15" hidden="false" customHeight="false" outlineLevel="0" collapsed="false">
      <c r="A429" s="6" t="n">
        <v>2018</v>
      </c>
      <c r="B429" s="6" t="n">
        <v>2</v>
      </c>
      <c r="C429" s="4" t="n">
        <v>93</v>
      </c>
      <c r="D429" s="6" t="n">
        <v>28</v>
      </c>
      <c r="E429" s="4" t="n">
        <f aca="false">INDEX(Evaporasi!$B$5:$B$16,MATCH(B429,Evaporasi!$A$5:$A$16,0))</f>
        <v>148.64</v>
      </c>
      <c r="F429" s="17" t="n">
        <f aca="false">Kawasan!$B$11*Kawasan!$B$9*C429/1000</f>
        <v>773.76</v>
      </c>
      <c r="G429" s="17" t="n">
        <f aca="false">C429*Desain_Kolam!$B$9/1000</f>
        <v>492.2025</v>
      </c>
      <c r="H429" s="17" t="n">
        <f aca="false">Kawasan!$B$28*D429</f>
        <v>1397.76</v>
      </c>
      <c r="I429" s="17" t="n">
        <f aca="false">E429*Desain_Kolam!$B$9/1000</f>
        <v>786.6772</v>
      </c>
      <c r="J429" s="17" t="n">
        <f aca="false">F429+G429-H429-I429</f>
        <v>-918.4747</v>
      </c>
      <c r="K429" s="17" t="n">
        <f aca="false">K428+J429</f>
        <v>66084.0654</v>
      </c>
      <c r="L429" s="17" t="n">
        <f aca="false">MAX(L428,K429)</f>
        <v>68349.19515</v>
      </c>
      <c r="M429" s="17" t="n">
        <f aca="false">L429-K429</f>
        <v>2265.12975000001</v>
      </c>
      <c r="N429" s="17" t="n">
        <f aca="false">MIN(Desain_Kolam!$B$21,MAX(0,N428+F429+G429-H429-I429))</f>
        <v>13558.436925</v>
      </c>
      <c r="O429" s="6" t="n">
        <f aca="false">IF(N428+F429+G429-I429&gt;=H429,1,0)</f>
        <v>1</v>
      </c>
    </row>
    <row r="430" customFormat="false" ht="15" hidden="false" customHeight="false" outlineLevel="0" collapsed="false">
      <c r="A430" s="6" t="n">
        <v>2018</v>
      </c>
      <c r="B430" s="6" t="n">
        <v>3</v>
      </c>
      <c r="C430" s="4" t="n">
        <v>162</v>
      </c>
      <c r="D430" s="6" t="n">
        <v>31</v>
      </c>
      <c r="E430" s="4" t="n">
        <f aca="false">INDEX(Evaporasi!$B$5:$B$16,MATCH(B430,Evaporasi!$A$5:$A$16,0))</f>
        <v>166.18</v>
      </c>
      <c r="F430" s="17" t="n">
        <f aca="false">Kawasan!$B$11*Kawasan!$B$9*C430/1000</f>
        <v>1347.84</v>
      </c>
      <c r="G430" s="17" t="n">
        <f aca="false">C430*Desain_Kolam!$B$9/1000</f>
        <v>857.385</v>
      </c>
      <c r="H430" s="17" t="n">
        <f aca="false">Kawasan!$B$28*D430</f>
        <v>1547.52</v>
      </c>
      <c r="I430" s="17" t="n">
        <f aca="false">E430*Desain_Kolam!$B$9/1000</f>
        <v>879.50765</v>
      </c>
      <c r="J430" s="17" t="n">
        <f aca="false">F430+G430-H430-I430</f>
        <v>-221.80265</v>
      </c>
      <c r="K430" s="17" t="n">
        <f aca="false">K429+J430</f>
        <v>65862.26275</v>
      </c>
      <c r="L430" s="17" t="n">
        <f aca="false">MAX(L429,K430)</f>
        <v>68349.19515</v>
      </c>
      <c r="M430" s="17" t="n">
        <f aca="false">L430-K430</f>
        <v>2486.93240000001</v>
      </c>
      <c r="N430" s="17" t="n">
        <f aca="false">MIN(Desain_Kolam!$B$21,MAX(0,N429+F430+G430-H430-I430))</f>
        <v>13336.634275</v>
      </c>
      <c r="O430" s="6" t="n">
        <f aca="false">IF(N429+F430+G430-I430&gt;=H430,1,0)</f>
        <v>1</v>
      </c>
    </row>
    <row r="431" customFormat="false" ht="15" hidden="false" customHeight="false" outlineLevel="0" collapsed="false">
      <c r="A431" s="6" t="n">
        <v>2018</v>
      </c>
      <c r="B431" s="6" t="n">
        <v>4</v>
      </c>
      <c r="C431" s="4" t="n">
        <v>135</v>
      </c>
      <c r="D431" s="6" t="n">
        <v>30</v>
      </c>
      <c r="E431" s="4" t="n">
        <f aca="false">INDEX(Evaporasi!$B$5:$B$16,MATCH(B431,Evaporasi!$A$5:$A$16,0))</f>
        <v>157.75</v>
      </c>
      <c r="F431" s="17" t="n">
        <f aca="false">Kawasan!$B$11*Kawasan!$B$9*C431/1000</f>
        <v>1123.2</v>
      </c>
      <c r="G431" s="17" t="n">
        <f aca="false">C431*Desain_Kolam!$B$9/1000</f>
        <v>714.4875</v>
      </c>
      <c r="H431" s="17" t="n">
        <f aca="false">Kawasan!$B$28*D431</f>
        <v>1497.6</v>
      </c>
      <c r="I431" s="17" t="n">
        <f aca="false">E431*Desain_Kolam!$B$9/1000</f>
        <v>834.891875</v>
      </c>
      <c r="J431" s="17" t="n">
        <f aca="false">F431+G431-H431-I431</f>
        <v>-494.804375</v>
      </c>
      <c r="K431" s="17" t="n">
        <f aca="false">K430+J431</f>
        <v>65367.458375</v>
      </c>
      <c r="L431" s="17" t="n">
        <f aca="false">MAX(L430,K431)</f>
        <v>68349.19515</v>
      </c>
      <c r="M431" s="17" t="n">
        <f aca="false">L431-K431</f>
        <v>2981.73677500001</v>
      </c>
      <c r="N431" s="17" t="n">
        <f aca="false">MIN(Desain_Kolam!$B$21,MAX(0,N430+F431+G431-H431-I431))</f>
        <v>12841.8299</v>
      </c>
      <c r="O431" s="6" t="n">
        <f aca="false">IF(N430+F431+G431-I431&gt;=H431,1,0)</f>
        <v>1</v>
      </c>
    </row>
    <row r="432" customFormat="false" ht="15" hidden="false" customHeight="false" outlineLevel="0" collapsed="false">
      <c r="A432" s="6" t="n">
        <v>2018</v>
      </c>
      <c r="B432" s="6" t="n">
        <v>5</v>
      </c>
      <c r="C432" s="4" t="n">
        <v>214</v>
      </c>
      <c r="D432" s="6" t="n">
        <v>31</v>
      </c>
      <c r="E432" s="4" t="n">
        <f aca="false">INDEX(Evaporasi!$B$5:$B$16,MATCH(B432,Evaporasi!$A$5:$A$16,0))</f>
        <v>158.35</v>
      </c>
      <c r="F432" s="17" t="n">
        <f aca="false">Kawasan!$B$11*Kawasan!$B$9*C432/1000</f>
        <v>1780.48</v>
      </c>
      <c r="G432" s="17" t="n">
        <f aca="false">C432*Desain_Kolam!$B$9/1000</f>
        <v>1132.595</v>
      </c>
      <c r="H432" s="17" t="n">
        <f aca="false">Kawasan!$B$28*D432</f>
        <v>1547.52</v>
      </c>
      <c r="I432" s="17" t="n">
        <f aca="false">E432*Desain_Kolam!$B$9/1000</f>
        <v>838.067375</v>
      </c>
      <c r="J432" s="17" t="n">
        <f aca="false">F432+G432-H432-I432</f>
        <v>527.487625</v>
      </c>
      <c r="K432" s="17" t="n">
        <f aca="false">K431+J432</f>
        <v>65894.946</v>
      </c>
      <c r="L432" s="17" t="n">
        <f aca="false">MAX(L431,K432)</f>
        <v>68349.19515</v>
      </c>
      <c r="M432" s="17" t="n">
        <f aca="false">L432-K432</f>
        <v>2454.24915</v>
      </c>
      <c r="N432" s="17" t="n">
        <f aca="false">MIN(Desain_Kolam!$B$21,MAX(0,N431+F432+G432-H432-I432))</f>
        <v>13369.317525</v>
      </c>
      <c r="O432" s="6" t="n">
        <f aca="false">IF(N431+F432+G432-I432&gt;=H432,1,0)</f>
        <v>1</v>
      </c>
    </row>
    <row r="433" customFormat="false" ht="15" hidden="false" customHeight="false" outlineLevel="0" collapsed="false">
      <c r="A433" s="6" t="n">
        <v>2018</v>
      </c>
      <c r="B433" s="6" t="n">
        <v>6</v>
      </c>
      <c r="C433" s="4" t="n">
        <v>125</v>
      </c>
      <c r="D433" s="6" t="n">
        <v>30</v>
      </c>
      <c r="E433" s="4" t="n">
        <f aca="false">INDEX(Evaporasi!$B$5:$B$16,MATCH(B433,Evaporasi!$A$5:$A$16,0))</f>
        <v>150.17</v>
      </c>
      <c r="F433" s="17" t="n">
        <f aca="false">Kawasan!$B$11*Kawasan!$B$9*C433/1000</f>
        <v>1040</v>
      </c>
      <c r="G433" s="17" t="n">
        <f aca="false">C433*Desain_Kolam!$B$9/1000</f>
        <v>661.5625</v>
      </c>
      <c r="H433" s="17" t="n">
        <f aca="false">Kawasan!$B$28*D433</f>
        <v>1497.6</v>
      </c>
      <c r="I433" s="17" t="n">
        <f aca="false">E433*Desain_Kolam!$B$9/1000</f>
        <v>794.774725</v>
      </c>
      <c r="J433" s="17" t="n">
        <f aca="false">F433+G433-H433-I433</f>
        <v>-590.812225</v>
      </c>
      <c r="K433" s="17" t="n">
        <f aca="false">K432+J433</f>
        <v>65304.133775</v>
      </c>
      <c r="L433" s="17" t="n">
        <f aca="false">MAX(L432,K433)</f>
        <v>68349.19515</v>
      </c>
      <c r="M433" s="17" t="n">
        <f aca="false">L433-K433</f>
        <v>3045.06137500001</v>
      </c>
      <c r="N433" s="17" t="n">
        <f aca="false">MIN(Desain_Kolam!$B$21,MAX(0,N432+F433+G433-H433-I433))</f>
        <v>12778.5053</v>
      </c>
      <c r="O433" s="6" t="n">
        <f aca="false">IF(N432+F433+G433-I433&gt;=H433,1,0)</f>
        <v>1</v>
      </c>
    </row>
    <row r="434" customFormat="false" ht="15" hidden="false" customHeight="false" outlineLevel="0" collapsed="false">
      <c r="A434" s="6" t="n">
        <v>2018</v>
      </c>
      <c r="B434" s="6" t="n">
        <v>7</v>
      </c>
      <c r="C434" s="4" t="n">
        <v>24</v>
      </c>
      <c r="D434" s="6" t="n">
        <v>31</v>
      </c>
      <c r="E434" s="4" t="n">
        <f aca="false">INDEX(Evaporasi!$B$5:$B$16,MATCH(B434,Evaporasi!$A$5:$A$16,0))</f>
        <v>160.84</v>
      </c>
      <c r="F434" s="17" t="n">
        <f aca="false">Kawasan!$B$11*Kawasan!$B$9*C434/1000</f>
        <v>199.68</v>
      </c>
      <c r="G434" s="17" t="n">
        <f aca="false">C434*Desain_Kolam!$B$9/1000</f>
        <v>127.02</v>
      </c>
      <c r="H434" s="17" t="n">
        <f aca="false">Kawasan!$B$28*D434</f>
        <v>1547.52</v>
      </c>
      <c r="I434" s="17" t="n">
        <f aca="false">E434*Desain_Kolam!$B$9/1000</f>
        <v>851.2457</v>
      </c>
      <c r="J434" s="17" t="n">
        <f aca="false">F434+G434-H434-I434</f>
        <v>-2072.0657</v>
      </c>
      <c r="K434" s="17" t="n">
        <f aca="false">K433+J434</f>
        <v>63232.068075</v>
      </c>
      <c r="L434" s="17" t="n">
        <f aca="false">MAX(L433,K434)</f>
        <v>68349.19515</v>
      </c>
      <c r="M434" s="17" t="n">
        <f aca="false">L434-K434</f>
        <v>5117.127075</v>
      </c>
      <c r="N434" s="17" t="n">
        <f aca="false">MIN(Desain_Kolam!$B$21,MAX(0,N433+F434+G434-H434-I434))</f>
        <v>10706.4396</v>
      </c>
      <c r="O434" s="6" t="n">
        <f aca="false">IF(N433+F434+G434-I434&gt;=H434,1,0)</f>
        <v>1</v>
      </c>
    </row>
    <row r="435" customFormat="false" ht="15" hidden="false" customHeight="false" outlineLevel="0" collapsed="false">
      <c r="A435" s="6" t="n">
        <v>2018</v>
      </c>
      <c r="B435" s="6" t="n">
        <v>8</v>
      </c>
      <c r="C435" s="4" t="n">
        <v>48</v>
      </c>
      <c r="D435" s="6" t="n">
        <v>31</v>
      </c>
      <c r="E435" s="4" t="n">
        <f aca="false">INDEX(Evaporasi!$B$5:$B$16,MATCH(B435,Evaporasi!$A$5:$A$16,0))</f>
        <v>161.16</v>
      </c>
      <c r="F435" s="17" t="n">
        <f aca="false">Kawasan!$B$11*Kawasan!$B$9*C435/1000</f>
        <v>399.36</v>
      </c>
      <c r="G435" s="17" t="n">
        <f aca="false">C435*Desain_Kolam!$B$9/1000</f>
        <v>254.04</v>
      </c>
      <c r="H435" s="17" t="n">
        <f aca="false">Kawasan!$B$28*D435</f>
        <v>1547.52</v>
      </c>
      <c r="I435" s="17" t="n">
        <f aca="false">E435*Desain_Kolam!$B$9/1000</f>
        <v>852.9393</v>
      </c>
      <c r="J435" s="17" t="n">
        <f aca="false">F435+G435-H435-I435</f>
        <v>-1747.0593</v>
      </c>
      <c r="K435" s="17" t="n">
        <f aca="false">K434+J435</f>
        <v>61485.008775</v>
      </c>
      <c r="L435" s="17" t="n">
        <f aca="false">MAX(L434,K435)</f>
        <v>68349.19515</v>
      </c>
      <c r="M435" s="17" t="n">
        <f aca="false">L435-K435</f>
        <v>6864.18637500001</v>
      </c>
      <c r="N435" s="17" t="n">
        <f aca="false">MIN(Desain_Kolam!$B$21,MAX(0,N434+F435+G435-H435-I435))</f>
        <v>8959.3803</v>
      </c>
      <c r="O435" s="6" t="n">
        <f aca="false">IF(N434+F435+G435-I435&gt;=H435,1,0)</f>
        <v>1</v>
      </c>
    </row>
    <row r="436" customFormat="false" ht="15" hidden="false" customHeight="false" outlineLevel="0" collapsed="false">
      <c r="A436" s="6" t="n">
        <v>2018</v>
      </c>
      <c r="B436" s="6" t="n">
        <v>9</v>
      </c>
      <c r="C436" s="4" t="n">
        <v>103</v>
      </c>
      <c r="D436" s="6" t="n">
        <v>30</v>
      </c>
      <c r="E436" s="4" t="n">
        <f aca="false">INDEX(Evaporasi!$B$5:$B$16,MATCH(B436,Evaporasi!$A$5:$A$16,0))</f>
        <v>159.21</v>
      </c>
      <c r="F436" s="17" t="n">
        <f aca="false">Kawasan!$B$11*Kawasan!$B$9*C436/1000</f>
        <v>856.96</v>
      </c>
      <c r="G436" s="17" t="n">
        <f aca="false">C436*Desain_Kolam!$B$9/1000</f>
        <v>545.1275</v>
      </c>
      <c r="H436" s="17" t="n">
        <f aca="false">Kawasan!$B$28*D436</f>
        <v>1497.6</v>
      </c>
      <c r="I436" s="17" t="n">
        <f aca="false">E436*Desain_Kolam!$B$9/1000</f>
        <v>842.618925</v>
      </c>
      <c r="J436" s="17" t="n">
        <f aca="false">F436+G436-H436-I436</f>
        <v>-938.131425</v>
      </c>
      <c r="K436" s="17" t="n">
        <f aca="false">K435+J436</f>
        <v>60546.87735</v>
      </c>
      <c r="L436" s="17" t="n">
        <f aca="false">MAX(L435,K436)</f>
        <v>68349.19515</v>
      </c>
      <c r="M436" s="17" t="n">
        <f aca="false">L436-K436</f>
        <v>7802.3178</v>
      </c>
      <c r="N436" s="17" t="n">
        <f aca="false">MIN(Desain_Kolam!$B$21,MAX(0,N435+F436+G436-H436-I436))</f>
        <v>8021.248875</v>
      </c>
      <c r="O436" s="6" t="n">
        <f aca="false">IF(N435+F436+G436-I436&gt;=H436,1,0)</f>
        <v>1</v>
      </c>
    </row>
    <row r="437" customFormat="false" ht="15" hidden="false" customHeight="false" outlineLevel="0" collapsed="false">
      <c r="A437" s="6" t="n">
        <v>2018</v>
      </c>
      <c r="B437" s="6" t="n">
        <v>10</v>
      </c>
      <c r="C437" s="4" t="n">
        <v>176</v>
      </c>
      <c r="D437" s="6" t="n">
        <v>31</v>
      </c>
      <c r="E437" s="4" t="n">
        <f aca="false">INDEX(Evaporasi!$B$5:$B$16,MATCH(B437,Evaporasi!$A$5:$A$16,0))</f>
        <v>151.5</v>
      </c>
      <c r="F437" s="17" t="n">
        <f aca="false">Kawasan!$B$11*Kawasan!$B$9*C437/1000</f>
        <v>1464.32</v>
      </c>
      <c r="G437" s="17" t="n">
        <f aca="false">C437*Desain_Kolam!$B$9/1000</f>
        <v>931.48</v>
      </c>
      <c r="H437" s="17" t="n">
        <f aca="false">Kawasan!$B$28*D437</f>
        <v>1547.52</v>
      </c>
      <c r="I437" s="17" t="n">
        <f aca="false">E437*Desain_Kolam!$B$9/1000</f>
        <v>801.81375</v>
      </c>
      <c r="J437" s="17" t="n">
        <f aca="false">F437+G437-H437-I437</f>
        <v>46.4662500000002</v>
      </c>
      <c r="K437" s="17" t="n">
        <f aca="false">K436+J437</f>
        <v>60593.3436</v>
      </c>
      <c r="L437" s="17" t="n">
        <f aca="false">MAX(L436,K437)</f>
        <v>68349.19515</v>
      </c>
      <c r="M437" s="17" t="n">
        <f aca="false">L437-K437</f>
        <v>7755.85155000001</v>
      </c>
      <c r="N437" s="17" t="n">
        <f aca="false">MIN(Desain_Kolam!$B$21,MAX(0,N436+F437+G437-H437-I437))</f>
        <v>8067.715125</v>
      </c>
      <c r="O437" s="6" t="n">
        <f aca="false">IF(N436+F437+G437-I437&gt;=H437,1,0)</f>
        <v>1</v>
      </c>
    </row>
    <row r="438" customFormat="false" ht="15" hidden="false" customHeight="false" outlineLevel="0" collapsed="false">
      <c r="A438" s="6" t="n">
        <v>2018</v>
      </c>
      <c r="B438" s="6" t="n">
        <v>11</v>
      </c>
      <c r="C438" s="4" t="n">
        <v>172</v>
      </c>
      <c r="D438" s="6" t="n">
        <v>30</v>
      </c>
      <c r="E438" s="4" t="n">
        <f aca="false">INDEX(Evaporasi!$B$5:$B$16,MATCH(B438,Evaporasi!$A$5:$A$16,0))</f>
        <v>142.3</v>
      </c>
      <c r="F438" s="17" t="n">
        <f aca="false">Kawasan!$B$11*Kawasan!$B$9*C438/1000</f>
        <v>1431.04</v>
      </c>
      <c r="G438" s="17" t="n">
        <f aca="false">C438*Desain_Kolam!$B$9/1000</f>
        <v>910.31</v>
      </c>
      <c r="H438" s="17" t="n">
        <f aca="false">Kawasan!$B$28*D438</f>
        <v>1497.6</v>
      </c>
      <c r="I438" s="17" t="n">
        <f aca="false">E438*Desain_Kolam!$B$9/1000</f>
        <v>753.12275</v>
      </c>
      <c r="J438" s="17" t="n">
        <f aca="false">F438+G438-H438-I438</f>
        <v>90.6272499999997</v>
      </c>
      <c r="K438" s="17" t="n">
        <f aca="false">K437+J438</f>
        <v>60683.97085</v>
      </c>
      <c r="L438" s="17" t="n">
        <f aca="false">MAX(L437,K438)</f>
        <v>68349.19515</v>
      </c>
      <c r="M438" s="17" t="n">
        <f aca="false">L438-K438</f>
        <v>7665.22430000001</v>
      </c>
      <c r="N438" s="17" t="n">
        <f aca="false">MIN(Desain_Kolam!$B$21,MAX(0,N437+F438+G438-H438-I438))</f>
        <v>8158.342375</v>
      </c>
      <c r="O438" s="6" t="n">
        <f aca="false">IF(N437+F438+G438-I438&gt;=H438,1,0)</f>
        <v>1</v>
      </c>
    </row>
    <row r="439" customFormat="false" ht="15" hidden="false" customHeight="false" outlineLevel="0" collapsed="false">
      <c r="A439" s="6" t="n">
        <v>2018</v>
      </c>
      <c r="B439" s="6" t="n">
        <v>12</v>
      </c>
      <c r="C439" s="4" t="n">
        <v>182</v>
      </c>
      <c r="D439" s="6" t="n">
        <v>31</v>
      </c>
      <c r="E439" s="4" t="n">
        <f aca="false">INDEX(Evaporasi!$B$5:$B$16,MATCH(B439,Evaporasi!$A$5:$A$16,0))</f>
        <v>145.07</v>
      </c>
      <c r="F439" s="17" t="n">
        <f aca="false">Kawasan!$B$11*Kawasan!$B$9*C439/1000</f>
        <v>1514.24</v>
      </c>
      <c r="G439" s="17" t="n">
        <f aca="false">C439*Desain_Kolam!$B$9/1000</f>
        <v>963.235</v>
      </c>
      <c r="H439" s="17" t="n">
        <f aca="false">Kawasan!$B$28*D439</f>
        <v>1547.52</v>
      </c>
      <c r="I439" s="17" t="n">
        <f aca="false">E439*Desain_Kolam!$B$9/1000</f>
        <v>767.782975</v>
      </c>
      <c r="J439" s="17" t="n">
        <f aca="false">F439+G439-H439-I439</f>
        <v>162.172025</v>
      </c>
      <c r="K439" s="17" t="n">
        <f aca="false">K438+J439</f>
        <v>60846.142875</v>
      </c>
      <c r="L439" s="17" t="n">
        <f aca="false">MAX(L438,K439)</f>
        <v>68349.19515</v>
      </c>
      <c r="M439" s="17" t="n">
        <f aca="false">L439-K439</f>
        <v>7503.05227500001</v>
      </c>
      <c r="N439" s="17" t="n">
        <f aca="false">MIN(Desain_Kolam!$B$21,MAX(0,N438+F439+G439-H439-I439))</f>
        <v>8320.5144</v>
      </c>
      <c r="O439" s="6" t="n">
        <f aca="false">IF(N438+F439+G439-I439&gt;=H439,1,0)</f>
        <v>1</v>
      </c>
    </row>
    <row r="440" customFormat="false" ht="15" hidden="false" customHeight="false" outlineLevel="0" collapsed="false">
      <c r="A440" s="6" t="n">
        <v>2019</v>
      </c>
      <c r="B440" s="6" t="n">
        <v>1</v>
      </c>
      <c r="C440" s="4" t="n">
        <v>124</v>
      </c>
      <c r="D440" s="6" t="n">
        <v>31</v>
      </c>
      <c r="E440" s="4" t="n">
        <f aca="false">INDEX(Evaporasi!$B$5:$B$16,MATCH(B440,Evaporasi!$A$5:$A$16,0))</f>
        <v>149.98</v>
      </c>
      <c r="F440" s="17" t="n">
        <f aca="false">Kawasan!$B$11*Kawasan!$B$9*C440/1000</f>
        <v>1031.68</v>
      </c>
      <c r="G440" s="17" t="n">
        <f aca="false">C440*Desain_Kolam!$B$9/1000</f>
        <v>656.27</v>
      </c>
      <c r="H440" s="17" t="n">
        <f aca="false">Kawasan!$B$28*D440</f>
        <v>1547.52</v>
      </c>
      <c r="I440" s="17" t="n">
        <f aca="false">E440*Desain_Kolam!$B$9/1000</f>
        <v>793.76915</v>
      </c>
      <c r="J440" s="17" t="n">
        <f aca="false">F440+G440-H440-I440</f>
        <v>-653.33915</v>
      </c>
      <c r="K440" s="17" t="n">
        <f aca="false">K439+J440</f>
        <v>60192.803725</v>
      </c>
      <c r="L440" s="17" t="n">
        <f aca="false">MAX(L439,K440)</f>
        <v>68349.19515</v>
      </c>
      <c r="M440" s="17" t="n">
        <f aca="false">L440-K440</f>
        <v>8156.39142500001</v>
      </c>
      <c r="N440" s="17" t="n">
        <f aca="false">MIN(Desain_Kolam!$B$21,MAX(0,N439+F440+G440-H440-I440))</f>
        <v>7667.17525</v>
      </c>
      <c r="O440" s="6" t="n">
        <f aca="false">IF(N439+F440+G440-I440&gt;=H440,1,0)</f>
        <v>1</v>
      </c>
    </row>
    <row r="441" customFormat="false" ht="15" hidden="false" customHeight="false" outlineLevel="0" collapsed="false">
      <c r="A441" s="6" t="n">
        <v>2019</v>
      </c>
      <c r="B441" s="6" t="n">
        <v>2</v>
      </c>
      <c r="C441" s="4" t="n">
        <v>207</v>
      </c>
      <c r="D441" s="6" t="n">
        <v>28</v>
      </c>
      <c r="E441" s="4" t="n">
        <f aca="false">INDEX(Evaporasi!$B$5:$B$16,MATCH(B441,Evaporasi!$A$5:$A$16,0))</f>
        <v>148.64</v>
      </c>
      <c r="F441" s="17" t="n">
        <f aca="false">Kawasan!$B$11*Kawasan!$B$9*C441/1000</f>
        <v>1722.24</v>
      </c>
      <c r="G441" s="17" t="n">
        <f aca="false">C441*Desain_Kolam!$B$9/1000</f>
        <v>1095.5475</v>
      </c>
      <c r="H441" s="17" t="n">
        <f aca="false">Kawasan!$B$28*D441</f>
        <v>1397.76</v>
      </c>
      <c r="I441" s="17" t="n">
        <f aca="false">E441*Desain_Kolam!$B$9/1000</f>
        <v>786.6772</v>
      </c>
      <c r="J441" s="17" t="n">
        <f aca="false">F441+G441-H441-I441</f>
        <v>633.3503</v>
      </c>
      <c r="K441" s="17" t="n">
        <f aca="false">K440+J441</f>
        <v>60826.154025</v>
      </c>
      <c r="L441" s="17" t="n">
        <f aca="false">MAX(L440,K441)</f>
        <v>68349.19515</v>
      </c>
      <c r="M441" s="17" t="n">
        <f aca="false">L441-K441</f>
        <v>7523.04112500001</v>
      </c>
      <c r="N441" s="17" t="n">
        <f aca="false">MIN(Desain_Kolam!$B$21,MAX(0,N440+F441+G441-H441-I441))</f>
        <v>8300.52555</v>
      </c>
      <c r="O441" s="6" t="n">
        <f aca="false">IF(N440+F441+G441-I441&gt;=H441,1,0)</f>
        <v>1</v>
      </c>
    </row>
    <row r="442" customFormat="false" ht="15" hidden="false" customHeight="false" outlineLevel="0" collapsed="false">
      <c r="A442" s="6" t="n">
        <v>2019</v>
      </c>
      <c r="B442" s="6" t="n">
        <v>3</v>
      </c>
      <c r="C442" s="4" t="n">
        <v>44</v>
      </c>
      <c r="D442" s="6" t="n">
        <v>31</v>
      </c>
      <c r="E442" s="4" t="n">
        <f aca="false">INDEX(Evaporasi!$B$5:$B$16,MATCH(B442,Evaporasi!$A$5:$A$16,0))</f>
        <v>166.18</v>
      </c>
      <c r="F442" s="17" t="n">
        <f aca="false">Kawasan!$B$11*Kawasan!$B$9*C442/1000</f>
        <v>366.08</v>
      </c>
      <c r="G442" s="17" t="n">
        <f aca="false">C442*Desain_Kolam!$B$9/1000</f>
        <v>232.87</v>
      </c>
      <c r="H442" s="17" t="n">
        <f aca="false">Kawasan!$B$28*D442</f>
        <v>1547.52</v>
      </c>
      <c r="I442" s="17" t="n">
        <f aca="false">E442*Desain_Kolam!$B$9/1000</f>
        <v>879.50765</v>
      </c>
      <c r="J442" s="17" t="n">
        <f aca="false">F442+G442-H442-I442</f>
        <v>-1828.07765</v>
      </c>
      <c r="K442" s="17" t="n">
        <f aca="false">K441+J442</f>
        <v>58998.076375</v>
      </c>
      <c r="L442" s="17" t="n">
        <f aca="false">MAX(L441,K442)</f>
        <v>68349.19515</v>
      </c>
      <c r="M442" s="17" t="n">
        <f aca="false">L442-K442</f>
        <v>9351.11877500001</v>
      </c>
      <c r="N442" s="17" t="n">
        <f aca="false">MIN(Desain_Kolam!$B$21,MAX(0,N441+F442+G442-H442-I442))</f>
        <v>6472.4479</v>
      </c>
      <c r="O442" s="6" t="n">
        <f aca="false">IF(N441+F442+G442-I442&gt;=H442,1,0)</f>
        <v>1</v>
      </c>
    </row>
    <row r="443" customFormat="false" ht="15" hidden="false" customHeight="false" outlineLevel="0" collapsed="false">
      <c r="A443" s="6" t="n">
        <v>2019</v>
      </c>
      <c r="B443" s="6" t="n">
        <v>4</v>
      </c>
      <c r="C443" s="4" t="n">
        <v>151</v>
      </c>
      <c r="D443" s="6" t="n">
        <v>30</v>
      </c>
      <c r="E443" s="4" t="n">
        <f aca="false">INDEX(Evaporasi!$B$5:$B$16,MATCH(B443,Evaporasi!$A$5:$A$16,0))</f>
        <v>157.75</v>
      </c>
      <c r="F443" s="17" t="n">
        <f aca="false">Kawasan!$B$11*Kawasan!$B$9*C443/1000</f>
        <v>1256.32</v>
      </c>
      <c r="G443" s="17" t="n">
        <f aca="false">C443*Desain_Kolam!$B$9/1000</f>
        <v>799.1675</v>
      </c>
      <c r="H443" s="17" t="n">
        <f aca="false">Kawasan!$B$28*D443</f>
        <v>1497.6</v>
      </c>
      <c r="I443" s="17" t="n">
        <f aca="false">E443*Desain_Kolam!$B$9/1000</f>
        <v>834.891875</v>
      </c>
      <c r="J443" s="17" t="n">
        <f aca="false">F443+G443-H443-I443</f>
        <v>-277.004375</v>
      </c>
      <c r="K443" s="17" t="n">
        <f aca="false">K442+J443</f>
        <v>58721.072</v>
      </c>
      <c r="L443" s="17" t="n">
        <f aca="false">MAX(L442,K443)</f>
        <v>68349.19515</v>
      </c>
      <c r="M443" s="17" t="n">
        <f aca="false">L443-K443</f>
        <v>9628.12315000001</v>
      </c>
      <c r="N443" s="17" t="n">
        <f aca="false">MIN(Desain_Kolam!$B$21,MAX(0,N442+F443+G443-H443-I443))</f>
        <v>6195.443525</v>
      </c>
      <c r="O443" s="6" t="n">
        <f aca="false">IF(N442+F443+G443-I443&gt;=H443,1,0)</f>
        <v>1</v>
      </c>
    </row>
    <row r="444" customFormat="false" ht="15" hidden="false" customHeight="false" outlineLevel="0" collapsed="false">
      <c r="A444" s="6" t="n">
        <v>2019</v>
      </c>
      <c r="B444" s="6" t="n">
        <v>5</v>
      </c>
      <c r="C444" s="4" t="n">
        <v>118</v>
      </c>
      <c r="D444" s="6" t="n">
        <v>31</v>
      </c>
      <c r="E444" s="4" t="n">
        <f aca="false">INDEX(Evaporasi!$B$5:$B$16,MATCH(B444,Evaporasi!$A$5:$A$16,0))</f>
        <v>158.35</v>
      </c>
      <c r="F444" s="17" t="n">
        <f aca="false">Kawasan!$B$11*Kawasan!$B$9*C444/1000</f>
        <v>981.76</v>
      </c>
      <c r="G444" s="17" t="n">
        <f aca="false">C444*Desain_Kolam!$B$9/1000</f>
        <v>624.515</v>
      </c>
      <c r="H444" s="17" t="n">
        <f aca="false">Kawasan!$B$28*D444</f>
        <v>1547.52</v>
      </c>
      <c r="I444" s="17" t="n">
        <f aca="false">E444*Desain_Kolam!$B$9/1000</f>
        <v>838.067375</v>
      </c>
      <c r="J444" s="17" t="n">
        <f aca="false">F444+G444-H444-I444</f>
        <v>-779.312375</v>
      </c>
      <c r="K444" s="17" t="n">
        <f aca="false">K443+J444</f>
        <v>57941.759625</v>
      </c>
      <c r="L444" s="17" t="n">
        <f aca="false">MAX(L443,K444)</f>
        <v>68349.19515</v>
      </c>
      <c r="M444" s="17" t="n">
        <f aca="false">L444-K444</f>
        <v>10407.435525</v>
      </c>
      <c r="N444" s="17" t="n">
        <f aca="false">MIN(Desain_Kolam!$B$21,MAX(0,N443+F444+G444-H444-I444))</f>
        <v>5416.13115</v>
      </c>
      <c r="O444" s="6" t="n">
        <f aca="false">IF(N443+F444+G444-I444&gt;=H444,1,0)</f>
        <v>1</v>
      </c>
    </row>
    <row r="445" customFormat="false" ht="15" hidden="false" customHeight="false" outlineLevel="0" collapsed="false">
      <c r="A445" s="6" t="n">
        <v>2019</v>
      </c>
      <c r="B445" s="6" t="n">
        <v>6</v>
      </c>
      <c r="C445" s="4" t="n">
        <v>125</v>
      </c>
      <c r="D445" s="6" t="n">
        <v>30</v>
      </c>
      <c r="E445" s="4" t="n">
        <f aca="false">INDEX(Evaporasi!$B$5:$B$16,MATCH(B445,Evaporasi!$A$5:$A$16,0))</f>
        <v>150.17</v>
      </c>
      <c r="F445" s="17" t="n">
        <f aca="false">Kawasan!$B$11*Kawasan!$B$9*C445/1000</f>
        <v>1040</v>
      </c>
      <c r="G445" s="17" t="n">
        <f aca="false">C445*Desain_Kolam!$B$9/1000</f>
        <v>661.5625</v>
      </c>
      <c r="H445" s="17" t="n">
        <f aca="false">Kawasan!$B$28*D445</f>
        <v>1497.6</v>
      </c>
      <c r="I445" s="17" t="n">
        <f aca="false">E445*Desain_Kolam!$B$9/1000</f>
        <v>794.774725</v>
      </c>
      <c r="J445" s="17" t="n">
        <f aca="false">F445+G445-H445-I445</f>
        <v>-590.812225</v>
      </c>
      <c r="K445" s="17" t="n">
        <f aca="false">K444+J445</f>
        <v>57350.9474</v>
      </c>
      <c r="L445" s="17" t="n">
        <f aca="false">MAX(L444,K445)</f>
        <v>68349.19515</v>
      </c>
      <c r="M445" s="17" t="n">
        <f aca="false">L445-K445</f>
        <v>10998.24775</v>
      </c>
      <c r="N445" s="17" t="n">
        <f aca="false">MIN(Desain_Kolam!$B$21,MAX(0,N444+F445+G445-H445-I445))</f>
        <v>4825.318925</v>
      </c>
      <c r="O445" s="6" t="n">
        <f aca="false">IF(N444+F445+G445-I445&gt;=H445,1,0)</f>
        <v>1</v>
      </c>
    </row>
    <row r="446" customFormat="false" ht="15" hidden="false" customHeight="false" outlineLevel="0" collapsed="false">
      <c r="A446" s="6" t="n">
        <v>2019</v>
      </c>
      <c r="B446" s="6" t="n">
        <v>7</v>
      </c>
      <c r="C446" s="4" t="n">
        <v>53</v>
      </c>
      <c r="D446" s="6" t="n">
        <v>31</v>
      </c>
      <c r="E446" s="4" t="n">
        <f aca="false">INDEX(Evaporasi!$B$5:$B$16,MATCH(B446,Evaporasi!$A$5:$A$16,0))</f>
        <v>160.84</v>
      </c>
      <c r="F446" s="17" t="n">
        <f aca="false">Kawasan!$B$11*Kawasan!$B$9*C446/1000</f>
        <v>440.96</v>
      </c>
      <c r="G446" s="17" t="n">
        <f aca="false">C446*Desain_Kolam!$B$9/1000</f>
        <v>280.5025</v>
      </c>
      <c r="H446" s="17" t="n">
        <f aca="false">Kawasan!$B$28*D446</f>
        <v>1547.52</v>
      </c>
      <c r="I446" s="17" t="n">
        <f aca="false">E446*Desain_Kolam!$B$9/1000</f>
        <v>851.2457</v>
      </c>
      <c r="J446" s="17" t="n">
        <f aca="false">F446+G446-H446-I446</f>
        <v>-1677.3032</v>
      </c>
      <c r="K446" s="17" t="n">
        <f aca="false">K445+J446</f>
        <v>55673.6442</v>
      </c>
      <c r="L446" s="17" t="n">
        <f aca="false">MAX(L445,K446)</f>
        <v>68349.19515</v>
      </c>
      <c r="M446" s="17" t="n">
        <f aca="false">L446-K446</f>
        <v>12675.55095</v>
      </c>
      <c r="N446" s="17" t="n">
        <f aca="false">MIN(Desain_Kolam!$B$21,MAX(0,N445+F446+G446-H446-I446))</f>
        <v>3148.015725</v>
      </c>
      <c r="O446" s="6" t="n">
        <f aca="false">IF(N445+F446+G446-I446&gt;=H446,1,0)</f>
        <v>1</v>
      </c>
    </row>
    <row r="447" customFormat="false" ht="15" hidden="false" customHeight="false" outlineLevel="0" collapsed="false">
      <c r="A447" s="6" t="n">
        <v>2019</v>
      </c>
      <c r="B447" s="6" t="n">
        <v>8</v>
      </c>
      <c r="C447" s="4" t="n">
        <v>76</v>
      </c>
      <c r="D447" s="6" t="n">
        <v>31</v>
      </c>
      <c r="E447" s="4" t="n">
        <f aca="false">INDEX(Evaporasi!$B$5:$B$16,MATCH(B447,Evaporasi!$A$5:$A$16,0))</f>
        <v>161.16</v>
      </c>
      <c r="F447" s="17" t="n">
        <f aca="false">Kawasan!$B$11*Kawasan!$B$9*C447/1000</f>
        <v>632.32</v>
      </c>
      <c r="G447" s="17" t="n">
        <f aca="false">C447*Desain_Kolam!$B$9/1000</f>
        <v>402.23</v>
      </c>
      <c r="H447" s="17" t="n">
        <f aca="false">Kawasan!$B$28*D447</f>
        <v>1547.52</v>
      </c>
      <c r="I447" s="17" t="n">
        <f aca="false">E447*Desain_Kolam!$B$9/1000</f>
        <v>852.9393</v>
      </c>
      <c r="J447" s="17" t="n">
        <f aca="false">F447+G447-H447-I447</f>
        <v>-1365.9093</v>
      </c>
      <c r="K447" s="17" t="n">
        <f aca="false">K446+J447</f>
        <v>54307.7349</v>
      </c>
      <c r="L447" s="17" t="n">
        <f aca="false">MAX(L446,K447)</f>
        <v>68349.19515</v>
      </c>
      <c r="M447" s="17" t="n">
        <f aca="false">L447-K447</f>
        <v>14041.46025</v>
      </c>
      <c r="N447" s="17" t="n">
        <f aca="false">MIN(Desain_Kolam!$B$21,MAX(0,N446+F447+G447-H447-I447))</f>
        <v>1782.106425</v>
      </c>
      <c r="O447" s="6" t="n">
        <f aca="false">IF(N446+F447+G447-I447&gt;=H447,1,0)</f>
        <v>1</v>
      </c>
    </row>
    <row r="448" customFormat="false" ht="15" hidden="false" customHeight="false" outlineLevel="0" collapsed="false">
      <c r="A448" s="6" t="n">
        <v>2019</v>
      </c>
      <c r="B448" s="6" t="n">
        <v>9</v>
      </c>
      <c r="C448" s="4" t="n">
        <v>41</v>
      </c>
      <c r="D448" s="6" t="n">
        <v>30</v>
      </c>
      <c r="E448" s="4" t="n">
        <f aca="false">INDEX(Evaporasi!$B$5:$B$16,MATCH(B448,Evaporasi!$A$5:$A$16,0))</f>
        <v>159.21</v>
      </c>
      <c r="F448" s="17" t="n">
        <f aca="false">Kawasan!$B$11*Kawasan!$B$9*C448/1000</f>
        <v>341.12</v>
      </c>
      <c r="G448" s="17" t="n">
        <f aca="false">C448*Desain_Kolam!$B$9/1000</f>
        <v>216.9925</v>
      </c>
      <c r="H448" s="17" t="n">
        <f aca="false">Kawasan!$B$28*D448</f>
        <v>1497.6</v>
      </c>
      <c r="I448" s="17" t="n">
        <f aca="false">E448*Desain_Kolam!$B$9/1000</f>
        <v>842.618925</v>
      </c>
      <c r="J448" s="17" t="n">
        <f aca="false">F448+G448-H448-I448</f>
        <v>-1782.106425</v>
      </c>
      <c r="K448" s="17" t="n">
        <f aca="false">K447+J448</f>
        <v>52525.628475</v>
      </c>
      <c r="L448" s="17" t="n">
        <f aca="false">MAX(L447,K448)</f>
        <v>68349.19515</v>
      </c>
      <c r="M448" s="17" t="n">
        <f aca="false">L448-K448</f>
        <v>15823.566675</v>
      </c>
      <c r="N448" s="17" t="n">
        <f aca="false">MIN(Desain_Kolam!$B$21,MAX(0,N447+F448+G448-H448-I448))</f>
        <v>0</v>
      </c>
      <c r="O448" s="6" t="n">
        <f aca="false">IF(N447+F448+G448-I448&gt;=H448,1,0)</f>
        <v>1</v>
      </c>
    </row>
    <row r="449" customFormat="false" ht="15" hidden="false" customHeight="false" outlineLevel="0" collapsed="false">
      <c r="A449" s="6" t="n">
        <v>2019</v>
      </c>
      <c r="B449" s="6" t="n">
        <v>10</v>
      </c>
      <c r="C449" s="4" t="n">
        <v>548</v>
      </c>
      <c r="D449" s="6" t="n">
        <v>31</v>
      </c>
      <c r="E449" s="4" t="n">
        <f aca="false">INDEX(Evaporasi!$B$5:$B$16,MATCH(B449,Evaporasi!$A$5:$A$16,0))</f>
        <v>151.5</v>
      </c>
      <c r="F449" s="17" t="n">
        <f aca="false">Kawasan!$B$11*Kawasan!$B$9*C449/1000</f>
        <v>4559.36</v>
      </c>
      <c r="G449" s="17" t="n">
        <f aca="false">C449*Desain_Kolam!$B$9/1000</f>
        <v>2900.29</v>
      </c>
      <c r="H449" s="17" t="n">
        <f aca="false">Kawasan!$B$28*D449</f>
        <v>1547.52</v>
      </c>
      <c r="I449" s="17" t="n">
        <f aca="false">E449*Desain_Kolam!$B$9/1000</f>
        <v>801.81375</v>
      </c>
      <c r="J449" s="17" t="n">
        <f aca="false">F449+G449-H449-I449</f>
        <v>5110.31625</v>
      </c>
      <c r="K449" s="17" t="n">
        <f aca="false">K448+J449</f>
        <v>57635.944725</v>
      </c>
      <c r="L449" s="17" t="n">
        <f aca="false">MAX(L448,K449)</f>
        <v>68349.19515</v>
      </c>
      <c r="M449" s="17" t="n">
        <f aca="false">L449-K449</f>
        <v>10713.250425</v>
      </c>
      <c r="N449" s="17" t="n">
        <f aca="false">MIN(Desain_Kolam!$B$21,MAX(0,N448+F449+G449-H449-I449))</f>
        <v>5110.31625</v>
      </c>
      <c r="O449" s="6" t="n">
        <f aca="false">IF(N448+F449+G449-I449&gt;=H449,1,0)</f>
        <v>1</v>
      </c>
    </row>
    <row r="450" customFormat="false" ht="15" hidden="false" customHeight="false" outlineLevel="0" collapsed="false">
      <c r="A450" s="6" t="n">
        <v>2019</v>
      </c>
      <c r="B450" s="6" t="n">
        <v>11</v>
      </c>
      <c r="C450" s="4" t="n">
        <v>469</v>
      </c>
      <c r="D450" s="6" t="n">
        <v>30</v>
      </c>
      <c r="E450" s="4" t="n">
        <f aca="false">INDEX(Evaporasi!$B$5:$B$16,MATCH(B450,Evaporasi!$A$5:$A$16,0))</f>
        <v>142.3</v>
      </c>
      <c r="F450" s="17" t="n">
        <f aca="false">Kawasan!$B$11*Kawasan!$B$9*C450/1000</f>
        <v>3902.08</v>
      </c>
      <c r="G450" s="17" t="n">
        <f aca="false">C450*Desain_Kolam!$B$9/1000</f>
        <v>2482.1825</v>
      </c>
      <c r="H450" s="17" t="n">
        <f aca="false">Kawasan!$B$28*D450</f>
        <v>1497.6</v>
      </c>
      <c r="I450" s="17" t="n">
        <f aca="false">E450*Desain_Kolam!$B$9/1000</f>
        <v>753.12275</v>
      </c>
      <c r="J450" s="17" t="n">
        <f aca="false">F450+G450-H450-I450</f>
        <v>4133.53975</v>
      </c>
      <c r="K450" s="17" t="n">
        <f aca="false">K449+J450</f>
        <v>61769.484475</v>
      </c>
      <c r="L450" s="17" t="n">
        <f aca="false">MAX(L449,K450)</f>
        <v>68349.19515</v>
      </c>
      <c r="M450" s="17" t="n">
        <f aca="false">L450-K450</f>
        <v>6579.71067500002</v>
      </c>
      <c r="N450" s="17" t="n">
        <f aca="false">MIN(Desain_Kolam!$B$21,MAX(0,N449+F450+G450-H450-I450))</f>
        <v>9243.856</v>
      </c>
      <c r="O450" s="6" t="n">
        <f aca="false">IF(N449+F450+G450-I450&gt;=H450,1,0)</f>
        <v>1</v>
      </c>
    </row>
    <row r="451" customFormat="false" ht="15" hidden="false" customHeight="false" outlineLevel="0" collapsed="false">
      <c r="A451" s="6" t="n">
        <v>2019</v>
      </c>
      <c r="B451" s="6" t="n">
        <v>12</v>
      </c>
      <c r="C451" s="4" t="n">
        <v>357</v>
      </c>
      <c r="D451" s="6" t="n">
        <v>31</v>
      </c>
      <c r="E451" s="4" t="n">
        <f aca="false">INDEX(Evaporasi!$B$5:$B$16,MATCH(B451,Evaporasi!$A$5:$A$16,0))</f>
        <v>145.07</v>
      </c>
      <c r="F451" s="17" t="n">
        <f aca="false">Kawasan!$B$11*Kawasan!$B$9*C451/1000</f>
        <v>2970.24</v>
      </c>
      <c r="G451" s="17" t="n">
        <f aca="false">C451*Desain_Kolam!$B$9/1000</f>
        <v>1889.4225</v>
      </c>
      <c r="H451" s="17" t="n">
        <f aca="false">Kawasan!$B$28*D451</f>
        <v>1547.52</v>
      </c>
      <c r="I451" s="17" t="n">
        <f aca="false">E451*Desain_Kolam!$B$9/1000</f>
        <v>767.782975</v>
      </c>
      <c r="J451" s="17" t="n">
        <f aca="false">F451+G451-H451-I451</f>
        <v>2544.359525</v>
      </c>
      <c r="K451" s="17" t="n">
        <f aca="false">K450+J451</f>
        <v>64313.844</v>
      </c>
      <c r="L451" s="17" t="n">
        <f aca="false">MAX(L450,K451)</f>
        <v>68349.19515</v>
      </c>
      <c r="M451" s="17" t="n">
        <f aca="false">L451-K451</f>
        <v>4035.35115000002</v>
      </c>
      <c r="N451" s="17" t="n">
        <f aca="false">MIN(Desain_Kolam!$B$21,MAX(0,N450+F451+G451-H451-I451))</f>
        <v>11788.215525</v>
      </c>
      <c r="O451" s="6" t="n">
        <f aca="false">IF(N450+F451+G451-I451&gt;=H451,1,0)</f>
        <v>1</v>
      </c>
    </row>
    <row r="452" customFormat="false" ht="15" hidden="false" customHeight="false" outlineLevel="0" collapsed="false">
      <c r="A452" s="6" t="n">
        <v>2020</v>
      </c>
      <c r="B452" s="6" t="n">
        <v>1</v>
      </c>
      <c r="C452" s="4" t="n">
        <v>337</v>
      </c>
      <c r="D452" s="6" t="n">
        <v>31</v>
      </c>
      <c r="E452" s="4" t="n">
        <f aca="false">INDEX(Evaporasi!$B$5:$B$16,MATCH(B452,Evaporasi!$A$5:$A$16,0))</f>
        <v>149.98</v>
      </c>
      <c r="F452" s="17" t="n">
        <f aca="false">Kawasan!$B$11*Kawasan!$B$9*C452/1000</f>
        <v>2803.84</v>
      </c>
      <c r="G452" s="17" t="n">
        <f aca="false">C452*Desain_Kolam!$B$9/1000</f>
        <v>1783.5725</v>
      </c>
      <c r="H452" s="17" t="n">
        <f aca="false">Kawasan!$B$28*D452</f>
        <v>1547.52</v>
      </c>
      <c r="I452" s="17" t="n">
        <f aca="false">E452*Desain_Kolam!$B$9/1000</f>
        <v>793.76915</v>
      </c>
      <c r="J452" s="17" t="n">
        <f aca="false">F452+G452-H452-I452</f>
        <v>2246.12335</v>
      </c>
      <c r="K452" s="17" t="n">
        <f aca="false">K451+J452</f>
        <v>66559.96735</v>
      </c>
      <c r="L452" s="17" t="n">
        <f aca="false">MAX(L451,K452)</f>
        <v>68349.19515</v>
      </c>
      <c r="M452" s="17" t="n">
        <f aca="false">L452-K452</f>
        <v>1789.22780000002</v>
      </c>
      <c r="N452" s="17" t="n">
        <f aca="false">MIN(Desain_Kolam!$B$21,MAX(0,N451+F452+G452-H452-I452))</f>
        <v>14034.338875</v>
      </c>
      <c r="O452" s="6" t="n">
        <f aca="false">IF(N451+F452+G452-I452&gt;=H452,1,0)</f>
        <v>1</v>
      </c>
    </row>
    <row r="453" customFormat="false" ht="15" hidden="false" customHeight="false" outlineLevel="0" collapsed="false">
      <c r="A453" s="6" t="n">
        <v>2020</v>
      </c>
      <c r="B453" s="6" t="n">
        <v>2</v>
      </c>
      <c r="C453" s="4" t="n">
        <v>305</v>
      </c>
      <c r="D453" s="6" t="n">
        <v>29</v>
      </c>
      <c r="E453" s="4" t="n">
        <f aca="false">INDEX(Evaporasi!$B$5:$B$16,MATCH(B453,Evaporasi!$A$5:$A$16,0))</f>
        <v>148.64</v>
      </c>
      <c r="F453" s="17" t="n">
        <f aca="false">Kawasan!$B$11*Kawasan!$B$9*C453/1000</f>
        <v>2537.6</v>
      </c>
      <c r="G453" s="17" t="n">
        <f aca="false">C453*Desain_Kolam!$B$9/1000</f>
        <v>1614.2125</v>
      </c>
      <c r="H453" s="17" t="n">
        <f aca="false">Kawasan!$B$28*D453</f>
        <v>1447.68</v>
      </c>
      <c r="I453" s="17" t="n">
        <f aca="false">E453*Desain_Kolam!$B$9/1000</f>
        <v>786.6772</v>
      </c>
      <c r="J453" s="17" t="n">
        <f aca="false">F453+G453-H453-I453</f>
        <v>1917.4553</v>
      </c>
      <c r="K453" s="17" t="n">
        <f aca="false">K452+J453</f>
        <v>68477.42265</v>
      </c>
      <c r="L453" s="17" t="n">
        <f aca="false">MAX(L452,K453)</f>
        <v>68477.42265</v>
      </c>
      <c r="M453" s="17" t="n">
        <f aca="false">L453-K453</f>
        <v>0</v>
      </c>
      <c r="N453" s="17" t="n">
        <f aca="false">MIN(Desain_Kolam!$B$21,MAX(0,N452+F453+G453-H453-I453))</f>
        <v>15823.566675</v>
      </c>
      <c r="O453" s="6" t="n">
        <f aca="false">IF(N452+F453+G453-I453&gt;=H453,1,0)</f>
        <v>1</v>
      </c>
    </row>
    <row r="454" customFormat="false" ht="15" hidden="false" customHeight="false" outlineLevel="0" collapsed="false">
      <c r="A454" s="6" t="n">
        <v>2020</v>
      </c>
      <c r="B454" s="6" t="n">
        <v>3</v>
      </c>
      <c r="C454" s="4" t="n">
        <v>219</v>
      </c>
      <c r="D454" s="6" t="n">
        <v>31</v>
      </c>
      <c r="E454" s="4" t="n">
        <f aca="false">INDEX(Evaporasi!$B$5:$B$16,MATCH(B454,Evaporasi!$A$5:$A$16,0))</f>
        <v>166.18</v>
      </c>
      <c r="F454" s="17" t="n">
        <f aca="false">Kawasan!$B$11*Kawasan!$B$9*C454/1000</f>
        <v>1822.08</v>
      </c>
      <c r="G454" s="17" t="n">
        <f aca="false">C454*Desain_Kolam!$B$9/1000</f>
        <v>1159.0575</v>
      </c>
      <c r="H454" s="17" t="n">
        <f aca="false">Kawasan!$B$28*D454</f>
        <v>1547.52</v>
      </c>
      <c r="I454" s="17" t="n">
        <f aca="false">E454*Desain_Kolam!$B$9/1000</f>
        <v>879.50765</v>
      </c>
      <c r="J454" s="17" t="n">
        <f aca="false">F454+G454-H454-I454</f>
        <v>554.10985</v>
      </c>
      <c r="K454" s="17" t="n">
        <f aca="false">K453+J454</f>
        <v>69031.5325</v>
      </c>
      <c r="L454" s="17" t="n">
        <f aca="false">MAX(L453,K454)</f>
        <v>69031.5325</v>
      </c>
      <c r="M454" s="17" t="n">
        <f aca="false">L454-K454</f>
        <v>0</v>
      </c>
      <c r="N454" s="17" t="n">
        <f aca="false">MIN(Desain_Kolam!$B$21,MAX(0,N453+F454+G454-H454-I454))</f>
        <v>15823.566675</v>
      </c>
      <c r="O454" s="6" t="n">
        <f aca="false">IF(N453+F454+G454-I454&gt;=H454,1,0)</f>
        <v>1</v>
      </c>
    </row>
    <row r="455" customFormat="false" ht="15" hidden="false" customHeight="false" outlineLevel="0" collapsed="false">
      <c r="A455" s="6" t="n">
        <v>2020</v>
      </c>
      <c r="B455" s="6" t="n">
        <v>4</v>
      </c>
      <c r="C455" s="4" t="n">
        <v>358</v>
      </c>
      <c r="D455" s="6" t="n">
        <v>30</v>
      </c>
      <c r="E455" s="4" t="n">
        <f aca="false">INDEX(Evaporasi!$B$5:$B$16,MATCH(B455,Evaporasi!$A$5:$A$16,0))</f>
        <v>157.75</v>
      </c>
      <c r="F455" s="17" t="n">
        <f aca="false">Kawasan!$B$11*Kawasan!$B$9*C455/1000</f>
        <v>2978.56</v>
      </c>
      <c r="G455" s="17" t="n">
        <f aca="false">C455*Desain_Kolam!$B$9/1000</f>
        <v>1894.715</v>
      </c>
      <c r="H455" s="17" t="n">
        <f aca="false">Kawasan!$B$28*D455</f>
        <v>1497.6</v>
      </c>
      <c r="I455" s="17" t="n">
        <f aca="false">E455*Desain_Kolam!$B$9/1000</f>
        <v>834.891875</v>
      </c>
      <c r="J455" s="17" t="n">
        <f aca="false">F455+G455-H455-I455</f>
        <v>2540.783125</v>
      </c>
      <c r="K455" s="17" t="n">
        <f aca="false">K454+J455</f>
        <v>71572.315625</v>
      </c>
      <c r="L455" s="17" t="n">
        <f aca="false">MAX(L454,K455)</f>
        <v>71572.315625</v>
      </c>
      <c r="M455" s="17" t="n">
        <f aca="false">L455-K455</f>
        <v>0</v>
      </c>
      <c r="N455" s="17" t="n">
        <f aca="false">MIN(Desain_Kolam!$B$21,MAX(0,N454+F455+G455-H455-I455))</f>
        <v>15823.566675</v>
      </c>
      <c r="O455" s="6" t="n">
        <f aca="false">IF(N454+F455+G455-I455&gt;=H455,1,0)</f>
        <v>1</v>
      </c>
    </row>
    <row r="456" customFormat="false" ht="15" hidden="false" customHeight="false" outlineLevel="0" collapsed="false">
      <c r="A456" s="6" t="n">
        <v>2020</v>
      </c>
      <c r="B456" s="6" t="n">
        <v>5</v>
      </c>
      <c r="C456" s="4" t="n">
        <v>305</v>
      </c>
      <c r="D456" s="6" t="n">
        <v>31</v>
      </c>
      <c r="E456" s="4" t="n">
        <f aca="false">INDEX(Evaporasi!$B$5:$B$16,MATCH(B456,Evaporasi!$A$5:$A$16,0))</f>
        <v>158.35</v>
      </c>
      <c r="F456" s="17" t="n">
        <f aca="false">Kawasan!$B$11*Kawasan!$B$9*C456/1000</f>
        <v>2537.6</v>
      </c>
      <c r="G456" s="17" t="n">
        <f aca="false">C456*Desain_Kolam!$B$9/1000</f>
        <v>1614.2125</v>
      </c>
      <c r="H456" s="17" t="n">
        <f aca="false">Kawasan!$B$28*D456</f>
        <v>1547.52</v>
      </c>
      <c r="I456" s="17" t="n">
        <f aca="false">E456*Desain_Kolam!$B$9/1000</f>
        <v>838.067375</v>
      </c>
      <c r="J456" s="17" t="n">
        <f aca="false">F456+G456-H456-I456</f>
        <v>1766.225125</v>
      </c>
      <c r="K456" s="17" t="n">
        <f aca="false">K455+J456</f>
        <v>73338.54075</v>
      </c>
      <c r="L456" s="17" t="n">
        <f aca="false">MAX(L455,K456)</f>
        <v>73338.54075</v>
      </c>
      <c r="M456" s="17" t="n">
        <f aca="false">L456-K456</f>
        <v>0</v>
      </c>
      <c r="N456" s="17" t="n">
        <f aca="false">MIN(Desain_Kolam!$B$21,MAX(0,N455+F456+G456-H456-I456))</f>
        <v>15823.566675</v>
      </c>
      <c r="O456" s="6" t="n">
        <f aca="false">IF(N455+F456+G456-I456&gt;=H456,1,0)</f>
        <v>1</v>
      </c>
    </row>
    <row r="457" customFormat="false" ht="15" hidden="false" customHeight="false" outlineLevel="0" collapsed="false">
      <c r="A457" s="6" t="n">
        <v>2020</v>
      </c>
      <c r="B457" s="6" t="n">
        <v>6</v>
      </c>
      <c r="C457" s="4" t="n">
        <v>388</v>
      </c>
      <c r="D457" s="6" t="n">
        <v>30</v>
      </c>
      <c r="E457" s="4" t="n">
        <f aca="false">INDEX(Evaporasi!$B$5:$B$16,MATCH(B457,Evaporasi!$A$5:$A$16,0))</f>
        <v>150.17</v>
      </c>
      <c r="F457" s="17" t="n">
        <f aca="false">Kawasan!$B$11*Kawasan!$B$9*C457/1000</f>
        <v>3228.16</v>
      </c>
      <c r="G457" s="17" t="n">
        <f aca="false">C457*Desain_Kolam!$B$9/1000</f>
        <v>2053.49</v>
      </c>
      <c r="H457" s="17" t="n">
        <f aca="false">Kawasan!$B$28*D457</f>
        <v>1497.6</v>
      </c>
      <c r="I457" s="17" t="n">
        <f aca="false">E457*Desain_Kolam!$B$9/1000</f>
        <v>794.774725</v>
      </c>
      <c r="J457" s="17" t="n">
        <f aca="false">F457+G457-H457-I457</f>
        <v>2989.275275</v>
      </c>
      <c r="K457" s="17" t="n">
        <f aca="false">K456+J457</f>
        <v>76327.816025</v>
      </c>
      <c r="L457" s="17" t="n">
        <f aca="false">MAX(L456,K457)</f>
        <v>76327.816025</v>
      </c>
      <c r="M457" s="17" t="n">
        <f aca="false">L457-K457</f>
        <v>0</v>
      </c>
      <c r="N457" s="17" t="n">
        <f aca="false">MIN(Desain_Kolam!$B$21,MAX(0,N456+F457+G457-H457-I457))</f>
        <v>15823.566675</v>
      </c>
      <c r="O457" s="6" t="n">
        <f aca="false">IF(N456+F457+G457-I457&gt;=H457,1,0)</f>
        <v>1</v>
      </c>
    </row>
    <row r="458" customFormat="false" ht="15" hidden="false" customHeight="false" outlineLevel="0" collapsed="false">
      <c r="A458" s="6" t="n">
        <v>2020</v>
      </c>
      <c r="B458" s="6" t="n">
        <v>7</v>
      </c>
      <c r="C458" s="4" t="n">
        <v>507</v>
      </c>
      <c r="D458" s="6" t="n">
        <v>31</v>
      </c>
      <c r="E458" s="4" t="n">
        <f aca="false">INDEX(Evaporasi!$B$5:$B$16,MATCH(B458,Evaporasi!$A$5:$A$16,0))</f>
        <v>160.84</v>
      </c>
      <c r="F458" s="17" t="n">
        <f aca="false">Kawasan!$B$11*Kawasan!$B$9*C458/1000</f>
        <v>4218.24</v>
      </c>
      <c r="G458" s="17" t="n">
        <f aca="false">C458*Desain_Kolam!$B$9/1000</f>
        <v>2683.2975</v>
      </c>
      <c r="H458" s="17" t="n">
        <f aca="false">Kawasan!$B$28*D458</f>
        <v>1547.52</v>
      </c>
      <c r="I458" s="17" t="n">
        <f aca="false">E458*Desain_Kolam!$B$9/1000</f>
        <v>851.2457</v>
      </c>
      <c r="J458" s="17" t="n">
        <f aca="false">F458+G458-H458-I458</f>
        <v>4502.7718</v>
      </c>
      <c r="K458" s="17" t="n">
        <f aca="false">K457+J458</f>
        <v>80830.587825</v>
      </c>
      <c r="L458" s="17" t="n">
        <f aca="false">MAX(L457,K458)</f>
        <v>80830.587825</v>
      </c>
      <c r="M458" s="17" t="n">
        <f aca="false">L458-K458</f>
        <v>0</v>
      </c>
      <c r="N458" s="17" t="n">
        <f aca="false">MIN(Desain_Kolam!$B$21,MAX(0,N457+F458+G458-H458-I458))</f>
        <v>15823.566675</v>
      </c>
      <c r="O458" s="6" t="n">
        <f aca="false">IF(N457+F458+G458-I458&gt;=H458,1,0)</f>
        <v>1</v>
      </c>
    </row>
    <row r="459" customFormat="false" ht="15" hidden="false" customHeight="false" outlineLevel="0" collapsed="false">
      <c r="A459" s="6" t="n">
        <v>2020</v>
      </c>
      <c r="B459" s="6" t="n">
        <v>8</v>
      </c>
      <c r="C459" s="4" t="n">
        <v>212</v>
      </c>
      <c r="D459" s="6" t="n">
        <v>31</v>
      </c>
      <c r="E459" s="4" t="n">
        <f aca="false">INDEX(Evaporasi!$B$5:$B$16,MATCH(B459,Evaporasi!$A$5:$A$16,0))</f>
        <v>161.16</v>
      </c>
      <c r="F459" s="17" t="n">
        <f aca="false">Kawasan!$B$11*Kawasan!$B$9*C459/1000</f>
        <v>1763.84</v>
      </c>
      <c r="G459" s="17" t="n">
        <f aca="false">C459*Desain_Kolam!$B$9/1000</f>
        <v>1122.01</v>
      </c>
      <c r="H459" s="17" t="n">
        <f aca="false">Kawasan!$B$28*D459</f>
        <v>1547.52</v>
      </c>
      <c r="I459" s="17" t="n">
        <f aca="false">E459*Desain_Kolam!$B$9/1000</f>
        <v>852.9393</v>
      </c>
      <c r="J459" s="17" t="n">
        <f aca="false">F459+G459-H459-I459</f>
        <v>485.3907</v>
      </c>
      <c r="K459" s="17" t="n">
        <f aca="false">K458+J459</f>
        <v>81315.978525</v>
      </c>
      <c r="L459" s="17" t="n">
        <f aca="false">MAX(L458,K459)</f>
        <v>81315.978525</v>
      </c>
      <c r="M459" s="17" t="n">
        <f aca="false">L459-K459</f>
        <v>0</v>
      </c>
      <c r="N459" s="17" t="n">
        <f aca="false">MIN(Desain_Kolam!$B$21,MAX(0,N458+F459+G459-H459-I459))</f>
        <v>15823.566675</v>
      </c>
      <c r="O459" s="6" t="n">
        <f aca="false">IF(N458+F459+G459-I459&gt;=H459,1,0)</f>
        <v>1</v>
      </c>
    </row>
    <row r="460" customFormat="false" ht="15" hidden="false" customHeight="false" outlineLevel="0" collapsed="false">
      <c r="A460" s="6" t="n">
        <v>2020</v>
      </c>
      <c r="B460" s="6" t="n">
        <v>9</v>
      </c>
      <c r="C460" s="4" t="n">
        <v>460</v>
      </c>
      <c r="D460" s="6" t="n">
        <v>30</v>
      </c>
      <c r="E460" s="4" t="n">
        <f aca="false">INDEX(Evaporasi!$B$5:$B$16,MATCH(B460,Evaporasi!$A$5:$A$16,0))</f>
        <v>159.21</v>
      </c>
      <c r="F460" s="17" t="n">
        <f aca="false">Kawasan!$B$11*Kawasan!$B$9*C460/1000</f>
        <v>3827.2</v>
      </c>
      <c r="G460" s="17" t="n">
        <f aca="false">C460*Desain_Kolam!$B$9/1000</f>
        <v>2434.55</v>
      </c>
      <c r="H460" s="17" t="n">
        <f aca="false">Kawasan!$B$28*D460</f>
        <v>1497.6</v>
      </c>
      <c r="I460" s="17" t="n">
        <f aca="false">E460*Desain_Kolam!$B$9/1000</f>
        <v>842.618925</v>
      </c>
      <c r="J460" s="17" t="n">
        <f aca="false">F460+G460-H460-I460</f>
        <v>3921.531075</v>
      </c>
      <c r="K460" s="17" t="n">
        <f aca="false">K459+J460</f>
        <v>85237.5096</v>
      </c>
      <c r="L460" s="17" t="n">
        <f aca="false">MAX(L459,K460)</f>
        <v>85237.5096</v>
      </c>
      <c r="M460" s="17" t="n">
        <f aca="false">L460-K460</f>
        <v>0</v>
      </c>
      <c r="N460" s="17" t="n">
        <f aca="false">MIN(Desain_Kolam!$B$21,MAX(0,N459+F460+G460-H460-I460))</f>
        <v>15823.566675</v>
      </c>
      <c r="O460" s="6" t="n">
        <f aca="false">IF(N459+F460+G460-I460&gt;=H460,1,0)</f>
        <v>1</v>
      </c>
    </row>
    <row r="461" customFormat="false" ht="15" hidden="false" customHeight="false" outlineLevel="0" collapsed="false">
      <c r="A461" s="6" t="n">
        <v>2020</v>
      </c>
      <c r="B461" s="6" t="n">
        <v>10</v>
      </c>
      <c r="C461" s="4" t="n">
        <v>256</v>
      </c>
      <c r="D461" s="6" t="n">
        <v>31</v>
      </c>
      <c r="E461" s="4" t="n">
        <f aca="false">INDEX(Evaporasi!$B$5:$B$16,MATCH(B461,Evaporasi!$A$5:$A$16,0))</f>
        <v>151.5</v>
      </c>
      <c r="F461" s="17" t="n">
        <f aca="false">Kawasan!$B$11*Kawasan!$B$9*C461/1000</f>
        <v>2129.92</v>
      </c>
      <c r="G461" s="17" t="n">
        <f aca="false">C461*Desain_Kolam!$B$9/1000</f>
        <v>1354.88</v>
      </c>
      <c r="H461" s="17" t="n">
        <f aca="false">Kawasan!$B$28*D461</f>
        <v>1547.52</v>
      </c>
      <c r="I461" s="17" t="n">
        <f aca="false">E461*Desain_Kolam!$B$9/1000</f>
        <v>801.81375</v>
      </c>
      <c r="J461" s="17" t="n">
        <f aca="false">F461+G461-H461-I461</f>
        <v>1135.46625</v>
      </c>
      <c r="K461" s="17" t="n">
        <f aca="false">K460+J461</f>
        <v>86372.97585</v>
      </c>
      <c r="L461" s="17" t="n">
        <f aca="false">MAX(L460,K461)</f>
        <v>86372.97585</v>
      </c>
      <c r="M461" s="17" t="n">
        <f aca="false">L461-K461</f>
        <v>0</v>
      </c>
      <c r="N461" s="17" t="n">
        <f aca="false">MIN(Desain_Kolam!$B$21,MAX(0,N460+F461+G461-H461-I461))</f>
        <v>15823.566675</v>
      </c>
      <c r="O461" s="6" t="n">
        <f aca="false">IF(N460+F461+G461-I461&gt;=H461,1,0)</f>
        <v>1</v>
      </c>
    </row>
    <row r="462" customFormat="false" ht="15" hidden="false" customHeight="false" outlineLevel="0" collapsed="false">
      <c r="A462" s="6" t="n">
        <v>2020</v>
      </c>
      <c r="B462" s="6" t="n">
        <v>11</v>
      </c>
      <c r="C462" s="4" t="n">
        <v>568</v>
      </c>
      <c r="D462" s="6" t="n">
        <v>30</v>
      </c>
      <c r="E462" s="4" t="n">
        <f aca="false">INDEX(Evaporasi!$B$5:$B$16,MATCH(B462,Evaporasi!$A$5:$A$16,0))</f>
        <v>142.3</v>
      </c>
      <c r="F462" s="17" t="n">
        <f aca="false">Kawasan!$B$11*Kawasan!$B$9*C462/1000</f>
        <v>4725.76</v>
      </c>
      <c r="G462" s="17" t="n">
        <f aca="false">C462*Desain_Kolam!$B$9/1000</f>
        <v>3006.14</v>
      </c>
      <c r="H462" s="17" t="n">
        <f aca="false">Kawasan!$B$28*D462</f>
        <v>1497.6</v>
      </c>
      <c r="I462" s="17" t="n">
        <f aca="false">E462*Desain_Kolam!$B$9/1000</f>
        <v>753.12275</v>
      </c>
      <c r="J462" s="17" t="n">
        <f aca="false">F462+G462-H462-I462</f>
        <v>5481.17725</v>
      </c>
      <c r="K462" s="17" t="n">
        <f aca="false">K461+J462</f>
        <v>91854.1531</v>
      </c>
      <c r="L462" s="17" t="n">
        <f aca="false">MAX(L461,K462)</f>
        <v>91854.1531</v>
      </c>
      <c r="M462" s="17" t="n">
        <f aca="false">L462-K462</f>
        <v>0</v>
      </c>
      <c r="N462" s="17" t="n">
        <f aca="false">MIN(Desain_Kolam!$B$21,MAX(0,N461+F462+G462-H462-I462))</f>
        <v>15823.566675</v>
      </c>
      <c r="O462" s="6" t="n">
        <f aca="false">IF(N461+F462+G462-I462&gt;=H462,1,0)</f>
        <v>1</v>
      </c>
    </row>
    <row r="463" customFormat="false" ht="15" hidden="false" customHeight="false" outlineLevel="0" collapsed="false">
      <c r="A463" s="6" t="n">
        <v>2020</v>
      </c>
      <c r="B463" s="6" t="n">
        <v>12</v>
      </c>
      <c r="C463" s="4" t="n">
        <v>274</v>
      </c>
      <c r="D463" s="6" t="n">
        <v>31</v>
      </c>
      <c r="E463" s="4" t="n">
        <f aca="false">INDEX(Evaporasi!$B$5:$B$16,MATCH(B463,Evaporasi!$A$5:$A$16,0))</f>
        <v>145.07</v>
      </c>
      <c r="F463" s="17" t="n">
        <f aca="false">Kawasan!$B$11*Kawasan!$B$9*C463/1000</f>
        <v>2279.68</v>
      </c>
      <c r="G463" s="17" t="n">
        <f aca="false">C463*Desain_Kolam!$B$9/1000</f>
        <v>1450.145</v>
      </c>
      <c r="H463" s="17" t="n">
        <f aca="false">Kawasan!$B$28*D463</f>
        <v>1547.52</v>
      </c>
      <c r="I463" s="17" t="n">
        <f aca="false">E463*Desain_Kolam!$B$9/1000</f>
        <v>767.782975</v>
      </c>
      <c r="J463" s="17" t="n">
        <f aca="false">F463+G463-H463-I463</f>
        <v>1414.522025</v>
      </c>
      <c r="K463" s="17" t="n">
        <f aca="false">K462+J463</f>
        <v>93268.675125</v>
      </c>
      <c r="L463" s="17" t="n">
        <f aca="false">MAX(L462,K463)</f>
        <v>93268.675125</v>
      </c>
      <c r="M463" s="17" t="n">
        <f aca="false">L463-K463</f>
        <v>0</v>
      </c>
      <c r="N463" s="17" t="n">
        <f aca="false">MIN(Desain_Kolam!$B$21,MAX(0,N462+F463+G463-H463-I463))</f>
        <v>15823.566675</v>
      </c>
      <c r="O463" s="6" t="n">
        <f aca="false">IF(N462+F463+G463-I463&gt;=H463,1,0)</f>
        <v>1</v>
      </c>
    </row>
    <row r="464" customFormat="false" ht="15" hidden="false" customHeight="false" outlineLevel="0" collapsed="false">
      <c r="A464" s="6" t="n">
        <v>2021</v>
      </c>
      <c r="B464" s="6" t="n">
        <v>1</v>
      </c>
      <c r="C464" s="4" t="n">
        <v>310</v>
      </c>
      <c r="D464" s="6" t="n">
        <v>31</v>
      </c>
      <c r="E464" s="4" t="n">
        <f aca="false">INDEX(Evaporasi!$B$5:$B$16,MATCH(B464,Evaporasi!$A$5:$A$16,0))</f>
        <v>149.98</v>
      </c>
      <c r="F464" s="17" t="n">
        <f aca="false">Kawasan!$B$11*Kawasan!$B$9*C464/1000</f>
        <v>2579.2</v>
      </c>
      <c r="G464" s="17" t="n">
        <f aca="false">C464*Desain_Kolam!$B$9/1000</f>
        <v>1640.675</v>
      </c>
      <c r="H464" s="17" t="n">
        <f aca="false">Kawasan!$B$28*D464</f>
        <v>1547.52</v>
      </c>
      <c r="I464" s="17" t="n">
        <f aca="false">E464*Desain_Kolam!$B$9/1000</f>
        <v>793.76915</v>
      </c>
      <c r="J464" s="17" t="n">
        <f aca="false">F464+G464-H464-I464</f>
        <v>1878.58585</v>
      </c>
      <c r="K464" s="17" t="n">
        <f aca="false">K463+J464</f>
        <v>95147.260975</v>
      </c>
      <c r="L464" s="17" t="n">
        <f aca="false">MAX(L463,K464)</f>
        <v>95147.260975</v>
      </c>
      <c r="M464" s="17" t="n">
        <f aca="false">L464-K464</f>
        <v>0</v>
      </c>
      <c r="N464" s="17" t="n">
        <f aca="false">MIN(Desain_Kolam!$B$21,MAX(0,N463+F464+G464-H464-I464))</f>
        <v>15823.566675</v>
      </c>
      <c r="O464" s="6" t="n">
        <f aca="false">IF(N463+F464+G464-I464&gt;=H464,1,0)</f>
        <v>1</v>
      </c>
    </row>
    <row r="465" customFormat="false" ht="15" hidden="false" customHeight="false" outlineLevel="0" collapsed="false">
      <c r="A465" s="6" t="n">
        <v>2021</v>
      </c>
      <c r="B465" s="6" t="n">
        <v>2</v>
      </c>
      <c r="C465" s="4" t="n">
        <v>50</v>
      </c>
      <c r="D465" s="6" t="n">
        <v>28</v>
      </c>
      <c r="E465" s="4" t="n">
        <f aca="false">INDEX(Evaporasi!$B$5:$B$16,MATCH(B465,Evaporasi!$A$5:$A$16,0))</f>
        <v>148.64</v>
      </c>
      <c r="F465" s="17" t="n">
        <f aca="false">Kawasan!$B$11*Kawasan!$B$9*C465/1000</f>
        <v>416</v>
      </c>
      <c r="G465" s="17" t="n">
        <f aca="false">C465*Desain_Kolam!$B$9/1000</f>
        <v>264.625</v>
      </c>
      <c r="H465" s="17" t="n">
        <f aca="false">Kawasan!$B$28*D465</f>
        <v>1397.76</v>
      </c>
      <c r="I465" s="17" t="n">
        <f aca="false">E465*Desain_Kolam!$B$9/1000</f>
        <v>786.6772</v>
      </c>
      <c r="J465" s="17" t="n">
        <f aca="false">F465+G465-H465-I465</f>
        <v>-1503.8122</v>
      </c>
      <c r="K465" s="17" t="n">
        <f aca="false">K464+J465</f>
        <v>93643.448775</v>
      </c>
      <c r="L465" s="17" t="n">
        <f aca="false">MAX(L464,K465)</f>
        <v>95147.260975</v>
      </c>
      <c r="M465" s="17" t="n">
        <f aca="false">L465-K465</f>
        <v>1503.8122</v>
      </c>
      <c r="N465" s="17" t="n">
        <f aca="false">MIN(Desain_Kolam!$B$21,MAX(0,N464+F465+G465-H465-I465))</f>
        <v>14319.754475</v>
      </c>
      <c r="O465" s="6" t="n">
        <f aca="false">IF(N464+F465+G465-I465&gt;=H465,1,0)</f>
        <v>1</v>
      </c>
    </row>
    <row r="466" customFormat="false" ht="15" hidden="false" customHeight="false" outlineLevel="0" collapsed="false">
      <c r="A466" s="6" t="n">
        <v>2021</v>
      </c>
      <c r="B466" s="6" t="n">
        <v>3</v>
      </c>
      <c r="C466" s="4" t="n">
        <v>263</v>
      </c>
      <c r="D466" s="6" t="n">
        <v>31</v>
      </c>
      <c r="E466" s="4" t="n">
        <f aca="false">INDEX(Evaporasi!$B$5:$B$16,MATCH(B466,Evaporasi!$A$5:$A$16,0))</f>
        <v>166.18</v>
      </c>
      <c r="F466" s="17" t="n">
        <f aca="false">Kawasan!$B$11*Kawasan!$B$9*C466/1000</f>
        <v>2188.16</v>
      </c>
      <c r="G466" s="17" t="n">
        <f aca="false">C466*Desain_Kolam!$B$9/1000</f>
        <v>1391.9275</v>
      </c>
      <c r="H466" s="17" t="n">
        <f aca="false">Kawasan!$B$28*D466</f>
        <v>1547.52</v>
      </c>
      <c r="I466" s="17" t="n">
        <f aca="false">E466*Desain_Kolam!$B$9/1000</f>
        <v>879.50765</v>
      </c>
      <c r="J466" s="17" t="n">
        <f aca="false">F466+G466-H466-I466</f>
        <v>1153.05985</v>
      </c>
      <c r="K466" s="17" t="n">
        <f aca="false">K465+J466</f>
        <v>94796.508625</v>
      </c>
      <c r="L466" s="17" t="n">
        <f aca="false">MAX(L465,K466)</f>
        <v>95147.260975</v>
      </c>
      <c r="M466" s="17" t="n">
        <f aca="false">L466-K466</f>
        <v>350.752349999995</v>
      </c>
      <c r="N466" s="17" t="n">
        <f aca="false">MIN(Desain_Kolam!$B$21,MAX(0,N465+F466+G466-H466-I466))</f>
        <v>15472.814325</v>
      </c>
      <c r="O466" s="6" t="n">
        <f aca="false">IF(N465+F466+G466-I466&gt;=H466,1,0)</f>
        <v>1</v>
      </c>
    </row>
    <row r="467" customFormat="false" ht="15" hidden="false" customHeight="false" outlineLevel="0" collapsed="false">
      <c r="A467" s="6" t="n">
        <v>2021</v>
      </c>
      <c r="B467" s="6" t="n">
        <v>4</v>
      </c>
      <c r="C467" s="4" t="n">
        <v>240</v>
      </c>
      <c r="D467" s="6" t="n">
        <v>30</v>
      </c>
      <c r="E467" s="4" t="n">
        <f aca="false">INDEX(Evaporasi!$B$5:$B$16,MATCH(B467,Evaporasi!$A$5:$A$16,0))</f>
        <v>157.75</v>
      </c>
      <c r="F467" s="17" t="n">
        <f aca="false">Kawasan!$B$11*Kawasan!$B$9*C467/1000</f>
        <v>1996.8</v>
      </c>
      <c r="G467" s="17" t="n">
        <f aca="false">C467*Desain_Kolam!$B$9/1000</f>
        <v>1270.2</v>
      </c>
      <c r="H467" s="17" t="n">
        <f aca="false">Kawasan!$B$28*D467</f>
        <v>1497.6</v>
      </c>
      <c r="I467" s="17" t="n">
        <f aca="false">E467*Desain_Kolam!$B$9/1000</f>
        <v>834.891875</v>
      </c>
      <c r="J467" s="17" t="n">
        <f aca="false">F467+G467-H467-I467</f>
        <v>934.508125</v>
      </c>
      <c r="K467" s="17" t="n">
        <f aca="false">K466+J467</f>
        <v>95731.01675</v>
      </c>
      <c r="L467" s="17" t="n">
        <f aca="false">MAX(L466,K467)</f>
        <v>95731.01675</v>
      </c>
      <c r="M467" s="17" t="n">
        <f aca="false">L467-K467</f>
        <v>0</v>
      </c>
      <c r="N467" s="17" t="n">
        <f aca="false">MIN(Desain_Kolam!$B$21,MAX(0,N466+F467+G467-H467-I467))</f>
        <v>15823.566675</v>
      </c>
      <c r="O467" s="6" t="n">
        <f aca="false">IF(N466+F467+G467-I467&gt;=H467,1,0)</f>
        <v>1</v>
      </c>
    </row>
    <row r="468" customFormat="false" ht="15" hidden="false" customHeight="false" outlineLevel="0" collapsed="false">
      <c r="A468" s="6" t="n">
        <v>2021</v>
      </c>
      <c r="B468" s="6" t="n">
        <v>5</v>
      </c>
      <c r="C468" s="4" t="n">
        <v>465</v>
      </c>
      <c r="D468" s="6" t="n">
        <v>31</v>
      </c>
      <c r="E468" s="4" t="n">
        <f aca="false">INDEX(Evaporasi!$B$5:$B$16,MATCH(B468,Evaporasi!$A$5:$A$16,0))</f>
        <v>158.35</v>
      </c>
      <c r="F468" s="17" t="n">
        <f aca="false">Kawasan!$B$11*Kawasan!$B$9*C468/1000</f>
        <v>3868.8</v>
      </c>
      <c r="G468" s="17" t="n">
        <f aca="false">C468*Desain_Kolam!$B$9/1000</f>
        <v>2461.0125</v>
      </c>
      <c r="H468" s="17" t="n">
        <f aca="false">Kawasan!$B$28*D468</f>
        <v>1547.52</v>
      </c>
      <c r="I468" s="17" t="n">
        <f aca="false">E468*Desain_Kolam!$B$9/1000</f>
        <v>838.067375</v>
      </c>
      <c r="J468" s="17" t="n">
        <f aca="false">F468+G468-H468-I468</f>
        <v>3944.225125</v>
      </c>
      <c r="K468" s="17" t="n">
        <f aca="false">K467+J468</f>
        <v>99675.241875</v>
      </c>
      <c r="L468" s="17" t="n">
        <f aca="false">MAX(L467,K468)</f>
        <v>99675.241875</v>
      </c>
      <c r="M468" s="17" t="n">
        <f aca="false">L468-K468</f>
        <v>0</v>
      </c>
      <c r="N468" s="17" t="n">
        <f aca="false">MIN(Desain_Kolam!$B$21,MAX(0,N467+F468+G468-H468-I468))</f>
        <v>15823.566675</v>
      </c>
      <c r="O468" s="6" t="n">
        <f aca="false">IF(N467+F468+G468-I468&gt;=H468,1,0)</f>
        <v>1</v>
      </c>
    </row>
    <row r="469" customFormat="false" ht="15" hidden="false" customHeight="false" outlineLevel="0" collapsed="false">
      <c r="A469" s="6" t="n">
        <v>2021</v>
      </c>
      <c r="B469" s="6" t="n">
        <v>6</v>
      </c>
      <c r="C469" s="4" t="n">
        <v>390</v>
      </c>
      <c r="D469" s="6" t="n">
        <v>30</v>
      </c>
      <c r="E469" s="4" t="n">
        <f aca="false">INDEX(Evaporasi!$B$5:$B$16,MATCH(B469,Evaporasi!$A$5:$A$16,0))</f>
        <v>150.17</v>
      </c>
      <c r="F469" s="17" t="n">
        <f aca="false">Kawasan!$B$11*Kawasan!$B$9*C469/1000</f>
        <v>3244.8</v>
      </c>
      <c r="G469" s="17" t="n">
        <f aca="false">C469*Desain_Kolam!$B$9/1000</f>
        <v>2064.075</v>
      </c>
      <c r="H469" s="17" t="n">
        <f aca="false">Kawasan!$B$28*D469</f>
        <v>1497.6</v>
      </c>
      <c r="I469" s="17" t="n">
        <f aca="false">E469*Desain_Kolam!$B$9/1000</f>
        <v>794.774725</v>
      </c>
      <c r="J469" s="17" t="n">
        <f aca="false">F469+G469-H469-I469</f>
        <v>3016.500275</v>
      </c>
      <c r="K469" s="17" t="n">
        <f aca="false">K468+J469</f>
        <v>102691.74215</v>
      </c>
      <c r="L469" s="17" t="n">
        <f aca="false">MAX(L468,K469)</f>
        <v>102691.74215</v>
      </c>
      <c r="M469" s="17" t="n">
        <f aca="false">L469-K469</f>
        <v>0</v>
      </c>
      <c r="N469" s="17" t="n">
        <f aca="false">MIN(Desain_Kolam!$B$21,MAX(0,N468+F469+G469-H469-I469))</f>
        <v>15823.566675</v>
      </c>
      <c r="O469" s="6" t="n">
        <f aca="false">IF(N468+F469+G469-I469&gt;=H469,1,0)</f>
        <v>1</v>
      </c>
    </row>
    <row r="470" customFormat="false" ht="15" hidden="false" customHeight="false" outlineLevel="0" collapsed="false">
      <c r="A470" s="6" t="n">
        <v>2021</v>
      </c>
      <c r="B470" s="6" t="n">
        <v>7</v>
      </c>
      <c r="C470" s="4" t="n">
        <v>211</v>
      </c>
      <c r="D470" s="6" t="n">
        <v>31</v>
      </c>
      <c r="E470" s="4" t="n">
        <f aca="false">INDEX(Evaporasi!$B$5:$B$16,MATCH(B470,Evaporasi!$A$5:$A$16,0))</f>
        <v>160.84</v>
      </c>
      <c r="F470" s="17" t="n">
        <f aca="false">Kawasan!$B$11*Kawasan!$B$9*C470/1000</f>
        <v>1755.52</v>
      </c>
      <c r="G470" s="17" t="n">
        <f aca="false">C470*Desain_Kolam!$B$9/1000</f>
        <v>1116.7175</v>
      </c>
      <c r="H470" s="17" t="n">
        <f aca="false">Kawasan!$B$28*D470</f>
        <v>1547.52</v>
      </c>
      <c r="I470" s="17" t="n">
        <f aca="false">E470*Desain_Kolam!$B$9/1000</f>
        <v>851.2457</v>
      </c>
      <c r="J470" s="17" t="n">
        <f aca="false">F470+G470-H470-I470</f>
        <v>473.4718</v>
      </c>
      <c r="K470" s="17" t="n">
        <f aca="false">K469+J470</f>
        <v>103165.21395</v>
      </c>
      <c r="L470" s="17" t="n">
        <f aca="false">MAX(L469,K470)</f>
        <v>103165.21395</v>
      </c>
      <c r="M470" s="17" t="n">
        <f aca="false">L470-K470</f>
        <v>0</v>
      </c>
      <c r="N470" s="17" t="n">
        <f aca="false">MIN(Desain_Kolam!$B$21,MAX(0,N469+F470+G470-H470-I470))</f>
        <v>15823.566675</v>
      </c>
      <c r="O470" s="6" t="n">
        <f aca="false">IF(N469+F470+G470-I470&gt;=H470,1,0)</f>
        <v>1</v>
      </c>
    </row>
    <row r="471" customFormat="false" ht="15" hidden="false" customHeight="false" outlineLevel="0" collapsed="false">
      <c r="A471" s="6" t="n">
        <v>2021</v>
      </c>
      <c r="B471" s="6" t="n">
        <v>8</v>
      </c>
      <c r="C471" s="4" t="n">
        <v>587</v>
      </c>
      <c r="D471" s="6" t="n">
        <v>31</v>
      </c>
      <c r="E471" s="4" t="n">
        <f aca="false">INDEX(Evaporasi!$B$5:$B$16,MATCH(B471,Evaporasi!$A$5:$A$16,0))</f>
        <v>161.16</v>
      </c>
      <c r="F471" s="17" t="n">
        <f aca="false">Kawasan!$B$11*Kawasan!$B$9*C471/1000</f>
        <v>4883.84</v>
      </c>
      <c r="G471" s="17" t="n">
        <f aca="false">C471*Desain_Kolam!$B$9/1000</f>
        <v>3106.6975</v>
      </c>
      <c r="H471" s="17" t="n">
        <f aca="false">Kawasan!$B$28*D471</f>
        <v>1547.52</v>
      </c>
      <c r="I471" s="17" t="n">
        <f aca="false">E471*Desain_Kolam!$B$9/1000</f>
        <v>852.9393</v>
      </c>
      <c r="J471" s="17" t="n">
        <f aca="false">F471+G471-H471-I471</f>
        <v>5590.0782</v>
      </c>
      <c r="K471" s="17" t="n">
        <f aca="false">K470+J471</f>
        <v>108755.29215</v>
      </c>
      <c r="L471" s="17" t="n">
        <f aca="false">MAX(L470,K471)</f>
        <v>108755.29215</v>
      </c>
      <c r="M471" s="17" t="n">
        <f aca="false">L471-K471</f>
        <v>0</v>
      </c>
      <c r="N471" s="17" t="n">
        <f aca="false">MIN(Desain_Kolam!$B$21,MAX(0,N470+F471+G471-H471-I471))</f>
        <v>15823.566675</v>
      </c>
      <c r="O471" s="6" t="n">
        <f aca="false">IF(N470+F471+G471-I471&gt;=H471,1,0)</f>
        <v>1</v>
      </c>
    </row>
    <row r="472" customFormat="false" ht="15" hidden="false" customHeight="false" outlineLevel="0" collapsed="false">
      <c r="A472" s="6" t="n">
        <v>2021</v>
      </c>
      <c r="B472" s="6" t="n">
        <v>9</v>
      </c>
      <c r="C472" s="4" t="n">
        <v>524</v>
      </c>
      <c r="D472" s="6" t="n">
        <v>30</v>
      </c>
      <c r="E472" s="4" t="n">
        <f aca="false">INDEX(Evaporasi!$B$5:$B$16,MATCH(B472,Evaporasi!$A$5:$A$16,0))</f>
        <v>159.21</v>
      </c>
      <c r="F472" s="17" t="n">
        <f aca="false">Kawasan!$B$11*Kawasan!$B$9*C472/1000</f>
        <v>4359.68</v>
      </c>
      <c r="G472" s="17" t="n">
        <f aca="false">C472*Desain_Kolam!$B$9/1000</f>
        <v>2773.27</v>
      </c>
      <c r="H472" s="17" t="n">
        <f aca="false">Kawasan!$B$28*D472</f>
        <v>1497.6</v>
      </c>
      <c r="I472" s="17" t="n">
        <f aca="false">E472*Desain_Kolam!$B$9/1000</f>
        <v>842.618925</v>
      </c>
      <c r="J472" s="17" t="n">
        <f aca="false">F472+G472-H472-I472</f>
        <v>4792.731075</v>
      </c>
      <c r="K472" s="17" t="n">
        <f aca="false">K471+J472</f>
        <v>113548.023225</v>
      </c>
      <c r="L472" s="17" t="n">
        <f aca="false">MAX(L471,K472)</f>
        <v>113548.023225</v>
      </c>
      <c r="M472" s="17" t="n">
        <f aca="false">L472-K472</f>
        <v>0</v>
      </c>
      <c r="N472" s="17" t="n">
        <f aca="false">MIN(Desain_Kolam!$B$21,MAX(0,N471+F472+G472-H472-I472))</f>
        <v>15823.566675</v>
      </c>
      <c r="O472" s="6" t="n">
        <f aca="false">IF(N471+F472+G472-I472&gt;=H472,1,0)</f>
        <v>1</v>
      </c>
    </row>
    <row r="473" customFormat="false" ht="15" hidden="false" customHeight="false" outlineLevel="0" collapsed="false">
      <c r="A473" s="6" t="n">
        <v>2021</v>
      </c>
      <c r="B473" s="6" t="n">
        <v>10</v>
      </c>
      <c r="C473" s="4" t="n">
        <v>252</v>
      </c>
      <c r="D473" s="6" t="n">
        <v>31</v>
      </c>
      <c r="E473" s="4" t="n">
        <f aca="false">INDEX(Evaporasi!$B$5:$B$16,MATCH(B473,Evaporasi!$A$5:$A$16,0))</f>
        <v>151.5</v>
      </c>
      <c r="F473" s="17" t="n">
        <f aca="false">Kawasan!$B$11*Kawasan!$B$9*C473/1000</f>
        <v>2096.64</v>
      </c>
      <c r="G473" s="17" t="n">
        <f aca="false">C473*Desain_Kolam!$B$9/1000</f>
        <v>1333.71</v>
      </c>
      <c r="H473" s="17" t="n">
        <f aca="false">Kawasan!$B$28*D473</f>
        <v>1547.52</v>
      </c>
      <c r="I473" s="17" t="n">
        <f aca="false">E473*Desain_Kolam!$B$9/1000</f>
        <v>801.81375</v>
      </c>
      <c r="J473" s="17" t="n">
        <f aca="false">F473+G473-H473-I473</f>
        <v>1081.01625</v>
      </c>
      <c r="K473" s="17" t="n">
        <f aca="false">K472+J473</f>
        <v>114629.039475</v>
      </c>
      <c r="L473" s="17" t="n">
        <f aca="false">MAX(L472,K473)</f>
        <v>114629.039475</v>
      </c>
      <c r="M473" s="17" t="n">
        <f aca="false">L473-K473</f>
        <v>0</v>
      </c>
      <c r="N473" s="17" t="n">
        <f aca="false">MIN(Desain_Kolam!$B$21,MAX(0,N472+F473+G473-H473-I473))</f>
        <v>15823.566675</v>
      </c>
      <c r="O473" s="6" t="n">
        <f aca="false">IF(N472+F473+G473-I473&gt;=H473,1,0)</f>
        <v>1</v>
      </c>
    </row>
    <row r="474" customFormat="false" ht="15" hidden="false" customHeight="false" outlineLevel="0" collapsed="false">
      <c r="A474" s="6" t="n">
        <v>2021</v>
      </c>
      <c r="B474" s="6" t="n">
        <v>11</v>
      </c>
      <c r="C474" s="4" t="n">
        <v>252</v>
      </c>
      <c r="D474" s="6" t="n">
        <v>30</v>
      </c>
      <c r="E474" s="4" t="n">
        <f aca="false">INDEX(Evaporasi!$B$5:$B$16,MATCH(B474,Evaporasi!$A$5:$A$16,0))</f>
        <v>142.3</v>
      </c>
      <c r="F474" s="17" t="n">
        <f aca="false">Kawasan!$B$11*Kawasan!$B$9*C474/1000</f>
        <v>2096.64</v>
      </c>
      <c r="G474" s="17" t="n">
        <f aca="false">C474*Desain_Kolam!$B$9/1000</f>
        <v>1333.71</v>
      </c>
      <c r="H474" s="17" t="n">
        <f aca="false">Kawasan!$B$28*D474</f>
        <v>1497.6</v>
      </c>
      <c r="I474" s="17" t="n">
        <f aca="false">E474*Desain_Kolam!$B$9/1000</f>
        <v>753.12275</v>
      </c>
      <c r="J474" s="17" t="n">
        <f aca="false">F474+G474-H474-I474</f>
        <v>1179.62725</v>
      </c>
      <c r="K474" s="17" t="n">
        <f aca="false">K473+J474</f>
        <v>115808.666725</v>
      </c>
      <c r="L474" s="17" t="n">
        <f aca="false">MAX(L473,K474)</f>
        <v>115808.666725</v>
      </c>
      <c r="M474" s="17" t="n">
        <f aca="false">L474-K474</f>
        <v>0</v>
      </c>
      <c r="N474" s="17" t="n">
        <f aca="false">MIN(Desain_Kolam!$B$21,MAX(0,N473+F474+G474-H474-I474))</f>
        <v>15823.566675</v>
      </c>
      <c r="O474" s="6" t="n">
        <f aca="false">IF(N473+F474+G474-I474&gt;=H474,1,0)</f>
        <v>1</v>
      </c>
    </row>
    <row r="475" customFormat="false" ht="15" hidden="false" customHeight="false" outlineLevel="0" collapsed="false">
      <c r="A475" s="6" t="n">
        <v>2021</v>
      </c>
      <c r="B475" s="6" t="n">
        <v>12</v>
      </c>
      <c r="C475" s="4" t="n">
        <v>152</v>
      </c>
      <c r="D475" s="6" t="n">
        <v>31</v>
      </c>
      <c r="E475" s="4" t="n">
        <f aca="false">INDEX(Evaporasi!$B$5:$B$16,MATCH(B475,Evaporasi!$A$5:$A$16,0))</f>
        <v>145.07</v>
      </c>
      <c r="F475" s="17" t="n">
        <f aca="false">Kawasan!$B$11*Kawasan!$B$9*C475/1000</f>
        <v>1264.64</v>
      </c>
      <c r="G475" s="17" t="n">
        <f aca="false">C475*Desain_Kolam!$B$9/1000</f>
        <v>804.46</v>
      </c>
      <c r="H475" s="17" t="n">
        <f aca="false">Kawasan!$B$28*D475</f>
        <v>1547.52</v>
      </c>
      <c r="I475" s="17" t="n">
        <f aca="false">E475*Desain_Kolam!$B$9/1000</f>
        <v>767.782975</v>
      </c>
      <c r="J475" s="17" t="n">
        <f aca="false">F475+G475-H475-I475</f>
        <v>-246.202975</v>
      </c>
      <c r="K475" s="17" t="n">
        <f aca="false">K474+J475</f>
        <v>115562.46375</v>
      </c>
      <c r="L475" s="17" t="n">
        <f aca="false">MAX(L474,K475)</f>
        <v>115808.666725</v>
      </c>
      <c r="M475" s="17" t="n">
        <f aca="false">L475-K475</f>
        <v>246.202974999993</v>
      </c>
      <c r="N475" s="17" t="n">
        <f aca="false">MIN(Desain_Kolam!$B$21,MAX(0,N474+F475+G475-H475-I475))</f>
        <v>15577.3637</v>
      </c>
      <c r="O475" s="6" t="n">
        <f aca="false">IF(N474+F475+G475-I475&gt;=H475,1,0)</f>
        <v>1</v>
      </c>
    </row>
    <row r="476" customFormat="false" ht="15" hidden="false" customHeight="false" outlineLevel="0" collapsed="false">
      <c r="A476" s="6" t="n">
        <v>2022</v>
      </c>
      <c r="B476" s="6" t="n">
        <v>1</v>
      </c>
      <c r="C476" s="4" t="n">
        <v>145</v>
      </c>
      <c r="D476" s="6" t="n">
        <v>31</v>
      </c>
      <c r="E476" s="4" t="n">
        <f aca="false">INDEX(Evaporasi!$B$5:$B$16,MATCH(B476,Evaporasi!$A$5:$A$16,0))</f>
        <v>149.98</v>
      </c>
      <c r="F476" s="17" t="n">
        <f aca="false">Kawasan!$B$11*Kawasan!$B$9*C476/1000</f>
        <v>1206.4</v>
      </c>
      <c r="G476" s="17" t="n">
        <f aca="false">C476*Desain_Kolam!$B$9/1000</f>
        <v>767.4125</v>
      </c>
      <c r="H476" s="17" t="n">
        <f aca="false">Kawasan!$B$28*D476</f>
        <v>1547.52</v>
      </c>
      <c r="I476" s="17" t="n">
        <f aca="false">E476*Desain_Kolam!$B$9/1000</f>
        <v>793.76915</v>
      </c>
      <c r="J476" s="17" t="n">
        <f aca="false">F476+G476-H476-I476</f>
        <v>-367.47665</v>
      </c>
      <c r="K476" s="17" t="n">
        <f aca="false">K475+J476</f>
        <v>115194.9871</v>
      </c>
      <c r="L476" s="17" t="n">
        <f aca="false">MAX(L475,K476)</f>
        <v>115808.666725</v>
      </c>
      <c r="M476" s="17" t="n">
        <f aca="false">L476-K476</f>
        <v>613.67962499999</v>
      </c>
      <c r="N476" s="17" t="n">
        <f aca="false">MIN(Desain_Kolam!$B$21,MAX(0,N475+F476+G476-H476-I476))</f>
        <v>15209.88705</v>
      </c>
      <c r="O476" s="6" t="n">
        <f aca="false">IF(N475+F476+G476-I476&gt;=H476,1,0)</f>
        <v>1</v>
      </c>
    </row>
    <row r="477" customFormat="false" ht="15" hidden="false" customHeight="false" outlineLevel="0" collapsed="false">
      <c r="A477" s="6" t="n">
        <v>2022</v>
      </c>
      <c r="B477" s="6" t="n">
        <v>2</v>
      </c>
      <c r="C477" s="4" t="n">
        <v>106</v>
      </c>
      <c r="D477" s="6" t="n">
        <v>28</v>
      </c>
      <c r="E477" s="4" t="n">
        <f aca="false">INDEX(Evaporasi!$B$5:$B$16,MATCH(B477,Evaporasi!$A$5:$A$16,0))</f>
        <v>148.64</v>
      </c>
      <c r="F477" s="17" t="n">
        <f aca="false">Kawasan!$B$11*Kawasan!$B$9*C477/1000</f>
        <v>881.92</v>
      </c>
      <c r="G477" s="17" t="n">
        <f aca="false">C477*Desain_Kolam!$B$9/1000</f>
        <v>561.005</v>
      </c>
      <c r="H477" s="17" t="n">
        <f aca="false">Kawasan!$B$28*D477</f>
        <v>1397.76</v>
      </c>
      <c r="I477" s="17" t="n">
        <f aca="false">E477*Desain_Kolam!$B$9/1000</f>
        <v>786.6772</v>
      </c>
      <c r="J477" s="17" t="n">
        <f aca="false">F477+G477-H477-I477</f>
        <v>-741.5122</v>
      </c>
      <c r="K477" s="17" t="n">
        <f aca="false">K476+J477</f>
        <v>114453.4749</v>
      </c>
      <c r="L477" s="17" t="n">
        <f aca="false">MAX(L476,K477)</f>
        <v>115808.666725</v>
      </c>
      <c r="M477" s="17" t="n">
        <f aca="false">L477-K477</f>
        <v>1355.19182499999</v>
      </c>
      <c r="N477" s="17" t="n">
        <f aca="false">MIN(Desain_Kolam!$B$21,MAX(0,N476+F477+G477-H477-I477))</f>
        <v>14468.37485</v>
      </c>
      <c r="O477" s="6" t="n">
        <f aca="false">IF(N476+F477+G477-I477&gt;=H477,1,0)</f>
        <v>1</v>
      </c>
    </row>
    <row r="478" customFormat="false" ht="15" hidden="false" customHeight="false" outlineLevel="0" collapsed="false">
      <c r="A478" s="6" t="n">
        <v>2022</v>
      </c>
      <c r="B478" s="6" t="n">
        <v>3</v>
      </c>
      <c r="C478" s="4" t="n">
        <v>104</v>
      </c>
      <c r="D478" s="6" t="n">
        <v>31</v>
      </c>
      <c r="E478" s="4" t="n">
        <f aca="false">INDEX(Evaporasi!$B$5:$B$16,MATCH(B478,Evaporasi!$A$5:$A$16,0))</f>
        <v>166.18</v>
      </c>
      <c r="F478" s="17" t="n">
        <f aca="false">Kawasan!$B$11*Kawasan!$B$9*C478/1000</f>
        <v>865.28</v>
      </c>
      <c r="G478" s="17" t="n">
        <f aca="false">C478*Desain_Kolam!$B$9/1000</f>
        <v>550.42</v>
      </c>
      <c r="H478" s="17" t="n">
        <f aca="false">Kawasan!$B$28*D478</f>
        <v>1547.52</v>
      </c>
      <c r="I478" s="17" t="n">
        <f aca="false">E478*Desain_Kolam!$B$9/1000</f>
        <v>879.50765</v>
      </c>
      <c r="J478" s="17" t="n">
        <f aca="false">F478+G478-H478-I478</f>
        <v>-1011.32765</v>
      </c>
      <c r="K478" s="17" t="n">
        <f aca="false">K477+J478</f>
        <v>113442.14725</v>
      </c>
      <c r="L478" s="17" t="n">
        <f aca="false">MAX(L477,K478)</f>
        <v>115808.666725</v>
      </c>
      <c r="M478" s="17" t="n">
        <f aca="false">L478-K478</f>
        <v>2366.51947499999</v>
      </c>
      <c r="N478" s="17" t="n">
        <f aca="false">MIN(Desain_Kolam!$B$21,MAX(0,N477+F478+G478-H478-I478))</f>
        <v>13457.0472</v>
      </c>
      <c r="O478" s="6" t="n">
        <f aca="false">IF(N477+F478+G478-I478&gt;=H478,1,0)</f>
        <v>1</v>
      </c>
    </row>
    <row r="479" customFormat="false" ht="15" hidden="false" customHeight="false" outlineLevel="0" collapsed="false">
      <c r="A479" s="6" t="n">
        <v>2022</v>
      </c>
      <c r="B479" s="6" t="n">
        <v>4</v>
      </c>
      <c r="C479" s="4" t="n">
        <v>301</v>
      </c>
      <c r="D479" s="6" t="n">
        <v>30</v>
      </c>
      <c r="E479" s="4" t="n">
        <f aca="false">INDEX(Evaporasi!$B$5:$B$16,MATCH(B479,Evaporasi!$A$5:$A$16,0))</f>
        <v>157.75</v>
      </c>
      <c r="F479" s="17" t="n">
        <f aca="false">Kawasan!$B$11*Kawasan!$B$9*C479/1000</f>
        <v>2504.32</v>
      </c>
      <c r="G479" s="17" t="n">
        <f aca="false">C479*Desain_Kolam!$B$9/1000</f>
        <v>1593.0425</v>
      </c>
      <c r="H479" s="17" t="n">
        <f aca="false">Kawasan!$B$28*D479</f>
        <v>1497.6</v>
      </c>
      <c r="I479" s="17" t="n">
        <f aca="false">E479*Desain_Kolam!$B$9/1000</f>
        <v>834.891875</v>
      </c>
      <c r="J479" s="17" t="n">
        <f aca="false">F479+G479-H479-I479</f>
        <v>1764.870625</v>
      </c>
      <c r="K479" s="17" t="n">
        <f aca="false">K478+J479</f>
        <v>115207.017875</v>
      </c>
      <c r="L479" s="17" t="n">
        <f aca="false">MAX(L478,K479)</f>
        <v>115808.666725</v>
      </c>
      <c r="M479" s="17" t="n">
        <f aca="false">L479-K479</f>
        <v>601.648849999998</v>
      </c>
      <c r="N479" s="17" t="n">
        <f aca="false">MIN(Desain_Kolam!$B$21,MAX(0,N478+F479+G479-H479-I479))</f>
        <v>15221.917825</v>
      </c>
      <c r="O479" s="6" t="n">
        <f aca="false">IF(N478+F479+G479-I479&gt;=H479,1,0)</f>
        <v>1</v>
      </c>
    </row>
    <row r="480" customFormat="false" ht="15" hidden="false" customHeight="false" outlineLevel="0" collapsed="false">
      <c r="A480" s="6" t="n">
        <v>2022</v>
      </c>
      <c r="B480" s="6" t="n">
        <v>5</v>
      </c>
      <c r="C480" s="4" t="n">
        <v>201</v>
      </c>
      <c r="D480" s="6" t="n">
        <v>31</v>
      </c>
      <c r="E480" s="4" t="n">
        <f aca="false">INDEX(Evaporasi!$B$5:$B$16,MATCH(B480,Evaporasi!$A$5:$A$16,0))</f>
        <v>158.35</v>
      </c>
      <c r="F480" s="17" t="n">
        <f aca="false">Kawasan!$B$11*Kawasan!$B$9*C480/1000</f>
        <v>1672.32</v>
      </c>
      <c r="G480" s="17" t="n">
        <f aca="false">C480*Desain_Kolam!$B$9/1000</f>
        <v>1063.7925</v>
      </c>
      <c r="H480" s="17" t="n">
        <f aca="false">Kawasan!$B$28*D480</f>
        <v>1547.52</v>
      </c>
      <c r="I480" s="17" t="n">
        <f aca="false">E480*Desain_Kolam!$B$9/1000</f>
        <v>838.067375</v>
      </c>
      <c r="J480" s="17" t="n">
        <f aca="false">F480+G480-H480-I480</f>
        <v>350.525125</v>
      </c>
      <c r="K480" s="17" t="n">
        <f aca="false">K479+J480</f>
        <v>115557.543</v>
      </c>
      <c r="L480" s="17" t="n">
        <f aca="false">MAX(L479,K480)</f>
        <v>115808.666725</v>
      </c>
      <c r="M480" s="17" t="n">
        <f aca="false">L480-K480</f>
        <v>251.123724999998</v>
      </c>
      <c r="N480" s="17" t="n">
        <f aca="false">MIN(Desain_Kolam!$B$21,MAX(0,N479+F480+G480-H480-I480))</f>
        <v>15572.44295</v>
      </c>
      <c r="O480" s="6" t="n">
        <f aca="false">IF(N479+F480+G480-I480&gt;=H480,1,0)</f>
        <v>1</v>
      </c>
    </row>
    <row r="481" customFormat="false" ht="15" hidden="false" customHeight="false" outlineLevel="0" collapsed="false">
      <c r="A481" s="6" t="n">
        <v>2022</v>
      </c>
      <c r="B481" s="6" t="n">
        <v>6</v>
      </c>
      <c r="C481" s="4" t="n">
        <v>293</v>
      </c>
      <c r="D481" s="6" t="n">
        <v>30</v>
      </c>
      <c r="E481" s="4" t="n">
        <f aca="false">INDEX(Evaporasi!$B$5:$B$16,MATCH(B481,Evaporasi!$A$5:$A$16,0))</f>
        <v>150.17</v>
      </c>
      <c r="F481" s="17" t="n">
        <f aca="false">Kawasan!$B$11*Kawasan!$B$9*C481/1000</f>
        <v>2437.76</v>
      </c>
      <c r="G481" s="17" t="n">
        <f aca="false">C481*Desain_Kolam!$B$9/1000</f>
        <v>1550.7025</v>
      </c>
      <c r="H481" s="17" t="n">
        <f aca="false">Kawasan!$B$28*D481</f>
        <v>1497.6</v>
      </c>
      <c r="I481" s="17" t="n">
        <f aca="false">E481*Desain_Kolam!$B$9/1000</f>
        <v>794.774725</v>
      </c>
      <c r="J481" s="17" t="n">
        <f aca="false">F481+G481-H481-I481</f>
        <v>1696.087775</v>
      </c>
      <c r="K481" s="17" t="n">
        <f aca="false">K480+J481</f>
        <v>117253.630775</v>
      </c>
      <c r="L481" s="17" t="n">
        <f aca="false">MAX(L480,K481)</f>
        <v>117253.630775</v>
      </c>
      <c r="M481" s="17" t="n">
        <f aca="false">L481-K481</f>
        <v>0</v>
      </c>
      <c r="N481" s="17" t="n">
        <f aca="false">MIN(Desain_Kolam!$B$21,MAX(0,N480+F481+G481-H481-I481))</f>
        <v>15823.566675</v>
      </c>
      <c r="O481" s="6" t="n">
        <f aca="false">IF(N480+F481+G481-I481&gt;=H481,1,0)</f>
        <v>1</v>
      </c>
    </row>
    <row r="482" customFormat="false" ht="15" hidden="false" customHeight="false" outlineLevel="0" collapsed="false">
      <c r="A482" s="6" t="n">
        <v>2022</v>
      </c>
      <c r="B482" s="6" t="n">
        <v>7</v>
      </c>
      <c r="C482" s="4" t="n">
        <v>272</v>
      </c>
      <c r="D482" s="6" t="n">
        <v>31</v>
      </c>
      <c r="E482" s="4" t="n">
        <f aca="false">INDEX(Evaporasi!$B$5:$B$16,MATCH(B482,Evaporasi!$A$5:$A$16,0))</f>
        <v>160.84</v>
      </c>
      <c r="F482" s="17" t="n">
        <f aca="false">Kawasan!$B$11*Kawasan!$B$9*C482/1000</f>
        <v>2263.04</v>
      </c>
      <c r="G482" s="17" t="n">
        <f aca="false">C482*Desain_Kolam!$B$9/1000</f>
        <v>1439.56</v>
      </c>
      <c r="H482" s="17" t="n">
        <f aca="false">Kawasan!$B$28*D482</f>
        <v>1547.52</v>
      </c>
      <c r="I482" s="17" t="n">
        <f aca="false">E482*Desain_Kolam!$B$9/1000</f>
        <v>851.2457</v>
      </c>
      <c r="J482" s="17" t="n">
        <f aca="false">F482+G482-H482-I482</f>
        <v>1303.8343</v>
      </c>
      <c r="K482" s="17" t="n">
        <f aca="false">K481+J482</f>
        <v>118557.465075</v>
      </c>
      <c r="L482" s="17" t="n">
        <f aca="false">MAX(L481,K482)</f>
        <v>118557.465075</v>
      </c>
      <c r="M482" s="17" t="n">
        <f aca="false">L482-K482</f>
        <v>0</v>
      </c>
      <c r="N482" s="17" t="n">
        <f aca="false">MIN(Desain_Kolam!$B$21,MAX(0,N481+F482+G482-H482-I482))</f>
        <v>15823.566675</v>
      </c>
      <c r="O482" s="6" t="n">
        <f aca="false">IF(N481+F482+G482-I482&gt;=H482,1,0)</f>
        <v>1</v>
      </c>
    </row>
    <row r="483" customFormat="false" ht="15" hidden="false" customHeight="false" outlineLevel="0" collapsed="false">
      <c r="A483" s="6" t="n">
        <v>2022</v>
      </c>
      <c r="B483" s="6" t="n">
        <v>8</v>
      </c>
      <c r="C483" s="4" t="n">
        <v>354</v>
      </c>
      <c r="D483" s="6" t="n">
        <v>31</v>
      </c>
      <c r="E483" s="4" t="n">
        <f aca="false">INDEX(Evaporasi!$B$5:$B$16,MATCH(B483,Evaporasi!$A$5:$A$16,0))</f>
        <v>161.16</v>
      </c>
      <c r="F483" s="17" t="n">
        <f aca="false">Kawasan!$B$11*Kawasan!$B$9*C483/1000</f>
        <v>2945.28</v>
      </c>
      <c r="G483" s="17" t="n">
        <f aca="false">C483*Desain_Kolam!$B$9/1000</f>
        <v>1873.545</v>
      </c>
      <c r="H483" s="17" t="n">
        <f aca="false">Kawasan!$B$28*D483</f>
        <v>1547.52</v>
      </c>
      <c r="I483" s="17" t="n">
        <f aca="false">E483*Desain_Kolam!$B$9/1000</f>
        <v>852.9393</v>
      </c>
      <c r="J483" s="17" t="n">
        <f aca="false">F483+G483-H483-I483</f>
        <v>2418.3657</v>
      </c>
      <c r="K483" s="17" t="n">
        <f aca="false">K482+J483</f>
        <v>120975.830775</v>
      </c>
      <c r="L483" s="17" t="n">
        <f aca="false">MAX(L482,K483)</f>
        <v>120975.830775</v>
      </c>
      <c r="M483" s="17" t="n">
        <f aca="false">L483-K483</f>
        <v>0</v>
      </c>
      <c r="N483" s="17" t="n">
        <f aca="false">MIN(Desain_Kolam!$B$21,MAX(0,N482+F483+G483-H483-I483))</f>
        <v>15823.566675</v>
      </c>
      <c r="O483" s="6" t="n">
        <f aca="false">IF(N482+F483+G483-I483&gt;=H483,1,0)</f>
        <v>1</v>
      </c>
    </row>
    <row r="484" customFormat="false" ht="15" hidden="false" customHeight="false" outlineLevel="0" collapsed="false">
      <c r="A484" s="6" t="n">
        <v>2022</v>
      </c>
      <c r="B484" s="6" t="n">
        <v>9</v>
      </c>
      <c r="C484" s="4" t="n">
        <v>275</v>
      </c>
      <c r="D484" s="6" t="n">
        <v>30</v>
      </c>
      <c r="E484" s="4" t="n">
        <f aca="false">INDEX(Evaporasi!$B$5:$B$16,MATCH(B484,Evaporasi!$A$5:$A$16,0))</f>
        <v>159.21</v>
      </c>
      <c r="F484" s="17" t="n">
        <f aca="false">Kawasan!$B$11*Kawasan!$B$9*C484/1000</f>
        <v>2288</v>
      </c>
      <c r="G484" s="17" t="n">
        <f aca="false">C484*Desain_Kolam!$B$9/1000</f>
        <v>1455.4375</v>
      </c>
      <c r="H484" s="17" t="n">
        <f aca="false">Kawasan!$B$28*D484</f>
        <v>1497.6</v>
      </c>
      <c r="I484" s="17" t="n">
        <f aca="false">E484*Desain_Kolam!$B$9/1000</f>
        <v>842.618925</v>
      </c>
      <c r="J484" s="17" t="n">
        <f aca="false">F484+G484-H484-I484</f>
        <v>1403.218575</v>
      </c>
      <c r="K484" s="17" t="n">
        <f aca="false">K483+J484</f>
        <v>122379.04935</v>
      </c>
      <c r="L484" s="17" t="n">
        <f aca="false">MAX(L483,K484)</f>
        <v>122379.04935</v>
      </c>
      <c r="M484" s="17" t="n">
        <f aca="false">L484-K484</f>
        <v>0</v>
      </c>
      <c r="N484" s="17" t="n">
        <f aca="false">MIN(Desain_Kolam!$B$21,MAX(0,N483+F484+G484-H484-I484))</f>
        <v>15823.566675</v>
      </c>
      <c r="O484" s="6" t="n">
        <f aca="false">IF(N483+F484+G484-I484&gt;=H484,1,0)</f>
        <v>1</v>
      </c>
    </row>
    <row r="485" customFormat="false" ht="15" hidden="false" customHeight="false" outlineLevel="0" collapsed="false">
      <c r="A485" s="6" t="n">
        <v>2022</v>
      </c>
      <c r="B485" s="6" t="n">
        <v>10</v>
      </c>
      <c r="C485" s="4" t="n">
        <v>423</v>
      </c>
      <c r="D485" s="6" t="n">
        <v>31</v>
      </c>
      <c r="E485" s="4" t="n">
        <f aca="false">INDEX(Evaporasi!$B$5:$B$16,MATCH(B485,Evaporasi!$A$5:$A$16,0))</f>
        <v>151.5</v>
      </c>
      <c r="F485" s="17" t="n">
        <f aca="false">Kawasan!$B$11*Kawasan!$B$9*C485/1000</f>
        <v>3519.36</v>
      </c>
      <c r="G485" s="17" t="n">
        <f aca="false">C485*Desain_Kolam!$B$9/1000</f>
        <v>2238.7275</v>
      </c>
      <c r="H485" s="17" t="n">
        <f aca="false">Kawasan!$B$28*D485</f>
        <v>1547.52</v>
      </c>
      <c r="I485" s="17" t="n">
        <f aca="false">E485*Desain_Kolam!$B$9/1000</f>
        <v>801.81375</v>
      </c>
      <c r="J485" s="17" t="n">
        <f aca="false">F485+G485-H485-I485</f>
        <v>3408.75375</v>
      </c>
      <c r="K485" s="17" t="n">
        <f aca="false">K484+J485</f>
        <v>125787.8031</v>
      </c>
      <c r="L485" s="17" t="n">
        <f aca="false">MAX(L484,K485)</f>
        <v>125787.8031</v>
      </c>
      <c r="M485" s="17" t="n">
        <f aca="false">L485-K485</f>
        <v>0</v>
      </c>
      <c r="N485" s="17" t="n">
        <f aca="false">MIN(Desain_Kolam!$B$21,MAX(0,N484+F485+G485-H485-I485))</f>
        <v>15823.566675</v>
      </c>
      <c r="O485" s="6" t="n">
        <f aca="false">IF(N484+F485+G485-I485&gt;=H485,1,0)</f>
        <v>1</v>
      </c>
    </row>
    <row r="486" customFormat="false" ht="15" hidden="false" customHeight="false" outlineLevel="0" collapsed="false">
      <c r="A486" s="6" t="n">
        <v>2022</v>
      </c>
      <c r="B486" s="6" t="n">
        <v>11</v>
      </c>
      <c r="C486" s="4" t="n">
        <v>237</v>
      </c>
      <c r="D486" s="6" t="n">
        <v>30</v>
      </c>
      <c r="E486" s="4" t="n">
        <f aca="false">INDEX(Evaporasi!$B$5:$B$16,MATCH(B486,Evaporasi!$A$5:$A$16,0))</f>
        <v>142.3</v>
      </c>
      <c r="F486" s="17" t="n">
        <f aca="false">Kawasan!$B$11*Kawasan!$B$9*C486/1000</f>
        <v>1971.84</v>
      </c>
      <c r="G486" s="17" t="n">
        <f aca="false">C486*Desain_Kolam!$B$9/1000</f>
        <v>1254.3225</v>
      </c>
      <c r="H486" s="17" t="n">
        <f aca="false">Kawasan!$B$28*D486</f>
        <v>1497.6</v>
      </c>
      <c r="I486" s="17" t="n">
        <f aca="false">E486*Desain_Kolam!$B$9/1000</f>
        <v>753.12275</v>
      </c>
      <c r="J486" s="17" t="n">
        <f aca="false">F486+G486-H486-I486</f>
        <v>975.43975</v>
      </c>
      <c r="K486" s="17" t="n">
        <f aca="false">K485+J486</f>
        <v>126763.24285</v>
      </c>
      <c r="L486" s="17" t="n">
        <f aca="false">MAX(L485,K486)</f>
        <v>126763.24285</v>
      </c>
      <c r="M486" s="17" t="n">
        <f aca="false">L486-K486</f>
        <v>0</v>
      </c>
      <c r="N486" s="17" t="n">
        <f aca="false">MIN(Desain_Kolam!$B$21,MAX(0,N485+F486+G486-H486-I486))</f>
        <v>15823.566675</v>
      </c>
      <c r="O486" s="6" t="n">
        <f aca="false">IF(N485+F486+G486-I486&gt;=H486,1,0)</f>
        <v>1</v>
      </c>
    </row>
    <row r="487" customFormat="false" ht="15" hidden="false" customHeight="false" outlineLevel="0" collapsed="false">
      <c r="A487" s="6" t="n">
        <v>2022</v>
      </c>
      <c r="B487" s="6" t="n">
        <v>12</v>
      </c>
      <c r="C487" s="4" t="n">
        <v>215</v>
      </c>
      <c r="D487" s="6" t="n">
        <v>31</v>
      </c>
      <c r="E487" s="4" t="n">
        <f aca="false">INDEX(Evaporasi!$B$5:$B$16,MATCH(B487,Evaporasi!$A$5:$A$16,0))</f>
        <v>145.07</v>
      </c>
      <c r="F487" s="17" t="n">
        <f aca="false">Kawasan!$B$11*Kawasan!$B$9*C487/1000</f>
        <v>1788.8</v>
      </c>
      <c r="G487" s="17" t="n">
        <f aca="false">C487*Desain_Kolam!$B$9/1000</f>
        <v>1137.8875</v>
      </c>
      <c r="H487" s="17" t="n">
        <f aca="false">Kawasan!$B$28*D487</f>
        <v>1547.52</v>
      </c>
      <c r="I487" s="17" t="n">
        <f aca="false">E487*Desain_Kolam!$B$9/1000</f>
        <v>767.782975</v>
      </c>
      <c r="J487" s="17" t="n">
        <f aca="false">F487+G487-H487-I487</f>
        <v>611.384525</v>
      </c>
      <c r="K487" s="17" t="n">
        <f aca="false">K486+J487</f>
        <v>127374.627375</v>
      </c>
      <c r="L487" s="17" t="n">
        <f aca="false">MAX(L486,K487)</f>
        <v>127374.627375</v>
      </c>
      <c r="M487" s="17" t="n">
        <f aca="false">L487-K487</f>
        <v>0</v>
      </c>
      <c r="N487" s="17" t="n">
        <f aca="false">MIN(Desain_Kolam!$B$21,MAX(0,N486+F487+G487-H487-I487))</f>
        <v>15823.566675</v>
      </c>
      <c r="O487" s="6" t="n">
        <f aca="false">IF(N486+F487+G487-I487&gt;=H487,1,0)</f>
        <v>1</v>
      </c>
    </row>
    <row r="488" customFormat="false" ht="15" hidden="false" customHeight="false" outlineLevel="0" collapsed="false">
      <c r="A488" s="6" t="n">
        <v>2023</v>
      </c>
      <c r="B488" s="6" t="n">
        <v>1</v>
      </c>
      <c r="C488" s="4" t="n">
        <v>258</v>
      </c>
      <c r="D488" s="6" t="n">
        <v>31</v>
      </c>
      <c r="E488" s="4" t="n">
        <f aca="false">INDEX(Evaporasi!$B$5:$B$16,MATCH(B488,Evaporasi!$A$5:$A$16,0))</f>
        <v>149.98</v>
      </c>
      <c r="F488" s="17" t="n">
        <f aca="false">Kawasan!$B$11*Kawasan!$B$9*C488/1000</f>
        <v>2146.56</v>
      </c>
      <c r="G488" s="17" t="n">
        <f aca="false">C488*Desain_Kolam!$B$9/1000</f>
        <v>1365.465</v>
      </c>
      <c r="H488" s="17" t="n">
        <f aca="false">Kawasan!$B$28*D488</f>
        <v>1547.52</v>
      </c>
      <c r="I488" s="17" t="n">
        <f aca="false">E488*Desain_Kolam!$B$9/1000</f>
        <v>793.76915</v>
      </c>
      <c r="J488" s="17" t="n">
        <f aca="false">F488+G488-H488-I488</f>
        <v>1170.73585</v>
      </c>
      <c r="K488" s="17" t="n">
        <f aca="false">K487+J488</f>
        <v>128545.363225</v>
      </c>
      <c r="L488" s="17" t="n">
        <f aca="false">MAX(L487,K488)</f>
        <v>128545.363225</v>
      </c>
      <c r="M488" s="17" t="n">
        <f aca="false">L488-K488</f>
        <v>0</v>
      </c>
      <c r="N488" s="17" t="n">
        <f aca="false">MIN(Desain_Kolam!$B$21,MAX(0,N487+F488+G488-H488-I488))</f>
        <v>15823.566675</v>
      </c>
      <c r="O488" s="6" t="n">
        <f aca="false">IF(N487+F488+G488-I488&gt;=H488,1,0)</f>
        <v>1</v>
      </c>
    </row>
    <row r="489" customFormat="false" ht="15" hidden="false" customHeight="false" outlineLevel="0" collapsed="false">
      <c r="A489" s="6" t="n">
        <v>2023</v>
      </c>
      <c r="B489" s="6" t="n">
        <v>2</v>
      </c>
      <c r="C489" s="4" t="n">
        <v>185</v>
      </c>
      <c r="D489" s="6" t="n">
        <v>28</v>
      </c>
      <c r="E489" s="4" t="n">
        <f aca="false">INDEX(Evaporasi!$B$5:$B$16,MATCH(B489,Evaporasi!$A$5:$A$16,0))</f>
        <v>148.64</v>
      </c>
      <c r="F489" s="17" t="n">
        <f aca="false">Kawasan!$B$11*Kawasan!$B$9*C489/1000</f>
        <v>1539.2</v>
      </c>
      <c r="G489" s="17" t="n">
        <f aca="false">C489*Desain_Kolam!$B$9/1000</f>
        <v>979.1125</v>
      </c>
      <c r="H489" s="17" t="n">
        <f aca="false">Kawasan!$B$28*D489</f>
        <v>1397.76</v>
      </c>
      <c r="I489" s="17" t="n">
        <f aca="false">E489*Desain_Kolam!$B$9/1000</f>
        <v>786.6772</v>
      </c>
      <c r="J489" s="17" t="n">
        <f aca="false">F489+G489-H489-I489</f>
        <v>333.8753</v>
      </c>
      <c r="K489" s="17" t="n">
        <f aca="false">K488+J489</f>
        <v>128879.238525</v>
      </c>
      <c r="L489" s="17" t="n">
        <f aca="false">MAX(L488,K489)</f>
        <v>128879.238525</v>
      </c>
      <c r="M489" s="17" t="n">
        <f aca="false">L489-K489</f>
        <v>0</v>
      </c>
      <c r="N489" s="17" t="n">
        <f aca="false">MIN(Desain_Kolam!$B$21,MAX(0,N488+F489+G489-H489-I489))</f>
        <v>15823.566675</v>
      </c>
      <c r="O489" s="6" t="n">
        <f aca="false">IF(N488+F489+G489-I489&gt;=H489,1,0)</f>
        <v>1</v>
      </c>
    </row>
    <row r="490" customFormat="false" ht="15" hidden="false" customHeight="false" outlineLevel="0" collapsed="false">
      <c r="A490" s="6" t="n">
        <v>2023</v>
      </c>
      <c r="B490" s="6" t="n">
        <v>3</v>
      </c>
      <c r="C490" s="4" t="n">
        <v>309</v>
      </c>
      <c r="D490" s="6" t="n">
        <v>31</v>
      </c>
      <c r="E490" s="4" t="n">
        <f aca="false">INDEX(Evaporasi!$B$5:$B$16,MATCH(B490,Evaporasi!$A$5:$A$16,0))</f>
        <v>166.18</v>
      </c>
      <c r="F490" s="17" t="n">
        <f aca="false">Kawasan!$B$11*Kawasan!$B$9*C490/1000</f>
        <v>2570.88</v>
      </c>
      <c r="G490" s="17" t="n">
        <f aca="false">C490*Desain_Kolam!$B$9/1000</f>
        <v>1635.3825</v>
      </c>
      <c r="H490" s="17" t="n">
        <f aca="false">Kawasan!$B$28*D490</f>
        <v>1547.52</v>
      </c>
      <c r="I490" s="17" t="n">
        <f aca="false">E490*Desain_Kolam!$B$9/1000</f>
        <v>879.50765</v>
      </c>
      <c r="J490" s="17" t="n">
        <f aca="false">F490+G490-H490-I490</f>
        <v>1779.23485</v>
      </c>
      <c r="K490" s="17" t="n">
        <f aca="false">K489+J490</f>
        <v>130658.473375</v>
      </c>
      <c r="L490" s="17" t="n">
        <f aca="false">MAX(L489,K490)</f>
        <v>130658.473375</v>
      </c>
      <c r="M490" s="17" t="n">
        <f aca="false">L490-K490</f>
        <v>0</v>
      </c>
      <c r="N490" s="17" t="n">
        <f aca="false">MIN(Desain_Kolam!$B$21,MAX(0,N489+F490+G490-H490-I490))</f>
        <v>15823.566675</v>
      </c>
      <c r="O490" s="6" t="n">
        <f aca="false">IF(N489+F490+G490-I490&gt;=H490,1,0)</f>
        <v>1</v>
      </c>
    </row>
    <row r="491" customFormat="false" ht="15" hidden="false" customHeight="false" outlineLevel="0" collapsed="false">
      <c r="A491" s="6" t="n">
        <v>2023</v>
      </c>
      <c r="B491" s="6" t="n">
        <v>4</v>
      </c>
      <c r="C491" s="4" t="n">
        <v>189</v>
      </c>
      <c r="D491" s="6" t="n">
        <v>30</v>
      </c>
      <c r="E491" s="4" t="n">
        <f aca="false">INDEX(Evaporasi!$B$5:$B$16,MATCH(B491,Evaporasi!$A$5:$A$16,0))</f>
        <v>157.75</v>
      </c>
      <c r="F491" s="17" t="n">
        <f aca="false">Kawasan!$B$11*Kawasan!$B$9*C491/1000</f>
        <v>1572.48</v>
      </c>
      <c r="G491" s="17" t="n">
        <f aca="false">C491*Desain_Kolam!$B$9/1000</f>
        <v>1000.2825</v>
      </c>
      <c r="H491" s="17" t="n">
        <f aca="false">Kawasan!$B$28*D491</f>
        <v>1497.6</v>
      </c>
      <c r="I491" s="17" t="n">
        <f aca="false">E491*Desain_Kolam!$B$9/1000</f>
        <v>834.891875</v>
      </c>
      <c r="J491" s="17" t="n">
        <f aca="false">F491+G491-H491-I491</f>
        <v>240.270625</v>
      </c>
      <c r="K491" s="17" t="n">
        <f aca="false">K490+J491</f>
        <v>130898.744</v>
      </c>
      <c r="L491" s="17" t="n">
        <f aca="false">MAX(L490,K491)</f>
        <v>130898.744</v>
      </c>
      <c r="M491" s="17" t="n">
        <f aca="false">L491-K491</f>
        <v>0</v>
      </c>
      <c r="N491" s="17" t="n">
        <f aca="false">MIN(Desain_Kolam!$B$21,MAX(0,N490+F491+G491-H491-I491))</f>
        <v>15823.566675</v>
      </c>
      <c r="O491" s="6" t="n">
        <f aca="false">IF(N490+F491+G491-I491&gt;=H491,1,0)</f>
        <v>1</v>
      </c>
    </row>
    <row r="492" customFormat="false" ht="15" hidden="false" customHeight="false" outlineLevel="0" collapsed="false">
      <c r="A492" s="6" t="n">
        <v>2023</v>
      </c>
      <c r="B492" s="6" t="n">
        <v>5</v>
      </c>
      <c r="C492" s="4" t="n">
        <v>333</v>
      </c>
      <c r="D492" s="6" t="n">
        <v>31</v>
      </c>
      <c r="E492" s="4" t="n">
        <f aca="false">INDEX(Evaporasi!$B$5:$B$16,MATCH(B492,Evaporasi!$A$5:$A$16,0))</f>
        <v>158.35</v>
      </c>
      <c r="F492" s="17" t="n">
        <f aca="false">Kawasan!$B$11*Kawasan!$B$9*C492/1000</f>
        <v>2770.56</v>
      </c>
      <c r="G492" s="17" t="n">
        <f aca="false">C492*Desain_Kolam!$B$9/1000</f>
        <v>1762.4025</v>
      </c>
      <c r="H492" s="17" t="n">
        <f aca="false">Kawasan!$B$28*D492</f>
        <v>1547.52</v>
      </c>
      <c r="I492" s="17" t="n">
        <f aca="false">E492*Desain_Kolam!$B$9/1000</f>
        <v>838.067375</v>
      </c>
      <c r="J492" s="17" t="n">
        <f aca="false">F492+G492-H492-I492</f>
        <v>2147.375125</v>
      </c>
      <c r="K492" s="17" t="n">
        <f aca="false">K491+J492</f>
        <v>133046.119125</v>
      </c>
      <c r="L492" s="17" t="n">
        <f aca="false">MAX(L491,K492)</f>
        <v>133046.119125</v>
      </c>
      <c r="M492" s="17" t="n">
        <f aca="false">L492-K492</f>
        <v>0</v>
      </c>
      <c r="N492" s="17" t="n">
        <f aca="false">MIN(Desain_Kolam!$B$21,MAX(0,N491+F492+G492-H492-I492))</f>
        <v>15823.566675</v>
      </c>
      <c r="O492" s="6" t="n">
        <f aca="false">IF(N491+F492+G492-I492&gt;=H492,1,0)</f>
        <v>1</v>
      </c>
    </row>
    <row r="493" customFormat="false" ht="15" hidden="false" customHeight="false" outlineLevel="0" collapsed="false">
      <c r="A493" s="6" t="n">
        <v>2023</v>
      </c>
      <c r="B493" s="6" t="n">
        <v>6</v>
      </c>
      <c r="C493" s="4" t="n">
        <v>263</v>
      </c>
      <c r="D493" s="6" t="n">
        <v>30</v>
      </c>
      <c r="E493" s="4" t="n">
        <f aca="false">INDEX(Evaporasi!$B$5:$B$16,MATCH(B493,Evaporasi!$A$5:$A$16,0))</f>
        <v>150.17</v>
      </c>
      <c r="F493" s="17" t="n">
        <f aca="false">Kawasan!$B$11*Kawasan!$B$9*C493/1000</f>
        <v>2188.16</v>
      </c>
      <c r="G493" s="17" t="n">
        <f aca="false">C493*Desain_Kolam!$B$9/1000</f>
        <v>1391.9275</v>
      </c>
      <c r="H493" s="17" t="n">
        <f aca="false">Kawasan!$B$28*D493</f>
        <v>1497.6</v>
      </c>
      <c r="I493" s="17" t="n">
        <f aca="false">E493*Desain_Kolam!$B$9/1000</f>
        <v>794.774725</v>
      </c>
      <c r="J493" s="17" t="n">
        <f aca="false">F493+G493-H493-I493</f>
        <v>1287.712775</v>
      </c>
      <c r="K493" s="17" t="n">
        <f aca="false">K492+J493</f>
        <v>134333.8319</v>
      </c>
      <c r="L493" s="17" t="n">
        <f aca="false">MAX(L492,K493)</f>
        <v>134333.8319</v>
      </c>
      <c r="M493" s="17" t="n">
        <f aca="false">L493-K493</f>
        <v>0</v>
      </c>
      <c r="N493" s="17" t="n">
        <f aca="false">MIN(Desain_Kolam!$B$21,MAX(0,N492+F493+G493-H493-I493))</f>
        <v>15823.566675</v>
      </c>
      <c r="O493" s="6" t="n">
        <f aca="false">IF(N492+F493+G493-I493&gt;=H493,1,0)</f>
        <v>1</v>
      </c>
    </row>
    <row r="494" customFormat="false" ht="15" hidden="false" customHeight="false" outlineLevel="0" collapsed="false">
      <c r="A494" s="6" t="n">
        <v>2023</v>
      </c>
      <c r="B494" s="6" t="n">
        <v>7</v>
      </c>
      <c r="C494" s="4" t="n">
        <v>405</v>
      </c>
      <c r="D494" s="6" t="n">
        <v>31</v>
      </c>
      <c r="E494" s="4" t="n">
        <f aca="false">INDEX(Evaporasi!$B$5:$B$16,MATCH(B494,Evaporasi!$A$5:$A$16,0))</f>
        <v>160.84</v>
      </c>
      <c r="F494" s="17" t="n">
        <f aca="false">Kawasan!$B$11*Kawasan!$B$9*C494/1000</f>
        <v>3369.6</v>
      </c>
      <c r="G494" s="17" t="n">
        <f aca="false">C494*Desain_Kolam!$B$9/1000</f>
        <v>2143.4625</v>
      </c>
      <c r="H494" s="17" t="n">
        <f aca="false">Kawasan!$B$28*D494</f>
        <v>1547.52</v>
      </c>
      <c r="I494" s="17" t="n">
        <f aca="false">E494*Desain_Kolam!$B$9/1000</f>
        <v>851.2457</v>
      </c>
      <c r="J494" s="17" t="n">
        <f aca="false">F494+G494-H494-I494</f>
        <v>3114.2968</v>
      </c>
      <c r="K494" s="17" t="n">
        <f aca="false">K493+J494</f>
        <v>137448.1287</v>
      </c>
      <c r="L494" s="17" t="n">
        <f aca="false">MAX(L493,K494)</f>
        <v>137448.1287</v>
      </c>
      <c r="M494" s="17" t="n">
        <f aca="false">L494-K494</f>
        <v>0</v>
      </c>
      <c r="N494" s="17" t="n">
        <f aca="false">MIN(Desain_Kolam!$B$21,MAX(0,N493+F494+G494-H494-I494))</f>
        <v>15823.566675</v>
      </c>
      <c r="O494" s="6" t="n">
        <f aca="false">IF(N493+F494+G494-I494&gt;=H494,1,0)</f>
        <v>1</v>
      </c>
    </row>
    <row r="495" customFormat="false" ht="15" hidden="false" customHeight="false" outlineLevel="0" collapsed="false">
      <c r="A495" s="6" t="n">
        <v>2023</v>
      </c>
      <c r="B495" s="6" t="n">
        <v>8</v>
      </c>
      <c r="C495" s="4" t="n">
        <v>164</v>
      </c>
      <c r="D495" s="6" t="n">
        <v>31</v>
      </c>
      <c r="E495" s="4" t="n">
        <f aca="false">INDEX(Evaporasi!$B$5:$B$16,MATCH(B495,Evaporasi!$A$5:$A$16,0))</f>
        <v>161.16</v>
      </c>
      <c r="F495" s="17" t="n">
        <f aca="false">Kawasan!$B$11*Kawasan!$B$9*C495/1000</f>
        <v>1364.48</v>
      </c>
      <c r="G495" s="17" t="n">
        <f aca="false">C495*Desain_Kolam!$B$9/1000</f>
        <v>867.97</v>
      </c>
      <c r="H495" s="17" t="n">
        <f aca="false">Kawasan!$B$28*D495</f>
        <v>1547.52</v>
      </c>
      <c r="I495" s="17" t="n">
        <f aca="false">E495*Desain_Kolam!$B$9/1000</f>
        <v>852.9393</v>
      </c>
      <c r="J495" s="17" t="n">
        <f aca="false">F495+G495-H495-I495</f>
        <v>-168.0093</v>
      </c>
      <c r="K495" s="17" t="n">
        <f aca="false">K494+J495</f>
        <v>137280.1194</v>
      </c>
      <c r="L495" s="17" t="n">
        <f aca="false">MAX(L494,K495)</f>
        <v>137448.1287</v>
      </c>
      <c r="M495" s="17" t="n">
        <f aca="false">L495-K495</f>
        <v>168.009300000005</v>
      </c>
      <c r="N495" s="17" t="n">
        <f aca="false">MIN(Desain_Kolam!$B$21,MAX(0,N494+F495+G495-H495-I495))</f>
        <v>15655.557375</v>
      </c>
      <c r="O495" s="6" t="n">
        <f aca="false">IF(N494+F495+G495-I495&gt;=H495,1,0)</f>
        <v>1</v>
      </c>
    </row>
    <row r="496" customFormat="false" ht="15" hidden="false" customHeight="false" outlineLevel="0" collapsed="false">
      <c r="A496" s="6" t="n">
        <v>2023</v>
      </c>
      <c r="B496" s="6" t="n">
        <v>9</v>
      </c>
      <c r="C496" s="4" t="n">
        <v>218</v>
      </c>
      <c r="D496" s="6" t="n">
        <v>30</v>
      </c>
      <c r="E496" s="4" t="n">
        <f aca="false">INDEX(Evaporasi!$B$5:$B$16,MATCH(B496,Evaporasi!$A$5:$A$16,0))</f>
        <v>159.21</v>
      </c>
      <c r="F496" s="17" t="n">
        <f aca="false">Kawasan!$B$11*Kawasan!$B$9*C496/1000</f>
        <v>1813.76</v>
      </c>
      <c r="G496" s="17" t="n">
        <f aca="false">C496*Desain_Kolam!$B$9/1000</f>
        <v>1153.765</v>
      </c>
      <c r="H496" s="17" t="n">
        <f aca="false">Kawasan!$B$28*D496</f>
        <v>1497.6</v>
      </c>
      <c r="I496" s="17" t="n">
        <f aca="false">E496*Desain_Kolam!$B$9/1000</f>
        <v>842.618925</v>
      </c>
      <c r="J496" s="17" t="n">
        <f aca="false">F496+G496-H496-I496</f>
        <v>627.306075</v>
      </c>
      <c r="K496" s="17" t="n">
        <f aca="false">K495+J496</f>
        <v>137907.425475</v>
      </c>
      <c r="L496" s="17" t="n">
        <f aca="false">MAX(L495,K496)</f>
        <v>137907.425475</v>
      </c>
      <c r="M496" s="17" t="n">
        <f aca="false">L496-K496</f>
        <v>0</v>
      </c>
      <c r="N496" s="17" t="n">
        <f aca="false">MIN(Desain_Kolam!$B$21,MAX(0,N495+F496+G496-H496-I496))</f>
        <v>15823.566675</v>
      </c>
      <c r="O496" s="6" t="n">
        <f aca="false">IF(N495+F496+G496-I496&gt;=H496,1,0)</f>
        <v>1</v>
      </c>
    </row>
    <row r="497" customFormat="false" ht="15" hidden="false" customHeight="false" outlineLevel="0" collapsed="false">
      <c r="A497" s="6" t="n">
        <v>2023</v>
      </c>
      <c r="B497" s="6" t="n">
        <v>10</v>
      </c>
      <c r="C497" s="4" t="n">
        <v>250</v>
      </c>
      <c r="D497" s="6" t="n">
        <v>31</v>
      </c>
      <c r="E497" s="4" t="n">
        <f aca="false">INDEX(Evaporasi!$B$5:$B$16,MATCH(B497,Evaporasi!$A$5:$A$16,0))</f>
        <v>151.5</v>
      </c>
      <c r="F497" s="17" t="n">
        <f aca="false">Kawasan!$B$11*Kawasan!$B$9*C497/1000</f>
        <v>2080</v>
      </c>
      <c r="G497" s="17" t="n">
        <f aca="false">C497*Desain_Kolam!$B$9/1000</f>
        <v>1323.125</v>
      </c>
      <c r="H497" s="17" t="n">
        <f aca="false">Kawasan!$B$28*D497</f>
        <v>1547.52</v>
      </c>
      <c r="I497" s="17" t="n">
        <f aca="false">E497*Desain_Kolam!$B$9/1000</f>
        <v>801.81375</v>
      </c>
      <c r="J497" s="17" t="n">
        <f aca="false">F497+G497-H497-I497</f>
        <v>1053.79125</v>
      </c>
      <c r="K497" s="17" t="n">
        <f aca="false">K496+J497</f>
        <v>138961.216725</v>
      </c>
      <c r="L497" s="17" t="n">
        <f aca="false">MAX(L496,K497)</f>
        <v>138961.216725</v>
      </c>
      <c r="M497" s="17" t="n">
        <f aca="false">L497-K497</f>
        <v>0</v>
      </c>
      <c r="N497" s="17" t="n">
        <f aca="false">MIN(Desain_Kolam!$B$21,MAX(0,N496+F497+G497-H497-I497))</f>
        <v>15823.566675</v>
      </c>
      <c r="O497" s="6" t="n">
        <f aca="false">IF(N496+F497+G497-I497&gt;=H497,1,0)</f>
        <v>1</v>
      </c>
    </row>
    <row r="498" customFormat="false" ht="15" hidden="false" customHeight="false" outlineLevel="0" collapsed="false">
      <c r="A498" s="6" t="n">
        <v>2023</v>
      </c>
      <c r="B498" s="6" t="n">
        <v>11</v>
      </c>
      <c r="C498" s="4" t="n">
        <v>265</v>
      </c>
      <c r="D498" s="6" t="n">
        <v>30</v>
      </c>
      <c r="E498" s="4" t="n">
        <f aca="false">INDEX(Evaporasi!$B$5:$B$16,MATCH(B498,Evaporasi!$A$5:$A$16,0))</f>
        <v>142.3</v>
      </c>
      <c r="F498" s="17" t="n">
        <f aca="false">Kawasan!$B$11*Kawasan!$B$9*C498/1000</f>
        <v>2204.8</v>
      </c>
      <c r="G498" s="17" t="n">
        <f aca="false">C498*Desain_Kolam!$B$9/1000</f>
        <v>1402.5125</v>
      </c>
      <c r="H498" s="17" t="n">
        <f aca="false">Kawasan!$B$28*D498</f>
        <v>1497.6</v>
      </c>
      <c r="I498" s="17" t="n">
        <f aca="false">E498*Desain_Kolam!$B$9/1000</f>
        <v>753.12275</v>
      </c>
      <c r="J498" s="17" t="n">
        <f aca="false">F498+G498-H498-I498</f>
        <v>1356.58975</v>
      </c>
      <c r="K498" s="17" t="n">
        <f aca="false">K497+J498</f>
        <v>140317.806475</v>
      </c>
      <c r="L498" s="17" t="n">
        <f aca="false">MAX(L497,K498)</f>
        <v>140317.806475</v>
      </c>
      <c r="M498" s="17" t="n">
        <f aca="false">L498-K498</f>
        <v>0</v>
      </c>
      <c r="N498" s="17" t="n">
        <f aca="false">MIN(Desain_Kolam!$B$21,MAX(0,N497+F498+G498-H498-I498))</f>
        <v>15823.566675</v>
      </c>
      <c r="O498" s="6" t="n">
        <f aca="false">IF(N497+F498+G498-I498&gt;=H498,1,0)</f>
        <v>1</v>
      </c>
    </row>
    <row r="499" customFormat="false" ht="15" hidden="false" customHeight="false" outlineLevel="0" collapsed="false">
      <c r="A499" s="6" t="n">
        <v>2023</v>
      </c>
      <c r="B499" s="6" t="n">
        <v>12</v>
      </c>
      <c r="C499" s="4" t="n">
        <v>421</v>
      </c>
      <c r="D499" s="6" t="n">
        <v>31</v>
      </c>
      <c r="E499" s="4" t="n">
        <f aca="false">INDEX(Evaporasi!$B$5:$B$16,MATCH(B499,Evaporasi!$A$5:$A$16,0))</f>
        <v>145.07</v>
      </c>
      <c r="F499" s="17" t="n">
        <f aca="false">Kawasan!$B$11*Kawasan!$B$9*C499/1000</f>
        <v>3502.72</v>
      </c>
      <c r="G499" s="17" t="n">
        <f aca="false">C499*Desain_Kolam!$B$9/1000</f>
        <v>2228.1425</v>
      </c>
      <c r="H499" s="17" t="n">
        <f aca="false">Kawasan!$B$28*D499</f>
        <v>1547.52</v>
      </c>
      <c r="I499" s="17" t="n">
        <f aca="false">E499*Desain_Kolam!$B$9/1000</f>
        <v>767.782975</v>
      </c>
      <c r="J499" s="17" t="n">
        <f aca="false">F499+G499-H499-I499</f>
        <v>3415.559525</v>
      </c>
      <c r="K499" s="17" t="n">
        <f aca="false">K498+J499</f>
        <v>143733.366</v>
      </c>
      <c r="L499" s="17" t="n">
        <f aca="false">MAX(L498,K499)</f>
        <v>143733.366</v>
      </c>
      <c r="M499" s="17" t="n">
        <f aca="false">L499-K499</f>
        <v>0</v>
      </c>
      <c r="N499" s="17" t="n">
        <f aca="false">MIN(Desain_Kolam!$B$21,MAX(0,N498+F499+G499-H499-I499))</f>
        <v>15823.566675</v>
      </c>
      <c r="O499" s="6" t="n">
        <f aca="false">IF(N498+F499+G499-I499&gt;=H499,1,0)</f>
        <v>1</v>
      </c>
    </row>
    <row r="500" customFormat="false" ht="15" hidden="false" customHeight="false" outlineLevel="0" collapsed="false">
      <c r="A500" s="6" t="n">
        <v>2024</v>
      </c>
      <c r="B500" s="6" t="n">
        <v>1</v>
      </c>
      <c r="C500" s="4" t="n">
        <v>379</v>
      </c>
      <c r="D500" s="6" t="n">
        <v>31</v>
      </c>
      <c r="E500" s="4" t="n">
        <f aca="false">INDEX(Evaporasi!$B$5:$B$16,MATCH(B500,Evaporasi!$A$5:$A$16,0))</f>
        <v>149.98</v>
      </c>
      <c r="F500" s="17" t="n">
        <f aca="false">Kawasan!$B$11*Kawasan!$B$9*C500/1000</f>
        <v>3153.28</v>
      </c>
      <c r="G500" s="17" t="n">
        <f aca="false">C500*Desain_Kolam!$B$9/1000</f>
        <v>2005.8575</v>
      </c>
      <c r="H500" s="17" t="n">
        <f aca="false">Kawasan!$B$28*D500</f>
        <v>1547.52</v>
      </c>
      <c r="I500" s="17" t="n">
        <f aca="false">E500*Desain_Kolam!$B$9/1000</f>
        <v>793.76915</v>
      </c>
      <c r="J500" s="17" t="n">
        <f aca="false">F500+G500-H500-I500</f>
        <v>2817.84835</v>
      </c>
      <c r="K500" s="17" t="n">
        <f aca="false">K499+J500</f>
        <v>146551.21435</v>
      </c>
      <c r="L500" s="17" t="n">
        <f aca="false">MAX(L499,K500)</f>
        <v>146551.21435</v>
      </c>
      <c r="M500" s="17" t="n">
        <f aca="false">L500-K500</f>
        <v>0</v>
      </c>
      <c r="N500" s="17" t="n">
        <f aca="false">MIN(Desain_Kolam!$B$21,MAX(0,N499+F500+G500-H500-I500))</f>
        <v>15823.566675</v>
      </c>
      <c r="O500" s="6" t="n">
        <f aca="false">IF(N499+F500+G500-I500&gt;=H500,1,0)</f>
        <v>1</v>
      </c>
    </row>
    <row r="501" customFormat="false" ht="15" hidden="false" customHeight="false" outlineLevel="0" collapsed="false">
      <c r="A501" s="6" t="n">
        <v>2024</v>
      </c>
      <c r="B501" s="6" t="n">
        <v>2</v>
      </c>
      <c r="C501" s="4" t="n">
        <v>300</v>
      </c>
      <c r="D501" s="6" t="n">
        <v>29</v>
      </c>
      <c r="E501" s="4" t="n">
        <f aca="false">INDEX(Evaporasi!$B$5:$B$16,MATCH(B501,Evaporasi!$A$5:$A$16,0))</f>
        <v>148.64</v>
      </c>
      <c r="F501" s="17" t="n">
        <f aca="false">Kawasan!$B$11*Kawasan!$B$9*C501/1000</f>
        <v>2496</v>
      </c>
      <c r="G501" s="17" t="n">
        <f aca="false">C501*Desain_Kolam!$B$9/1000</f>
        <v>1587.75</v>
      </c>
      <c r="H501" s="17" t="n">
        <f aca="false">Kawasan!$B$28*D501</f>
        <v>1447.68</v>
      </c>
      <c r="I501" s="17" t="n">
        <f aca="false">E501*Desain_Kolam!$B$9/1000</f>
        <v>786.6772</v>
      </c>
      <c r="J501" s="17" t="n">
        <f aca="false">F501+G501-H501-I501</f>
        <v>1849.3928</v>
      </c>
      <c r="K501" s="17" t="n">
        <f aca="false">K500+J501</f>
        <v>148400.60715</v>
      </c>
      <c r="L501" s="17" t="n">
        <f aca="false">MAX(L500,K501)</f>
        <v>148400.60715</v>
      </c>
      <c r="M501" s="17" t="n">
        <f aca="false">L501-K501</f>
        <v>0</v>
      </c>
      <c r="N501" s="17" t="n">
        <f aca="false">MIN(Desain_Kolam!$B$21,MAX(0,N500+F501+G501-H501-I501))</f>
        <v>15823.566675</v>
      </c>
      <c r="O501" s="6" t="n">
        <f aca="false">IF(N500+F501+G501-I501&gt;=H501,1,0)</f>
        <v>1</v>
      </c>
    </row>
    <row r="502" customFormat="false" ht="15" hidden="false" customHeight="false" outlineLevel="0" collapsed="false">
      <c r="A502" s="6" t="n">
        <v>2024</v>
      </c>
      <c r="B502" s="6" t="n">
        <v>3</v>
      </c>
      <c r="C502" s="4" t="n">
        <v>512</v>
      </c>
      <c r="D502" s="6" t="n">
        <v>31</v>
      </c>
      <c r="E502" s="4" t="n">
        <f aca="false">INDEX(Evaporasi!$B$5:$B$16,MATCH(B502,Evaporasi!$A$5:$A$16,0))</f>
        <v>166.18</v>
      </c>
      <c r="F502" s="17" t="n">
        <f aca="false">Kawasan!$B$11*Kawasan!$B$9*C502/1000</f>
        <v>4259.84</v>
      </c>
      <c r="G502" s="17" t="n">
        <f aca="false">C502*Desain_Kolam!$B$9/1000</f>
        <v>2709.76</v>
      </c>
      <c r="H502" s="17" t="n">
        <f aca="false">Kawasan!$B$28*D502</f>
        <v>1547.52</v>
      </c>
      <c r="I502" s="17" t="n">
        <f aca="false">E502*Desain_Kolam!$B$9/1000</f>
        <v>879.50765</v>
      </c>
      <c r="J502" s="17" t="n">
        <f aca="false">F502+G502-H502-I502</f>
        <v>4542.57235</v>
      </c>
      <c r="K502" s="17" t="n">
        <f aca="false">K501+J502</f>
        <v>152943.1795</v>
      </c>
      <c r="L502" s="17" t="n">
        <f aca="false">MAX(L501,K502)</f>
        <v>152943.1795</v>
      </c>
      <c r="M502" s="17" t="n">
        <f aca="false">L502-K502</f>
        <v>0</v>
      </c>
      <c r="N502" s="17" t="n">
        <f aca="false">MIN(Desain_Kolam!$B$21,MAX(0,N501+F502+G502-H502-I502))</f>
        <v>15823.566675</v>
      </c>
      <c r="O502" s="6" t="n">
        <f aca="false">IF(N501+F502+G502-I502&gt;=H502,1,0)</f>
        <v>1</v>
      </c>
    </row>
    <row r="503" customFormat="false" ht="15" hidden="false" customHeight="false" outlineLevel="0" collapsed="false">
      <c r="A503" s="6" t="n">
        <v>2024</v>
      </c>
      <c r="B503" s="6" t="n">
        <v>4</v>
      </c>
      <c r="C503" s="4" t="n">
        <v>327</v>
      </c>
      <c r="D503" s="6" t="n">
        <v>30</v>
      </c>
      <c r="E503" s="4" t="n">
        <f aca="false">INDEX(Evaporasi!$B$5:$B$16,MATCH(B503,Evaporasi!$A$5:$A$16,0))</f>
        <v>157.75</v>
      </c>
      <c r="F503" s="17" t="n">
        <f aca="false">Kawasan!$B$11*Kawasan!$B$9*C503/1000</f>
        <v>2720.64</v>
      </c>
      <c r="G503" s="17" t="n">
        <f aca="false">C503*Desain_Kolam!$B$9/1000</f>
        <v>1730.6475</v>
      </c>
      <c r="H503" s="17" t="n">
        <f aca="false">Kawasan!$B$28*D503</f>
        <v>1497.6</v>
      </c>
      <c r="I503" s="17" t="n">
        <f aca="false">E503*Desain_Kolam!$B$9/1000</f>
        <v>834.891875</v>
      </c>
      <c r="J503" s="17" t="n">
        <f aca="false">F503+G503-H503-I503</f>
        <v>2118.795625</v>
      </c>
      <c r="K503" s="17" t="n">
        <f aca="false">K502+J503</f>
        <v>155061.975125</v>
      </c>
      <c r="L503" s="17" t="n">
        <f aca="false">MAX(L502,K503)</f>
        <v>155061.975125</v>
      </c>
      <c r="M503" s="17" t="n">
        <f aca="false">L503-K503</f>
        <v>0</v>
      </c>
      <c r="N503" s="17" t="n">
        <f aca="false">MIN(Desain_Kolam!$B$21,MAX(0,N502+F503+G503-H503-I503))</f>
        <v>15823.566675</v>
      </c>
      <c r="O503" s="6" t="n">
        <f aca="false">IF(N502+F503+G503-I503&gt;=H503,1,0)</f>
        <v>1</v>
      </c>
    </row>
    <row r="504" customFormat="false" ht="15" hidden="false" customHeight="false" outlineLevel="0" collapsed="false">
      <c r="A504" s="6" t="n">
        <v>2024</v>
      </c>
      <c r="B504" s="6" t="n">
        <v>5</v>
      </c>
      <c r="C504" s="4" t="n">
        <v>406</v>
      </c>
      <c r="D504" s="6" t="n">
        <v>31</v>
      </c>
      <c r="E504" s="4" t="n">
        <f aca="false">INDEX(Evaporasi!$B$5:$B$16,MATCH(B504,Evaporasi!$A$5:$A$16,0))</f>
        <v>158.35</v>
      </c>
      <c r="F504" s="17" t="n">
        <f aca="false">Kawasan!$B$11*Kawasan!$B$9*C504/1000</f>
        <v>3377.92</v>
      </c>
      <c r="G504" s="17" t="n">
        <f aca="false">C504*Desain_Kolam!$B$9/1000</f>
        <v>2148.755</v>
      </c>
      <c r="H504" s="17" t="n">
        <f aca="false">Kawasan!$B$28*D504</f>
        <v>1547.52</v>
      </c>
      <c r="I504" s="17" t="n">
        <f aca="false">E504*Desain_Kolam!$B$9/1000</f>
        <v>838.067375</v>
      </c>
      <c r="J504" s="17" t="n">
        <f aca="false">F504+G504-H504-I504</f>
        <v>3141.087625</v>
      </c>
      <c r="K504" s="17" t="n">
        <f aca="false">K503+J504</f>
        <v>158203.06275</v>
      </c>
      <c r="L504" s="17" t="n">
        <f aca="false">MAX(L503,K504)</f>
        <v>158203.06275</v>
      </c>
      <c r="M504" s="17" t="n">
        <f aca="false">L504-K504</f>
        <v>0</v>
      </c>
      <c r="N504" s="17" t="n">
        <f aca="false">MIN(Desain_Kolam!$B$21,MAX(0,N503+F504+G504-H504-I504))</f>
        <v>15823.566675</v>
      </c>
      <c r="O504" s="6" t="n">
        <f aca="false">IF(N503+F504+G504-I504&gt;=H504,1,0)</f>
        <v>1</v>
      </c>
    </row>
    <row r="505" customFormat="false" ht="15" hidden="false" customHeight="false" outlineLevel="0" collapsed="false">
      <c r="A505" s="6" t="n">
        <v>2024</v>
      </c>
      <c r="B505" s="6" t="n">
        <v>6</v>
      </c>
      <c r="C505" s="4" t="n">
        <v>166</v>
      </c>
      <c r="D505" s="6" t="n">
        <v>30</v>
      </c>
      <c r="E505" s="4" t="n">
        <f aca="false">INDEX(Evaporasi!$B$5:$B$16,MATCH(B505,Evaporasi!$A$5:$A$16,0))</f>
        <v>150.17</v>
      </c>
      <c r="F505" s="17" t="n">
        <f aca="false">Kawasan!$B$11*Kawasan!$B$9*C505/1000</f>
        <v>1381.12</v>
      </c>
      <c r="G505" s="17" t="n">
        <f aca="false">C505*Desain_Kolam!$B$9/1000</f>
        <v>878.555</v>
      </c>
      <c r="H505" s="17" t="n">
        <f aca="false">Kawasan!$B$28*D505</f>
        <v>1497.6</v>
      </c>
      <c r="I505" s="17" t="n">
        <f aca="false">E505*Desain_Kolam!$B$9/1000</f>
        <v>794.774725</v>
      </c>
      <c r="J505" s="17" t="n">
        <f aca="false">F505+G505-H505-I505</f>
        <v>-32.6997250000004</v>
      </c>
      <c r="K505" s="17" t="n">
        <f aca="false">K504+J505</f>
        <v>158170.363025</v>
      </c>
      <c r="L505" s="17" t="n">
        <f aca="false">MAX(L504,K505)</f>
        <v>158203.06275</v>
      </c>
      <c r="M505" s="17" t="n">
        <f aca="false">L505-K505</f>
        <v>32.6997250000131</v>
      </c>
      <c r="N505" s="17" t="n">
        <f aca="false">MIN(Desain_Kolam!$B$21,MAX(0,N504+F505+G505-H505-I505))</f>
        <v>15790.86695</v>
      </c>
      <c r="O505" s="6" t="n">
        <f aca="false">IF(N504+F505+G505-I505&gt;=H505,1,0)</f>
        <v>1</v>
      </c>
    </row>
    <row r="506" customFormat="false" ht="15" hidden="false" customHeight="false" outlineLevel="0" collapsed="false">
      <c r="A506" s="6" t="n">
        <v>2024</v>
      </c>
      <c r="B506" s="6" t="n">
        <v>7</v>
      </c>
      <c r="C506" s="4" t="n">
        <v>114</v>
      </c>
      <c r="D506" s="6" t="n">
        <v>31</v>
      </c>
      <c r="E506" s="4" t="n">
        <f aca="false">INDEX(Evaporasi!$B$5:$B$16,MATCH(B506,Evaporasi!$A$5:$A$16,0))</f>
        <v>160.84</v>
      </c>
      <c r="F506" s="17" t="n">
        <f aca="false">Kawasan!$B$11*Kawasan!$B$9*C506/1000</f>
        <v>948.48</v>
      </c>
      <c r="G506" s="17" t="n">
        <f aca="false">C506*Desain_Kolam!$B$9/1000</f>
        <v>603.345</v>
      </c>
      <c r="H506" s="17" t="n">
        <f aca="false">Kawasan!$B$28*D506</f>
        <v>1547.52</v>
      </c>
      <c r="I506" s="17" t="n">
        <f aca="false">E506*Desain_Kolam!$B$9/1000</f>
        <v>851.2457</v>
      </c>
      <c r="J506" s="17" t="n">
        <f aca="false">F506+G506-H506-I506</f>
        <v>-846.9407</v>
      </c>
      <c r="K506" s="17" t="n">
        <f aca="false">K505+J506</f>
        <v>157323.422325</v>
      </c>
      <c r="L506" s="17" t="n">
        <f aca="false">MAX(L505,K506)</f>
        <v>158203.06275</v>
      </c>
      <c r="M506" s="17" t="n">
        <f aca="false">L506-K506</f>
        <v>879.64042500002</v>
      </c>
      <c r="N506" s="17" t="n">
        <f aca="false">MIN(Desain_Kolam!$B$21,MAX(0,N505+F506+G506-H506-I506))</f>
        <v>14943.92625</v>
      </c>
      <c r="O506" s="6" t="n">
        <f aca="false">IF(N505+F506+G506-I506&gt;=H506,1,0)</f>
        <v>1</v>
      </c>
    </row>
    <row r="507" customFormat="false" ht="15" hidden="false" customHeight="false" outlineLevel="0" collapsed="false">
      <c r="A507" s="6" t="n">
        <v>2024</v>
      </c>
      <c r="B507" s="6" t="n">
        <v>8</v>
      </c>
      <c r="C507" s="4" t="n">
        <v>350</v>
      </c>
      <c r="D507" s="6" t="n">
        <v>31</v>
      </c>
      <c r="E507" s="4" t="n">
        <f aca="false">INDEX(Evaporasi!$B$5:$B$16,MATCH(B507,Evaporasi!$A$5:$A$16,0))</f>
        <v>161.16</v>
      </c>
      <c r="F507" s="17" t="n">
        <f aca="false">Kawasan!$B$11*Kawasan!$B$9*C507/1000</f>
        <v>2912</v>
      </c>
      <c r="G507" s="17" t="n">
        <f aca="false">C507*Desain_Kolam!$B$9/1000</f>
        <v>1852.375</v>
      </c>
      <c r="H507" s="17" t="n">
        <f aca="false">Kawasan!$B$28*D507</f>
        <v>1547.52</v>
      </c>
      <c r="I507" s="17" t="n">
        <f aca="false">E507*Desain_Kolam!$B$9/1000</f>
        <v>852.9393</v>
      </c>
      <c r="J507" s="17" t="n">
        <f aca="false">F507+G507-H507-I507</f>
        <v>2363.9157</v>
      </c>
      <c r="K507" s="17" t="n">
        <f aca="false">K506+J507</f>
        <v>159687.338025</v>
      </c>
      <c r="L507" s="17" t="n">
        <f aca="false">MAX(L506,K507)</f>
        <v>159687.338025</v>
      </c>
      <c r="M507" s="17" t="n">
        <f aca="false">L507-K507</f>
        <v>0</v>
      </c>
      <c r="N507" s="17" t="n">
        <f aca="false">MIN(Desain_Kolam!$B$21,MAX(0,N506+F507+G507-H507-I507))</f>
        <v>15823.566675</v>
      </c>
      <c r="O507" s="6" t="n">
        <f aca="false">IF(N506+F507+G507-I507&gt;=H507,1,0)</f>
        <v>1</v>
      </c>
    </row>
    <row r="508" customFormat="false" ht="15" hidden="false" customHeight="false" outlineLevel="0" collapsed="false">
      <c r="A508" s="6" t="n">
        <v>2024</v>
      </c>
      <c r="B508" s="6" t="n">
        <v>9</v>
      </c>
      <c r="C508" s="4" t="n">
        <v>197</v>
      </c>
      <c r="D508" s="6" t="n">
        <v>30</v>
      </c>
      <c r="E508" s="4" t="n">
        <f aca="false">INDEX(Evaporasi!$B$5:$B$16,MATCH(B508,Evaporasi!$A$5:$A$16,0))</f>
        <v>159.21</v>
      </c>
      <c r="F508" s="17" t="n">
        <f aca="false">Kawasan!$B$11*Kawasan!$B$9*C508/1000</f>
        <v>1639.04</v>
      </c>
      <c r="G508" s="17" t="n">
        <f aca="false">C508*Desain_Kolam!$B$9/1000</f>
        <v>1042.6225</v>
      </c>
      <c r="H508" s="17" t="n">
        <f aca="false">Kawasan!$B$28*D508</f>
        <v>1497.6</v>
      </c>
      <c r="I508" s="17" t="n">
        <f aca="false">E508*Desain_Kolam!$B$9/1000</f>
        <v>842.618925</v>
      </c>
      <c r="J508" s="17" t="n">
        <f aca="false">F508+G508-H508-I508</f>
        <v>341.443575</v>
      </c>
      <c r="K508" s="17" t="n">
        <f aca="false">K507+J508</f>
        <v>160028.7816</v>
      </c>
      <c r="L508" s="17" t="n">
        <f aca="false">MAX(L507,K508)</f>
        <v>160028.7816</v>
      </c>
      <c r="M508" s="17" t="n">
        <f aca="false">L508-K508</f>
        <v>0</v>
      </c>
      <c r="N508" s="17" t="n">
        <f aca="false">MIN(Desain_Kolam!$B$21,MAX(0,N507+F508+G508-H508-I508))</f>
        <v>15823.566675</v>
      </c>
      <c r="O508" s="6" t="n">
        <f aca="false">IF(N507+F508+G508-I508&gt;=H508,1,0)</f>
        <v>1</v>
      </c>
    </row>
    <row r="509" customFormat="false" ht="15" hidden="false" customHeight="false" outlineLevel="0" collapsed="false">
      <c r="A509" s="6" t="n">
        <v>2024</v>
      </c>
      <c r="B509" s="6" t="n">
        <v>10</v>
      </c>
      <c r="C509" s="4" t="n">
        <v>327</v>
      </c>
      <c r="D509" s="6" t="n">
        <v>31</v>
      </c>
      <c r="E509" s="4" t="n">
        <f aca="false">INDEX(Evaporasi!$B$5:$B$16,MATCH(B509,Evaporasi!$A$5:$A$16,0))</f>
        <v>151.5</v>
      </c>
      <c r="F509" s="17" t="n">
        <f aca="false">Kawasan!$B$11*Kawasan!$B$9*C509/1000</f>
        <v>2720.64</v>
      </c>
      <c r="G509" s="17" t="n">
        <f aca="false">C509*Desain_Kolam!$B$9/1000</f>
        <v>1730.6475</v>
      </c>
      <c r="H509" s="17" t="n">
        <f aca="false">Kawasan!$B$28*D509</f>
        <v>1547.52</v>
      </c>
      <c r="I509" s="17" t="n">
        <f aca="false">E509*Desain_Kolam!$B$9/1000</f>
        <v>801.81375</v>
      </c>
      <c r="J509" s="17" t="n">
        <f aca="false">F509+G509-H509-I509</f>
        <v>2101.95375</v>
      </c>
      <c r="K509" s="17" t="n">
        <f aca="false">K508+J509</f>
        <v>162130.73535</v>
      </c>
      <c r="L509" s="17" t="n">
        <f aca="false">MAX(L508,K509)</f>
        <v>162130.73535</v>
      </c>
      <c r="M509" s="17" t="n">
        <f aca="false">L509-K509</f>
        <v>0</v>
      </c>
      <c r="N509" s="17" t="n">
        <f aca="false">MIN(Desain_Kolam!$B$21,MAX(0,N508+F509+G509-H509-I509))</f>
        <v>15823.566675</v>
      </c>
      <c r="O509" s="6" t="n">
        <f aca="false">IF(N508+F509+G509-I509&gt;=H509,1,0)</f>
        <v>1</v>
      </c>
    </row>
    <row r="510" customFormat="false" ht="15" hidden="false" customHeight="false" outlineLevel="0" collapsed="false">
      <c r="A510" s="6" t="n">
        <v>2024</v>
      </c>
      <c r="B510" s="6" t="n">
        <v>11</v>
      </c>
      <c r="C510" s="4" t="n">
        <v>419</v>
      </c>
      <c r="D510" s="6" t="n">
        <v>30</v>
      </c>
      <c r="E510" s="4" t="n">
        <f aca="false">INDEX(Evaporasi!$B$5:$B$16,MATCH(B510,Evaporasi!$A$5:$A$16,0))</f>
        <v>142.3</v>
      </c>
      <c r="F510" s="17" t="n">
        <f aca="false">Kawasan!$B$11*Kawasan!$B$9*C510/1000</f>
        <v>3486.08</v>
      </c>
      <c r="G510" s="17" t="n">
        <f aca="false">C510*Desain_Kolam!$B$9/1000</f>
        <v>2217.5575</v>
      </c>
      <c r="H510" s="17" t="n">
        <f aca="false">Kawasan!$B$28*D510</f>
        <v>1497.6</v>
      </c>
      <c r="I510" s="17" t="n">
        <f aca="false">E510*Desain_Kolam!$B$9/1000</f>
        <v>753.12275</v>
      </c>
      <c r="J510" s="17" t="n">
        <f aca="false">F510+G510-H510-I510</f>
        <v>3452.91475</v>
      </c>
      <c r="K510" s="17" t="n">
        <f aca="false">K509+J510</f>
        <v>165583.6501</v>
      </c>
      <c r="L510" s="17" t="n">
        <f aca="false">MAX(L509,K510)</f>
        <v>165583.6501</v>
      </c>
      <c r="M510" s="17" t="n">
        <f aca="false">L510-K510</f>
        <v>0</v>
      </c>
      <c r="N510" s="17" t="n">
        <f aca="false">MIN(Desain_Kolam!$B$21,MAX(0,N509+F510+G510-H510-I510))</f>
        <v>15823.566675</v>
      </c>
      <c r="O510" s="6" t="n">
        <f aca="false">IF(N509+F510+G510-I510&gt;=H510,1,0)</f>
        <v>1</v>
      </c>
    </row>
    <row r="511" customFormat="false" ht="15" hidden="false" customHeight="false" outlineLevel="0" collapsed="false">
      <c r="A511" s="6" t="n">
        <v>2024</v>
      </c>
      <c r="B511" s="6" t="n">
        <v>12</v>
      </c>
      <c r="C511" s="4" t="n">
        <v>214</v>
      </c>
      <c r="D511" s="6" t="n">
        <v>31</v>
      </c>
      <c r="E511" s="4" t="n">
        <f aca="false">INDEX(Evaporasi!$B$5:$B$16,MATCH(B511,Evaporasi!$A$5:$A$16,0))</f>
        <v>145.07</v>
      </c>
      <c r="F511" s="17" t="n">
        <f aca="false">Kawasan!$B$11*Kawasan!$B$9*C511/1000</f>
        <v>1780.48</v>
      </c>
      <c r="G511" s="17" t="n">
        <f aca="false">C511*Desain_Kolam!$B$9/1000</f>
        <v>1132.595</v>
      </c>
      <c r="H511" s="17" t="n">
        <f aca="false">Kawasan!$B$28*D511</f>
        <v>1547.52</v>
      </c>
      <c r="I511" s="17" t="n">
        <f aca="false">E511*Desain_Kolam!$B$9/1000</f>
        <v>767.782975</v>
      </c>
      <c r="J511" s="17" t="n">
        <f aca="false">F511+G511-H511-I511</f>
        <v>597.772025</v>
      </c>
      <c r="K511" s="17" t="n">
        <f aca="false">K510+J511</f>
        <v>166181.422125</v>
      </c>
      <c r="L511" s="17" t="n">
        <f aca="false">MAX(L510,K511)</f>
        <v>166181.422125</v>
      </c>
      <c r="M511" s="17" t="n">
        <f aca="false">L511-K511</f>
        <v>0</v>
      </c>
      <c r="N511" s="17" t="n">
        <f aca="false">MIN(Desain_Kolam!$B$21,MAX(0,N510+F511+G511-H511-I511))</f>
        <v>15823.566675</v>
      </c>
      <c r="O511" s="6" t="n">
        <f aca="false">IF(N510+F511+G511-I511&gt;=H511,1,0)</f>
        <v>1</v>
      </c>
    </row>
    <row r="512" customFormat="false" ht="15" hidden="false" customHeight="false" outlineLevel="0" collapsed="false">
      <c r="A512" s="6" t="n">
        <v>2025</v>
      </c>
      <c r="B512" s="6" t="n">
        <v>1</v>
      </c>
      <c r="C512" s="4" t="n">
        <v>400</v>
      </c>
      <c r="D512" s="6" t="n">
        <v>31</v>
      </c>
      <c r="E512" s="4" t="n">
        <f aca="false">INDEX(Evaporasi!$B$5:$B$16,MATCH(B512,Evaporasi!$A$5:$A$16,0))</f>
        <v>149.98</v>
      </c>
      <c r="F512" s="17" t="n">
        <f aca="false">Kawasan!$B$11*Kawasan!$B$9*C512/1000</f>
        <v>3328</v>
      </c>
      <c r="G512" s="17" t="n">
        <f aca="false">C512*Desain_Kolam!$B$9/1000</f>
        <v>2117</v>
      </c>
      <c r="H512" s="17" t="n">
        <f aca="false">Kawasan!$B$28*D512</f>
        <v>1547.52</v>
      </c>
      <c r="I512" s="17" t="n">
        <f aca="false">E512*Desain_Kolam!$B$9/1000</f>
        <v>793.76915</v>
      </c>
      <c r="J512" s="17" t="n">
        <f aca="false">F512+G512-H512-I512</f>
        <v>3103.71085</v>
      </c>
      <c r="K512" s="17" t="n">
        <f aca="false">K511+J512</f>
        <v>169285.132975</v>
      </c>
      <c r="L512" s="17" t="n">
        <f aca="false">MAX(L511,K512)</f>
        <v>169285.132975</v>
      </c>
      <c r="M512" s="17" t="n">
        <f aca="false">L512-K512</f>
        <v>0</v>
      </c>
      <c r="N512" s="17" t="n">
        <f aca="false">MIN(Desain_Kolam!$B$21,MAX(0,N511+F512+G512-H512-I512))</f>
        <v>15823.566675</v>
      </c>
      <c r="O512" s="6" t="n">
        <f aca="false">IF(N511+F512+G512-I512&gt;=H512,1,0)</f>
        <v>1</v>
      </c>
    </row>
    <row r="513" customFormat="false" ht="15" hidden="false" customHeight="false" outlineLevel="0" collapsed="false">
      <c r="A513" s="6" t="n">
        <v>2025</v>
      </c>
      <c r="B513" s="6" t="n">
        <v>2</v>
      </c>
      <c r="C513" s="4" t="n">
        <v>210</v>
      </c>
      <c r="D513" s="6" t="n">
        <v>28</v>
      </c>
      <c r="E513" s="4" t="n">
        <f aca="false">INDEX(Evaporasi!$B$5:$B$16,MATCH(B513,Evaporasi!$A$5:$A$16,0))</f>
        <v>148.64</v>
      </c>
      <c r="F513" s="17" t="n">
        <f aca="false">Kawasan!$B$11*Kawasan!$B$9*C513/1000</f>
        <v>1747.2</v>
      </c>
      <c r="G513" s="17" t="n">
        <f aca="false">C513*Desain_Kolam!$B$9/1000</f>
        <v>1111.425</v>
      </c>
      <c r="H513" s="17" t="n">
        <f aca="false">Kawasan!$B$28*D513</f>
        <v>1397.76</v>
      </c>
      <c r="I513" s="17" t="n">
        <f aca="false">E513*Desain_Kolam!$B$9/1000</f>
        <v>786.6772</v>
      </c>
      <c r="J513" s="17" t="n">
        <f aca="false">F513+G513-H513-I513</f>
        <v>674.1878</v>
      </c>
      <c r="K513" s="17" t="n">
        <f aca="false">K512+J513</f>
        <v>169959.320775</v>
      </c>
      <c r="L513" s="17" t="n">
        <f aca="false">MAX(L512,K513)</f>
        <v>169959.320775</v>
      </c>
      <c r="M513" s="17" t="n">
        <f aca="false">L513-K513</f>
        <v>0</v>
      </c>
      <c r="N513" s="17" t="n">
        <f aca="false">MIN(Desain_Kolam!$B$21,MAX(0,N512+F513+G513-H513-I513))</f>
        <v>15823.566675</v>
      </c>
      <c r="O513" s="6" t="n">
        <f aca="false">IF(N512+F513+G513-I513&gt;=H513,1,0)</f>
        <v>1</v>
      </c>
    </row>
    <row r="514" customFormat="false" ht="15" hidden="false" customHeight="false" outlineLevel="0" collapsed="false">
      <c r="A514" s="6" t="n">
        <v>2025</v>
      </c>
      <c r="B514" s="6" t="n">
        <v>3</v>
      </c>
      <c r="C514" s="4" t="n">
        <v>302</v>
      </c>
      <c r="D514" s="6" t="n">
        <v>31</v>
      </c>
      <c r="E514" s="4" t="n">
        <f aca="false">INDEX(Evaporasi!$B$5:$B$16,MATCH(B514,Evaporasi!$A$5:$A$16,0))</f>
        <v>166.18</v>
      </c>
      <c r="F514" s="17" t="n">
        <f aca="false">Kawasan!$B$11*Kawasan!$B$9*C514/1000</f>
        <v>2512.64</v>
      </c>
      <c r="G514" s="17" t="n">
        <f aca="false">C514*Desain_Kolam!$B$9/1000</f>
        <v>1598.335</v>
      </c>
      <c r="H514" s="17" t="n">
        <f aca="false">Kawasan!$B$28*D514</f>
        <v>1547.52</v>
      </c>
      <c r="I514" s="17" t="n">
        <f aca="false">E514*Desain_Kolam!$B$9/1000</f>
        <v>879.50765</v>
      </c>
      <c r="J514" s="17" t="n">
        <f aca="false">F514+G514-H514-I514</f>
        <v>1683.94735</v>
      </c>
      <c r="K514" s="17" t="n">
        <f aca="false">K513+J514</f>
        <v>171643.268125</v>
      </c>
      <c r="L514" s="17" t="n">
        <f aca="false">MAX(L513,K514)</f>
        <v>171643.268125</v>
      </c>
      <c r="M514" s="17" t="n">
        <f aca="false">L514-K514</f>
        <v>0</v>
      </c>
      <c r="N514" s="17" t="n">
        <f aca="false">MIN(Desain_Kolam!$B$21,MAX(0,N513+F514+G514-H514-I514))</f>
        <v>15823.566675</v>
      </c>
      <c r="O514" s="6" t="n">
        <f aca="false">IF(N513+F514+G514-I514&gt;=H514,1,0)</f>
        <v>1</v>
      </c>
    </row>
    <row r="515" customFormat="false" ht="15" hidden="false" customHeight="false" outlineLevel="0" collapsed="false">
      <c r="A515" s="6" t="n">
        <v>2025</v>
      </c>
      <c r="B515" s="6" t="n">
        <v>4</v>
      </c>
      <c r="C515" s="4" t="n">
        <v>231</v>
      </c>
      <c r="D515" s="6" t="n">
        <v>30</v>
      </c>
      <c r="E515" s="4" t="n">
        <f aca="false">INDEX(Evaporasi!$B$5:$B$16,MATCH(B515,Evaporasi!$A$5:$A$16,0))</f>
        <v>157.75</v>
      </c>
      <c r="F515" s="17" t="n">
        <f aca="false">Kawasan!$B$11*Kawasan!$B$9*C515/1000</f>
        <v>1921.92</v>
      </c>
      <c r="G515" s="17" t="n">
        <f aca="false">C515*Desain_Kolam!$B$9/1000</f>
        <v>1222.5675</v>
      </c>
      <c r="H515" s="17" t="n">
        <f aca="false">Kawasan!$B$28*D515</f>
        <v>1497.6</v>
      </c>
      <c r="I515" s="17" t="n">
        <f aca="false">E515*Desain_Kolam!$B$9/1000</f>
        <v>834.891875</v>
      </c>
      <c r="J515" s="17" t="n">
        <f aca="false">F515+G515-H515-I515</f>
        <v>811.995625</v>
      </c>
      <c r="K515" s="17" t="n">
        <f aca="false">K514+J515</f>
        <v>172455.26375</v>
      </c>
      <c r="L515" s="17" t="n">
        <f aca="false">MAX(L514,K515)</f>
        <v>172455.26375</v>
      </c>
      <c r="M515" s="17" t="n">
        <f aca="false">L515-K515</f>
        <v>0</v>
      </c>
      <c r="N515" s="17" t="n">
        <f aca="false">MIN(Desain_Kolam!$B$21,MAX(0,N514+F515+G515-H515-I515))</f>
        <v>15823.566675</v>
      </c>
      <c r="O515" s="6" t="n">
        <f aca="false">IF(N514+F515+G515-I515&gt;=H515,1,0)</f>
        <v>1</v>
      </c>
    </row>
    <row r="516" customFormat="false" ht="15" hidden="false" customHeight="false" outlineLevel="0" collapsed="false">
      <c r="A516" s="6" t="n">
        <v>2025</v>
      </c>
      <c r="B516" s="6" t="n">
        <v>5</v>
      </c>
      <c r="C516" s="4" t="n">
        <v>231</v>
      </c>
      <c r="D516" s="6" t="n">
        <v>31</v>
      </c>
      <c r="E516" s="4" t="n">
        <f aca="false">INDEX(Evaporasi!$B$5:$B$16,MATCH(B516,Evaporasi!$A$5:$A$16,0))</f>
        <v>158.35</v>
      </c>
      <c r="F516" s="17" t="n">
        <f aca="false">Kawasan!$B$11*Kawasan!$B$9*C516/1000</f>
        <v>1921.92</v>
      </c>
      <c r="G516" s="17" t="n">
        <f aca="false">C516*Desain_Kolam!$B$9/1000</f>
        <v>1222.5675</v>
      </c>
      <c r="H516" s="17" t="n">
        <f aca="false">Kawasan!$B$28*D516</f>
        <v>1547.52</v>
      </c>
      <c r="I516" s="17" t="n">
        <f aca="false">E516*Desain_Kolam!$B$9/1000</f>
        <v>838.067375</v>
      </c>
      <c r="J516" s="17" t="n">
        <f aca="false">F516+G516-H516-I516</f>
        <v>758.900125</v>
      </c>
      <c r="K516" s="17" t="n">
        <f aca="false">K515+J516</f>
        <v>173214.163875</v>
      </c>
      <c r="L516" s="17" t="n">
        <f aca="false">MAX(L515,K516)</f>
        <v>173214.163875</v>
      </c>
      <c r="M516" s="17" t="n">
        <f aca="false">L516-K516</f>
        <v>0</v>
      </c>
      <c r="N516" s="17" t="n">
        <f aca="false">MIN(Desain_Kolam!$B$21,MAX(0,N515+F516+G516-H516-I516))</f>
        <v>15823.566675</v>
      </c>
      <c r="O516" s="6" t="n">
        <f aca="false">IF(N515+F516+G516-I516&gt;=H516,1,0)</f>
        <v>1</v>
      </c>
    </row>
    <row r="517" customFormat="false" ht="15" hidden="false" customHeight="false" outlineLevel="0" collapsed="false">
      <c r="A517" s="6" t="n">
        <v>2025</v>
      </c>
      <c r="B517" s="6" t="n">
        <v>6</v>
      </c>
      <c r="C517" s="4" t="n">
        <v>167</v>
      </c>
      <c r="D517" s="6" t="n">
        <v>30</v>
      </c>
      <c r="E517" s="4" t="n">
        <f aca="false">INDEX(Evaporasi!$B$5:$B$16,MATCH(B517,Evaporasi!$A$5:$A$16,0))</f>
        <v>150.17</v>
      </c>
      <c r="F517" s="17" t="n">
        <f aca="false">Kawasan!$B$11*Kawasan!$B$9*C517/1000</f>
        <v>1389.44</v>
      </c>
      <c r="G517" s="17" t="n">
        <f aca="false">C517*Desain_Kolam!$B$9/1000</f>
        <v>883.8475</v>
      </c>
      <c r="H517" s="17" t="n">
        <f aca="false">Kawasan!$B$28*D517</f>
        <v>1497.6</v>
      </c>
      <c r="I517" s="17" t="n">
        <f aca="false">E517*Desain_Kolam!$B$9/1000</f>
        <v>794.774725</v>
      </c>
      <c r="J517" s="17" t="n">
        <f aca="false">F517+G517-H517-I517</f>
        <v>-19.0872250000002</v>
      </c>
      <c r="K517" s="17" t="n">
        <f aca="false">K516+J517</f>
        <v>173195.07665</v>
      </c>
      <c r="L517" s="17" t="n">
        <f aca="false">MAX(L516,K517)</f>
        <v>173214.163875</v>
      </c>
      <c r="M517" s="17" t="n">
        <f aca="false">L517-K517</f>
        <v>19.0872249999957</v>
      </c>
      <c r="N517" s="17" t="n">
        <f aca="false">MIN(Desain_Kolam!$B$21,MAX(0,N516+F517+G517-H517-I517))</f>
        <v>15804.47945</v>
      </c>
      <c r="O517" s="6" t="n">
        <f aca="false">IF(N516+F517+G517-I517&gt;=H517,1,0)</f>
        <v>1</v>
      </c>
    </row>
    <row r="518" customFormat="false" ht="15" hidden="false" customHeight="false" outlineLevel="0" collapsed="false">
      <c r="A518" s="6" t="n">
        <v>2025</v>
      </c>
      <c r="B518" s="6" t="n">
        <v>7</v>
      </c>
      <c r="C518" s="4" t="n">
        <v>159</v>
      </c>
      <c r="D518" s="6" t="n">
        <v>31</v>
      </c>
      <c r="E518" s="4" t="n">
        <f aca="false">INDEX(Evaporasi!$B$5:$B$16,MATCH(B518,Evaporasi!$A$5:$A$16,0))</f>
        <v>160.84</v>
      </c>
      <c r="F518" s="17" t="n">
        <f aca="false">Kawasan!$B$11*Kawasan!$B$9*C518/1000</f>
        <v>1322.88</v>
      </c>
      <c r="G518" s="17" t="n">
        <f aca="false">C518*Desain_Kolam!$B$9/1000</f>
        <v>841.5075</v>
      </c>
      <c r="H518" s="17" t="n">
        <f aca="false">Kawasan!$B$28*D518</f>
        <v>1547.52</v>
      </c>
      <c r="I518" s="17" t="n">
        <f aca="false">E518*Desain_Kolam!$B$9/1000</f>
        <v>851.2457</v>
      </c>
      <c r="J518" s="17" t="n">
        <f aca="false">F518+G518-H518-I518</f>
        <v>-234.3782</v>
      </c>
      <c r="K518" s="17" t="n">
        <f aca="false">K517+J518</f>
        <v>172960.69845</v>
      </c>
      <c r="L518" s="17" t="n">
        <f aca="false">MAX(L517,K518)</f>
        <v>173214.163875</v>
      </c>
      <c r="M518" s="17" t="n">
        <f aca="false">L518-K518</f>
        <v>253.465425000002</v>
      </c>
      <c r="N518" s="17" t="n">
        <f aca="false">MIN(Desain_Kolam!$B$21,MAX(0,N517+F518+G518-H518-I518))</f>
        <v>15570.10125</v>
      </c>
      <c r="O518" s="6" t="n">
        <f aca="false">IF(N517+F518+G518-I518&gt;=H518,1,0)</f>
        <v>1</v>
      </c>
    </row>
    <row r="519" customFormat="false" ht="15" hidden="false" customHeight="false" outlineLevel="0" collapsed="false">
      <c r="A519" s="6" t="n">
        <v>2025</v>
      </c>
      <c r="B519" s="6" t="n">
        <v>8</v>
      </c>
      <c r="C519" s="4" t="n">
        <v>392</v>
      </c>
      <c r="D519" s="6" t="n">
        <v>31</v>
      </c>
      <c r="E519" s="4" t="n">
        <f aca="false">INDEX(Evaporasi!$B$5:$B$16,MATCH(B519,Evaporasi!$A$5:$A$16,0))</f>
        <v>161.16</v>
      </c>
      <c r="F519" s="17" t="n">
        <f aca="false">Kawasan!$B$11*Kawasan!$B$9*C519/1000</f>
        <v>3261.44</v>
      </c>
      <c r="G519" s="17" t="n">
        <f aca="false">C519*Desain_Kolam!$B$9/1000</f>
        <v>2074.66</v>
      </c>
      <c r="H519" s="17" t="n">
        <f aca="false">Kawasan!$B$28*D519</f>
        <v>1547.52</v>
      </c>
      <c r="I519" s="17" t="n">
        <f aca="false">E519*Desain_Kolam!$B$9/1000</f>
        <v>852.9393</v>
      </c>
      <c r="J519" s="17" t="n">
        <f aca="false">F519+G519-H519-I519</f>
        <v>2935.6407</v>
      </c>
      <c r="K519" s="17" t="n">
        <f aca="false">K518+J519</f>
        <v>175896.33915</v>
      </c>
      <c r="L519" s="17" t="n">
        <f aca="false">MAX(L518,K519)</f>
        <v>175896.33915</v>
      </c>
      <c r="M519" s="17" t="n">
        <f aca="false">L519-K519</f>
        <v>0</v>
      </c>
      <c r="N519" s="17" t="n">
        <f aca="false">MIN(Desain_Kolam!$B$21,MAX(0,N518+F519+G519-H519-I519))</f>
        <v>15823.566675</v>
      </c>
      <c r="O519" s="6" t="n">
        <f aca="false">IF(N518+F519+G519-I519&gt;=H519,1,0)</f>
        <v>1</v>
      </c>
    </row>
    <row r="520" customFormat="false" ht="15" hidden="false" customHeight="false" outlineLevel="0" collapsed="false">
      <c r="A520" s="6" t="n">
        <v>2025</v>
      </c>
      <c r="B520" s="6" t="n">
        <v>9</v>
      </c>
      <c r="C520" s="4" t="n">
        <v>360</v>
      </c>
      <c r="D520" s="6" t="n">
        <v>30</v>
      </c>
      <c r="E520" s="4" t="n">
        <f aca="false">INDEX(Evaporasi!$B$5:$B$16,MATCH(B520,Evaporasi!$A$5:$A$16,0))</f>
        <v>159.21</v>
      </c>
      <c r="F520" s="17" t="n">
        <f aca="false">Kawasan!$B$11*Kawasan!$B$9*C520/1000</f>
        <v>2995.2</v>
      </c>
      <c r="G520" s="17" t="n">
        <f aca="false">C520*Desain_Kolam!$B$9/1000</f>
        <v>1905.3</v>
      </c>
      <c r="H520" s="17" t="n">
        <f aca="false">Kawasan!$B$28*D520</f>
        <v>1497.6</v>
      </c>
      <c r="I520" s="17" t="n">
        <f aca="false">E520*Desain_Kolam!$B$9/1000</f>
        <v>842.618925</v>
      </c>
      <c r="J520" s="17" t="n">
        <f aca="false">F520+G520-H520-I520</f>
        <v>2560.281075</v>
      </c>
      <c r="K520" s="17" t="n">
        <f aca="false">K519+J520</f>
        <v>178456.620225</v>
      </c>
      <c r="L520" s="17" t="n">
        <f aca="false">MAX(L519,K520)</f>
        <v>178456.620225</v>
      </c>
      <c r="M520" s="17" t="n">
        <f aca="false">L520-K520</f>
        <v>0</v>
      </c>
      <c r="N520" s="17" t="n">
        <f aca="false">MIN(Desain_Kolam!$B$21,MAX(0,N519+F520+G520-H520-I520))</f>
        <v>15823.566675</v>
      </c>
      <c r="O520" s="6" t="n">
        <f aca="false">IF(N519+F520+G520-I520&gt;=H520,1,0)</f>
        <v>1</v>
      </c>
    </row>
    <row r="521" customFormat="false" ht="15" hidden="false" customHeight="false" outlineLevel="0" collapsed="false">
      <c r="A521" s="6" t="n">
        <v>2025</v>
      </c>
      <c r="B521" s="6" t="n">
        <v>10</v>
      </c>
      <c r="C521" s="4" t="n">
        <v>391</v>
      </c>
      <c r="D521" s="6" t="n">
        <v>31</v>
      </c>
      <c r="E521" s="4" t="n">
        <f aca="false">INDEX(Evaporasi!$B$5:$B$16,MATCH(B521,Evaporasi!$A$5:$A$16,0))</f>
        <v>151.5</v>
      </c>
      <c r="F521" s="17" t="n">
        <f aca="false">Kawasan!$B$11*Kawasan!$B$9*C521/1000</f>
        <v>3253.12</v>
      </c>
      <c r="G521" s="17" t="n">
        <f aca="false">C521*Desain_Kolam!$B$9/1000</f>
        <v>2069.3675</v>
      </c>
      <c r="H521" s="17" t="n">
        <f aca="false">Kawasan!$B$28*D521</f>
        <v>1547.52</v>
      </c>
      <c r="I521" s="17" t="n">
        <f aca="false">E521*Desain_Kolam!$B$9/1000</f>
        <v>801.81375</v>
      </c>
      <c r="J521" s="17" t="n">
        <f aca="false">F521+G521-H521-I521</f>
        <v>2973.15375</v>
      </c>
      <c r="K521" s="17" t="n">
        <f aca="false">K520+J521</f>
        <v>181429.773975</v>
      </c>
      <c r="L521" s="17" t="n">
        <f aca="false">MAX(L520,K521)</f>
        <v>181429.773975</v>
      </c>
      <c r="M521" s="17" t="n">
        <f aca="false">L521-K521</f>
        <v>0</v>
      </c>
      <c r="N521" s="17" t="n">
        <f aca="false">MIN(Desain_Kolam!$B$21,MAX(0,N520+F521+G521-H521-I521))</f>
        <v>15823.566675</v>
      </c>
      <c r="O521" s="6" t="n">
        <f aca="false">IF(N520+F521+G521-I521&gt;=H521,1,0)</f>
        <v>1</v>
      </c>
    </row>
    <row r="522" customFormat="false" ht="15" hidden="false" customHeight="false" outlineLevel="0" collapsed="false">
      <c r="A522" s="6" t="n">
        <v>2025</v>
      </c>
      <c r="B522" s="6" t="n">
        <v>11</v>
      </c>
      <c r="C522" s="4" t="n">
        <v>327</v>
      </c>
      <c r="D522" s="6" t="n">
        <v>30</v>
      </c>
      <c r="E522" s="4" t="n">
        <f aca="false">INDEX(Evaporasi!$B$5:$B$16,MATCH(B522,Evaporasi!$A$5:$A$16,0))</f>
        <v>142.3</v>
      </c>
      <c r="F522" s="17" t="n">
        <f aca="false">Kawasan!$B$11*Kawasan!$B$9*C522/1000</f>
        <v>2720.64</v>
      </c>
      <c r="G522" s="17" t="n">
        <f aca="false">C522*Desain_Kolam!$B$9/1000</f>
        <v>1730.6475</v>
      </c>
      <c r="H522" s="17" t="n">
        <f aca="false">Kawasan!$B$28*D522</f>
        <v>1497.6</v>
      </c>
      <c r="I522" s="17" t="n">
        <f aca="false">E522*Desain_Kolam!$B$9/1000</f>
        <v>753.12275</v>
      </c>
      <c r="J522" s="17" t="n">
        <f aca="false">F522+G522-H522-I522</f>
        <v>2200.56475</v>
      </c>
      <c r="K522" s="17" t="n">
        <f aca="false">K521+J522</f>
        <v>183630.338725</v>
      </c>
      <c r="L522" s="17" t="n">
        <f aca="false">MAX(L521,K522)</f>
        <v>183630.338725</v>
      </c>
      <c r="M522" s="17" t="n">
        <f aca="false">L522-K522</f>
        <v>0</v>
      </c>
      <c r="N522" s="17" t="n">
        <f aca="false">MIN(Desain_Kolam!$B$21,MAX(0,N521+F522+G522-H522-I522))</f>
        <v>15823.566675</v>
      </c>
      <c r="O522" s="6" t="n">
        <f aca="false">IF(N521+F522+G522-I522&gt;=H522,1,0)</f>
        <v>1</v>
      </c>
    </row>
    <row r="523" customFormat="false" ht="15" hidden="false" customHeight="false" outlineLevel="0" collapsed="false">
      <c r="A523" s="6" t="n">
        <v>2025</v>
      </c>
      <c r="B523" s="6" t="n">
        <v>12</v>
      </c>
      <c r="C523" s="4" t="n">
        <v>140</v>
      </c>
      <c r="D523" s="6" t="n">
        <v>31</v>
      </c>
      <c r="E523" s="4" t="n">
        <f aca="false">INDEX(Evaporasi!$B$5:$B$16,MATCH(B523,Evaporasi!$A$5:$A$16,0))</f>
        <v>145.07</v>
      </c>
      <c r="F523" s="17" t="n">
        <f aca="false">Kawasan!$B$11*Kawasan!$B$9*C523/1000</f>
        <v>1164.8</v>
      </c>
      <c r="G523" s="17" t="n">
        <f aca="false">C523*Desain_Kolam!$B$9/1000</f>
        <v>740.95</v>
      </c>
      <c r="H523" s="17" t="n">
        <f aca="false">Kawasan!$B$28*D523</f>
        <v>1547.52</v>
      </c>
      <c r="I523" s="17" t="n">
        <f aca="false">E523*Desain_Kolam!$B$9/1000</f>
        <v>767.782975</v>
      </c>
      <c r="J523" s="17" t="n">
        <f aca="false">F523+G523-H523-I523</f>
        <v>-409.552975</v>
      </c>
      <c r="K523" s="17" t="n">
        <f aca="false">K522+J523</f>
        <v>183220.78575</v>
      </c>
      <c r="L523" s="17" t="n">
        <f aca="false">MAX(L522,K523)</f>
        <v>183630.338725</v>
      </c>
      <c r="M523" s="17" t="n">
        <f aca="false">L523-K523</f>
        <v>409.552974999999</v>
      </c>
      <c r="N523" s="17" t="n">
        <f aca="false">MIN(Desain_Kolam!$B$21,MAX(0,N522+F523+G523-H523-I523))</f>
        <v>15414.0137</v>
      </c>
      <c r="O523" s="6" t="n">
        <f aca="false">IF(N522+F523+G523-I523&gt;=H523,1,0)</f>
        <v>1</v>
      </c>
    </row>
    <row r="524" customFormat="false" ht="15" hidden="false" customHeight="false" outlineLevel="0" collapsed="false">
      <c r="A524" s="28" t="s">
        <v>5434</v>
      </c>
      <c r="B524" s="28"/>
      <c r="C524" s="28"/>
      <c r="D524" s="28"/>
      <c r="E524" s="29" t="n">
        <f aca="false">MAX(M356:M523)</f>
        <v>15823.566675</v>
      </c>
    </row>
    <row r="525" customFormat="false" ht="15" hidden="false" customHeight="false" outlineLevel="0" collapsed="false">
      <c r="A525" s="28" t="s">
        <v>5428</v>
      </c>
      <c r="B525" s="28"/>
      <c r="C525" s="28"/>
      <c r="D525" s="28"/>
      <c r="E525" s="30" t="n">
        <f aca="false">100*SUM(O356:O523)/COUNT(O356:O523)</f>
        <v>100</v>
      </c>
    </row>
    <row r="526" customFormat="false" ht="15" hidden="false" customHeight="false" outlineLevel="0" collapsed="false">
      <c r="A526" s="28" t="s">
        <v>5429</v>
      </c>
      <c r="B526" s="28"/>
      <c r="C526" s="28"/>
      <c r="D526" s="28"/>
      <c r="E526" s="31" t="n">
        <f aca="false">SUM(O356:O523)</f>
        <v>168</v>
      </c>
    </row>
    <row r="527" customFormat="false" ht="15" hidden="false" customHeight="false" outlineLevel="0" collapsed="false">
      <c r="A527" s="28" t="s">
        <v>5430</v>
      </c>
      <c r="B527" s="28"/>
      <c r="C527" s="28"/>
      <c r="D527" s="28"/>
      <c r="E527" s="29" t="n">
        <f aca="false">K523</f>
        <v>183220.78575</v>
      </c>
    </row>
    <row r="529" customFormat="false" ht="15" hidden="false" customHeight="false" outlineLevel="0" collapsed="false">
      <c r="A529" s="7" t="s">
        <v>5435</v>
      </c>
    </row>
    <row r="530" customFormat="false" ht="23.85" hidden="false" customHeight="false" outlineLevel="0" collapsed="false">
      <c r="A530" s="1" t="s">
        <v>0</v>
      </c>
      <c r="B530" s="1" t="s">
        <v>1</v>
      </c>
      <c r="C530" s="1" t="s">
        <v>5414</v>
      </c>
      <c r="D530" s="1" t="s">
        <v>5415</v>
      </c>
      <c r="E530" s="1" t="s">
        <v>5416</v>
      </c>
      <c r="F530" s="1" t="s">
        <v>5417</v>
      </c>
      <c r="G530" s="1" t="s">
        <v>5418</v>
      </c>
      <c r="H530" s="1" t="s">
        <v>5419</v>
      </c>
      <c r="I530" s="1" t="s">
        <v>5420</v>
      </c>
      <c r="J530" s="1" t="s">
        <v>5421</v>
      </c>
      <c r="K530" s="1" t="s">
        <v>5422</v>
      </c>
      <c r="L530" s="1" t="s">
        <v>5423</v>
      </c>
      <c r="M530" s="1" t="s">
        <v>5424</v>
      </c>
      <c r="N530" s="1" t="s">
        <v>5425</v>
      </c>
      <c r="O530" s="1" t="s">
        <v>5426</v>
      </c>
    </row>
    <row r="531" customFormat="false" ht="15" hidden="false" customHeight="false" outlineLevel="0" collapsed="false">
      <c r="A531" s="6" t="n">
        <v>2012</v>
      </c>
      <c r="B531" s="6" t="n">
        <v>1</v>
      </c>
      <c r="C531" s="4" t="n">
        <v>349</v>
      </c>
      <c r="D531" s="6" t="n">
        <v>31</v>
      </c>
      <c r="E531" s="4" t="n">
        <f aca="false">INDEX(Evaporasi!$B$5:$B$16,MATCH(B531,Evaporasi!$A$5:$A$16,0))</f>
        <v>149.98</v>
      </c>
      <c r="F531" s="17" t="n">
        <f aca="false">Kawasan!$B$11*Kawasan!$B$9*C531/1000</f>
        <v>2903.68</v>
      </c>
      <c r="G531" s="17" t="n">
        <f aca="false">C531*Desain_Kolam!$B$9/1000</f>
        <v>1847.0825</v>
      </c>
      <c r="H531" s="17" t="n">
        <f aca="false">Kawasan!$B$29*D531</f>
        <v>1428.48</v>
      </c>
      <c r="I531" s="17" t="n">
        <f aca="false">E531*Desain_Kolam!$B$9/1000</f>
        <v>793.76915</v>
      </c>
      <c r="J531" s="17" t="n">
        <f aca="false">F531+G531-H531-I531</f>
        <v>2528.51335</v>
      </c>
      <c r="K531" s="17" t="n">
        <f aca="false">J531</f>
        <v>2528.51335</v>
      </c>
      <c r="L531" s="17" t="n">
        <f aca="false">MAX(0,K531)</f>
        <v>2528.51335</v>
      </c>
      <c r="M531" s="17" t="n">
        <f aca="false">L531-K531</f>
        <v>0</v>
      </c>
      <c r="N531" s="17" t="n">
        <f aca="false">MIN(Desain_Kolam!$B$21,MAX(0,F531+G531-H531-I531))</f>
        <v>2528.51335</v>
      </c>
      <c r="O531" s="6" t="n">
        <f aca="false">IF(F531+G531-I531&gt;=H531,1,0)</f>
        <v>1</v>
      </c>
    </row>
    <row r="532" customFormat="false" ht="15" hidden="false" customHeight="false" outlineLevel="0" collapsed="false">
      <c r="A532" s="6" t="n">
        <v>2012</v>
      </c>
      <c r="B532" s="6" t="n">
        <v>2</v>
      </c>
      <c r="C532" s="4" t="n">
        <v>340</v>
      </c>
      <c r="D532" s="6" t="n">
        <v>29</v>
      </c>
      <c r="E532" s="4" t="n">
        <f aca="false">INDEX(Evaporasi!$B$5:$B$16,MATCH(B532,Evaporasi!$A$5:$A$16,0))</f>
        <v>148.64</v>
      </c>
      <c r="F532" s="17" t="n">
        <f aca="false">Kawasan!$B$11*Kawasan!$B$9*C532/1000</f>
        <v>2828.8</v>
      </c>
      <c r="G532" s="17" t="n">
        <f aca="false">C532*Desain_Kolam!$B$9/1000</f>
        <v>1799.45</v>
      </c>
      <c r="H532" s="17" t="n">
        <f aca="false">Kawasan!$B$29*D532</f>
        <v>1336.32</v>
      </c>
      <c r="I532" s="17" t="n">
        <f aca="false">E532*Desain_Kolam!$B$9/1000</f>
        <v>786.6772</v>
      </c>
      <c r="J532" s="17" t="n">
        <f aca="false">F532+G532-H532-I532</f>
        <v>2505.2528</v>
      </c>
      <c r="K532" s="17" t="n">
        <f aca="false">K531+J532</f>
        <v>5033.76615</v>
      </c>
      <c r="L532" s="17" t="n">
        <f aca="false">MAX(L531,K532)</f>
        <v>5033.76615</v>
      </c>
      <c r="M532" s="17" t="n">
        <f aca="false">L532-K532</f>
        <v>0</v>
      </c>
      <c r="N532" s="17" t="n">
        <f aca="false">MIN(Desain_Kolam!$B$21,MAX(0,N531+F532+G532-H532-I532))</f>
        <v>5033.76615</v>
      </c>
      <c r="O532" s="6" t="n">
        <f aca="false">IF(N531+F532+G532-I532&gt;=H532,1,0)</f>
        <v>1</v>
      </c>
    </row>
    <row r="533" customFormat="false" ht="15" hidden="false" customHeight="false" outlineLevel="0" collapsed="false">
      <c r="A533" s="6" t="n">
        <v>2012</v>
      </c>
      <c r="B533" s="6" t="n">
        <v>3</v>
      </c>
      <c r="C533" s="4" t="n">
        <v>244</v>
      </c>
      <c r="D533" s="6" t="n">
        <v>31</v>
      </c>
      <c r="E533" s="4" t="n">
        <f aca="false">INDEX(Evaporasi!$B$5:$B$16,MATCH(B533,Evaporasi!$A$5:$A$16,0))</f>
        <v>166.18</v>
      </c>
      <c r="F533" s="17" t="n">
        <f aca="false">Kawasan!$B$11*Kawasan!$B$9*C533/1000</f>
        <v>2030.08</v>
      </c>
      <c r="G533" s="17" t="n">
        <f aca="false">C533*Desain_Kolam!$B$9/1000</f>
        <v>1291.37</v>
      </c>
      <c r="H533" s="17" t="n">
        <f aca="false">Kawasan!$B$29*D533</f>
        <v>1428.48</v>
      </c>
      <c r="I533" s="17" t="n">
        <f aca="false">E533*Desain_Kolam!$B$9/1000</f>
        <v>879.50765</v>
      </c>
      <c r="J533" s="17" t="n">
        <f aca="false">F533+G533-H533-I533</f>
        <v>1013.46235</v>
      </c>
      <c r="K533" s="17" t="n">
        <f aca="false">K532+J533</f>
        <v>6047.2285</v>
      </c>
      <c r="L533" s="17" t="n">
        <f aca="false">MAX(L532,K533)</f>
        <v>6047.2285</v>
      </c>
      <c r="M533" s="17" t="n">
        <f aca="false">L533-K533</f>
        <v>0</v>
      </c>
      <c r="N533" s="17" t="n">
        <f aca="false">MIN(Desain_Kolam!$B$21,MAX(0,N532+F533+G533-H533-I533))</f>
        <v>6047.2285</v>
      </c>
      <c r="O533" s="6" t="n">
        <f aca="false">IF(N532+F533+G533-I533&gt;=H533,1,0)</f>
        <v>1</v>
      </c>
    </row>
    <row r="534" customFormat="false" ht="15" hidden="false" customHeight="false" outlineLevel="0" collapsed="false">
      <c r="A534" s="6" t="n">
        <v>2012</v>
      </c>
      <c r="B534" s="6" t="n">
        <v>4</v>
      </c>
      <c r="C534" s="4" t="n">
        <v>282</v>
      </c>
      <c r="D534" s="6" t="n">
        <v>30</v>
      </c>
      <c r="E534" s="4" t="n">
        <f aca="false">INDEX(Evaporasi!$B$5:$B$16,MATCH(B534,Evaporasi!$A$5:$A$16,0))</f>
        <v>157.75</v>
      </c>
      <c r="F534" s="17" t="n">
        <f aca="false">Kawasan!$B$11*Kawasan!$B$9*C534/1000</f>
        <v>2346.24</v>
      </c>
      <c r="G534" s="17" t="n">
        <f aca="false">C534*Desain_Kolam!$B$9/1000</f>
        <v>1492.485</v>
      </c>
      <c r="H534" s="17" t="n">
        <f aca="false">Kawasan!$B$29*D534</f>
        <v>1382.4</v>
      </c>
      <c r="I534" s="17" t="n">
        <f aca="false">E534*Desain_Kolam!$B$9/1000</f>
        <v>834.891875</v>
      </c>
      <c r="J534" s="17" t="n">
        <f aca="false">F534+G534-H534-I534</f>
        <v>1621.433125</v>
      </c>
      <c r="K534" s="17" t="n">
        <f aca="false">K533+J534</f>
        <v>7668.661625</v>
      </c>
      <c r="L534" s="17" t="n">
        <f aca="false">MAX(L533,K534)</f>
        <v>7668.661625</v>
      </c>
      <c r="M534" s="17" t="n">
        <f aca="false">L534-K534</f>
        <v>0</v>
      </c>
      <c r="N534" s="17" t="n">
        <f aca="false">MIN(Desain_Kolam!$B$21,MAX(0,N533+F534+G534-H534-I534))</f>
        <v>7668.661625</v>
      </c>
      <c r="O534" s="6" t="n">
        <f aca="false">IF(N533+F534+G534-I534&gt;=H534,1,0)</f>
        <v>1</v>
      </c>
    </row>
    <row r="535" customFormat="false" ht="15" hidden="false" customHeight="false" outlineLevel="0" collapsed="false">
      <c r="A535" s="6" t="n">
        <v>2012</v>
      </c>
      <c r="B535" s="6" t="n">
        <v>5</v>
      </c>
      <c r="C535" s="4" t="n">
        <v>319</v>
      </c>
      <c r="D535" s="6" t="n">
        <v>31</v>
      </c>
      <c r="E535" s="4" t="n">
        <f aca="false">INDEX(Evaporasi!$B$5:$B$16,MATCH(B535,Evaporasi!$A$5:$A$16,0))</f>
        <v>158.35</v>
      </c>
      <c r="F535" s="17" t="n">
        <f aca="false">Kawasan!$B$11*Kawasan!$B$9*C535/1000</f>
        <v>2654.08</v>
      </c>
      <c r="G535" s="17" t="n">
        <f aca="false">C535*Desain_Kolam!$B$9/1000</f>
        <v>1688.3075</v>
      </c>
      <c r="H535" s="17" t="n">
        <f aca="false">Kawasan!$B$29*D535</f>
        <v>1428.48</v>
      </c>
      <c r="I535" s="17" t="n">
        <f aca="false">E535*Desain_Kolam!$B$9/1000</f>
        <v>838.067375</v>
      </c>
      <c r="J535" s="17" t="n">
        <f aca="false">F535+G535-H535-I535</f>
        <v>2075.840125</v>
      </c>
      <c r="K535" s="17" t="n">
        <f aca="false">K534+J535</f>
        <v>9744.50175</v>
      </c>
      <c r="L535" s="17" t="n">
        <f aca="false">MAX(L534,K535)</f>
        <v>9744.50175</v>
      </c>
      <c r="M535" s="17" t="n">
        <f aca="false">L535-K535</f>
        <v>0</v>
      </c>
      <c r="N535" s="17" t="n">
        <f aca="false">MIN(Desain_Kolam!$B$21,MAX(0,N534+F535+G535-H535-I535))</f>
        <v>9744.50175</v>
      </c>
      <c r="O535" s="6" t="n">
        <f aca="false">IF(N534+F535+G535-I535&gt;=H535,1,0)</f>
        <v>1</v>
      </c>
    </row>
    <row r="536" customFormat="false" ht="15" hidden="false" customHeight="false" outlineLevel="0" collapsed="false">
      <c r="A536" s="6" t="n">
        <v>2012</v>
      </c>
      <c r="B536" s="6" t="n">
        <v>6</v>
      </c>
      <c r="C536" s="4" t="n">
        <v>107</v>
      </c>
      <c r="D536" s="6" t="n">
        <v>30</v>
      </c>
      <c r="E536" s="4" t="n">
        <f aca="false">INDEX(Evaporasi!$B$5:$B$16,MATCH(B536,Evaporasi!$A$5:$A$16,0))</f>
        <v>150.17</v>
      </c>
      <c r="F536" s="17" t="n">
        <f aca="false">Kawasan!$B$11*Kawasan!$B$9*C536/1000</f>
        <v>890.24</v>
      </c>
      <c r="G536" s="17" t="n">
        <f aca="false">C536*Desain_Kolam!$B$9/1000</f>
        <v>566.2975</v>
      </c>
      <c r="H536" s="17" t="n">
        <f aca="false">Kawasan!$B$29*D536</f>
        <v>1382.4</v>
      </c>
      <c r="I536" s="17" t="n">
        <f aca="false">E536*Desain_Kolam!$B$9/1000</f>
        <v>794.774725</v>
      </c>
      <c r="J536" s="17" t="n">
        <f aca="false">F536+G536-H536-I536</f>
        <v>-720.637225</v>
      </c>
      <c r="K536" s="17" t="n">
        <f aca="false">K535+J536</f>
        <v>9023.864525</v>
      </c>
      <c r="L536" s="17" t="n">
        <f aca="false">MAX(L535,K536)</f>
        <v>9744.50175</v>
      </c>
      <c r="M536" s="17" t="n">
        <f aca="false">L536-K536</f>
        <v>720.637225</v>
      </c>
      <c r="N536" s="17" t="n">
        <f aca="false">MIN(Desain_Kolam!$B$21,MAX(0,N535+F536+G536-H536-I536))</f>
        <v>9023.864525</v>
      </c>
      <c r="O536" s="6" t="n">
        <f aca="false">IF(N535+F536+G536-I536&gt;=H536,1,0)</f>
        <v>1</v>
      </c>
    </row>
    <row r="537" customFormat="false" ht="15" hidden="false" customHeight="false" outlineLevel="0" collapsed="false">
      <c r="A537" s="6" t="n">
        <v>2012</v>
      </c>
      <c r="B537" s="6" t="n">
        <v>7</v>
      </c>
      <c r="C537" s="4" t="n">
        <v>133</v>
      </c>
      <c r="D537" s="6" t="n">
        <v>31</v>
      </c>
      <c r="E537" s="4" t="n">
        <f aca="false">INDEX(Evaporasi!$B$5:$B$16,MATCH(B537,Evaporasi!$A$5:$A$16,0))</f>
        <v>160.84</v>
      </c>
      <c r="F537" s="17" t="n">
        <f aca="false">Kawasan!$B$11*Kawasan!$B$9*C537/1000</f>
        <v>1106.56</v>
      </c>
      <c r="G537" s="17" t="n">
        <f aca="false">C537*Desain_Kolam!$B$9/1000</f>
        <v>703.9025</v>
      </c>
      <c r="H537" s="17" t="n">
        <f aca="false">Kawasan!$B$29*D537</f>
        <v>1428.48</v>
      </c>
      <c r="I537" s="17" t="n">
        <f aca="false">E537*Desain_Kolam!$B$9/1000</f>
        <v>851.2457</v>
      </c>
      <c r="J537" s="17" t="n">
        <f aca="false">F537+G537-H537-I537</f>
        <v>-469.2632</v>
      </c>
      <c r="K537" s="17" t="n">
        <f aca="false">K536+J537</f>
        <v>8554.601325</v>
      </c>
      <c r="L537" s="17" t="n">
        <f aca="false">MAX(L536,K537)</f>
        <v>9744.50175</v>
      </c>
      <c r="M537" s="17" t="n">
        <f aca="false">L537-K537</f>
        <v>1189.900425</v>
      </c>
      <c r="N537" s="17" t="n">
        <f aca="false">MIN(Desain_Kolam!$B$21,MAX(0,N536+F537+G537-H537-I537))</f>
        <v>8554.601325</v>
      </c>
      <c r="O537" s="6" t="n">
        <f aca="false">IF(N536+F537+G537-I537&gt;=H537,1,0)</f>
        <v>1</v>
      </c>
    </row>
    <row r="538" customFormat="false" ht="15" hidden="false" customHeight="false" outlineLevel="0" collapsed="false">
      <c r="A538" s="6" t="n">
        <v>2012</v>
      </c>
      <c r="B538" s="6" t="n">
        <v>8</v>
      </c>
      <c r="C538" s="4" t="n">
        <v>105</v>
      </c>
      <c r="D538" s="6" t="n">
        <v>31</v>
      </c>
      <c r="E538" s="4" t="n">
        <f aca="false">INDEX(Evaporasi!$B$5:$B$16,MATCH(B538,Evaporasi!$A$5:$A$16,0))</f>
        <v>161.16</v>
      </c>
      <c r="F538" s="17" t="n">
        <f aca="false">Kawasan!$B$11*Kawasan!$B$9*C538/1000</f>
        <v>873.6</v>
      </c>
      <c r="G538" s="17" t="n">
        <f aca="false">C538*Desain_Kolam!$B$9/1000</f>
        <v>555.7125</v>
      </c>
      <c r="H538" s="17" t="n">
        <f aca="false">Kawasan!$B$29*D538</f>
        <v>1428.48</v>
      </c>
      <c r="I538" s="17" t="n">
        <f aca="false">E538*Desain_Kolam!$B$9/1000</f>
        <v>852.9393</v>
      </c>
      <c r="J538" s="17" t="n">
        <f aca="false">F538+G538-H538-I538</f>
        <v>-852.1068</v>
      </c>
      <c r="K538" s="17" t="n">
        <f aca="false">K537+J538</f>
        <v>7702.494525</v>
      </c>
      <c r="L538" s="17" t="n">
        <f aca="false">MAX(L537,K538)</f>
        <v>9744.50175</v>
      </c>
      <c r="M538" s="17" t="n">
        <f aca="false">L538-K538</f>
        <v>2042.007225</v>
      </c>
      <c r="N538" s="17" t="n">
        <f aca="false">MIN(Desain_Kolam!$B$21,MAX(0,N537+F538+G538-H538-I538))</f>
        <v>7702.494525</v>
      </c>
      <c r="O538" s="6" t="n">
        <f aca="false">IF(N537+F538+G538-I538&gt;=H538,1,0)</f>
        <v>1</v>
      </c>
    </row>
    <row r="539" customFormat="false" ht="15" hidden="false" customHeight="false" outlineLevel="0" collapsed="false">
      <c r="A539" s="6" t="n">
        <v>2012</v>
      </c>
      <c r="B539" s="6" t="n">
        <v>9</v>
      </c>
      <c r="C539" s="4" t="n">
        <v>174</v>
      </c>
      <c r="D539" s="6" t="n">
        <v>30</v>
      </c>
      <c r="E539" s="4" t="n">
        <f aca="false">INDEX(Evaporasi!$B$5:$B$16,MATCH(B539,Evaporasi!$A$5:$A$16,0))</f>
        <v>159.21</v>
      </c>
      <c r="F539" s="17" t="n">
        <f aca="false">Kawasan!$B$11*Kawasan!$B$9*C539/1000</f>
        <v>1447.68</v>
      </c>
      <c r="G539" s="17" t="n">
        <f aca="false">C539*Desain_Kolam!$B$9/1000</f>
        <v>920.895</v>
      </c>
      <c r="H539" s="17" t="n">
        <f aca="false">Kawasan!$B$29*D539</f>
        <v>1382.4</v>
      </c>
      <c r="I539" s="17" t="n">
        <f aca="false">E539*Desain_Kolam!$B$9/1000</f>
        <v>842.618925</v>
      </c>
      <c r="J539" s="17" t="n">
        <f aca="false">F539+G539-H539-I539</f>
        <v>143.556075</v>
      </c>
      <c r="K539" s="17" t="n">
        <f aca="false">K538+J539</f>
        <v>7846.0506</v>
      </c>
      <c r="L539" s="17" t="n">
        <f aca="false">MAX(L538,K539)</f>
        <v>9744.50175</v>
      </c>
      <c r="M539" s="17" t="n">
        <f aca="false">L539-K539</f>
        <v>1898.45115</v>
      </c>
      <c r="N539" s="17" t="n">
        <f aca="false">MIN(Desain_Kolam!$B$21,MAX(0,N538+F539+G539-H539-I539))</f>
        <v>7846.05060000001</v>
      </c>
      <c r="O539" s="6" t="n">
        <f aca="false">IF(N538+F539+G539-I539&gt;=H539,1,0)</f>
        <v>1</v>
      </c>
    </row>
    <row r="540" customFormat="false" ht="15" hidden="false" customHeight="false" outlineLevel="0" collapsed="false">
      <c r="A540" s="6" t="n">
        <v>2012</v>
      </c>
      <c r="B540" s="6" t="n">
        <v>10</v>
      </c>
      <c r="C540" s="4" t="n">
        <v>436</v>
      </c>
      <c r="D540" s="6" t="n">
        <v>31</v>
      </c>
      <c r="E540" s="4" t="n">
        <f aca="false">INDEX(Evaporasi!$B$5:$B$16,MATCH(B540,Evaporasi!$A$5:$A$16,0))</f>
        <v>151.5</v>
      </c>
      <c r="F540" s="17" t="n">
        <f aca="false">Kawasan!$B$11*Kawasan!$B$9*C540/1000</f>
        <v>3627.52</v>
      </c>
      <c r="G540" s="17" t="n">
        <f aca="false">C540*Desain_Kolam!$B$9/1000</f>
        <v>2307.53</v>
      </c>
      <c r="H540" s="17" t="n">
        <f aca="false">Kawasan!$B$29*D540</f>
        <v>1428.48</v>
      </c>
      <c r="I540" s="17" t="n">
        <f aca="false">E540*Desain_Kolam!$B$9/1000</f>
        <v>801.81375</v>
      </c>
      <c r="J540" s="17" t="n">
        <f aca="false">F540+G540-H540-I540</f>
        <v>3704.75625</v>
      </c>
      <c r="K540" s="17" t="n">
        <f aca="false">K539+J540</f>
        <v>11550.80685</v>
      </c>
      <c r="L540" s="17" t="n">
        <f aca="false">MAX(L539,K540)</f>
        <v>11550.80685</v>
      </c>
      <c r="M540" s="17" t="n">
        <f aca="false">L540-K540</f>
        <v>0</v>
      </c>
      <c r="N540" s="17" t="n">
        <f aca="false">MIN(Desain_Kolam!$B$21,MAX(0,N539+F540+G540-H540-I540))</f>
        <v>11550.80685</v>
      </c>
      <c r="O540" s="6" t="n">
        <f aca="false">IF(N539+F540+G540-I540&gt;=H540,1,0)</f>
        <v>1</v>
      </c>
    </row>
    <row r="541" customFormat="false" ht="15" hidden="false" customHeight="false" outlineLevel="0" collapsed="false">
      <c r="A541" s="6" t="n">
        <v>2012</v>
      </c>
      <c r="B541" s="6" t="n">
        <v>11</v>
      </c>
      <c r="C541" s="4" t="n">
        <v>323</v>
      </c>
      <c r="D541" s="6" t="n">
        <v>30</v>
      </c>
      <c r="E541" s="4" t="n">
        <f aca="false">INDEX(Evaporasi!$B$5:$B$16,MATCH(B541,Evaporasi!$A$5:$A$16,0))</f>
        <v>142.3</v>
      </c>
      <c r="F541" s="17" t="n">
        <f aca="false">Kawasan!$B$11*Kawasan!$B$9*C541/1000</f>
        <v>2687.36</v>
      </c>
      <c r="G541" s="17" t="n">
        <f aca="false">C541*Desain_Kolam!$B$9/1000</f>
        <v>1709.4775</v>
      </c>
      <c r="H541" s="17" t="n">
        <f aca="false">Kawasan!$B$29*D541</f>
        <v>1382.4</v>
      </c>
      <c r="I541" s="17" t="n">
        <f aca="false">E541*Desain_Kolam!$B$9/1000</f>
        <v>753.12275</v>
      </c>
      <c r="J541" s="17" t="n">
        <f aca="false">F541+G541-H541-I541</f>
        <v>2261.31475</v>
      </c>
      <c r="K541" s="17" t="n">
        <f aca="false">K540+J541</f>
        <v>13812.1216</v>
      </c>
      <c r="L541" s="17" t="n">
        <f aca="false">MAX(L540,K541)</f>
        <v>13812.1216</v>
      </c>
      <c r="M541" s="17" t="n">
        <f aca="false">L541-K541</f>
        <v>0</v>
      </c>
      <c r="N541" s="17" t="n">
        <f aca="false">MIN(Desain_Kolam!$B$21,MAX(0,N540+F541+G541-H541-I541))</f>
        <v>13812.1216</v>
      </c>
      <c r="O541" s="6" t="n">
        <f aca="false">IF(N540+F541+G541-I541&gt;=H541,1,0)</f>
        <v>1</v>
      </c>
    </row>
    <row r="542" customFormat="false" ht="15" hidden="false" customHeight="false" outlineLevel="0" collapsed="false">
      <c r="A542" s="6" t="n">
        <v>2012</v>
      </c>
      <c r="B542" s="6" t="n">
        <v>12</v>
      </c>
      <c r="C542" s="4" t="n">
        <v>297</v>
      </c>
      <c r="D542" s="6" t="n">
        <v>31</v>
      </c>
      <c r="E542" s="4" t="n">
        <f aca="false">INDEX(Evaporasi!$B$5:$B$16,MATCH(B542,Evaporasi!$A$5:$A$16,0))</f>
        <v>145.07</v>
      </c>
      <c r="F542" s="17" t="n">
        <f aca="false">Kawasan!$B$11*Kawasan!$B$9*C542/1000</f>
        <v>2471.04</v>
      </c>
      <c r="G542" s="17" t="n">
        <f aca="false">C542*Desain_Kolam!$B$9/1000</f>
        <v>1571.8725</v>
      </c>
      <c r="H542" s="17" t="n">
        <f aca="false">Kawasan!$B$29*D542</f>
        <v>1428.48</v>
      </c>
      <c r="I542" s="17" t="n">
        <f aca="false">E542*Desain_Kolam!$B$9/1000</f>
        <v>767.782975</v>
      </c>
      <c r="J542" s="17" t="n">
        <f aca="false">F542+G542-H542-I542</f>
        <v>1846.649525</v>
      </c>
      <c r="K542" s="17" t="n">
        <f aca="false">K541+J542</f>
        <v>15658.771125</v>
      </c>
      <c r="L542" s="17" t="n">
        <f aca="false">MAX(L541,K542)</f>
        <v>15658.771125</v>
      </c>
      <c r="M542" s="17" t="n">
        <f aca="false">L542-K542</f>
        <v>0</v>
      </c>
      <c r="N542" s="17" t="n">
        <f aca="false">MIN(Desain_Kolam!$B$21,MAX(0,N541+F542+G542-H542-I542))</f>
        <v>15658.771125</v>
      </c>
      <c r="O542" s="6" t="n">
        <f aca="false">IF(N541+F542+G542-I542&gt;=H542,1,0)</f>
        <v>1</v>
      </c>
    </row>
    <row r="543" customFormat="false" ht="15" hidden="false" customHeight="false" outlineLevel="0" collapsed="false">
      <c r="A543" s="6" t="n">
        <v>2013</v>
      </c>
      <c r="B543" s="6" t="n">
        <v>1</v>
      </c>
      <c r="C543" s="4" t="n">
        <v>141</v>
      </c>
      <c r="D543" s="6" t="n">
        <v>31</v>
      </c>
      <c r="E543" s="4" t="n">
        <f aca="false">INDEX(Evaporasi!$B$5:$B$16,MATCH(B543,Evaporasi!$A$5:$A$16,0))</f>
        <v>149.98</v>
      </c>
      <c r="F543" s="17" t="n">
        <f aca="false">Kawasan!$B$11*Kawasan!$B$9*C543/1000</f>
        <v>1173.12</v>
      </c>
      <c r="G543" s="17" t="n">
        <f aca="false">C543*Desain_Kolam!$B$9/1000</f>
        <v>746.2425</v>
      </c>
      <c r="H543" s="17" t="n">
        <f aca="false">Kawasan!$B$29*D543</f>
        <v>1428.48</v>
      </c>
      <c r="I543" s="17" t="n">
        <f aca="false">E543*Desain_Kolam!$B$9/1000</f>
        <v>793.76915</v>
      </c>
      <c r="J543" s="17" t="n">
        <f aca="false">F543+G543-H543-I543</f>
        <v>-302.88665</v>
      </c>
      <c r="K543" s="17" t="n">
        <f aca="false">K542+J543</f>
        <v>15355.884475</v>
      </c>
      <c r="L543" s="17" t="n">
        <f aca="false">MAX(L542,K543)</f>
        <v>15658.771125</v>
      </c>
      <c r="M543" s="17" t="n">
        <f aca="false">L543-K543</f>
        <v>302.88665</v>
      </c>
      <c r="N543" s="17" t="n">
        <f aca="false">MIN(Desain_Kolam!$B$21,MAX(0,N542+F543+G543-H543-I543))</f>
        <v>15355.884475</v>
      </c>
      <c r="O543" s="6" t="n">
        <f aca="false">IF(N542+F543+G543-I543&gt;=H543,1,0)</f>
        <v>1</v>
      </c>
    </row>
    <row r="544" customFormat="false" ht="15" hidden="false" customHeight="false" outlineLevel="0" collapsed="false">
      <c r="A544" s="6" t="n">
        <v>2013</v>
      </c>
      <c r="B544" s="6" t="n">
        <v>2</v>
      </c>
      <c r="C544" s="4" t="n">
        <v>291</v>
      </c>
      <c r="D544" s="6" t="n">
        <v>28</v>
      </c>
      <c r="E544" s="4" t="n">
        <f aca="false">INDEX(Evaporasi!$B$5:$B$16,MATCH(B544,Evaporasi!$A$5:$A$16,0))</f>
        <v>148.64</v>
      </c>
      <c r="F544" s="17" t="n">
        <f aca="false">Kawasan!$B$11*Kawasan!$B$9*C544/1000</f>
        <v>2421.12</v>
      </c>
      <c r="G544" s="17" t="n">
        <f aca="false">C544*Desain_Kolam!$B$9/1000</f>
        <v>1540.1175</v>
      </c>
      <c r="H544" s="17" t="n">
        <f aca="false">Kawasan!$B$29*D544</f>
        <v>1290.24</v>
      </c>
      <c r="I544" s="17" t="n">
        <f aca="false">E544*Desain_Kolam!$B$9/1000</f>
        <v>786.6772</v>
      </c>
      <c r="J544" s="17" t="n">
        <f aca="false">F544+G544-H544-I544</f>
        <v>1884.3203</v>
      </c>
      <c r="K544" s="17" t="n">
        <f aca="false">K543+J544</f>
        <v>17240.204775</v>
      </c>
      <c r="L544" s="17" t="n">
        <f aca="false">MAX(L543,K544)</f>
        <v>17240.204775</v>
      </c>
      <c r="M544" s="17" t="n">
        <f aca="false">L544-K544</f>
        <v>0</v>
      </c>
      <c r="N544" s="17" t="n">
        <f aca="false">MIN(Desain_Kolam!$B$21,MAX(0,N543+F544+G544-H544-I544))</f>
        <v>15823.566675</v>
      </c>
      <c r="O544" s="6" t="n">
        <f aca="false">IF(N543+F544+G544-I544&gt;=H544,1,0)</f>
        <v>1</v>
      </c>
    </row>
    <row r="545" customFormat="false" ht="15" hidden="false" customHeight="false" outlineLevel="0" collapsed="false">
      <c r="A545" s="6" t="n">
        <v>2013</v>
      </c>
      <c r="B545" s="6" t="n">
        <v>3</v>
      </c>
      <c r="C545" s="4" t="n">
        <v>152</v>
      </c>
      <c r="D545" s="6" t="n">
        <v>31</v>
      </c>
      <c r="E545" s="4" t="n">
        <f aca="false">INDEX(Evaporasi!$B$5:$B$16,MATCH(B545,Evaporasi!$A$5:$A$16,0))</f>
        <v>166.18</v>
      </c>
      <c r="F545" s="17" t="n">
        <f aca="false">Kawasan!$B$11*Kawasan!$B$9*C545/1000</f>
        <v>1264.64</v>
      </c>
      <c r="G545" s="17" t="n">
        <f aca="false">C545*Desain_Kolam!$B$9/1000</f>
        <v>804.46</v>
      </c>
      <c r="H545" s="17" t="n">
        <f aca="false">Kawasan!$B$29*D545</f>
        <v>1428.48</v>
      </c>
      <c r="I545" s="17" t="n">
        <f aca="false">E545*Desain_Kolam!$B$9/1000</f>
        <v>879.50765</v>
      </c>
      <c r="J545" s="17" t="n">
        <f aca="false">F545+G545-H545-I545</f>
        <v>-238.88765</v>
      </c>
      <c r="K545" s="17" t="n">
        <f aca="false">K544+J545</f>
        <v>17001.317125</v>
      </c>
      <c r="L545" s="17" t="n">
        <f aca="false">MAX(L544,K545)</f>
        <v>17240.204775</v>
      </c>
      <c r="M545" s="17" t="n">
        <f aca="false">L545-K545</f>
        <v>238.887650000001</v>
      </c>
      <c r="N545" s="17" t="n">
        <f aca="false">MIN(Desain_Kolam!$B$21,MAX(0,N544+F545+G545-H545-I545))</f>
        <v>15584.679025</v>
      </c>
      <c r="O545" s="6" t="n">
        <f aca="false">IF(N544+F545+G545-I545&gt;=H545,1,0)</f>
        <v>1</v>
      </c>
    </row>
    <row r="546" customFormat="false" ht="15" hidden="false" customHeight="false" outlineLevel="0" collapsed="false">
      <c r="A546" s="6" t="n">
        <v>2013</v>
      </c>
      <c r="B546" s="6" t="n">
        <v>4</v>
      </c>
      <c r="C546" s="4" t="n">
        <v>435</v>
      </c>
      <c r="D546" s="6" t="n">
        <v>30</v>
      </c>
      <c r="E546" s="4" t="n">
        <f aca="false">INDEX(Evaporasi!$B$5:$B$16,MATCH(B546,Evaporasi!$A$5:$A$16,0))</f>
        <v>157.75</v>
      </c>
      <c r="F546" s="17" t="n">
        <f aca="false">Kawasan!$B$11*Kawasan!$B$9*C546/1000</f>
        <v>3619.2</v>
      </c>
      <c r="G546" s="17" t="n">
        <f aca="false">C546*Desain_Kolam!$B$9/1000</f>
        <v>2302.2375</v>
      </c>
      <c r="H546" s="17" t="n">
        <f aca="false">Kawasan!$B$29*D546</f>
        <v>1382.4</v>
      </c>
      <c r="I546" s="17" t="n">
        <f aca="false">E546*Desain_Kolam!$B$9/1000</f>
        <v>834.891875</v>
      </c>
      <c r="J546" s="17" t="n">
        <f aca="false">F546+G546-H546-I546</f>
        <v>3704.145625</v>
      </c>
      <c r="K546" s="17" t="n">
        <f aca="false">K545+J546</f>
        <v>20705.46275</v>
      </c>
      <c r="L546" s="17" t="n">
        <f aca="false">MAX(L545,K546)</f>
        <v>20705.46275</v>
      </c>
      <c r="M546" s="17" t="n">
        <f aca="false">L546-K546</f>
        <v>0</v>
      </c>
      <c r="N546" s="17" t="n">
        <f aca="false">MIN(Desain_Kolam!$B$21,MAX(0,N545+F546+G546-H546-I546))</f>
        <v>15823.566675</v>
      </c>
      <c r="O546" s="6" t="n">
        <f aca="false">IF(N545+F546+G546-I546&gt;=H546,1,0)</f>
        <v>1</v>
      </c>
    </row>
    <row r="547" customFormat="false" ht="15" hidden="false" customHeight="false" outlineLevel="0" collapsed="false">
      <c r="A547" s="6" t="n">
        <v>2013</v>
      </c>
      <c r="B547" s="6" t="n">
        <v>5</v>
      </c>
      <c r="C547" s="4" t="n">
        <v>358</v>
      </c>
      <c r="D547" s="6" t="n">
        <v>31</v>
      </c>
      <c r="E547" s="4" t="n">
        <f aca="false">INDEX(Evaporasi!$B$5:$B$16,MATCH(B547,Evaporasi!$A$5:$A$16,0))</f>
        <v>158.35</v>
      </c>
      <c r="F547" s="17" t="n">
        <f aca="false">Kawasan!$B$11*Kawasan!$B$9*C547/1000</f>
        <v>2978.56</v>
      </c>
      <c r="G547" s="17" t="n">
        <f aca="false">C547*Desain_Kolam!$B$9/1000</f>
        <v>1894.715</v>
      </c>
      <c r="H547" s="17" t="n">
        <f aca="false">Kawasan!$B$29*D547</f>
        <v>1428.48</v>
      </c>
      <c r="I547" s="17" t="n">
        <f aca="false">E547*Desain_Kolam!$B$9/1000</f>
        <v>838.067375</v>
      </c>
      <c r="J547" s="17" t="n">
        <f aca="false">F547+G547-H547-I547</f>
        <v>2606.727625</v>
      </c>
      <c r="K547" s="17" t="n">
        <f aca="false">K546+J547</f>
        <v>23312.190375</v>
      </c>
      <c r="L547" s="17" t="n">
        <f aca="false">MAX(L546,K547)</f>
        <v>23312.190375</v>
      </c>
      <c r="M547" s="17" t="n">
        <f aca="false">L547-K547</f>
        <v>0</v>
      </c>
      <c r="N547" s="17" t="n">
        <f aca="false">MIN(Desain_Kolam!$B$21,MAX(0,N546+F547+G547-H547-I547))</f>
        <v>15823.566675</v>
      </c>
      <c r="O547" s="6" t="n">
        <f aca="false">IF(N546+F547+G547-I547&gt;=H547,1,0)</f>
        <v>1</v>
      </c>
    </row>
    <row r="548" customFormat="false" ht="15" hidden="false" customHeight="false" outlineLevel="0" collapsed="false">
      <c r="A548" s="6" t="n">
        <v>2013</v>
      </c>
      <c r="B548" s="6" t="n">
        <v>6</v>
      </c>
      <c r="C548" s="4" t="n">
        <v>212</v>
      </c>
      <c r="D548" s="6" t="n">
        <v>30</v>
      </c>
      <c r="E548" s="4" t="n">
        <f aca="false">INDEX(Evaporasi!$B$5:$B$16,MATCH(B548,Evaporasi!$A$5:$A$16,0))</f>
        <v>150.17</v>
      </c>
      <c r="F548" s="17" t="n">
        <f aca="false">Kawasan!$B$11*Kawasan!$B$9*C548/1000</f>
        <v>1763.84</v>
      </c>
      <c r="G548" s="17" t="n">
        <f aca="false">C548*Desain_Kolam!$B$9/1000</f>
        <v>1122.01</v>
      </c>
      <c r="H548" s="17" t="n">
        <f aca="false">Kawasan!$B$29*D548</f>
        <v>1382.4</v>
      </c>
      <c r="I548" s="17" t="n">
        <f aca="false">E548*Desain_Kolam!$B$9/1000</f>
        <v>794.774725</v>
      </c>
      <c r="J548" s="17" t="n">
        <f aca="false">F548+G548-H548-I548</f>
        <v>708.675275</v>
      </c>
      <c r="K548" s="17" t="n">
        <f aca="false">K547+J548</f>
        <v>24020.86565</v>
      </c>
      <c r="L548" s="17" t="n">
        <f aca="false">MAX(L547,K548)</f>
        <v>24020.86565</v>
      </c>
      <c r="M548" s="17" t="n">
        <f aca="false">L548-K548</f>
        <v>0</v>
      </c>
      <c r="N548" s="17" t="n">
        <f aca="false">MIN(Desain_Kolam!$B$21,MAX(0,N547+F548+G548-H548-I548))</f>
        <v>15823.566675</v>
      </c>
      <c r="O548" s="6" t="n">
        <f aca="false">IF(N547+F548+G548-I548&gt;=H548,1,0)</f>
        <v>1</v>
      </c>
    </row>
    <row r="549" customFormat="false" ht="15" hidden="false" customHeight="false" outlineLevel="0" collapsed="false">
      <c r="A549" s="6" t="n">
        <v>2013</v>
      </c>
      <c r="B549" s="6" t="n">
        <v>7</v>
      </c>
      <c r="C549" s="4" t="n">
        <v>320</v>
      </c>
      <c r="D549" s="6" t="n">
        <v>31</v>
      </c>
      <c r="E549" s="4" t="n">
        <f aca="false">INDEX(Evaporasi!$B$5:$B$16,MATCH(B549,Evaporasi!$A$5:$A$16,0))</f>
        <v>160.84</v>
      </c>
      <c r="F549" s="17" t="n">
        <f aca="false">Kawasan!$B$11*Kawasan!$B$9*C549/1000</f>
        <v>2662.4</v>
      </c>
      <c r="G549" s="17" t="n">
        <f aca="false">C549*Desain_Kolam!$B$9/1000</f>
        <v>1693.6</v>
      </c>
      <c r="H549" s="17" t="n">
        <f aca="false">Kawasan!$B$29*D549</f>
        <v>1428.48</v>
      </c>
      <c r="I549" s="17" t="n">
        <f aca="false">E549*Desain_Kolam!$B$9/1000</f>
        <v>851.2457</v>
      </c>
      <c r="J549" s="17" t="n">
        <f aca="false">F549+G549-H549-I549</f>
        <v>2076.2743</v>
      </c>
      <c r="K549" s="17" t="n">
        <f aca="false">K548+J549</f>
        <v>26097.13995</v>
      </c>
      <c r="L549" s="17" t="n">
        <f aca="false">MAX(L548,K549)</f>
        <v>26097.13995</v>
      </c>
      <c r="M549" s="17" t="n">
        <f aca="false">L549-K549</f>
        <v>0</v>
      </c>
      <c r="N549" s="17" t="n">
        <f aca="false">MIN(Desain_Kolam!$B$21,MAX(0,N548+F549+G549-H549-I549))</f>
        <v>15823.566675</v>
      </c>
      <c r="O549" s="6" t="n">
        <f aca="false">IF(N548+F549+G549-I549&gt;=H549,1,0)</f>
        <v>1</v>
      </c>
    </row>
    <row r="550" customFormat="false" ht="15" hidden="false" customHeight="false" outlineLevel="0" collapsed="false">
      <c r="A550" s="6" t="n">
        <v>2013</v>
      </c>
      <c r="B550" s="6" t="n">
        <v>8</v>
      </c>
      <c r="C550" s="4" t="n">
        <v>167</v>
      </c>
      <c r="D550" s="6" t="n">
        <v>31</v>
      </c>
      <c r="E550" s="4" t="n">
        <f aca="false">INDEX(Evaporasi!$B$5:$B$16,MATCH(B550,Evaporasi!$A$5:$A$16,0))</f>
        <v>161.16</v>
      </c>
      <c r="F550" s="17" t="n">
        <f aca="false">Kawasan!$B$11*Kawasan!$B$9*C550/1000</f>
        <v>1389.44</v>
      </c>
      <c r="G550" s="17" t="n">
        <f aca="false">C550*Desain_Kolam!$B$9/1000</f>
        <v>883.8475</v>
      </c>
      <c r="H550" s="17" t="n">
        <f aca="false">Kawasan!$B$29*D550</f>
        <v>1428.48</v>
      </c>
      <c r="I550" s="17" t="n">
        <f aca="false">E550*Desain_Kolam!$B$9/1000</f>
        <v>852.9393</v>
      </c>
      <c r="J550" s="17" t="n">
        <f aca="false">F550+G550-H550-I550</f>
        <v>-8.1318</v>
      </c>
      <c r="K550" s="17" t="n">
        <f aca="false">K549+J550</f>
        <v>26089.00815</v>
      </c>
      <c r="L550" s="17" t="n">
        <f aca="false">MAX(L549,K550)</f>
        <v>26097.13995</v>
      </c>
      <c r="M550" s="17" t="n">
        <f aca="false">L550-K550</f>
        <v>8.1317999999992</v>
      </c>
      <c r="N550" s="17" t="n">
        <f aca="false">MIN(Desain_Kolam!$B$21,MAX(0,N549+F550+G550-H550-I550))</f>
        <v>15815.434875</v>
      </c>
      <c r="O550" s="6" t="n">
        <f aca="false">IF(N549+F550+G550-I550&gt;=H550,1,0)</f>
        <v>1</v>
      </c>
    </row>
    <row r="551" customFormat="false" ht="15" hidden="false" customHeight="false" outlineLevel="0" collapsed="false">
      <c r="A551" s="6" t="n">
        <v>2013</v>
      </c>
      <c r="B551" s="6" t="n">
        <v>9</v>
      </c>
      <c r="C551" s="4" t="n">
        <v>129</v>
      </c>
      <c r="D551" s="6" t="n">
        <v>30</v>
      </c>
      <c r="E551" s="4" t="n">
        <f aca="false">INDEX(Evaporasi!$B$5:$B$16,MATCH(B551,Evaporasi!$A$5:$A$16,0))</f>
        <v>159.21</v>
      </c>
      <c r="F551" s="17" t="n">
        <f aca="false">Kawasan!$B$11*Kawasan!$B$9*C551/1000</f>
        <v>1073.28</v>
      </c>
      <c r="G551" s="17" t="n">
        <f aca="false">C551*Desain_Kolam!$B$9/1000</f>
        <v>682.7325</v>
      </c>
      <c r="H551" s="17" t="n">
        <f aca="false">Kawasan!$B$29*D551</f>
        <v>1382.4</v>
      </c>
      <c r="I551" s="17" t="n">
        <f aca="false">E551*Desain_Kolam!$B$9/1000</f>
        <v>842.618925</v>
      </c>
      <c r="J551" s="17" t="n">
        <f aca="false">F551+G551-H551-I551</f>
        <v>-469.006425</v>
      </c>
      <c r="K551" s="17" t="n">
        <f aca="false">K550+J551</f>
        <v>25620.001725</v>
      </c>
      <c r="L551" s="17" t="n">
        <f aca="false">MAX(L550,K551)</f>
        <v>26097.13995</v>
      </c>
      <c r="M551" s="17" t="n">
        <f aca="false">L551-K551</f>
        <v>477.138224999999</v>
      </c>
      <c r="N551" s="17" t="n">
        <f aca="false">MIN(Desain_Kolam!$B$21,MAX(0,N550+F551+G551-H551-I551))</f>
        <v>15346.42845</v>
      </c>
      <c r="O551" s="6" t="n">
        <f aca="false">IF(N550+F551+G551-I551&gt;=H551,1,0)</f>
        <v>1</v>
      </c>
    </row>
    <row r="552" customFormat="false" ht="15" hidden="false" customHeight="false" outlineLevel="0" collapsed="false">
      <c r="A552" s="6" t="n">
        <v>2013</v>
      </c>
      <c r="B552" s="6" t="n">
        <v>10</v>
      </c>
      <c r="C552" s="4" t="n">
        <v>151</v>
      </c>
      <c r="D552" s="6" t="n">
        <v>31</v>
      </c>
      <c r="E552" s="4" t="n">
        <f aca="false">INDEX(Evaporasi!$B$5:$B$16,MATCH(B552,Evaporasi!$A$5:$A$16,0))</f>
        <v>151.5</v>
      </c>
      <c r="F552" s="17" t="n">
        <f aca="false">Kawasan!$B$11*Kawasan!$B$9*C552/1000</f>
        <v>1256.32</v>
      </c>
      <c r="G552" s="17" t="n">
        <f aca="false">C552*Desain_Kolam!$B$9/1000</f>
        <v>799.1675</v>
      </c>
      <c r="H552" s="17" t="n">
        <f aca="false">Kawasan!$B$29*D552</f>
        <v>1428.48</v>
      </c>
      <c r="I552" s="17" t="n">
        <f aca="false">E552*Desain_Kolam!$B$9/1000</f>
        <v>801.81375</v>
      </c>
      <c r="J552" s="17" t="n">
        <f aca="false">F552+G552-H552-I552</f>
        <v>-174.80625</v>
      </c>
      <c r="K552" s="17" t="n">
        <f aca="false">K551+J552</f>
        <v>25445.195475</v>
      </c>
      <c r="L552" s="17" t="n">
        <f aca="false">MAX(L551,K552)</f>
        <v>26097.13995</v>
      </c>
      <c r="M552" s="17" t="n">
        <f aca="false">L552-K552</f>
        <v>651.944475</v>
      </c>
      <c r="N552" s="17" t="n">
        <f aca="false">MIN(Desain_Kolam!$B$21,MAX(0,N551+F552+G552-H552-I552))</f>
        <v>15171.6222</v>
      </c>
      <c r="O552" s="6" t="n">
        <f aca="false">IF(N551+F552+G552-I552&gt;=H552,1,0)</f>
        <v>1</v>
      </c>
    </row>
    <row r="553" customFormat="false" ht="15" hidden="false" customHeight="false" outlineLevel="0" collapsed="false">
      <c r="A553" s="6" t="n">
        <v>2013</v>
      </c>
      <c r="B553" s="6" t="n">
        <v>11</v>
      </c>
      <c r="C553" s="4" t="n">
        <v>280</v>
      </c>
      <c r="D553" s="6" t="n">
        <v>30</v>
      </c>
      <c r="E553" s="4" t="n">
        <f aca="false">INDEX(Evaporasi!$B$5:$B$16,MATCH(B553,Evaporasi!$A$5:$A$16,0))</f>
        <v>142.3</v>
      </c>
      <c r="F553" s="17" t="n">
        <f aca="false">Kawasan!$B$11*Kawasan!$B$9*C553/1000</f>
        <v>2329.6</v>
      </c>
      <c r="G553" s="17" t="n">
        <f aca="false">C553*Desain_Kolam!$B$9/1000</f>
        <v>1481.9</v>
      </c>
      <c r="H553" s="17" t="n">
        <f aca="false">Kawasan!$B$29*D553</f>
        <v>1382.4</v>
      </c>
      <c r="I553" s="17" t="n">
        <f aca="false">E553*Desain_Kolam!$B$9/1000</f>
        <v>753.12275</v>
      </c>
      <c r="J553" s="17" t="n">
        <f aca="false">F553+G553-H553-I553</f>
        <v>1675.97725</v>
      </c>
      <c r="K553" s="17" t="n">
        <f aca="false">K552+J553</f>
        <v>27121.172725</v>
      </c>
      <c r="L553" s="17" t="n">
        <f aca="false">MAX(L552,K553)</f>
        <v>27121.172725</v>
      </c>
      <c r="M553" s="17" t="n">
        <f aca="false">L553-K553</f>
        <v>0</v>
      </c>
      <c r="N553" s="17" t="n">
        <f aca="false">MIN(Desain_Kolam!$B$21,MAX(0,N552+F553+G553-H553-I553))</f>
        <v>15823.566675</v>
      </c>
      <c r="O553" s="6" t="n">
        <f aca="false">IF(N552+F553+G553-I553&gt;=H553,1,0)</f>
        <v>1</v>
      </c>
    </row>
    <row r="554" customFormat="false" ht="15" hidden="false" customHeight="false" outlineLevel="0" collapsed="false">
      <c r="A554" s="6" t="n">
        <v>2013</v>
      </c>
      <c r="B554" s="6" t="n">
        <v>12</v>
      </c>
      <c r="C554" s="4" t="n">
        <v>280</v>
      </c>
      <c r="D554" s="6" t="n">
        <v>31</v>
      </c>
      <c r="E554" s="4" t="n">
        <f aca="false">INDEX(Evaporasi!$B$5:$B$16,MATCH(B554,Evaporasi!$A$5:$A$16,0))</f>
        <v>145.07</v>
      </c>
      <c r="F554" s="17" t="n">
        <f aca="false">Kawasan!$B$11*Kawasan!$B$9*C554/1000</f>
        <v>2329.6</v>
      </c>
      <c r="G554" s="17" t="n">
        <f aca="false">C554*Desain_Kolam!$B$9/1000</f>
        <v>1481.9</v>
      </c>
      <c r="H554" s="17" t="n">
        <f aca="false">Kawasan!$B$29*D554</f>
        <v>1428.48</v>
      </c>
      <c r="I554" s="17" t="n">
        <f aca="false">E554*Desain_Kolam!$B$9/1000</f>
        <v>767.782975</v>
      </c>
      <c r="J554" s="17" t="n">
        <f aca="false">F554+G554-H554-I554</f>
        <v>1615.237025</v>
      </c>
      <c r="K554" s="17" t="n">
        <f aca="false">K553+J554</f>
        <v>28736.40975</v>
      </c>
      <c r="L554" s="17" t="n">
        <f aca="false">MAX(L553,K554)</f>
        <v>28736.40975</v>
      </c>
      <c r="M554" s="17" t="n">
        <f aca="false">L554-K554</f>
        <v>0</v>
      </c>
      <c r="N554" s="17" t="n">
        <f aca="false">MIN(Desain_Kolam!$B$21,MAX(0,N553+F554+G554-H554-I554))</f>
        <v>15823.566675</v>
      </c>
      <c r="O554" s="6" t="n">
        <f aca="false">IF(N553+F554+G554-I554&gt;=H554,1,0)</f>
        <v>1</v>
      </c>
    </row>
    <row r="555" customFormat="false" ht="15" hidden="false" customHeight="false" outlineLevel="0" collapsed="false">
      <c r="A555" s="6" t="n">
        <v>2014</v>
      </c>
      <c r="B555" s="6" t="n">
        <v>1</v>
      </c>
      <c r="C555" s="4" t="n">
        <v>66</v>
      </c>
      <c r="D555" s="6" t="n">
        <v>31</v>
      </c>
      <c r="E555" s="4" t="n">
        <f aca="false">INDEX(Evaporasi!$B$5:$B$16,MATCH(B555,Evaporasi!$A$5:$A$16,0))</f>
        <v>149.98</v>
      </c>
      <c r="F555" s="17" t="n">
        <f aca="false">Kawasan!$B$11*Kawasan!$B$9*C555/1000</f>
        <v>549.12</v>
      </c>
      <c r="G555" s="17" t="n">
        <f aca="false">C555*Desain_Kolam!$B$9/1000</f>
        <v>349.305</v>
      </c>
      <c r="H555" s="17" t="n">
        <f aca="false">Kawasan!$B$29*D555</f>
        <v>1428.48</v>
      </c>
      <c r="I555" s="17" t="n">
        <f aca="false">E555*Desain_Kolam!$B$9/1000</f>
        <v>793.76915</v>
      </c>
      <c r="J555" s="17" t="n">
        <f aca="false">F555+G555-H555-I555</f>
        <v>-1323.82415</v>
      </c>
      <c r="K555" s="17" t="n">
        <f aca="false">K554+J555</f>
        <v>27412.5856</v>
      </c>
      <c r="L555" s="17" t="n">
        <f aca="false">MAX(L554,K555)</f>
        <v>28736.40975</v>
      </c>
      <c r="M555" s="17" t="n">
        <f aca="false">L555-K555</f>
        <v>1323.82415</v>
      </c>
      <c r="N555" s="17" t="n">
        <f aca="false">MIN(Desain_Kolam!$B$21,MAX(0,N554+F555+G555-H555-I555))</f>
        <v>14499.742525</v>
      </c>
      <c r="O555" s="6" t="n">
        <f aca="false">IF(N554+F555+G555-I555&gt;=H555,1,0)</f>
        <v>1</v>
      </c>
    </row>
    <row r="556" customFormat="false" ht="15" hidden="false" customHeight="false" outlineLevel="0" collapsed="false">
      <c r="A556" s="6" t="n">
        <v>2014</v>
      </c>
      <c r="B556" s="6" t="n">
        <v>2</v>
      </c>
      <c r="C556" s="4" t="n">
        <v>24</v>
      </c>
      <c r="D556" s="6" t="n">
        <v>28</v>
      </c>
      <c r="E556" s="4" t="n">
        <f aca="false">INDEX(Evaporasi!$B$5:$B$16,MATCH(B556,Evaporasi!$A$5:$A$16,0))</f>
        <v>148.64</v>
      </c>
      <c r="F556" s="17" t="n">
        <f aca="false">Kawasan!$B$11*Kawasan!$B$9*C556/1000</f>
        <v>199.68</v>
      </c>
      <c r="G556" s="17" t="n">
        <f aca="false">C556*Desain_Kolam!$B$9/1000</f>
        <v>127.02</v>
      </c>
      <c r="H556" s="17" t="n">
        <f aca="false">Kawasan!$B$29*D556</f>
        <v>1290.24</v>
      </c>
      <c r="I556" s="17" t="n">
        <f aca="false">E556*Desain_Kolam!$B$9/1000</f>
        <v>786.6772</v>
      </c>
      <c r="J556" s="17" t="n">
        <f aca="false">F556+G556-H556-I556</f>
        <v>-1750.2172</v>
      </c>
      <c r="K556" s="17" t="n">
        <f aca="false">K555+J556</f>
        <v>25662.3684</v>
      </c>
      <c r="L556" s="17" t="n">
        <f aca="false">MAX(L555,K556)</f>
        <v>28736.40975</v>
      </c>
      <c r="M556" s="17" t="n">
        <f aca="false">L556-K556</f>
        <v>3074.04135</v>
      </c>
      <c r="N556" s="17" t="n">
        <f aca="false">MIN(Desain_Kolam!$B$21,MAX(0,N555+F556+G556-H556-I556))</f>
        <v>12749.525325</v>
      </c>
      <c r="O556" s="6" t="n">
        <f aca="false">IF(N555+F556+G556-I556&gt;=H556,1,0)</f>
        <v>1</v>
      </c>
    </row>
    <row r="557" customFormat="false" ht="15" hidden="false" customHeight="false" outlineLevel="0" collapsed="false">
      <c r="A557" s="6" t="n">
        <v>2014</v>
      </c>
      <c r="B557" s="6" t="n">
        <v>3</v>
      </c>
      <c r="C557" s="4" t="n">
        <v>141</v>
      </c>
      <c r="D557" s="6" t="n">
        <v>31</v>
      </c>
      <c r="E557" s="4" t="n">
        <f aca="false">INDEX(Evaporasi!$B$5:$B$16,MATCH(B557,Evaporasi!$A$5:$A$16,0))</f>
        <v>166.18</v>
      </c>
      <c r="F557" s="17" t="n">
        <f aca="false">Kawasan!$B$11*Kawasan!$B$9*C557/1000</f>
        <v>1173.12</v>
      </c>
      <c r="G557" s="17" t="n">
        <f aca="false">C557*Desain_Kolam!$B$9/1000</f>
        <v>746.2425</v>
      </c>
      <c r="H557" s="17" t="n">
        <f aca="false">Kawasan!$B$29*D557</f>
        <v>1428.48</v>
      </c>
      <c r="I557" s="17" t="n">
        <f aca="false">E557*Desain_Kolam!$B$9/1000</f>
        <v>879.50765</v>
      </c>
      <c r="J557" s="17" t="n">
        <f aca="false">F557+G557-H557-I557</f>
        <v>-388.62515</v>
      </c>
      <c r="K557" s="17" t="n">
        <f aca="false">K556+J557</f>
        <v>25273.74325</v>
      </c>
      <c r="L557" s="17" t="n">
        <f aca="false">MAX(L556,K557)</f>
        <v>28736.40975</v>
      </c>
      <c r="M557" s="17" t="n">
        <f aca="false">L557-K557</f>
        <v>3462.6665</v>
      </c>
      <c r="N557" s="17" t="n">
        <f aca="false">MIN(Desain_Kolam!$B$21,MAX(0,N556+F557+G557-H557-I557))</f>
        <v>12360.900175</v>
      </c>
      <c r="O557" s="6" t="n">
        <f aca="false">IF(N556+F557+G557-I557&gt;=H557,1,0)</f>
        <v>1</v>
      </c>
    </row>
    <row r="558" customFormat="false" ht="15" hidden="false" customHeight="false" outlineLevel="0" collapsed="false">
      <c r="A558" s="6" t="n">
        <v>2014</v>
      </c>
      <c r="B558" s="6" t="n">
        <v>4</v>
      </c>
      <c r="C558" s="4" t="n">
        <v>129</v>
      </c>
      <c r="D558" s="6" t="n">
        <v>30</v>
      </c>
      <c r="E558" s="4" t="n">
        <f aca="false">INDEX(Evaporasi!$B$5:$B$16,MATCH(B558,Evaporasi!$A$5:$A$16,0))</f>
        <v>157.75</v>
      </c>
      <c r="F558" s="17" t="n">
        <f aca="false">Kawasan!$B$11*Kawasan!$B$9*C558/1000</f>
        <v>1073.28</v>
      </c>
      <c r="G558" s="17" t="n">
        <f aca="false">C558*Desain_Kolam!$B$9/1000</f>
        <v>682.7325</v>
      </c>
      <c r="H558" s="17" t="n">
        <f aca="false">Kawasan!$B$29*D558</f>
        <v>1382.4</v>
      </c>
      <c r="I558" s="17" t="n">
        <f aca="false">E558*Desain_Kolam!$B$9/1000</f>
        <v>834.891875</v>
      </c>
      <c r="J558" s="17" t="n">
        <f aca="false">F558+G558-H558-I558</f>
        <v>-461.279375</v>
      </c>
      <c r="K558" s="17" t="n">
        <f aca="false">K557+J558</f>
        <v>24812.463875</v>
      </c>
      <c r="L558" s="17" t="n">
        <f aca="false">MAX(L557,K558)</f>
        <v>28736.40975</v>
      </c>
      <c r="M558" s="17" t="n">
        <f aca="false">L558-K558</f>
        <v>3923.945875</v>
      </c>
      <c r="N558" s="17" t="n">
        <f aca="false">MIN(Desain_Kolam!$B$21,MAX(0,N557+F558+G558-H558-I558))</f>
        <v>11899.6208</v>
      </c>
      <c r="O558" s="6" t="n">
        <f aca="false">IF(N557+F558+G558-I558&gt;=H558,1,0)</f>
        <v>1</v>
      </c>
    </row>
    <row r="559" customFormat="false" ht="15" hidden="false" customHeight="false" outlineLevel="0" collapsed="false">
      <c r="A559" s="6" t="n">
        <v>2014</v>
      </c>
      <c r="B559" s="6" t="n">
        <v>5</v>
      </c>
      <c r="C559" s="4" t="n">
        <v>279</v>
      </c>
      <c r="D559" s="6" t="n">
        <v>31</v>
      </c>
      <c r="E559" s="4" t="n">
        <f aca="false">INDEX(Evaporasi!$B$5:$B$16,MATCH(B559,Evaporasi!$A$5:$A$16,0))</f>
        <v>158.35</v>
      </c>
      <c r="F559" s="17" t="n">
        <f aca="false">Kawasan!$B$11*Kawasan!$B$9*C559/1000</f>
        <v>2321.28</v>
      </c>
      <c r="G559" s="17" t="n">
        <f aca="false">C559*Desain_Kolam!$B$9/1000</f>
        <v>1476.6075</v>
      </c>
      <c r="H559" s="17" t="n">
        <f aca="false">Kawasan!$B$29*D559</f>
        <v>1428.48</v>
      </c>
      <c r="I559" s="17" t="n">
        <f aca="false">E559*Desain_Kolam!$B$9/1000</f>
        <v>838.067375</v>
      </c>
      <c r="J559" s="17" t="n">
        <f aca="false">F559+G559-H559-I559</f>
        <v>1531.340125</v>
      </c>
      <c r="K559" s="17" t="n">
        <f aca="false">K558+J559</f>
        <v>26343.804</v>
      </c>
      <c r="L559" s="17" t="n">
        <f aca="false">MAX(L558,K559)</f>
        <v>28736.40975</v>
      </c>
      <c r="M559" s="17" t="n">
        <f aca="false">L559-K559</f>
        <v>2392.60575</v>
      </c>
      <c r="N559" s="17" t="n">
        <f aca="false">MIN(Desain_Kolam!$B$21,MAX(0,N558+F559+G559-H559-I559))</f>
        <v>13430.960925</v>
      </c>
      <c r="O559" s="6" t="n">
        <f aca="false">IF(N558+F559+G559-I559&gt;=H559,1,0)</f>
        <v>1</v>
      </c>
    </row>
    <row r="560" customFormat="false" ht="15" hidden="false" customHeight="false" outlineLevel="0" collapsed="false">
      <c r="A560" s="6" t="n">
        <v>2014</v>
      </c>
      <c r="B560" s="6" t="n">
        <v>6</v>
      </c>
      <c r="C560" s="4" t="n">
        <v>231</v>
      </c>
      <c r="D560" s="6" t="n">
        <v>30</v>
      </c>
      <c r="E560" s="4" t="n">
        <f aca="false">INDEX(Evaporasi!$B$5:$B$16,MATCH(B560,Evaporasi!$A$5:$A$16,0))</f>
        <v>150.17</v>
      </c>
      <c r="F560" s="17" t="n">
        <f aca="false">Kawasan!$B$11*Kawasan!$B$9*C560/1000</f>
        <v>1921.92</v>
      </c>
      <c r="G560" s="17" t="n">
        <f aca="false">C560*Desain_Kolam!$B$9/1000</f>
        <v>1222.5675</v>
      </c>
      <c r="H560" s="17" t="n">
        <f aca="false">Kawasan!$B$29*D560</f>
        <v>1382.4</v>
      </c>
      <c r="I560" s="17" t="n">
        <f aca="false">E560*Desain_Kolam!$B$9/1000</f>
        <v>794.774725</v>
      </c>
      <c r="J560" s="17" t="n">
        <f aca="false">F560+G560-H560-I560</f>
        <v>967.312775</v>
      </c>
      <c r="K560" s="17" t="n">
        <f aca="false">K559+J560</f>
        <v>27311.116775</v>
      </c>
      <c r="L560" s="17" t="n">
        <f aca="false">MAX(L559,K560)</f>
        <v>28736.40975</v>
      </c>
      <c r="M560" s="17" t="n">
        <f aca="false">L560-K560</f>
        <v>1425.292975</v>
      </c>
      <c r="N560" s="17" t="n">
        <f aca="false">MIN(Desain_Kolam!$B$21,MAX(0,N559+F560+G560-H560-I560))</f>
        <v>14398.2737</v>
      </c>
      <c r="O560" s="6" t="n">
        <f aca="false">IF(N559+F560+G560-I560&gt;=H560,1,0)</f>
        <v>1</v>
      </c>
    </row>
    <row r="561" customFormat="false" ht="15" hidden="false" customHeight="false" outlineLevel="0" collapsed="false">
      <c r="A561" s="6" t="n">
        <v>2014</v>
      </c>
      <c r="B561" s="6" t="n">
        <v>7</v>
      </c>
      <c r="C561" s="4" t="n">
        <v>93</v>
      </c>
      <c r="D561" s="6" t="n">
        <v>31</v>
      </c>
      <c r="E561" s="4" t="n">
        <f aca="false">INDEX(Evaporasi!$B$5:$B$16,MATCH(B561,Evaporasi!$A$5:$A$16,0))</f>
        <v>160.84</v>
      </c>
      <c r="F561" s="17" t="n">
        <f aca="false">Kawasan!$B$11*Kawasan!$B$9*C561/1000</f>
        <v>773.76</v>
      </c>
      <c r="G561" s="17" t="n">
        <f aca="false">C561*Desain_Kolam!$B$9/1000</f>
        <v>492.2025</v>
      </c>
      <c r="H561" s="17" t="n">
        <f aca="false">Kawasan!$B$29*D561</f>
        <v>1428.48</v>
      </c>
      <c r="I561" s="17" t="n">
        <f aca="false">E561*Desain_Kolam!$B$9/1000</f>
        <v>851.2457</v>
      </c>
      <c r="J561" s="17" t="n">
        <f aca="false">F561+G561-H561-I561</f>
        <v>-1013.7632</v>
      </c>
      <c r="K561" s="17" t="n">
        <f aca="false">K560+J561</f>
        <v>26297.353575</v>
      </c>
      <c r="L561" s="17" t="n">
        <f aca="false">MAX(L560,K561)</f>
        <v>28736.40975</v>
      </c>
      <c r="M561" s="17" t="n">
        <f aca="false">L561-K561</f>
        <v>2439.056175</v>
      </c>
      <c r="N561" s="17" t="n">
        <f aca="false">MIN(Desain_Kolam!$B$21,MAX(0,N560+F561+G561-H561-I561))</f>
        <v>13384.5105</v>
      </c>
      <c r="O561" s="6" t="n">
        <f aca="false">IF(N560+F561+G561-I561&gt;=H561,1,0)</f>
        <v>1</v>
      </c>
    </row>
    <row r="562" customFormat="false" ht="15" hidden="false" customHeight="false" outlineLevel="0" collapsed="false">
      <c r="A562" s="6" t="n">
        <v>2014</v>
      </c>
      <c r="B562" s="6" t="n">
        <v>8</v>
      </c>
      <c r="C562" s="4" t="n">
        <v>303</v>
      </c>
      <c r="D562" s="6" t="n">
        <v>31</v>
      </c>
      <c r="E562" s="4" t="n">
        <f aca="false">INDEX(Evaporasi!$B$5:$B$16,MATCH(B562,Evaporasi!$A$5:$A$16,0))</f>
        <v>161.16</v>
      </c>
      <c r="F562" s="17" t="n">
        <f aca="false">Kawasan!$B$11*Kawasan!$B$9*C562/1000</f>
        <v>2520.96</v>
      </c>
      <c r="G562" s="17" t="n">
        <f aca="false">C562*Desain_Kolam!$B$9/1000</f>
        <v>1603.6275</v>
      </c>
      <c r="H562" s="17" t="n">
        <f aca="false">Kawasan!$B$29*D562</f>
        <v>1428.48</v>
      </c>
      <c r="I562" s="17" t="n">
        <f aca="false">E562*Desain_Kolam!$B$9/1000</f>
        <v>852.9393</v>
      </c>
      <c r="J562" s="17" t="n">
        <f aca="false">F562+G562-H562-I562</f>
        <v>1843.1682</v>
      </c>
      <c r="K562" s="17" t="n">
        <f aca="false">K561+J562</f>
        <v>28140.521775</v>
      </c>
      <c r="L562" s="17" t="n">
        <f aca="false">MAX(L561,K562)</f>
        <v>28736.40975</v>
      </c>
      <c r="M562" s="17" t="n">
        <f aca="false">L562-K562</f>
        <v>595.887974999998</v>
      </c>
      <c r="N562" s="17" t="n">
        <f aca="false">MIN(Desain_Kolam!$B$21,MAX(0,N561+F562+G562-H562-I562))</f>
        <v>15227.6787</v>
      </c>
      <c r="O562" s="6" t="n">
        <f aca="false">IF(N561+F562+G562-I562&gt;=H562,1,0)</f>
        <v>1</v>
      </c>
    </row>
    <row r="563" customFormat="false" ht="15" hidden="false" customHeight="false" outlineLevel="0" collapsed="false">
      <c r="A563" s="6" t="n">
        <v>2014</v>
      </c>
      <c r="B563" s="6" t="n">
        <v>9</v>
      </c>
      <c r="C563" s="4" t="n">
        <v>156</v>
      </c>
      <c r="D563" s="6" t="n">
        <v>30</v>
      </c>
      <c r="E563" s="4" t="n">
        <f aca="false">INDEX(Evaporasi!$B$5:$B$16,MATCH(B563,Evaporasi!$A$5:$A$16,0))</f>
        <v>159.21</v>
      </c>
      <c r="F563" s="17" t="n">
        <f aca="false">Kawasan!$B$11*Kawasan!$B$9*C563/1000</f>
        <v>1297.92</v>
      </c>
      <c r="G563" s="17" t="n">
        <f aca="false">C563*Desain_Kolam!$B$9/1000</f>
        <v>825.63</v>
      </c>
      <c r="H563" s="17" t="n">
        <f aca="false">Kawasan!$B$29*D563</f>
        <v>1382.4</v>
      </c>
      <c r="I563" s="17" t="n">
        <f aca="false">E563*Desain_Kolam!$B$9/1000</f>
        <v>842.618925</v>
      </c>
      <c r="J563" s="17" t="n">
        <f aca="false">F563+G563-H563-I563</f>
        <v>-101.468925</v>
      </c>
      <c r="K563" s="17" t="n">
        <f aca="false">K562+J563</f>
        <v>28039.05285</v>
      </c>
      <c r="L563" s="17" t="n">
        <f aca="false">MAX(L562,K563)</f>
        <v>28736.40975</v>
      </c>
      <c r="M563" s="17" t="n">
        <f aca="false">L563-K563</f>
        <v>697.356899999999</v>
      </c>
      <c r="N563" s="17" t="n">
        <f aca="false">MIN(Desain_Kolam!$B$21,MAX(0,N562+F563+G563-H563-I563))</f>
        <v>15126.209775</v>
      </c>
      <c r="O563" s="6" t="n">
        <f aca="false">IF(N562+F563+G563-I563&gt;=H563,1,0)</f>
        <v>1</v>
      </c>
    </row>
    <row r="564" customFormat="false" ht="15" hidden="false" customHeight="false" outlineLevel="0" collapsed="false">
      <c r="A564" s="6" t="n">
        <v>2014</v>
      </c>
      <c r="B564" s="6" t="n">
        <v>10</v>
      </c>
      <c r="C564" s="4" t="n">
        <v>226</v>
      </c>
      <c r="D564" s="6" t="n">
        <v>31</v>
      </c>
      <c r="E564" s="4" t="n">
        <f aca="false">INDEX(Evaporasi!$B$5:$B$16,MATCH(B564,Evaporasi!$A$5:$A$16,0))</f>
        <v>151.5</v>
      </c>
      <c r="F564" s="17" t="n">
        <f aca="false">Kawasan!$B$11*Kawasan!$B$9*C564/1000</f>
        <v>1880.32</v>
      </c>
      <c r="G564" s="17" t="n">
        <f aca="false">C564*Desain_Kolam!$B$9/1000</f>
        <v>1196.105</v>
      </c>
      <c r="H564" s="17" t="n">
        <f aca="false">Kawasan!$B$29*D564</f>
        <v>1428.48</v>
      </c>
      <c r="I564" s="17" t="n">
        <f aca="false">E564*Desain_Kolam!$B$9/1000</f>
        <v>801.81375</v>
      </c>
      <c r="J564" s="17" t="n">
        <f aca="false">F564+G564-H564-I564</f>
        <v>846.13125</v>
      </c>
      <c r="K564" s="17" t="n">
        <f aca="false">K563+J564</f>
        <v>28885.1841</v>
      </c>
      <c r="L564" s="17" t="n">
        <f aca="false">MAX(L563,K564)</f>
        <v>28885.1841</v>
      </c>
      <c r="M564" s="17" t="n">
        <f aca="false">L564-K564</f>
        <v>0</v>
      </c>
      <c r="N564" s="17" t="n">
        <f aca="false">MIN(Desain_Kolam!$B$21,MAX(0,N563+F564+G564-H564-I564))</f>
        <v>15823.566675</v>
      </c>
      <c r="O564" s="6" t="n">
        <f aca="false">IF(N563+F564+G564-I564&gt;=H564,1,0)</f>
        <v>1</v>
      </c>
    </row>
    <row r="565" customFormat="false" ht="15" hidden="false" customHeight="false" outlineLevel="0" collapsed="false">
      <c r="A565" s="6" t="n">
        <v>2014</v>
      </c>
      <c r="B565" s="6" t="n">
        <v>11</v>
      </c>
      <c r="C565" s="4" t="n">
        <v>290</v>
      </c>
      <c r="D565" s="6" t="n">
        <v>30</v>
      </c>
      <c r="E565" s="4" t="n">
        <f aca="false">INDEX(Evaporasi!$B$5:$B$16,MATCH(B565,Evaporasi!$A$5:$A$16,0))</f>
        <v>142.3</v>
      </c>
      <c r="F565" s="17" t="n">
        <f aca="false">Kawasan!$B$11*Kawasan!$B$9*C565/1000</f>
        <v>2412.8</v>
      </c>
      <c r="G565" s="17" t="n">
        <f aca="false">C565*Desain_Kolam!$B$9/1000</f>
        <v>1534.825</v>
      </c>
      <c r="H565" s="17" t="n">
        <f aca="false">Kawasan!$B$29*D565</f>
        <v>1382.4</v>
      </c>
      <c r="I565" s="17" t="n">
        <f aca="false">E565*Desain_Kolam!$B$9/1000</f>
        <v>753.12275</v>
      </c>
      <c r="J565" s="17" t="n">
        <f aca="false">F565+G565-H565-I565</f>
        <v>1812.10225</v>
      </c>
      <c r="K565" s="17" t="n">
        <f aca="false">K564+J565</f>
        <v>30697.28635</v>
      </c>
      <c r="L565" s="17" t="n">
        <f aca="false">MAX(L564,K565)</f>
        <v>30697.28635</v>
      </c>
      <c r="M565" s="17" t="n">
        <f aca="false">L565-K565</f>
        <v>0</v>
      </c>
      <c r="N565" s="17" t="n">
        <f aca="false">MIN(Desain_Kolam!$B$21,MAX(0,N564+F565+G565-H565-I565))</f>
        <v>15823.566675</v>
      </c>
      <c r="O565" s="6" t="n">
        <f aca="false">IF(N564+F565+G565-I565&gt;=H565,1,0)</f>
        <v>1</v>
      </c>
    </row>
    <row r="566" customFormat="false" ht="15" hidden="false" customHeight="false" outlineLevel="0" collapsed="false">
      <c r="A566" s="6" t="n">
        <v>2014</v>
      </c>
      <c r="B566" s="6" t="n">
        <v>12</v>
      </c>
      <c r="C566" s="4" t="n">
        <v>448</v>
      </c>
      <c r="D566" s="6" t="n">
        <v>31</v>
      </c>
      <c r="E566" s="4" t="n">
        <f aca="false">INDEX(Evaporasi!$B$5:$B$16,MATCH(B566,Evaporasi!$A$5:$A$16,0))</f>
        <v>145.07</v>
      </c>
      <c r="F566" s="17" t="n">
        <f aca="false">Kawasan!$B$11*Kawasan!$B$9*C566/1000</f>
        <v>3727.36</v>
      </c>
      <c r="G566" s="17" t="n">
        <f aca="false">C566*Desain_Kolam!$B$9/1000</f>
        <v>2371.04</v>
      </c>
      <c r="H566" s="17" t="n">
        <f aca="false">Kawasan!$B$29*D566</f>
        <v>1428.48</v>
      </c>
      <c r="I566" s="17" t="n">
        <f aca="false">E566*Desain_Kolam!$B$9/1000</f>
        <v>767.782975</v>
      </c>
      <c r="J566" s="17" t="n">
        <f aca="false">F566+G566-H566-I566</f>
        <v>3902.137025</v>
      </c>
      <c r="K566" s="17" t="n">
        <f aca="false">K565+J566</f>
        <v>34599.423375</v>
      </c>
      <c r="L566" s="17" t="n">
        <f aca="false">MAX(L565,K566)</f>
        <v>34599.423375</v>
      </c>
      <c r="M566" s="17" t="n">
        <f aca="false">L566-K566</f>
        <v>0</v>
      </c>
      <c r="N566" s="17" t="n">
        <f aca="false">MIN(Desain_Kolam!$B$21,MAX(0,N565+F566+G566-H566-I566))</f>
        <v>15823.566675</v>
      </c>
      <c r="O566" s="6" t="n">
        <f aca="false">IF(N565+F566+G566-I566&gt;=H566,1,0)</f>
        <v>1</v>
      </c>
    </row>
    <row r="567" customFormat="false" ht="15" hidden="false" customHeight="false" outlineLevel="0" collapsed="false">
      <c r="A567" s="6" t="n">
        <v>2015</v>
      </c>
      <c r="B567" s="6" t="n">
        <v>1</v>
      </c>
      <c r="C567" s="4" t="n">
        <v>266</v>
      </c>
      <c r="D567" s="6" t="n">
        <v>31</v>
      </c>
      <c r="E567" s="4" t="n">
        <f aca="false">INDEX(Evaporasi!$B$5:$B$16,MATCH(B567,Evaporasi!$A$5:$A$16,0))</f>
        <v>149.98</v>
      </c>
      <c r="F567" s="17" t="n">
        <f aca="false">Kawasan!$B$11*Kawasan!$B$9*C567/1000</f>
        <v>2213.12</v>
      </c>
      <c r="G567" s="17" t="n">
        <f aca="false">C567*Desain_Kolam!$B$9/1000</f>
        <v>1407.805</v>
      </c>
      <c r="H567" s="17" t="n">
        <f aca="false">Kawasan!$B$29*D567</f>
        <v>1428.48</v>
      </c>
      <c r="I567" s="17" t="n">
        <f aca="false">E567*Desain_Kolam!$B$9/1000</f>
        <v>793.76915</v>
      </c>
      <c r="J567" s="17" t="n">
        <f aca="false">F567+G567-H567-I567</f>
        <v>1398.67585</v>
      </c>
      <c r="K567" s="17" t="n">
        <f aca="false">K566+J567</f>
        <v>35998.099225</v>
      </c>
      <c r="L567" s="17" t="n">
        <f aca="false">MAX(L566,K567)</f>
        <v>35998.099225</v>
      </c>
      <c r="M567" s="17" t="n">
        <f aca="false">L567-K567</f>
        <v>0</v>
      </c>
      <c r="N567" s="17" t="n">
        <f aca="false">MIN(Desain_Kolam!$B$21,MAX(0,N566+F567+G567-H567-I567))</f>
        <v>15823.566675</v>
      </c>
      <c r="O567" s="6" t="n">
        <f aca="false">IF(N566+F567+G567-I567&gt;=H567,1,0)</f>
        <v>1</v>
      </c>
    </row>
    <row r="568" customFormat="false" ht="15" hidden="false" customHeight="false" outlineLevel="0" collapsed="false">
      <c r="A568" s="6" t="n">
        <v>2015</v>
      </c>
      <c r="B568" s="6" t="n">
        <v>2</v>
      </c>
      <c r="C568" s="4" t="n">
        <v>351</v>
      </c>
      <c r="D568" s="6" t="n">
        <v>28</v>
      </c>
      <c r="E568" s="4" t="n">
        <f aca="false">INDEX(Evaporasi!$B$5:$B$16,MATCH(B568,Evaporasi!$A$5:$A$16,0))</f>
        <v>148.64</v>
      </c>
      <c r="F568" s="17" t="n">
        <f aca="false">Kawasan!$B$11*Kawasan!$B$9*C568/1000</f>
        <v>2920.32</v>
      </c>
      <c r="G568" s="17" t="n">
        <f aca="false">C568*Desain_Kolam!$B$9/1000</f>
        <v>1857.6675</v>
      </c>
      <c r="H568" s="17" t="n">
        <f aca="false">Kawasan!$B$29*D568</f>
        <v>1290.24</v>
      </c>
      <c r="I568" s="17" t="n">
        <f aca="false">E568*Desain_Kolam!$B$9/1000</f>
        <v>786.6772</v>
      </c>
      <c r="J568" s="17" t="n">
        <f aca="false">F568+G568-H568-I568</f>
        <v>2701.0703</v>
      </c>
      <c r="K568" s="17" t="n">
        <f aca="false">K567+J568</f>
        <v>38699.169525</v>
      </c>
      <c r="L568" s="17" t="n">
        <f aca="false">MAX(L567,K568)</f>
        <v>38699.169525</v>
      </c>
      <c r="M568" s="17" t="n">
        <f aca="false">L568-K568</f>
        <v>0</v>
      </c>
      <c r="N568" s="17" t="n">
        <f aca="false">MIN(Desain_Kolam!$B$21,MAX(0,N567+F568+G568-H568-I568))</f>
        <v>15823.566675</v>
      </c>
      <c r="O568" s="6" t="n">
        <f aca="false">IF(N567+F568+G568-I568&gt;=H568,1,0)</f>
        <v>1</v>
      </c>
    </row>
    <row r="569" customFormat="false" ht="15" hidden="false" customHeight="false" outlineLevel="0" collapsed="false">
      <c r="A569" s="6" t="n">
        <v>2015</v>
      </c>
      <c r="B569" s="6" t="n">
        <v>3</v>
      </c>
      <c r="C569" s="4" t="n">
        <v>222</v>
      </c>
      <c r="D569" s="6" t="n">
        <v>31</v>
      </c>
      <c r="E569" s="4" t="n">
        <f aca="false">INDEX(Evaporasi!$B$5:$B$16,MATCH(B569,Evaporasi!$A$5:$A$16,0))</f>
        <v>166.18</v>
      </c>
      <c r="F569" s="17" t="n">
        <f aca="false">Kawasan!$B$11*Kawasan!$B$9*C569/1000</f>
        <v>1847.04</v>
      </c>
      <c r="G569" s="17" t="n">
        <f aca="false">C569*Desain_Kolam!$B$9/1000</f>
        <v>1174.935</v>
      </c>
      <c r="H569" s="17" t="n">
        <f aca="false">Kawasan!$B$29*D569</f>
        <v>1428.48</v>
      </c>
      <c r="I569" s="17" t="n">
        <f aca="false">E569*Desain_Kolam!$B$9/1000</f>
        <v>879.50765</v>
      </c>
      <c r="J569" s="17" t="n">
        <f aca="false">F569+G569-H569-I569</f>
        <v>713.98735</v>
      </c>
      <c r="K569" s="17" t="n">
        <f aca="false">K568+J569</f>
        <v>39413.156875</v>
      </c>
      <c r="L569" s="17" t="n">
        <f aca="false">MAX(L568,K569)</f>
        <v>39413.156875</v>
      </c>
      <c r="M569" s="17" t="n">
        <f aca="false">L569-K569</f>
        <v>0</v>
      </c>
      <c r="N569" s="17" t="n">
        <f aca="false">MIN(Desain_Kolam!$B$21,MAX(0,N568+F569+G569-H569-I569))</f>
        <v>15823.566675</v>
      </c>
      <c r="O569" s="6" t="n">
        <f aca="false">IF(N568+F569+G569-I569&gt;=H569,1,0)</f>
        <v>1</v>
      </c>
    </row>
    <row r="570" customFormat="false" ht="15" hidden="false" customHeight="false" outlineLevel="0" collapsed="false">
      <c r="A570" s="6" t="n">
        <v>2015</v>
      </c>
      <c r="B570" s="6" t="n">
        <v>4</v>
      </c>
      <c r="C570" s="4" t="n">
        <v>202</v>
      </c>
      <c r="D570" s="6" t="n">
        <v>30</v>
      </c>
      <c r="E570" s="4" t="n">
        <f aca="false">INDEX(Evaporasi!$B$5:$B$16,MATCH(B570,Evaporasi!$A$5:$A$16,0))</f>
        <v>157.75</v>
      </c>
      <c r="F570" s="17" t="n">
        <f aca="false">Kawasan!$B$11*Kawasan!$B$9*C570/1000</f>
        <v>1680.64</v>
      </c>
      <c r="G570" s="17" t="n">
        <f aca="false">C570*Desain_Kolam!$B$9/1000</f>
        <v>1069.085</v>
      </c>
      <c r="H570" s="17" t="n">
        <f aca="false">Kawasan!$B$29*D570</f>
        <v>1382.4</v>
      </c>
      <c r="I570" s="17" t="n">
        <f aca="false">E570*Desain_Kolam!$B$9/1000</f>
        <v>834.891875</v>
      </c>
      <c r="J570" s="17" t="n">
        <f aca="false">F570+G570-H570-I570</f>
        <v>532.433125000001</v>
      </c>
      <c r="K570" s="17" t="n">
        <f aca="false">K569+J570</f>
        <v>39945.59</v>
      </c>
      <c r="L570" s="17" t="n">
        <f aca="false">MAX(L569,K570)</f>
        <v>39945.59</v>
      </c>
      <c r="M570" s="17" t="n">
        <f aca="false">L570-K570</f>
        <v>0</v>
      </c>
      <c r="N570" s="17" t="n">
        <f aca="false">MIN(Desain_Kolam!$B$21,MAX(0,N569+F570+G570-H570-I570))</f>
        <v>15823.566675</v>
      </c>
      <c r="O570" s="6" t="n">
        <f aca="false">IF(N569+F570+G570-I570&gt;=H570,1,0)</f>
        <v>1</v>
      </c>
    </row>
    <row r="571" customFormat="false" ht="15" hidden="false" customHeight="false" outlineLevel="0" collapsed="false">
      <c r="A571" s="6" t="n">
        <v>2015</v>
      </c>
      <c r="B571" s="6" t="n">
        <v>5</v>
      </c>
      <c r="C571" s="4" t="n">
        <v>341</v>
      </c>
      <c r="D571" s="6" t="n">
        <v>31</v>
      </c>
      <c r="E571" s="4" t="n">
        <f aca="false">INDEX(Evaporasi!$B$5:$B$16,MATCH(B571,Evaporasi!$A$5:$A$16,0))</f>
        <v>158.35</v>
      </c>
      <c r="F571" s="17" t="n">
        <f aca="false">Kawasan!$B$11*Kawasan!$B$9*C571/1000</f>
        <v>2837.12</v>
      </c>
      <c r="G571" s="17" t="n">
        <f aca="false">C571*Desain_Kolam!$B$9/1000</f>
        <v>1804.7425</v>
      </c>
      <c r="H571" s="17" t="n">
        <f aca="false">Kawasan!$B$29*D571</f>
        <v>1428.48</v>
      </c>
      <c r="I571" s="17" t="n">
        <f aca="false">E571*Desain_Kolam!$B$9/1000</f>
        <v>838.067375</v>
      </c>
      <c r="J571" s="17" t="n">
        <f aca="false">F571+G571-H571-I571</f>
        <v>2375.315125</v>
      </c>
      <c r="K571" s="17" t="n">
        <f aca="false">K570+J571</f>
        <v>42320.905125</v>
      </c>
      <c r="L571" s="17" t="n">
        <f aca="false">MAX(L570,K571)</f>
        <v>42320.905125</v>
      </c>
      <c r="M571" s="17" t="n">
        <f aca="false">L571-K571</f>
        <v>0</v>
      </c>
      <c r="N571" s="17" t="n">
        <f aca="false">MIN(Desain_Kolam!$B$21,MAX(0,N570+F571+G571-H571-I571))</f>
        <v>15823.566675</v>
      </c>
      <c r="O571" s="6" t="n">
        <f aca="false">IF(N570+F571+G571-I571&gt;=H571,1,0)</f>
        <v>1</v>
      </c>
    </row>
    <row r="572" customFormat="false" ht="15" hidden="false" customHeight="false" outlineLevel="0" collapsed="false">
      <c r="A572" s="6" t="n">
        <v>2015</v>
      </c>
      <c r="B572" s="6" t="n">
        <v>6</v>
      </c>
      <c r="C572" s="4" t="n">
        <v>284</v>
      </c>
      <c r="D572" s="6" t="n">
        <v>30</v>
      </c>
      <c r="E572" s="4" t="n">
        <f aca="false">INDEX(Evaporasi!$B$5:$B$16,MATCH(B572,Evaporasi!$A$5:$A$16,0))</f>
        <v>150.17</v>
      </c>
      <c r="F572" s="17" t="n">
        <f aca="false">Kawasan!$B$11*Kawasan!$B$9*C572/1000</f>
        <v>2362.88</v>
      </c>
      <c r="G572" s="17" t="n">
        <f aca="false">C572*Desain_Kolam!$B$9/1000</f>
        <v>1503.07</v>
      </c>
      <c r="H572" s="17" t="n">
        <f aca="false">Kawasan!$B$29*D572</f>
        <v>1382.4</v>
      </c>
      <c r="I572" s="17" t="n">
        <f aca="false">E572*Desain_Kolam!$B$9/1000</f>
        <v>794.774725</v>
      </c>
      <c r="J572" s="17" t="n">
        <f aca="false">F572+G572-H572-I572</f>
        <v>1688.775275</v>
      </c>
      <c r="K572" s="17" t="n">
        <f aca="false">K571+J572</f>
        <v>44009.6804</v>
      </c>
      <c r="L572" s="17" t="n">
        <f aca="false">MAX(L571,K572)</f>
        <v>44009.6804</v>
      </c>
      <c r="M572" s="17" t="n">
        <f aca="false">L572-K572</f>
        <v>0</v>
      </c>
      <c r="N572" s="17" t="n">
        <f aca="false">MIN(Desain_Kolam!$B$21,MAX(0,N571+F572+G572-H572-I572))</f>
        <v>15823.566675</v>
      </c>
      <c r="O572" s="6" t="n">
        <f aca="false">IF(N571+F572+G572-I572&gt;=H572,1,0)</f>
        <v>1</v>
      </c>
    </row>
    <row r="573" customFormat="false" ht="15" hidden="false" customHeight="false" outlineLevel="0" collapsed="false">
      <c r="A573" s="6" t="n">
        <v>2015</v>
      </c>
      <c r="B573" s="6" t="n">
        <v>7</v>
      </c>
      <c r="C573" s="4" t="n">
        <v>290</v>
      </c>
      <c r="D573" s="6" t="n">
        <v>31</v>
      </c>
      <c r="E573" s="4" t="n">
        <f aca="false">INDEX(Evaporasi!$B$5:$B$16,MATCH(B573,Evaporasi!$A$5:$A$16,0))</f>
        <v>160.84</v>
      </c>
      <c r="F573" s="17" t="n">
        <f aca="false">Kawasan!$B$11*Kawasan!$B$9*C573/1000</f>
        <v>2412.8</v>
      </c>
      <c r="G573" s="17" t="n">
        <f aca="false">C573*Desain_Kolam!$B$9/1000</f>
        <v>1534.825</v>
      </c>
      <c r="H573" s="17" t="n">
        <f aca="false">Kawasan!$B$29*D573</f>
        <v>1428.48</v>
      </c>
      <c r="I573" s="17" t="n">
        <f aca="false">E573*Desain_Kolam!$B$9/1000</f>
        <v>851.2457</v>
      </c>
      <c r="J573" s="17" t="n">
        <f aca="false">F573+G573-H573-I573</f>
        <v>1667.8993</v>
      </c>
      <c r="K573" s="17" t="n">
        <f aca="false">K572+J573</f>
        <v>45677.5797</v>
      </c>
      <c r="L573" s="17" t="n">
        <f aca="false">MAX(L572,K573)</f>
        <v>45677.5797</v>
      </c>
      <c r="M573" s="17" t="n">
        <f aca="false">L573-K573</f>
        <v>0</v>
      </c>
      <c r="N573" s="17" t="n">
        <f aca="false">MIN(Desain_Kolam!$B$21,MAX(0,N572+F573+G573-H573-I573))</f>
        <v>15823.566675</v>
      </c>
      <c r="O573" s="6" t="n">
        <f aca="false">IF(N572+F573+G573-I573&gt;=H573,1,0)</f>
        <v>1</v>
      </c>
    </row>
    <row r="574" customFormat="false" ht="15" hidden="false" customHeight="false" outlineLevel="0" collapsed="false">
      <c r="A574" s="6" t="n">
        <v>2015</v>
      </c>
      <c r="B574" s="6" t="n">
        <v>8</v>
      </c>
      <c r="C574" s="4" t="n">
        <v>86</v>
      </c>
      <c r="D574" s="6" t="n">
        <v>31</v>
      </c>
      <c r="E574" s="4" t="n">
        <f aca="false">INDEX(Evaporasi!$B$5:$B$16,MATCH(B574,Evaporasi!$A$5:$A$16,0))</f>
        <v>161.16</v>
      </c>
      <c r="F574" s="17" t="n">
        <f aca="false">Kawasan!$B$11*Kawasan!$B$9*C574/1000</f>
        <v>715.52</v>
      </c>
      <c r="G574" s="17" t="n">
        <f aca="false">C574*Desain_Kolam!$B$9/1000</f>
        <v>455.155</v>
      </c>
      <c r="H574" s="17" t="n">
        <f aca="false">Kawasan!$B$29*D574</f>
        <v>1428.48</v>
      </c>
      <c r="I574" s="17" t="n">
        <f aca="false">E574*Desain_Kolam!$B$9/1000</f>
        <v>852.9393</v>
      </c>
      <c r="J574" s="17" t="n">
        <f aca="false">F574+G574-H574-I574</f>
        <v>-1110.7443</v>
      </c>
      <c r="K574" s="17" t="n">
        <f aca="false">K573+J574</f>
        <v>44566.8354</v>
      </c>
      <c r="L574" s="17" t="n">
        <f aca="false">MAX(L573,K574)</f>
        <v>45677.5797</v>
      </c>
      <c r="M574" s="17" t="n">
        <f aca="false">L574-K574</f>
        <v>1110.7443</v>
      </c>
      <c r="N574" s="17" t="n">
        <f aca="false">MIN(Desain_Kolam!$B$21,MAX(0,N573+F574+G574-H574-I574))</f>
        <v>14712.822375</v>
      </c>
      <c r="O574" s="6" t="n">
        <f aca="false">IF(N573+F574+G574-I574&gt;=H574,1,0)</f>
        <v>1</v>
      </c>
    </row>
    <row r="575" customFormat="false" ht="15" hidden="false" customHeight="false" outlineLevel="0" collapsed="false">
      <c r="A575" s="6" t="n">
        <v>2015</v>
      </c>
      <c r="B575" s="6" t="n">
        <v>9</v>
      </c>
      <c r="C575" s="4" t="n">
        <v>37</v>
      </c>
      <c r="D575" s="6" t="n">
        <v>30</v>
      </c>
      <c r="E575" s="4" t="n">
        <f aca="false">INDEX(Evaporasi!$B$5:$B$16,MATCH(B575,Evaporasi!$A$5:$A$16,0))</f>
        <v>159.21</v>
      </c>
      <c r="F575" s="17" t="n">
        <f aca="false">Kawasan!$B$11*Kawasan!$B$9*C575/1000</f>
        <v>307.84</v>
      </c>
      <c r="G575" s="17" t="n">
        <f aca="false">C575*Desain_Kolam!$B$9/1000</f>
        <v>195.8225</v>
      </c>
      <c r="H575" s="17" t="n">
        <f aca="false">Kawasan!$B$29*D575</f>
        <v>1382.4</v>
      </c>
      <c r="I575" s="17" t="n">
        <f aca="false">E575*Desain_Kolam!$B$9/1000</f>
        <v>842.618925</v>
      </c>
      <c r="J575" s="17" t="n">
        <f aca="false">F575+G575-H575-I575</f>
        <v>-1721.356425</v>
      </c>
      <c r="K575" s="17" t="n">
        <f aca="false">K574+J575</f>
        <v>42845.478975</v>
      </c>
      <c r="L575" s="17" t="n">
        <f aca="false">MAX(L574,K575)</f>
        <v>45677.5797</v>
      </c>
      <c r="M575" s="17" t="n">
        <f aca="false">L575-K575</f>
        <v>2832.100725</v>
      </c>
      <c r="N575" s="17" t="n">
        <f aca="false">MIN(Desain_Kolam!$B$21,MAX(0,N574+F575+G575-H575-I575))</f>
        <v>12991.46595</v>
      </c>
      <c r="O575" s="6" t="n">
        <f aca="false">IF(N574+F575+G575-I575&gt;=H575,1,0)</f>
        <v>1</v>
      </c>
    </row>
    <row r="576" customFormat="false" ht="15" hidden="false" customHeight="false" outlineLevel="0" collapsed="false">
      <c r="A576" s="6" t="n">
        <v>2015</v>
      </c>
      <c r="B576" s="6" t="n">
        <v>10</v>
      </c>
      <c r="C576" s="4" t="n">
        <v>159</v>
      </c>
      <c r="D576" s="6" t="n">
        <v>31</v>
      </c>
      <c r="E576" s="4" t="n">
        <f aca="false">INDEX(Evaporasi!$B$5:$B$16,MATCH(B576,Evaporasi!$A$5:$A$16,0))</f>
        <v>151.5</v>
      </c>
      <c r="F576" s="17" t="n">
        <f aca="false">Kawasan!$B$11*Kawasan!$B$9*C576/1000</f>
        <v>1322.88</v>
      </c>
      <c r="G576" s="17" t="n">
        <f aca="false">C576*Desain_Kolam!$B$9/1000</f>
        <v>841.5075</v>
      </c>
      <c r="H576" s="17" t="n">
        <f aca="false">Kawasan!$B$29*D576</f>
        <v>1428.48</v>
      </c>
      <c r="I576" s="17" t="n">
        <f aca="false">E576*Desain_Kolam!$B$9/1000</f>
        <v>801.81375</v>
      </c>
      <c r="J576" s="17" t="n">
        <f aca="false">F576+G576-H576-I576</f>
        <v>-65.9062499999998</v>
      </c>
      <c r="K576" s="17" t="n">
        <f aca="false">K575+J576</f>
        <v>42779.572725</v>
      </c>
      <c r="L576" s="17" t="n">
        <f aca="false">MAX(L575,K576)</f>
        <v>45677.5797</v>
      </c>
      <c r="M576" s="17" t="n">
        <f aca="false">L576-K576</f>
        <v>2898.006975</v>
      </c>
      <c r="N576" s="17" t="n">
        <f aca="false">MIN(Desain_Kolam!$B$21,MAX(0,N575+F576+G576-H576-I576))</f>
        <v>12925.5597</v>
      </c>
      <c r="O576" s="6" t="n">
        <f aca="false">IF(N575+F576+G576-I576&gt;=H576,1,0)</f>
        <v>1</v>
      </c>
    </row>
    <row r="577" customFormat="false" ht="15" hidden="false" customHeight="false" outlineLevel="0" collapsed="false">
      <c r="A577" s="6" t="n">
        <v>2015</v>
      </c>
      <c r="B577" s="6" t="n">
        <v>11</v>
      </c>
      <c r="C577" s="4" t="n">
        <v>471</v>
      </c>
      <c r="D577" s="6" t="n">
        <v>30</v>
      </c>
      <c r="E577" s="4" t="n">
        <f aca="false">INDEX(Evaporasi!$B$5:$B$16,MATCH(B577,Evaporasi!$A$5:$A$16,0))</f>
        <v>142.3</v>
      </c>
      <c r="F577" s="17" t="n">
        <f aca="false">Kawasan!$B$11*Kawasan!$B$9*C577/1000</f>
        <v>3918.72</v>
      </c>
      <c r="G577" s="17" t="n">
        <f aca="false">C577*Desain_Kolam!$B$9/1000</f>
        <v>2492.7675</v>
      </c>
      <c r="H577" s="17" t="n">
        <f aca="false">Kawasan!$B$29*D577</f>
        <v>1382.4</v>
      </c>
      <c r="I577" s="17" t="n">
        <f aca="false">E577*Desain_Kolam!$B$9/1000</f>
        <v>753.12275</v>
      </c>
      <c r="J577" s="17" t="n">
        <f aca="false">F577+G577-H577-I577</f>
        <v>4275.96475</v>
      </c>
      <c r="K577" s="17" t="n">
        <f aca="false">K576+J577</f>
        <v>47055.537475</v>
      </c>
      <c r="L577" s="17" t="n">
        <f aca="false">MAX(L576,K577)</f>
        <v>47055.537475</v>
      </c>
      <c r="M577" s="17" t="n">
        <f aca="false">L577-K577</f>
        <v>0</v>
      </c>
      <c r="N577" s="17" t="n">
        <f aca="false">MIN(Desain_Kolam!$B$21,MAX(0,N576+F577+G577-H577-I577))</f>
        <v>15823.566675</v>
      </c>
      <c r="O577" s="6" t="n">
        <f aca="false">IF(N576+F577+G577-I577&gt;=H577,1,0)</f>
        <v>1</v>
      </c>
    </row>
    <row r="578" customFormat="false" ht="15" hidden="false" customHeight="false" outlineLevel="0" collapsed="false">
      <c r="A578" s="6" t="n">
        <v>2015</v>
      </c>
      <c r="B578" s="6" t="n">
        <v>12</v>
      </c>
      <c r="C578" s="4" t="n">
        <v>252</v>
      </c>
      <c r="D578" s="6" t="n">
        <v>31</v>
      </c>
      <c r="E578" s="4" t="n">
        <f aca="false">INDEX(Evaporasi!$B$5:$B$16,MATCH(B578,Evaporasi!$A$5:$A$16,0))</f>
        <v>145.07</v>
      </c>
      <c r="F578" s="17" t="n">
        <f aca="false">Kawasan!$B$11*Kawasan!$B$9*C578/1000</f>
        <v>2096.64</v>
      </c>
      <c r="G578" s="17" t="n">
        <f aca="false">C578*Desain_Kolam!$B$9/1000</f>
        <v>1333.71</v>
      </c>
      <c r="H578" s="17" t="n">
        <f aca="false">Kawasan!$B$29*D578</f>
        <v>1428.48</v>
      </c>
      <c r="I578" s="17" t="n">
        <f aca="false">E578*Desain_Kolam!$B$9/1000</f>
        <v>767.782975</v>
      </c>
      <c r="J578" s="17" t="n">
        <f aca="false">F578+G578-H578-I578</f>
        <v>1234.087025</v>
      </c>
      <c r="K578" s="17" t="n">
        <f aca="false">K577+J578</f>
        <v>48289.6245</v>
      </c>
      <c r="L578" s="17" t="n">
        <f aca="false">MAX(L577,K578)</f>
        <v>48289.6245</v>
      </c>
      <c r="M578" s="17" t="n">
        <f aca="false">L578-K578</f>
        <v>0</v>
      </c>
      <c r="N578" s="17" t="n">
        <f aca="false">MIN(Desain_Kolam!$B$21,MAX(0,N577+F578+G578-H578-I578))</f>
        <v>15823.566675</v>
      </c>
      <c r="O578" s="6" t="n">
        <f aca="false">IF(N577+F578+G578-I578&gt;=H578,1,0)</f>
        <v>1</v>
      </c>
    </row>
    <row r="579" customFormat="false" ht="15" hidden="false" customHeight="false" outlineLevel="0" collapsed="false">
      <c r="A579" s="6" t="n">
        <v>2016</v>
      </c>
      <c r="B579" s="6" t="n">
        <v>1</v>
      </c>
      <c r="C579" s="4" t="n">
        <v>245</v>
      </c>
      <c r="D579" s="6" t="n">
        <v>31</v>
      </c>
      <c r="E579" s="4" t="n">
        <f aca="false">INDEX(Evaporasi!$B$5:$B$16,MATCH(B579,Evaporasi!$A$5:$A$16,0))</f>
        <v>149.98</v>
      </c>
      <c r="F579" s="17" t="n">
        <f aca="false">Kawasan!$B$11*Kawasan!$B$9*C579/1000</f>
        <v>2038.4</v>
      </c>
      <c r="G579" s="17" t="n">
        <f aca="false">C579*Desain_Kolam!$B$9/1000</f>
        <v>1296.6625</v>
      </c>
      <c r="H579" s="17" t="n">
        <f aca="false">Kawasan!$B$29*D579</f>
        <v>1428.48</v>
      </c>
      <c r="I579" s="17" t="n">
        <f aca="false">E579*Desain_Kolam!$B$9/1000</f>
        <v>793.76915</v>
      </c>
      <c r="J579" s="17" t="n">
        <f aca="false">F579+G579-H579-I579</f>
        <v>1112.81335</v>
      </c>
      <c r="K579" s="17" t="n">
        <f aca="false">K578+J579</f>
        <v>49402.43785</v>
      </c>
      <c r="L579" s="17" t="n">
        <f aca="false">MAX(L578,K579)</f>
        <v>49402.43785</v>
      </c>
      <c r="M579" s="17" t="n">
        <f aca="false">L579-K579</f>
        <v>0</v>
      </c>
      <c r="N579" s="17" t="n">
        <f aca="false">MIN(Desain_Kolam!$B$21,MAX(0,N578+F579+G579-H579-I579))</f>
        <v>15823.566675</v>
      </c>
      <c r="O579" s="6" t="n">
        <f aca="false">IF(N578+F579+G579-I579&gt;=H579,1,0)</f>
        <v>1</v>
      </c>
    </row>
    <row r="580" customFormat="false" ht="15" hidden="false" customHeight="false" outlineLevel="0" collapsed="false">
      <c r="A580" s="6" t="n">
        <v>2016</v>
      </c>
      <c r="B580" s="6" t="n">
        <v>2</v>
      </c>
      <c r="C580" s="4" t="n">
        <v>204</v>
      </c>
      <c r="D580" s="6" t="n">
        <v>29</v>
      </c>
      <c r="E580" s="4" t="n">
        <f aca="false">INDEX(Evaporasi!$B$5:$B$16,MATCH(B580,Evaporasi!$A$5:$A$16,0))</f>
        <v>148.64</v>
      </c>
      <c r="F580" s="17" t="n">
        <f aca="false">Kawasan!$B$11*Kawasan!$B$9*C580/1000</f>
        <v>1697.28</v>
      </c>
      <c r="G580" s="17" t="n">
        <f aca="false">C580*Desain_Kolam!$B$9/1000</f>
        <v>1079.67</v>
      </c>
      <c r="H580" s="17" t="n">
        <f aca="false">Kawasan!$B$29*D580</f>
        <v>1336.32</v>
      </c>
      <c r="I580" s="17" t="n">
        <f aca="false">E580*Desain_Kolam!$B$9/1000</f>
        <v>786.6772</v>
      </c>
      <c r="J580" s="17" t="n">
        <f aca="false">F580+G580-H580-I580</f>
        <v>653.9528</v>
      </c>
      <c r="K580" s="17" t="n">
        <f aca="false">K579+J580</f>
        <v>50056.39065</v>
      </c>
      <c r="L580" s="17" t="n">
        <f aca="false">MAX(L579,K580)</f>
        <v>50056.39065</v>
      </c>
      <c r="M580" s="17" t="n">
        <f aca="false">L580-K580</f>
        <v>0</v>
      </c>
      <c r="N580" s="17" t="n">
        <f aca="false">MIN(Desain_Kolam!$B$21,MAX(0,N579+F580+G580-H580-I580))</f>
        <v>15823.566675</v>
      </c>
      <c r="O580" s="6" t="n">
        <f aca="false">IF(N579+F580+G580-I580&gt;=H580,1,0)</f>
        <v>1</v>
      </c>
    </row>
    <row r="581" customFormat="false" ht="15" hidden="false" customHeight="false" outlineLevel="0" collapsed="false">
      <c r="A581" s="6" t="n">
        <v>2016</v>
      </c>
      <c r="B581" s="6" t="n">
        <v>3</v>
      </c>
      <c r="C581" s="4" t="n">
        <v>381</v>
      </c>
      <c r="D581" s="6" t="n">
        <v>31</v>
      </c>
      <c r="E581" s="4" t="n">
        <f aca="false">INDEX(Evaporasi!$B$5:$B$16,MATCH(B581,Evaporasi!$A$5:$A$16,0))</f>
        <v>166.18</v>
      </c>
      <c r="F581" s="17" t="n">
        <f aca="false">Kawasan!$B$11*Kawasan!$B$9*C581/1000</f>
        <v>3169.92</v>
      </c>
      <c r="G581" s="17" t="n">
        <f aca="false">C581*Desain_Kolam!$B$9/1000</f>
        <v>2016.4425</v>
      </c>
      <c r="H581" s="17" t="n">
        <f aca="false">Kawasan!$B$29*D581</f>
        <v>1428.48</v>
      </c>
      <c r="I581" s="17" t="n">
        <f aca="false">E581*Desain_Kolam!$B$9/1000</f>
        <v>879.50765</v>
      </c>
      <c r="J581" s="17" t="n">
        <f aca="false">F581+G581-H581-I581</f>
        <v>2878.37485</v>
      </c>
      <c r="K581" s="17" t="n">
        <f aca="false">K580+J581</f>
        <v>52934.7655</v>
      </c>
      <c r="L581" s="17" t="n">
        <f aca="false">MAX(L580,K581)</f>
        <v>52934.7655</v>
      </c>
      <c r="M581" s="17" t="n">
        <f aca="false">L581-K581</f>
        <v>0</v>
      </c>
      <c r="N581" s="17" t="n">
        <f aca="false">MIN(Desain_Kolam!$B$21,MAX(0,N580+F581+G581-H581-I581))</f>
        <v>15823.566675</v>
      </c>
      <c r="O581" s="6" t="n">
        <f aca="false">IF(N580+F581+G581-I581&gt;=H581,1,0)</f>
        <v>1</v>
      </c>
    </row>
    <row r="582" customFormat="false" ht="15" hidden="false" customHeight="false" outlineLevel="0" collapsed="false">
      <c r="A582" s="6" t="n">
        <v>2016</v>
      </c>
      <c r="B582" s="6" t="n">
        <v>4</v>
      </c>
      <c r="C582" s="4" t="n">
        <v>274</v>
      </c>
      <c r="D582" s="6" t="n">
        <v>30</v>
      </c>
      <c r="E582" s="4" t="n">
        <f aca="false">INDEX(Evaporasi!$B$5:$B$16,MATCH(B582,Evaporasi!$A$5:$A$16,0))</f>
        <v>157.75</v>
      </c>
      <c r="F582" s="17" t="n">
        <f aca="false">Kawasan!$B$11*Kawasan!$B$9*C582/1000</f>
        <v>2279.68</v>
      </c>
      <c r="G582" s="17" t="n">
        <f aca="false">C582*Desain_Kolam!$B$9/1000</f>
        <v>1450.145</v>
      </c>
      <c r="H582" s="17" t="n">
        <f aca="false">Kawasan!$B$29*D582</f>
        <v>1382.4</v>
      </c>
      <c r="I582" s="17" t="n">
        <f aca="false">E582*Desain_Kolam!$B$9/1000</f>
        <v>834.891875</v>
      </c>
      <c r="J582" s="17" t="n">
        <f aca="false">F582+G582-H582-I582</f>
        <v>1512.533125</v>
      </c>
      <c r="K582" s="17" t="n">
        <f aca="false">K581+J582</f>
        <v>54447.298625</v>
      </c>
      <c r="L582" s="17" t="n">
        <f aca="false">MAX(L581,K582)</f>
        <v>54447.298625</v>
      </c>
      <c r="M582" s="17" t="n">
        <f aca="false">L582-K582</f>
        <v>0</v>
      </c>
      <c r="N582" s="17" t="n">
        <f aca="false">MIN(Desain_Kolam!$B$21,MAX(0,N581+F582+G582-H582-I582))</f>
        <v>15823.566675</v>
      </c>
      <c r="O582" s="6" t="n">
        <f aca="false">IF(N581+F582+G582-I582&gt;=H582,1,0)</f>
        <v>1</v>
      </c>
    </row>
    <row r="583" customFormat="false" ht="15" hidden="false" customHeight="false" outlineLevel="0" collapsed="false">
      <c r="A583" s="6" t="n">
        <v>2016</v>
      </c>
      <c r="B583" s="6" t="n">
        <v>5</v>
      </c>
      <c r="C583" s="4" t="n">
        <v>514</v>
      </c>
      <c r="D583" s="6" t="n">
        <v>31</v>
      </c>
      <c r="E583" s="4" t="n">
        <f aca="false">INDEX(Evaporasi!$B$5:$B$16,MATCH(B583,Evaporasi!$A$5:$A$16,0))</f>
        <v>158.35</v>
      </c>
      <c r="F583" s="17" t="n">
        <f aca="false">Kawasan!$B$11*Kawasan!$B$9*C583/1000</f>
        <v>4276.48</v>
      </c>
      <c r="G583" s="17" t="n">
        <f aca="false">C583*Desain_Kolam!$B$9/1000</f>
        <v>2720.345</v>
      </c>
      <c r="H583" s="17" t="n">
        <f aca="false">Kawasan!$B$29*D583</f>
        <v>1428.48</v>
      </c>
      <c r="I583" s="17" t="n">
        <f aca="false">E583*Desain_Kolam!$B$9/1000</f>
        <v>838.067375</v>
      </c>
      <c r="J583" s="17" t="n">
        <f aca="false">F583+G583-H583-I583</f>
        <v>4730.277625</v>
      </c>
      <c r="K583" s="17" t="n">
        <f aca="false">K582+J583</f>
        <v>59177.57625</v>
      </c>
      <c r="L583" s="17" t="n">
        <f aca="false">MAX(L582,K583)</f>
        <v>59177.57625</v>
      </c>
      <c r="M583" s="17" t="n">
        <f aca="false">L583-K583</f>
        <v>0</v>
      </c>
      <c r="N583" s="17" t="n">
        <f aca="false">MIN(Desain_Kolam!$B$21,MAX(0,N582+F583+G583-H583-I583))</f>
        <v>15823.566675</v>
      </c>
      <c r="O583" s="6" t="n">
        <f aca="false">IF(N582+F583+G583-I583&gt;=H583,1,0)</f>
        <v>1</v>
      </c>
    </row>
    <row r="584" customFormat="false" ht="15" hidden="false" customHeight="false" outlineLevel="0" collapsed="false">
      <c r="A584" s="6" t="n">
        <v>2016</v>
      </c>
      <c r="B584" s="6" t="n">
        <v>6</v>
      </c>
      <c r="C584" s="4" t="n">
        <v>279</v>
      </c>
      <c r="D584" s="6" t="n">
        <v>30</v>
      </c>
      <c r="E584" s="4" t="n">
        <f aca="false">INDEX(Evaporasi!$B$5:$B$16,MATCH(B584,Evaporasi!$A$5:$A$16,0))</f>
        <v>150.17</v>
      </c>
      <c r="F584" s="17" t="n">
        <f aca="false">Kawasan!$B$11*Kawasan!$B$9*C584/1000</f>
        <v>2321.28</v>
      </c>
      <c r="G584" s="17" t="n">
        <f aca="false">C584*Desain_Kolam!$B$9/1000</f>
        <v>1476.6075</v>
      </c>
      <c r="H584" s="17" t="n">
        <f aca="false">Kawasan!$B$29*D584</f>
        <v>1382.4</v>
      </c>
      <c r="I584" s="17" t="n">
        <f aca="false">E584*Desain_Kolam!$B$9/1000</f>
        <v>794.774725</v>
      </c>
      <c r="J584" s="17" t="n">
        <f aca="false">F584+G584-H584-I584</f>
        <v>1620.712775</v>
      </c>
      <c r="K584" s="17" t="n">
        <f aca="false">K583+J584</f>
        <v>60798.289025</v>
      </c>
      <c r="L584" s="17" t="n">
        <f aca="false">MAX(L583,K584)</f>
        <v>60798.289025</v>
      </c>
      <c r="M584" s="17" t="n">
        <f aca="false">L584-K584</f>
        <v>0</v>
      </c>
      <c r="N584" s="17" t="n">
        <f aca="false">MIN(Desain_Kolam!$B$21,MAX(0,N583+F584+G584-H584-I584))</f>
        <v>15823.566675</v>
      </c>
      <c r="O584" s="6" t="n">
        <f aca="false">IF(N583+F584+G584-I584&gt;=H584,1,0)</f>
        <v>1</v>
      </c>
    </row>
    <row r="585" customFormat="false" ht="15" hidden="false" customHeight="false" outlineLevel="0" collapsed="false">
      <c r="A585" s="6" t="n">
        <v>2016</v>
      </c>
      <c r="B585" s="6" t="n">
        <v>7</v>
      </c>
      <c r="C585" s="4" t="n">
        <v>254</v>
      </c>
      <c r="D585" s="6" t="n">
        <v>31</v>
      </c>
      <c r="E585" s="4" t="n">
        <f aca="false">INDEX(Evaporasi!$B$5:$B$16,MATCH(B585,Evaporasi!$A$5:$A$16,0))</f>
        <v>160.84</v>
      </c>
      <c r="F585" s="17" t="n">
        <f aca="false">Kawasan!$B$11*Kawasan!$B$9*C585/1000</f>
        <v>2113.28</v>
      </c>
      <c r="G585" s="17" t="n">
        <f aca="false">C585*Desain_Kolam!$B$9/1000</f>
        <v>1344.295</v>
      </c>
      <c r="H585" s="17" t="n">
        <f aca="false">Kawasan!$B$29*D585</f>
        <v>1428.48</v>
      </c>
      <c r="I585" s="17" t="n">
        <f aca="false">E585*Desain_Kolam!$B$9/1000</f>
        <v>851.2457</v>
      </c>
      <c r="J585" s="17" t="n">
        <f aca="false">F585+G585-H585-I585</f>
        <v>1177.8493</v>
      </c>
      <c r="K585" s="17" t="n">
        <f aca="false">K584+J585</f>
        <v>61976.138325</v>
      </c>
      <c r="L585" s="17" t="n">
        <f aca="false">MAX(L584,K585)</f>
        <v>61976.138325</v>
      </c>
      <c r="M585" s="17" t="n">
        <f aca="false">L585-K585</f>
        <v>0</v>
      </c>
      <c r="N585" s="17" t="n">
        <f aca="false">MIN(Desain_Kolam!$B$21,MAX(0,N584+F585+G585-H585-I585))</f>
        <v>15823.566675</v>
      </c>
      <c r="O585" s="6" t="n">
        <f aca="false">IF(N584+F585+G585-I585&gt;=H585,1,0)</f>
        <v>1</v>
      </c>
    </row>
    <row r="586" customFormat="false" ht="15" hidden="false" customHeight="false" outlineLevel="0" collapsed="false">
      <c r="A586" s="6" t="n">
        <v>2016</v>
      </c>
      <c r="B586" s="6" t="n">
        <v>8</v>
      </c>
      <c r="C586" s="4" t="n">
        <v>14</v>
      </c>
      <c r="D586" s="6" t="n">
        <v>31</v>
      </c>
      <c r="E586" s="4" t="n">
        <f aca="false">INDEX(Evaporasi!$B$5:$B$16,MATCH(B586,Evaporasi!$A$5:$A$16,0))</f>
        <v>161.16</v>
      </c>
      <c r="F586" s="17" t="n">
        <f aca="false">Kawasan!$B$11*Kawasan!$B$9*C586/1000</f>
        <v>116.48</v>
      </c>
      <c r="G586" s="17" t="n">
        <f aca="false">C586*Desain_Kolam!$B$9/1000</f>
        <v>74.095</v>
      </c>
      <c r="H586" s="17" t="n">
        <f aca="false">Kawasan!$B$29*D586</f>
        <v>1428.48</v>
      </c>
      <c r="I586" s="17" t="n">
        <f aca="false">E586*Desain_Kolam!$B$9/1000</f>
        <v>852.9393</v>
      </c>
      <c r="J586" s="17" t="n">
        <f aca="false">F586+G586-H586-I586</f>
        <v>-2090.8443</v>
      </c>
      <c r="K586" s="17" t="n">
        <f aca="false">K585+J586</f>
        <v>59885.294025</v>
      </c>
      <c r="L586" s="17" t="n">
        <f aca="false">MAX(L585,K586)</f>
        <v>61976.138325</v>
      </c>
      <c r="M586" s="17" t="n">
        <f aca="false">L586-K586</f>
        <v>2090.8443</v>
      </c>
      <c r="N586" s="17" t="n">
        <f aca="false">MIN(Desain_Kolam!$B$21,MAX(0,N585+F586+G586-H586-I586))</f>
        <v>13732.722375</v>
      </c>
      <c r="O586" s="6" t="n">
        <f aca="false">IF(N585+F586+G586-I586&gt;=H586,1,0)</f>
        <v>1</v>
      </c>
    </row>
    <row r="587" customFormat="false" ht="15" hidden="false" customHeight="false" outlineLevel="0" collapsed="false">
      <c r="A587" s="6" t="n">
        <v>2016</v>
      </c>
      <c r="B587" s="6" t="n">
        <v>9</v>
      </c>
      <c r="C587" s="4" t="n">
        <v>200</v>
      </c>
      <c r="D587" s="6" t="n">
        <v>30</v>
      </c>
      <c r="E587" s="4" t="n">
        <f aca="false">INDEX(Evaporasi!$B$5:$B$16,MATCH(B587,Evaporasi!$A$5:$A$16,0))</f>
        <v>159.21</v>
      </c>
      <c r="F587" s="17" t="n">
        <f aca="false">Kawasan!$B$11*Kawasan!$B$9*C587/1000</f>
        <v>1664</v>
      </c>
      <c r="G587" s="17" t="n">
        <f aca="false">C587*Desain_Kolam!$B$9/1000</f>
        <v>1058.5</v>
      </c>
      <c r="H587" s="17" t="n">
        <f aca="false">Kawasan!$B$29*D587</f>
        <v>1382.4</v>
      </c>
      <c r="I587" s="17" t="n">
        <f aca="false">E587*Desain_Kolam!$B$9/1000</f>
        <v>842.618925</v>
      </c>
      <c r="J587" s="17" t="n">
        <f aca="false">F587+G587-H587-I587</f>
        <v>497.481075</v>
      </c>
      <c r="K587" s="17" t="n">
        <f aca="false">K586+J587</f>
        <v>60382.7751</v>
      </c>
      <c r="L587" s="17" t="n">
        <f aca="false">MAX(L586,K587)</f>
        <v>61976.138325</v>
      </c>
      <c r="M587" s="17" t="n">
        <f aca="false">L587-K587</f>
        <v>1593.36322499999</v>
      </c>
      <c r="N587" s="17" t="n">
        <f aca="false">MIN(Desain_Kolam!$B$21,MAX(0,N586+F587+G587-H587-I587))</f>
        <v>14230.20345</v>
      </c>
      <c r="O587" s="6" t="n">
        <f aca="false">IF(N586+F587+G587-I587&gt;=H587,1,0)</f>
        <v>1</v>
      </c>
    </row>
    <row r="588" customFormat="false" ht="15" hidden="false" customHeight="false" outlineLevel="0" collapsed="false">
      <c r="A588" s="6" t="n">
        <v>2016</v>
      </c>
      <c r="B588" s="6" t="n">
        <v>10</v>
      </c>
      <c r="C588" s="4" t="n">
        <v>302</v>
      </c>
      <c r="D588" s="6" t="n">
        <v>31</v>
      </c>
      <c r="E588" s="4" t="n">
        <f aca="false">INDEX(Evaporasi!$B$5:$B$16,MATCH(B588,Evaporasi!$A$5:$A$16,0))</f>
        <v>151.5</v>
      </c>
      <c r="F588" s="17" t="n">
        <f aca="false">Kawasan!$B$11*Kawasan!$B$9*C588/1000</f>
        <v>2512.64</v>
      </c>
      <c r="G588" s="17" t="n">
        <f aca="false">C588*Desain_Kolam!$B$9/1000</f>
        <v>1598.335</v>
      </c>
      <c r="H588" s="17" t="n">
        <f aca="false">Kawasan!$B$29*D588</f>
        <v>1428.48</v>
      </c>
      <c r="I588" s="17" t="n">
        <f aca="false">E588*Desain_Kolam!$B$9/1000</f>
        <v>801.81375</v>
      </c>
      <c r="J588" s="17" t="n">
        <f aca="false">F588+G588-H588-I588</f>
        <v>1880.68125</v>
      </c>
      <c r="K588" s="17" t="n">
        <f aca="false">K587+J588</f>
        <v>62263.45635</v>
      </c>
      <c r="L588" s="17" t="n">
        <f aca="false">MAX(L587,K588)</f>
        <v>62263.45635</v>
      </c>
      <c r="M588" s="17" t="n">
        <f aca="false">L588-K588</f>
        <v>0</v>
      </c>
      <c r="N588" s="17" t="n">
        <f aca="false">MIN(Desain_Kolam!$B$21,MAX(0,N587+F588+G588-H588-I588))</f>
        <v>15823.566675</v>
      </c>
      <c r="O588" s="6" t="n">
        <f aca="false">IF(N587+F588+G588-I588&gt;=H588,1,0)</f>
        <v>1</v>
      </c>
    </row>
    <row r="589" customFormat="false" ht="15" hidden="false" customHeight="false" outlineLevel="0" collapsed="false">
      <c r="A589" s="6" t="n">
        <v>2016</v>
      </c>
      <c r="B589" s="6" t="n">
        <v>11</v>
      </c>
      <c r="C589" s="4" t="n">
        <v>256</v>
      </c>
      <c r="D589" s="6" t="n">
        <v>30</v>
      </c>
      <c r="E589" s="4" t="n">
        <f aca="false">INDEX(Evaporasi!$B$5:$B$16,MATCH(B589,Evaporasi!$A$5:$A$16,0))</f>
        <v>142.3</v>
      </c>
      <c r="F589" s="17" t="n">
        <f aca="false">Kawasan!$B$11*Kawasan!$B$9*C589/1000</f>
        <v>2129.92</v>
      </c>
      <c r="G589" s="17" t="n">
        <f aca="false">C589*Desain_Kolam!$B$9/1000</f>
        <v>1354.88</v>
      </c>
      <c r="H589" s="17" t="n">
        <f aca="false">Kawasan!$B$29*D589</f>
        <v>1382.4</v>
      </c>
      <c r="I589" s="17" t="n">
        <f aca="false">E589*Desain_Kolam!$B$9/1000</f>
        <v>753.12275</v>
      </c>
      <c r="J589" s="17" t="n">
        <f aca="false">F589+G589-H589-I589</f>
        <v>1349.27725</v>
      </c>
      <c r="K589" s="17" t="n">
        <f aca="false">K588+J589</f>
        <v>63612.7336</v>
      </c>
      <c r="L589" s="17" t="n">
        <f aca="false">MAX(L588,K589)</f>
        <v>63612.7336</v>
      </c>
      <c r="M589" s="17" t="n">
        <f aca="false">L589-K589</f>
        <v>0</v>
      </c>
      <c r="N589" s="17" t="n">
        <f aca="false">MIN(Desain_Kolam!$B$21,MAX(0,N588+F589+G589-H589-I589))</f>
        <v>15823.566675</v>
      </c>
      <c r="O589" s="6" t="n">
        <f aca="false">IF(N588+F589+G589-I589&gt;=H589,1,0)</f>
        <v>1</v>
      </c>
    </row>
    <row r="590" customFormat="false" ht="15" hidden="false" customHeight="false" outlineLevel="0" collapsed="false">
      <c r="A590" s="6" t="n">
        <v>2016</v>
      </c>
      <c r="B590" s="6" t="n">
        <v>12</v>
      </c>
      <c r="C590" s="4" t="n">
        <v>305</v>
      </c>
      <c r="D590" s="6" t="n">
        <v>31</v>
      </c>
      <c r="E590" s="4" t="n">
        <f aca="false">INDEX(Evaporasi!$B$5:$B$16,MATCH(B590,Evaporasi!$A$5:$A$16,0))</f>
        <v>145.07</v>
      </c>
      <c r="F590" s="17" t="n">
        <f aca="false">Kawasan!$B$11*Kawasan!$B$9*C590/1000</f>
        <v>2537.6</v>
      </c>
      <c r="G590" s="17" t="n">
        <f aca="false">C590*Desain_Kolam!$B$9/1000</f>
        <v>1614.2125</v>
      </c>
      <c r="H590" s="17" t="n">
        <f aca="false">Kawasan!$B$29*D590</f>
        <v>1428.48</v>
      </c>
      <c r="I590" s="17" t="n">
        <f aca="false">E590*Desain_Kolam!$B$9/1000</f>
        <v>767.782975</v>
      </c>
      <c r="J590" s="17" t="n">
        <f aca="false">F590+G590-H590-I590</f>
        <v>1955.549525</v>
      </c>
      <c r="K590" s="17" t="n">
        <f aca="false">K589+J590</f>
        <v>65568.283125</v>
      </c>
      <c r="L590" s="17" t="n">
        <f aca="false">MAX(L589,K590)</f>
        <v>65568.283125</v>
      </c>
      <c r="M590" s="17" t="n">
        <f aca="false">L590-K590</f>
        <v>0</v>
      </c>
      <c r="N590" s="17" t="n">
        <f aca="false">MIN(Desain_Kolam!$B$21,MAX(0,N589+F590+G590-H590-I590))</f>
        <v>15823.566675</v>
      </c>
      <c r="O590" s="6" t="n">
        <f aca="false">IF(N589+F590+G590-I590&gt;=H590,1,0)</f>
        <v>1</v>
      </c>
    </row>
    <row r="591" customFormat="false" ht="15" hidden="false" customHeight="false" outlineLevel="0" collapsed="false">
      <c r="A591" s="6" t="n">
        <v>2017</v>
      </c>
      <c r="B591" s="6" t="n">
        <v>1</v>
      </c>
      <c r="C591" s="4" t="n">
        <v>212</v>
      </c>
      <c r="D591" s="6" t="n">
        <v>31</v>
      </c>
      <c r="E591" s="4" t="n">
        <f aca="false">INDEX(Evaporasi!$B$5:$B$16,MATCH(B591,Evaporasi!$A$5:$A$16,0))</f>
        <v>149.98</v>
      </c>
      <c r="F591" s="17" t="n">
        <f aca="false">Kawasan!$B$11*Kawasan!$B$9*C591/1000</f>
        <v>1763.84</v>
      </c>
      <c r="G591" s="17" t="n">
        <f aca="false">C591*Desain_Kolam!$B$9/1000</f>
        <v>1122.01</v>
      </c>
      <c r="H591" s="17" t="n">
        <f aca="false">Kawasan!$B$29*D591</f>
        <v>1428.48</v>
      </c>
      <c r="I591" s="17" t="n">
        <f aca="false">E591*Desain_Kolam!$B$9/1000</f>
        <v>793.76915</v>
      </c>
      <c r="J591" s="17" t="n">
        <f aca="false">F591+G591-H591-I591</f>
        <v>663.60085</v>
      </c>
      <c r="K591" s="17" t="n">
        <f aca="false">K590+J591</f>
        <v>66231.883975</v>
      </c>
      <c r="L591" s="17" t="n">
        <f aca="false">MAX(L590,K591)</f>
        <v>66231.883975</v>
      </c>
      <c r="M591" s="17" t="n">
        <f aca="false">L591-K591</f>
        <v>0</v>
      </c>
      <c r="N591" s="17" t="n">
        <f aca="false">MIN(Desain_Kolam!$B$21,MAX(0,N590+F591+G591-H591-I591))</f>
        <v>15823.566675</v>
      </c>
      <c r="O591" s="6" t="n">
        <f aca="false">IF(N590+F591+G591-I591&gt;=H591,1,0)</f>
        <v>1</v>
      </c>
    </row>
    <row r="592" customFormat="false" ht="15" hidden="false" customHeight="false" outlineLevel="0" collapsed="false">
      <c r="A592" s="6" t="n">
        <v>2017</v>
      </c>
      <c r="B592" s="6" t="n">
        <v>2</v>
      </c>
      <c r="C592" s="4" t="n">
        <v>198</v>
      </c>
      <c r="D592" s="6" t="n">
        <v>28</v>
      </c>
      <c r="E592" s="4" t="n">
        <f aca="false">INDEX(Evaporasi!$B$5:$B$16,MATCH(B592,Evaporasi!$A$5:$A$16,0))</f>
        <v>148.64</v>
      </c>
      <c r="F592" s="17" t="n">
        <f aca="false">Kawasan!$B$11*Kawasan!$B$9*C592/1000</f>
        <v>1647.36</v>
      </c>
      <c r="G592" s="17" t="n">
        <f aca="false">C592*Desain_Kolam!$B$9/1000</f>
        <v>1047.915</v>
      </c>
      <c r="H592" s="17" t="n">
        <f aca="false">Kawasan!$B$29*D592</f>
        <v>1290.24</v>
      </c>
      <c r="I592" s="17" t="n">
        <f aca="false">E592*Desain_Kolam!$B$9/1000</f>
        <v>786.6772</v>
      </c>
      <c r="J592" s="17" t="n">
        <f aca="false">F592+G592-H592-I592</f>
        <v>618.3578</v>
      </c>
      <c r="K592" s="17" t="n">
        <f aca="false">K591+J592</f>
        <v>66850.241775</v>
      </c>
      <c r="L592" s="17" t="n">
        <f aca="false">MAX(L591,K592)</f>
        <v>66850.241775</v>
      </c>
      <c r="M592" s="17" t="n">
        <f aca="false">L592-K592</f>
        <v>0</v>
      </c>
      <c r="N592" s="17" t="n">
        <f aca="false">MIN(Desain_Kolam!$B$21,MAX(0,N591+F592+G592-H592-I592))</f>
        <v>15823.566675</v>
      </c>
      <c r="O592" s="6" t="n">
        <f aca="false">IF(N591+F592+G592-I592&gt;=H592,1,0)</f>
        <v>1</v>
      </c>
    </row>
    <row r="593" customFormat="false" ht="15" hidden="false" customHeight="false" outlineLevel="0" collapsed="false">
      <c r="A593" s="6" t="n">
        <v>2017</v>
      </c>
      <c r="B593" s="6" t="n">
        <v>3</v>
      </c>
      <c r="C593" s="4" t="n">
        <v>310</v>
      </c>
      <c r="D593" s="6" t="n">
        <v>31</v>
      </c>
      <c r="E593" s="4" t="n">
        <f aca="false">INDEX(Evaporasi!$B$5:$B$16,MATCH(B593,Evaporasi!$A$5:$A$16,0))</f>
        <v>166.18</v>
      </c>
      <c r="F593" s="17" t="n">
        <f aca="false">Kawasan!$B$11*Kawasan!$B$9*C593/1000</f>
        <v>2579.2</v>
      </c>
      <c r="G593" s="17" t="n">
        <f aca="false">C593*Desain_Kolam!$B$9/1000</f>
        <v>1640.675</v>
      </c>
      <c r="H593" s="17" t="n">
        <f aca="false">Kawasan!$B$29*D593</f>
        <v>1428.48</v>
      </c>
      <c r="I593" s="17" t="n">
        <f aca="false">E593*Desain_Kolam!$B$9/1000</f>
        <v>879.50765</v>
      </c>
      <c r="J593" s="17" t="n">
        <f aca="false">F593+G593-H593-I593</f>
        <v>1911.88735</v>
      </c>
      <c r="K593" s="17" t="n">
        <f aca="false">K592+J593</f>
        <v>68762.129125</v>
      </c>
      <c r="L593" s="17" t="n">
        <f aca="false">MAX(L592,K593)</f>
        <v>68762.129125</v>
      </c>
      <c r="M593" s="17" t="n">
        <f aca="false">L593-K593</f>
        <v>0</v>
      </c>
      <c r="N593" s="17" t="n">
        <f aca="false">MIN(Desain_Kolam!$B$21,MAX(0,N592+F593+G593-H593-I593))</f>
        <v>15823.566675</v>
      </c>
      <c r="O593" s="6" t="n">
        <f aca="false">IF(N592+F593+G593-I593&gt;=H593,1,0)</f>
        <v>1</v>
      </c>
    </row>
    <row r="594" customFormat="false" ht="15" hidden="false" customHeight="false" outlineLevel="0" collapsed="false">
      <c r="A594" s="6" t="n">
        <v>2017</v>
      </c>
      <c r="B594" s="6" t="n">
        <v>4</v>
      </c>
      <c r="C594" s="4" t="n">
        <v>216</v>
      </c>
      <c r="D594" s="6" t="n">
        <v>30</v>
      </c>
      <c r="E594" s="4" t="n">
        <f aca="false">INDEX(Evaporasi!$B$5:$B$16,MATCH(B594,Evaporasi!$A$5:$A$16,0))</f>
        <v>157.75</v>
      </c>
      <c r="F594" s="17" t="n">
        <f aca="false">Kawasan!$B$11*Kawasan!$B$9*C594/1000</f>
        <v>1797.12</v>
      </c>
      <c r="G594" s="17" t="n">
        <f aca="false">C594*Desain_Kolam!$B$9/1000</f>
        <v>1143.18</v>
      </c>
      <c r="H594" s="17" t="n">
        <f aca="false">Kawasan!$B$29*D594</f>
        <v>1382.4</v>
      </c>
      <c r="I594" s="17" t="n">
        <f aca="false">E594*Desain_Kolam!$B$9/1000</f>
        <v>834.891875</v>
      </c>
      <c r="J594" s="17" t="n">
        <f aca="false">F594+G594-H594-I594</f>
        <v>723.008125</v>
      </c>
      <c r="K594" s="17" t="n">
        <f aca="false">K593+J594</f>
        <v>69485.13725</v>
      </c>
      <c r="L594" s="17" t="n">
        <f aca="false">MAX(L593,K594)</f>
        <v>69485.13725</v>
      </c>
      <c r="M594" s="17" t="n">
        <f aca="false">L594-K594</f>
        <v>0</v>
      </c>
      <c r="N594" s="17" t="n">
        <f aca="false">MIN(Desain_Kolam!$B$21,MAX(0,N593+F594+G594-H594-I594))</f>
        <v>15823.566675</v>
      </c>
      <c r="O594" s="6" t="n">
        <f aca="false">IF(N593+F594+G594-I594&gt;=H594,1,0)</f>
        <v>1</v>
      </c>
    </row>
    <row r="595" customFormat="false" ht="15" hidden="false" customHeight="false" outlineLevel="0" collapsed="false">
      <c r="A595" s="6" t="n">
        <v>2017</v>
      </c>
      <c r="B595" s="6" t="n">
        <v>5</v>
      </c>
      <c r="C595" s="4" t="n">
        <v>314</v>
      </c>
      <c r="D595" s="6" t="n">
        <v>31</v>
      </c>
      <c r="E595" s="4" t="n">
        <f aca="false">INDEX(Evaporasi!$B$5:$B$16,MATCH(B595,Evaporasi!$A$5:$A$16,0))</f>
        <v>158.35</v>
      </c>
      <c r="F595" s="17" t="n">
        <f aca="false">Kawasan!$B$11*Kawasan!$B$9*C595/1000</f>
        <v>2612.48</v>
      </c>
      <c r="G595" s="17" t="n">
        <f aca="false">C595*Desain_Kolam!$B$9/1000</f>
        <v>1661.845</v>
      </c>
      <c r="H595" s="17" t="n">
        <f aca="false">Kawasan!$B$29*D595</f>
        <v>1428.48</v>
      </c>
      <c r="I595" s="17" t="n">
        <f aca="false">E595*Desain_Kolam!$B$9/1000</f>
        <v>838.067375</v>
      </c>
      <c r="J595" s="17" t="n">
        <f aca="false">F595+G595-H595-I595</f>
        <v>2007.777625</v>
      </c>
      <c r="K595" s="17" t="n">
        <f aca="false">K594+J595</f>
        <v>71492.914875</v>
      </c>
      <c r="L595" s="17" t="n">
        <f aca="false">MAX(L594,K595)</f>
        <v>71492.914875</v>
      </c>
      <c r="M595" s="17" t="n">
        <f aca="false">L595-K595</f>
        <v>0</v>
      </c>
      <c r="N595" s="17" t="n">
        <f aca="false">MIN(Desain_Kolam!$B$21,MAX(0,N594+F595+G595-H595-I595))</f>
        <v>15823.566675</v>
      </c>
      <c r="O595" s="6" t="n">
        <f aca="false">IF(N594+F595+G595-I595&gt;=H595,1,0)</f>
        <v>1</v>
      </c>
    </row>
    <row r="596" customFormat="false" ht="15" hidden="false" customHeight="false" outlineLevel="0" collapsed="false">
      <c r="A596" s="6" t="n">
        <v>2017</v>
      </c>
      <c r="B596" s="6" t="n">
        <v>6</v>
      </c>
      <c r="C596" s="4" t="n">
        <v>248</v>
      </c>
      <c r="D596" s="6" t="n">
        <v>30</v>
      </c>
      <c r="E596" s="4" t="n">
        <f aca="false">INDEX(Evaporasi!$B$5:$B$16,MATCH(B596,Evaporasi!$A$5:$A$16,0))</f>
        <v>150.17</v>
      </c>
      <c r="F596" s="17" t="n">
        <f aca="false">Kawasan!$B$11*Kawasan!$B$9*C596/1000</f>
        <v>2063.36</v>
      </c>
      <c r="G596" s="17" t="n">
        <f aca="false">C596*Desain_Kolam!$B$9/1000</f>
        <v>1312.54</v>
      </c>
      <c r="H596" s="17" t="n">
        <f aca="false">Kawasan!$B$29*D596</f>
        <v>1382.4</v>
      </c>
      <c r="I596" s="17" t="n">
        <f aca="false">E596*Desain_Kolam!$B$9/1000</f>
        <v>794.774725</v>
      </c>
      <c r="J596" s="17" t="n">
        <f aca="false">F596+G596-H596-I596</f>
        <v>1198.725275</v>
      </c>
      <c r="K596" s="17" t="n">
        <f aca="false">K595+J596</f>
        <v>72691.64015</v>
      </c>
      <c r="L596" s="17" t="n">
        <f aca="false">MAX(L595,K596)</f>
        <v>72691.64015</v>
      </c>
      <c r="M596" s="17" t="n">
        <f aca="false">L596-K596</f>
        <v>0</v>
      </c>
      <c r="N596" s="17" t="n">
        <f aca="false">MIN(Desain_Kolam!$B$21,MAX(0,N595+F596+G596-H596-I596))</f>
        <v>15823.566675</v>
      </c>
      <c r="O596" s="6" t="n">
        <f aca="false">IF(N595+F596+G596-I596&gt;=H596,1,0)</f>
        <v>1</v>
      </c>
    </row>
    <row r="597" customFormat="false" ht="15" hidden="false" customHeight="false" outlineLevel="0" collapsed="false">
      <c r="A597" s="6" t="n">
        <v>2017</v>
      </c>
      <c r="B597" s="6" t="n">
        <v>7</v>
      </c>
      <c r="C597" s="4" t="n">
        <v>279</v>
      </c>
      <c r="D597" s="6" t="n">
        <v>31</v>
      </c>
      <c r="E597" s="4" t="n">
        <f aca="false">INDEX(Evaporasi!$B$5:$B$16,MATCH(B597,Evaporasi!$A$5:$A$16,0))</f>
        <v>160.84</v>
      </c>
      <c r="F597" s="17" t="n">
        <f aca="false">Kawasan!$B$11*Kawasan!$B$9*C597/1000</f>
        <v>2321.28</v>
      </c>
      <c r="G597" s="17" t="n">
        <f aca="false">C597*Desain_Kolam!$B$9/1000</f>
        <v>1476.6075</v>
      </c>
      <c r="H597" s="17" t="n">
        <f aca="false">Kawasan!$B$29*D597</f>
        <v>1428.48</v>
      </c>
      <c r="I597" s="17" t="n">
        <f aca="false">E597*Desain_Kolam!$B$9/1000</f>
        <v>851.2457</v>
      </c>
      <c r="J597" s="17" t="n">
        <f aca="false">F597+G597-H597-I597</f>
        <v>1518.1618</v>
      </c>
      <c r="K597" s="17" t="n">
        <f aca="false">K596+J597</f>
        <v>74209.80195</v>
      </c>
      <c r="L597" s="17" t="n">
        <f aca="false">MAX(L596,K597)</f>
        <v>74209.80195</v>
      </c>
      <c r="M597" s="17" t="n">
        <f aca="false">L597-K597</f>
        <v>0</v>
      </c>
      <c r="N597" s="17" t="n">
        <f aca="false">MIN(Desain_Kolam!$B$21,MAX(0,N596+F597+G597-H597-I597))</f>
        <v>15823.566675</v>
      </c>
      <c r="O597" s="6" t="n">
        <f aca="false">IF(N596+F597+G597-I597&gt;=H597,1,0)</f>
        <v>1</v>
      </c>
    </row>
    <row r="598" customFormat="false" ht="15" hidden="false" customHeight="false" outlineLevel="0" collapsed="false">
      <c r="A598" s="6" t="n">
        <v>2017</v>
      </c>
      <c r="B598" s="6" t="n">
        <v>8</v>
      </c>
      <c r="C598" s="4" t="n">
        <v>321</v>
      </c>
      <c r="D598" s="6" t="n">
        <v>31</v>
      </c>
      <c r="E598" s="4" t="n">
        <f aca="false">INDEX(Evaporasi!$B$5:$B$16,MATCH(B598,Evaporasi!$A$5:$A$16,0))</f>
        <v>161.16</v>
      </c>
      <c r="F598" s="17" t="n">
        <f aca="false">Kawasan!$B$11*Kawasan!$B$9*C598/1000</f>
        <v>2670.72</v>
      </c>
      <c r="G598" s="17" t="n">
        <f aca="false">C598*Desain_Kolam!$B$9/1000</f>
        <v>1698.8925</v>
      </c>
      <c r="H598" s="17" t="n">
        <f aca="false">Kawasan!$B$29*D598</f>
        <v>1428.48</v>
      </c>
      <c r="I598" s="17" t="n">
        <f aca="false">E598*Desain_Kolam!$B$9/1000</f>
        <v>852.9393</v>
      </c>
      <c r="J598" s="17" t="n">
        <f aca="false">F598+G598-H598-I598</f>
        <v>2088.1932</v>
      </c>
      <c r="K598" s="17" t="n">
        <f aca="false">K597+J598</f>
        <v>76297.99515</v>
      </c>
      <c r="L598" s="17" t="n">
        <f aca="false">MAX(L597,K598)</f>
        <v>76297.99515</v>
      </c>
      <c r="M598" s="17" t="n">
        <f aca="false">L598-K598</f>
        <v>0</v>
      </c>
      <c r="N598" s="17" t="n">
        <f aca="false">MIN(Desain_Kolam!$B$21,MAX(0,N597+F598+G598-H598-I598))</f>
        <v>15823.566675</v>
      </c>
      <c r="O598" s="6" t="n">
        <f aca="false">IF(N597+F598+G598-I598&gt;=H598,1,0)</f>
        <v>1</v>
      </c>
    </row>
    <row r="599" customFormat="false" ht="15" hidden="false" customHeight="false" outlineLevel="0" collapsed="false">
      <c r="A599" s="6" t="n">
        <v>2017</v>
      </c>
      <c r="B599" s="6" t="n">
        <v>9</v>
      </c>
      <c r="C599" s="4" t="n">
        <v>122</v>
      </c>
      <c r="D599" s="6" t="n">
        <v>30</v>
      </c>
      <c r="E599" s="4" t="n">
        <f aca="false">INDEX(Evaporasi!$B$5:$B$16,MATCH(B599,Evaporasi!$A$5:$A$16,0))</f>
        <v>159.21</v>
      </c>
      <c r="F599" s="17" t="n">
        <f aca="false">Kawasan!$B$11*Kawasan!$B$9*C599/1000</f>
        <v>1015.04</v>
      </c>
      <c r="G599" s="17" t="n">
        <f aca="false">C599*Desain_Kolam!$B$9/1000</f>
        <v>645.685</v>
      </c>
      <c r="H599" s="17" t="n">
        <f aca="false">Kawasan!$B$29*D599</f>
        <v>1382.4</v>
      </c>
      <c r="I599" s="17" t="n">
        <f aca="false">E599*Desain_Kolam!$B$9/1000</f>
        <v>842.618925</v>
      </c>
      <c r="J599" s="17" t="n">
        <f aca="false">F599+G599-H599-I599</f>
        <v>-564.293925</v>
      </c>
      <c r="K599" s="17" t="n">
        <f aca="false">K598+J599</f>
        <v>75733.701225</v>
      </c>
      <c r="L599" s="17" t="n">
        <f aca="false">MAX(L598,K599)</f>
        <v>76297.99515</v>
      </c>
      <c r="M599" s="17" t="n">
        <f aca="false">L599-K599</f>
        <v>564.293925000005</v>
      </c>
      <c r="N599" s="17" t="n">
        <f aca="false">MIN(Desain_Kolam!$B$21,MAX(0,N598+F599+G599-H599-I599))</f>
        <v>15259.27275</v>
      </c>
      <c r="O599" s="6" t="n">
        <f aca="false">IF(N598+F599+G599-I599&gt;=H599,1,0)</f>
        <v>1</v>
      </c>
    </row>
    <row r="600" customFormat="false" ht="15" hidden="false" customHeight="false" outlineLevel="0" collapsed="false">
      <c r="A600" s="6" t="n">
        <v>2017</v>
      </c>
      <c r="B600" s="6" t="n">
        <v>10</v>
      </c>
      <c r="C600" s="4" t="n">
        <v>107</v>
      </c>
      <c r="D600" s="6" t="n">
        <v>31</v>
      </c>
      <c r="E600" s="4" t="n">
        <f aca="false">INDEX(Evaporasi!$B$5:$B$16,MATCH(B600,Evaporasi!$A$5:$A$16,0))</f>
        <v>151.5</v>
      </c>
      <c r="F600" s="17" t="n">
        <f aca="false">Kawasan!$B$11*Kawasan!$B$9*C600/1000</f>
        <v>890.24</v>
      </c>
      <c r="G600" s="17" t="n">
        <f aca="false">C600*Desain_Kolam!$B$9/1000</f>
        <v>566.2975</v>
      </c>
      <c r="H600" s="17" t="n">
        <f aca="false">Kawasan!$B$29*D600</f>
        <v>1428.48</v>
      </c>
      <c r="I600" s="17" t="n">
        <f aca="false">E600*Desain_Kolam!$B$9/1000</f>
        <v>801.81375</v>
      </c>
      <c r="J600" s="17" t="n">
        <f aca="false">F600+G600-H600-I600</f>
        <v>-773.75625</v>
      </c>
      <c r="K600" s="17" t="n">
        <f aca="false">K599+J600</f>
        <v>74959.944975</v>
      </c>
      <c r="L600" s="17" t="n">
        <f aca="false">MAX(L599,K600)</f>
        <v>76297.99515</v>
      </c>
      <c r="M600" s="17" t="n">
        <f aca="false">L600-K600</f>
        <v>1338.05017500001</v>
      </c>
      <c r="N600" s="17" t="n">
        <f aca="false">MIN(Desain_Kolam!$B$21,MAX(0,N599+F600+G600-H600-I600))</f>
        <v>14485.5165</v>
      </c>
      <c r="O600" s="6" t="n">
        <f aca="false">IF(N599+F600+G600-I600&gt;=H600,1,0)</f>
        <v>1</v>
      </c>
    </row>
    <row r="601" customFormat="false" ht="15" hidden="false" customHeight="false" outlineLevel="0" collapsed="false">
      <c r="A601" s="6" t="n">
        <v>2017</v>
      </c>
      <c r="B601" s="6" t="n">
        <v>11</v>
      </c>
      <c r="C601" s="4" t="n">
        <v>184</v>
      </c>
      <c r="D601" s="6" t="n">
        <v>30</v>
      </c>
      <c r="E601" s="4" t="n">
        <f aca="false">INDEX(Evaporasi!$B$5:$B$16,MATCH(B601,Evaporasi!$A$5:$A$16,0))</f>
        <v>142.3</v>
      </c>
      <c r="F601" s="17" t="n">
        <f aca="false">Kawasan!$B$11*Kawasan!$B$9*C601/1000</f>
        <v>1530.88</v>
      </c>
      <c r="G601" s="17" t="n">
        <f aca="false">C601*Desain_Kolam!$B$9/1000</f>
        <v>973.82</v>
      </c>
      <c r="H601" s="17" t="n">
        <f aca="false">Kawasan!$B$29*D601</f>
        <v>1382.4</v>
      </c>
      <c r="I601" s="17" t="n">
        <f aca="false">E601*Desain_Kolam!$B$9/1000</f>
        <v>753.12275</v>
      </c>
      <c r="J601" s="17" t="n">
        <f aca="false">F601+G601-H601-I601</f>
        <v>369.17725</v>
      </c>
      <c r="K601" s="17" t="n">
        <f aca="false">K600+J601</f>
        <v>75329.122225</v>
      </c>
      <c r="L601" s="17" t="n">
        <f aca="false">MAX(L600,K601)</f>
        <v>76297.99515</v>
      </c>
      <c r="M601" s="17" t="n">
        <f aca="false">L601-K601</f>
        <v>968.872925000018</v>
      </c>
      <c r="N601" s="17" t="n">
        <f aca="false">MIN(Desain_Kolam!$B$21,MAX(0,N600+F601+G601-H601-I601))</f>
        <v>14854.69375</v>
      </c>
      <c r="O601" s="6" t="n">
        <f aca="false">IF(N600+F601+G601-I601&gt;=H601,1,0)</f>
        <v>1</v>
      </c>
    </row>
    <row r="602" customFormat="false" ht="15" hidden="false" customHeight="false" outlineLevel="0" collapsed="false">
      <c r="A602" s="6" t="n">
        <v>2017</v>
      </c>
      <c r="B602" s="6" t="n">
        <v>12</v>
      </c>
      <c r="C602" s="4" t="n">
        <v>120</v>
      </c>
      <c r="D602" s="6" t="n">
        <v>31</v>
      </c>
      <c r="E602" s="4" t="n">
        <f aca="false">INDEX(Evaporasi!$B$5:$B$16,MATCH(B602,Evaporasi!$A$5:$A$16,0))</f>
        <v>145.07</v>
      </c>
      <c r="F602" s="17" t="n">
        <f aca="false">Kawasan!$B$11*Kawasan!$B$9*C602/1000</f>
        <v>998.4</v>
      </c>
      <c r="G602" s="17" t="n">
        <f aca="false">C602*Desain_Kolam!$B$9/1000</f>
        <v>635.1</v>
      </c>
      <c r="H602" s="17" t="n">
        <f aca="false">Kawasan!$B$29*D602</f>
        <v>1428.48</v>
      </c>
      <c r="I602" s="17" t="n">
        <f aca="false">E602*Desain_Kolam!$B$9/1000</f>
        <v>767.782975</v>
      </c>
      <c r="J602" s="17" t="n">
        <f aca="false">F602+G602-H602-I602</f>
        <v>-562.762975</v>
      </c>
      <c r="K602" s="17" t="n">
        <f aca="false">K601+J602</f>
        <v>74766.35925</v>
      </c>
      <c r="L602" s="17" t="n">
        <f aca="false">MAX(L601,K602)</f>
        <v>76297.99515</v>
      </c>
      <c r="M602" s="17" t="n">
        <f aca="false">L602-K602</f>
        <v>1531.63590000002</v>
      </c>
      <c r="N602" s="17" t="n">
        <f aca="false">MIN(Desain_Kolam!$B$21,MAX(0,N601+F602+G602-H602-I602))</f>
        <v>14291.930775</v>
      </c>
      <c r="O602" s="6" t="n">
        <f aca="false">IF(N601+F602+G602-I602&gt;=H602,1,0)</f>
        <v>1</v>
      </c>
    </row>
    <row r="603" customFormat="false" ht="15" hidden="false" customHeight="false" outlineLevel="0" collapsed="false">
      <c r="A603" s="6" t="n">
        <v>2018</v>
      </c>
      <c r="B603" s="6" t="n">
        <v>1</v>
      </c>
      <c r="C603" s="4" t="n">
        <v>220</v>
      </c>
      <c r="D603" s="6" t="n">
        <v>31</v>
      </c>
      <c r="E603" s="4" t="n">
        <f aca="false">INDEX(Evaporasi!$B$5:$B$16,MATCH(B603,Evaporasi!$A$5:$A$16,0))</f>
        <v>149.98</v>
      </c>
      <c r="F603" s="17" t="n">
        <f aca="false">Kawasan!$B$11*Kawasan!$B$9*C603/1000</f>
        <v>1830.4</v>
      </c>
      <c r="G603" s="17" t="n">
        <f aca="false">C603*Desain_Kolam!$B$9/1000</f>
        <v>1164.35</v>
      </c>
      <c r="H603" s="17" t="n">
        <f aca="false">Kawasan!$B$29*D603</f>
        <v>1428.48</v>
      </c>
      <c r="I603" s="17" t="n">
        <f aca="false">E603*Desain_Kolam!$B$9/1000</f>
        <v>793.76915</v>
      </c>
      <c r="J603" s="17" t="n">
        <f aca="false">F603+G603-H603-I603</f>
        <v>772.50085</v>
      </c>
      <c r="K603" s="17" t="n">
        <f aca="false">K602+J603</f>
        <v>75538.8601</v>
      </c>
      <c r="L603" s="17" t="n">
        <f aca="false">MAX(L602,K603)</f>
        <v>76297.99515</v>
      </c>
      <c r="M603" s="17" t="n">
        <f aca="false">L603-K603</f>
        <v>759.135050000026</v>
      </c>
      <c r="N603" s="17" t="n">
        <f aca="false">MIN(Desain_Kolam!$B$21,MAX(0,N602+F603+G603-H603-I603))</f>
        <v>15064.431625</v>
      </c>
      <c r="O603" s="6" t="n">
        <f aca="false">IF(N602+F603+G603-I603&gt;=H603,1,0)</f>
        <v>1</v>
      </c>
    </row>
    <row r="604" customFormat="false" ht="15" hidden="false" customHeight="false" outlineLevel="0" collapsed="false">
      <c r="A604" s="6" t="n">
        <v>2018</v>
      </c>
      <c r="B604" s="6" t="n">
        <v>2</v>
      </c>
      <c r="C604" s="4" t="n">
        <v>93</v>
      </c>
      <c r="D604" s="6" t="n">
        <v>28</v>
      </c>
      <c r="E604" s="4" t="n">
        <f aca="false">INDEX(Evaporasi!$B$5:$B$16,MATCH(B604,Evaporasi!$A$5:$A$16,0))</f>
        <v>148.64</v>
      </c>
      <c r="F604" s="17" t="n">
        <f aca="false">Kawasan!$B$11*Kawasan!$B$9*C604/1000</f>
        <v>773.76</v>
      </c>
      <c r="G604" s="17" t="n">
        <f aca="false">C604*Desain_Kolam!$B$9/1000</f>
        <v>492.2025</v>
      </c>
      <c r="H604" s="17" t="n">
        <f aca="false">Kawasan!$B$29*D604</f>
        <v>1290.24</v>
      </c>
      <c r="I604" s="17" t="n">
        <f aca="false">E604*Desain_Kolam!$B$9/1000</f>
        <v>786.6772</v>
      </c>
      <c r="J604" s="17" t="n">
        <f aca="false">F604+G604-H604-I604</f>
        <v>-810.9547</v>
      </c>
      <c r="K604" s="17" t="n">
        <f aca="false">K603+J604</f>
        <v>74727.9054</v>
      </c>
      <c r="L604" s="17" t="n">
        <f aca="false">MAX(L603,K604)</f>
        <v>76297.99515</v>
      </c>
      <c r="M604" s="17" t="n">
        <f aca="false">L604-K604</f>
        <v>1570.08975000003</v>
      </c>
      <c r="N604" s="17" t="n">
        <f aca="false">MIN(Desain_Kolam!$B$21,MAX(0,N603+F604+G604-H604-I604))</f>
        <v>14253.476925</v>
      </c>
      <c r="O604" s="6" t="n">
        <f aca="false">IF(N603+F604+G604-I604&gt;=H604,1,0)</f>
        <v>1</v>
      </c>
    </row>
    <row r="605" customFormat="false" ht="15" hidden="false" customHeight="false" outlineLevel="0" collapsed="false">
      <c r="A605" s="6" t="n">
        <v>2018</v>
      </c>
      <c r="B605" s="6" t="n">
        <v>3</v>
      </c>
      <c r="C605" s="4" t="n">
        <v>162</v>
      </c>
      <c r="D605" s="6" t="n">
        <v>31</v>
      </c>
      <c r="E605" s="4" t="n">
        <f aca="false">INDEX(Evaporasi!$B$5:$B$16,MATCH(B605,Evaporasi!$A$5:$A$16,0))</f>
        <v>166.18</v>
      </c>
      <c r="F605" s="17" t="n">
        <f aca="false">Kawasan!$B$11*Kawasan!$B$9*C605/1000</f>
        <v>1347.84</v>
      </c>
      <c r="G605" s="17" t="n">
        <f aca="false">C605*Desain_Kolam!$B$9/1000</f>
        <v>857.385</v>
      </c>
      <c r="H605" s="17" t="n">
        <f aca="false">Kawasan!$B$29*D605</f>
        <v>1428.48</v>
      </c>
      <c r="I605" s="17" t="n">
        <f aca="false">E605*Desain_Kolam!$B$9/1000</f>
        <v>879.50765</v>
      </c>
      <c r="J605" s="17" t="n">
        <f aca="false">F605+G605-H605-I605</f>
        <v>-102.76265</v>
      </c>
      <c r="K605" s="17" t="n">
        <f aca="false">K604+J605</f>
        <v>74625.14275</v>
      </c>
      <c r="L605" s="17" t="n">
        <f aca="false">MAX(L604,K605)</f>
        <v>76297.99515</v>
      </c>
      <c r="M605" s="17" t="n">
        <f aca="false">L605-K605</f>
        <v>1672.85240000003</v>
      </c>
      <c r="N605" s="17" t="n">
        <f aca="false">MIN(Desain_Kolam!$B$21,MAX(0,N604+F605+G605-H605-I605))</f>
        <v>14150.714275</v>
      </c>
      <c r="O605" s="6" t="n">
        <f aca="false">IF(N604+F605+G605-I605&gt;=H605,1,0)</f>
        <v>1</v>
      </c>
    </row>
    <row r="606" customFormat="false" ht="15" hidden="false" customHeight="false" outlineLevel="0" collapsed="false">
      <c r="A606" s="6" t="n">
        <v>2018</v>
      </c>
      <c r="B606" s="6" t="n">
        <v>4</v>
      </c>
      <c r="C606" s="4" t="n">
        <v>135</v>
      </c>
      <c r="D606" s="6" t="n">
        <v>30</v>
      </c>
      <c r="E606" s="4" t="n">
        <f aca="false">INDEX(Evaporasi!$B$5:$B$16,MATCH(B606,Evaporasi!$A$5:$A$16,0))</f>
        <v>157.75</v>
      </c>
      <c r="F606" s="17" t="n">
        <f aca="false">Kawasan!$B$11*Kawasan!$B$9*C606/1000</f>
        <v>1123.2</v>
      </c>
      <c r="G606" s="17" t="n">
        <f aca="false">C606*Desain_Kolam!$B$9/1000</f>
        <v>714.4875</v>
      </c>
      <c r="H606" s="17" t="n">
        <f aca="false">Kawasan!$B$29*D606</f>
        <v>1382.4</v>
      </c>
      <c r="I606" s="17" t="n">
        <f aca="false">E606*Desain_Kolam!$B$9/1000</f>
        <v>834.891875</v>
      </c>
      <c r="J606" s="17" t="n">
        <f aca="false">F606+G606-H606-I606</f>
        <v>-379.604375</v>
      </c>
      <c r="K606" s="17" t="n">
        <f aca="false">K605+J606</f>
        <v>74245.538375</v>
      </c>
      <c r="L606" s="17" t="n">
        <f aca="false">MAX(L605,K606)</f>
        <v>76297.99515</v>
      </c>
      <c r="M606" s="17" t="n">
        <f aca="false">L606-K606</f>
        <v>2052.45677500003</v>
      </c>
      <c r="N606" s="17" t="n">
        <f aca="false">MIN(Desain_Kolam!$B$21,MAX(0,N605+F606+G606-H606-I606))</f>
        <v>13771.1099</v>
      </c>
      <c r="O606" s="6" t="n">
        <f aca="false">IF(N605+F606+G606-I606&gt;=H606,1,0)</f>
        <v>1</v>
      </c>
    </row>
    <row r="607" customFormat="false" ht="15" hidden="false" customHeight="false" outlineLevel="0" collapsed="false">
      <c r="A607" s="6" t="n">
        <v>2018</v>
      </c>
      <c r="B607" s="6" t="n">
        <v>5</v>
      </c>
      <c r="C607" s="4" t="n">
        <v>214</v>
      </c>
      <c r="D607" s="6" t="n">
        <v>31</v>
      </c>
      <c r="E607" s="4" t="n">
        <f aca="false">INDEX(Evaporasi!$B$5:$B$16,MATCH(B607,Evaporasi!$A$5:$A$16,0))</f>
        <v>158.35</v>
      </c>
      <c r="F607" s="17" t="n">
        <f aca="false">Kawasan!$B$11*Kawasan!$B$9*C607/1000</f>
        <v>1780.48</v>
      </c>
      <c r="G607" s="17" t="n">
        <f aca="false">C607*Desain_Kolam!$B$9/1000</f>
        <v>1132.595</v>
      </c>
      <c r="H607" s="17" t="n">
        <f aca="false">Kawasan!$B$29*D607</f>
        <v>1428.48</v>
      </c>
      <c r="I607" s="17" t="n">
        <f aca="false">E607*Desain_Kolam!$B$9/1000</f>
        <v>838.067375</v>
      </c>
      <c r="J607" s="17" t="n">
        <f aca="false">F607+G607-H607-I607</f>
        <v>646.527625</v>
      </c>
      <c r="K607" s="17" t="n">
        <f aca="false">K606+J607</f>
        <v>74892.066</v>
      </c>
      <c r="L607" s="17" t="n">
        <f aca="false">MAX(L606,K607)</f>
        <v>76297.99515</v>
      </c>
      <c r="M607" s="17" t="n">
        <f aca="false">L607-K607</f>
        <v>1405.92915000003</v>
      </c>
      <c r="N607" s="17" t="n">
        <f aca="false">MIN(Desain_Kolam!$B$21,MAX(0,N606+F607+G607-H607-I607))</f>
        <v>14417.637525</v>
      </c>
      <c r="O607" s="6" t="n">
        <f aca="false">IF(N606+F607+G607-I607&gt;=H607,1,0)</f>
        <v>1</v>
      </c>
    </row>
    <row r="608" customFormat="false" ht="15" hidden="false" customHeight="false" outlineLevel="0" collapsed="false">
      <c r="A608" s="6" t="n">
        <v>2018</v>
      </c>
      <c r="B608" s="6" t="n">
        <v>6</v>
      </c>
      <c r="C608" s="4" t="n">
        <v>125</v>
      </c>
      <c r="D608" s="6" t="n">
        <v>30</v>
      </c>
      <c r="E608" s="4" t="n">
        <f aca="false">INDEX(Evaporasi!$B$5:$B$16,MATCH(B608,Evaporasi!$A$5:$A$16,0))</f>
        <v>150.17</v>
      </c>
      <c r="F608" s="17" t="n">
        <f aca="false">Kawasan!$B$11*Kawasan!$B$9*C608/1000</f>
        <v>1040</v>
      </c>
      <c r="G608" s="17" t="n">
        <f aca="false">C608*Desain_Kolam!$B$9/1000</f>
        <v>661.5625</v>
      </c>
      <c r="H608" s="17" t="n">
        <f aca="false">Kawasan!$B$29*D608</f>
        <v>1382.4</v>
      </c>
      <c r="I608" s="17" t="n">
        <f aca="false">E608*Desain_Kolam!$B$9/1000</f>
        <v>794.774725</v>
      </c>
      <c r="J608" s="17" t="n">
        <f aca="false">F608+G608-H608-I608</f>
        <v>-475.612225</v>
      </c>
      <c r="K608" s="17" t="n">
        <f aca="false">K607+J608</f>
        <v>74416.453775</v>
      </c>
      <c r="L608" s="17" t="n">
        <f aca="false">MAX(L607,K608)</f>
        <v>76297.99515</v>
      </c>
      <c r="M608" s="17" t="n">
        <f aca="false">L608-K608</f>
        <v>1881.54137500003</v>
      </c>
      <c r="N608" s="17" t="n">
        <f aca="false">MIN(Desain_Kolam!$B$21,MAX(0,N607+F608+G608-H608-I608))</f>
        <v>13942.0253</v>
      </c>
      <c r="O608" s="6" t="n">
        <f aca="false">IF(N607+F608+G608-I608&gt;=H608,1,0)</f>
        <v>1</v>
      </c>
    </row>
    <row r="609" customFormat="false" ht="15" hidden="false" customHeight="false" outlineLevel="0" collapsed="false">
      <c r="A609" s="6" t="n">
        <v>2018</v>
      </c>
      <c r="B609" s="6" t="n">
        <v>7</v>
      </c>
      <c r="C609" s="4" t="n">
        <v>24</v>
      </c>
      <c r="D609" s="6" t="n">
        <v>31</v>
      </c>
      <c r="E609" s="4" t="n">
        <f aca="false">INDEX(Evaporasi!$B$5:$B$16,MATCH(B609,Evaporasi!$A$5:$A$16,0))</f>
        <v>160.84</v>
      </c>
      <c r="F609" s="17" t="n">
        <f aca="false">Kawasan!$B$11*Kawasan!$B$9*C609/1000</f>
        <v>199.68</v>
      </c>
      <c r="G609" s="17" t="n">
        <f aca="false">C609*Desain_Kolam!$B$9/1000</f>
        <v>127.02</v>
      </c>
      <c r="H609" s="17" t="n">
        <f aca="false">Kawasan!$B$29*D609</f>
        <v>1428.48</v>
      </c>
      <c r="I609" s="17" t="n">
        <f aca="false">E609*Desain_Kolam!$B$9/1000</f>
        <v>851.2457</v>
      </c>
      <c r="J609" s="17" t="n">
        <f aca="false">F609+G609-H609-I609</f>
        <v>-1953.0257</v>
      </c>
      <c r="K609" s="17" t="n">
        <f aca="false">K608+J609</f>
        <v>72463.428075</v>
      </c>
      <c r="L609" s="17" t="n">
        <f aca="false">MAX(L608,K609)</f>
        <v>76297.99515</v>
      </c>
      <c r="M609" s="17" t="n">
        <f aca="false">L609-K609</f>
        <v>3834.56707500003</v>
      </c>
      <c r="N609" s="17" t="n">
        <f aca="false">MIN(Desain_Kolam!$B$21,MAX(0,N608+F609+G609-H609-I609))</f>
        <v>11988.9996</v>
      </c>
      <c r="O609" s="6" t="n">
        <f aca="false">IF(N608+F609+G609-I609&gt;=H609,1,0)</f>
        <v>1</v>
      </c>
    </row>
    <row r="610" customFormat="false" ht="15" hidden="false" customHeight="false" outlineLevel="0" collapsed="false">
      <c r="A610" s="6" t="n">
        <v>2018</v>
      </c>
      <c r="B610" s="6" t="n">
        <v>8</v>
      </c>
      <c r="C610" s="4" t="n">
        <v>48</v>
      </c>
      <c r="D610" s="6" t="n">
        <v>31</v>
      </c>
      <c r="E610" s="4" t="n">
        <f aca="false">INDEX(Evaporasi!$B$5:$B$16,MATCH(B610,Evaporasi!$A$5:$A$16,0))</f>
        <v>161.16</v>
      </c>
      <c r="F610" s="17" t="n">
        <f aca="false">Kawasan!$B$11*Kawasan!$B$9*C610/1000</f>
        <v>399.36</v>
      </c>
      <c r="G610" s="17" t="n">
        <f aca="false">C610*Desain_Kolam!$B$9/1000</f>
        <v>254.04</v>
      </c>
      <c r="H610" s="17" t="n">
        <f aca="false">Kawasan!$B$29*D610</f>
        <v>1428.48</v>
      </c>
      <c r="I610" s="17" t="n">
        <f aca="false">E610*Desain_Kolam!$B$9/1000</f>
        <v>852.9393</v>
      </c>
      <c r="J610" s="17" t="n">
        <f aca="false">F610+G610-H610-I610</f>
        <v>-1628.0193</v>
      </c>
      <c r="K610" s="17" t="n">
        <f aca="false">K609+J610</f>
        <v>70835.408775</v>
      </c>
      <c r="L610" s="17" t="n">
        <f aca="false">MAX(L609,K610)</f>
        <v>76297.99515</v>
      </c>
      <c r="M610" s="17" t="n">
        <f aca="false">L610-K610</f>
        <v>5462.58637500003</v>
      </c>
      <c r="N610" s="17" t="n">
        <f aca="false">MIN(Desain_Kolam!$B$21,MAX(0,N609+F610+G610-H610-I610))</f>
        <v>10360.9803</v>
      </c>
      <c r="O610" s="6" t="n">
        <f aca="false">IF(N609+F610+G610-I610&gt;=H610,1,0)</f>
        <v>1</v>
      </c>
    </row>
    <row r="611" customFormat="false" ht="15" hidden="false" customHeight="false" outlineLevel="0" collapsed="false">
      <c r="A611" s="6" t="n">
        <v>2018</v>
      </c>
      <c r="B611" s="6" t="n">
        <v>9</v>
      </c>
      <c r="C611" s="4" t="n">
        <v>103</v>
      </c>
      <c r="D611" s="6" t="n">
        <v>30</v>
      </c>
      <c r="E611" s="4" t="n">
        <f aca="false">INDEX(Evaporasi!$B$5:$B$16,MATCH(B611,Evaporasi!$A$5:$A$16,0))</f>
        <v>159.21</v>
      </c>
      <c r="F611" s="17" t="n">
        <f aca="false">Kawasan!$B$11*Kawasan!$B$9*C611/1000</f>
        <v>856.96</v>
      </c>
      <c r="G611" s="17" t="n">
        <f aca="false">C611*Desain_Kolam!$B$9/1000</f>
        <v>545.1275</v>
      </c>
      <c r="H611" s="17" t="n">
        <f aca="false">Kawasan!$B$29*D611</f>
        <v>1382.4</v>
      </c>
      <c r="I611" s="17" t="n">
        <f aca="false">E611*Desain_Kolam!$B$9/1000</f>
        <v>842.618925</v>
      </c>
      <c r="J611" s="17" t="n">
        <f aca="false">F611+G611-H611-I611</f>
        <v>-822.931425</v>
      </c>
      <c r="K611" s="17" t="n">
        <f aca="false">K610+J611</f>
        <v>70012.47735</v>
      </c>
      <c r="L611" s="17" t="n">
        <f aca="false">MAX(L610,K611)</f>
        <v>76297.99515</v>
      </c>
      <c r="M611" s="17" t="n">
        <f aca="false">L611-K611</f>
        <v>6285.51780000003</v>
      </c>
      <c r="N611" s="17" t="n">
        <f aca="false">MIN(Desain_Kolam!$B$21,MAX(0,N610+F611+G611-H611-I611))</f>
        <v>9538.04887500002</v>
      </c>
      <c r="O611" s="6" t="n">
        <f aca="false">IF(N610+F611+G611-I611&gt;=H611,1,0)</f>
        <v>1</v>
      </c>
    </row>
    <row r="612" customFormat="false" ht="15" hidden="false" customHeight="false" outlineLevel="0" collapsed="false">
      <c r="A612" s="6" t="n">
        <v>2018</v>
      </c>
      <c r="B612" s="6" t="n">
        <v>10</v>
      </c>
      <c r="C612" s="4" t="n">
        <v>176</v>
      </c>
      <c r="D612" s="6" t="n">
        <v>31</v>
      </c>
      <c r="E612" s="4" t="n">
        <f aca="false">INDEX(Evaporasi!$B$5:$B$16,MATCH(B612,Evaporasi!$A$5:$A$16,0))</f>
        <v>151.5</v>
      </c>
      <c r="F612" s="17" t="n">
        <f aca="false">Kawasan!$B$11*Kawasan!$B$9*C612/1000</f>
        <v>1464.32</v>
      </c>
      <c r="G612" s="17" t="n">
        <f aca="false">C612*Desain_Kolam!$B$9/1000</f>
        <v>931.48</v>
      </c>
      <c r="H612" s="17" t="n">
        <f aca="false">Kawasan!$B$29*D612</f>
        <v>1428.48</v>
      </c>
      <c r="I612" s="17" t="n">
        <f aca="false">E612*Desain_Kolam!$B$9/1000</f>
        <v>801.81375</v>
      </c>
      <c r="J612" s="17" t="n">
        <f aca="false">F612+G612-H612-I612</f>
        <v>165.50625</v>
      </c>
      <c r="K612" s="17" t="n">
        <f aca="false">K611+J612</f>
        <v>70177.9836</v>
      </c>
      <c r="L612" s="17" t="n">
        <f aca="false">MAX(L611,K612)</f>
        <v>76297.99515</v>
      </c>
      <c r="M612" s="17" t="n">
        <f aca="false">L612-K612</f>
        <v>6120.01155000003</v>
      </c>
      <c r="N612" s="17" t="n">
        <f aca="false">MIN(Desain_Kolam!$B$21,MAX(0,N611+F612+G612-H612-I612))</f>
        <v>9703.55512500002</v>
      </c>
      <c r="O612" s="6" t="n">
        <f aca="false">IF(N611+F612+G612-I612&gt;=H612,1,0)</f>
        <v>1</v>
      </c>
    </row>
    <row r="613" customFormat="false" ht="15" hidden="false" customHeight="false" outlineLevel="0" collapsed="false">
      <c r="A613" s="6" t="n">
        <v>2018</v>
      </c>
      <c r="B613" s="6" t="n">
        <v>11</v>
      </c>
      <c r="C613" s="4" t="n">
        <v>172</v>
      </c>
      <c r="D613" s="6" t="n">
        <v>30</v>
      </c>
      <c r="E613" s="4" t="n">
        <f aca="false">INDEX(Evaporasi!$B$5:$B$16,MATCH(B613,Evaporasi!$A$5:$A$16,0))</f>
        <v>142.3</v>
      </c>
      <c r="F613" s="17" t="n">
        <f aca="false">Kawasan!$B$11*Kawasan!$B$9*C613/1000</f>
        <v>1431.04</v>
      </c>
      <c r="G613" s="17" t="n">
        <f aca="false">C613*Desain_Kolam!$B$9/1000</f>
        <v>910.31</v>
      </c>
      <c r="H613" s="17" t="n">
        <f aca="false">Kawasan!$B$29*D613</f>
        <v>1382.4</v>
      </c>
      <c r="I613" s="17" t="n">
        <f aca="false">E613*Desain_Kolam!$B$9/1000</f>
        <v>753.12275</v>
      </c>
      <c r="J613" s="17" t="n">
        <f aca="false">F613+G613-H613-I613</f>
        <v>205.82725</v>
      </c>
      <c r="K613" s="17" t="n">
        <f aca="false">K612+J613</f>
        <v>70383.81085</v>
      </c>
      <c r="L613" s="17" t="n">
        <f aca="false">MAX(L612,K613)</f>
        <v>76297.99515</v>
      </c>
      <c r="M613" s="17" t="n">
        <f aca="false">L613-K613</f>
        <v>5914.18430000002</v>
      </c>
      <c r="N613" s="17" t="n">
        <f aca="false">MIN(Desain_Kolam!$B$21,MAX(0,N612+F613+G613-H613-I613))</f>
        <v>9909.38237500002</v>
      </c>
      <c r="O613" s="6" t="n">
        <f aca="false">IF(N612+F613+G613-I613&gt;=H613,1,0)</f>
        <v>1</v>
      </c>
    </row>
    <row r="614" customFormat="false" ht="15" hidden="false" customHeight="false" outlineLevel="0" collapsed="false">
      <c r="A614" s="6" t="n">
        <v>2018</v>
      </c>
      <c r="B614" s="6" t="n">
        <v>12</v>
      </c>
      <c r="C614" s="4" t="n">
        <v>182</v>
      </c>
      <c r="D614" s="6" t="n">
        <v>31</v>
      </c>
      <c r="E614" s="4" t="n">
        <f aca="false">INDEX(Evaporasi!$B$5:$B$16,MATCH(B614,Evaporasi!$A$5:$A$16,0))</f>
        <v>145.07</v>
      </c>
      <c r="F614" s="17" t="n">
        <f aca="false">Kawasan!$B$11*Kawasan!$B$9*C614/1000</f>
        <v>1514.24</v>
      </c>
      <c r="G614" s="17" t="n">
        <f aca="false">C614*Desain_Kolam!$B$9/1000</f>
        <v>963.235</v>
      </c>
      <c r="H614" s="17" t="n">
        <f aca="false">Kawasan!$B$29*D614</f>
        <v>1428.48</v>
      </c>
      <c r="I614" s="17" t="n">
        <f aca="false">E614*Desain_Kolam!$B$9/1000</f>
        <v>767.782975</v>
      </c>
      <c r="J614" s="17" t="n">
        <f aca="false">F614+G614-H614-I614</f>
        <v>281.212025</v>
      </c>
      <c r="K614" s="17" t="n">
        <f aca="false">K613+J614</f>
        <v>70665.022875</v>
      </c>
      <c r="L614" s="17" t="n">
        <f aca="false">MAX(L613,K614)</f>
        <v>76297.99515</v>
      </c>
      <c r="M614" s="17" t="n">
        <f aca="false">L614-K614</f>
        <v>5632.97227500002</v>
      </c>
      <c r="N614" s="17" t="n">
        <f aca="false">MIN(Desain_Kolam!$B$21,MAX(0,N613+F614+G614-H614-I614))</f>
        <v>10190.5944</v>
      </c>
      <c r="O614" s="6" t="n">
        <f aca="false">IF(N613+F614+G614-I614&gt;=H614,1,0)</f>
        <v>1</v>
      </c>
    </row>
    <row r="615" customFormat="false" ht="15" hidden="false" customHeight="false" outlineLevel="0" collapsed="false">
      <c r="A615" s="6" t="n">
        <v>2019</v>
      </c>
      <c r="B615" s="6" t="n">
        <v>1</v>
      </c>
      <c r="C615" s="4" t="n">
        <v>124</v>
      </c>
      <c r="D615" s="6" t="n">
        <v>31</v>
      </c>
      <c r="E615" s="4" t="n">
        <f aca="false">INDEX(Evaporasi!$B$5:$B$16,MATCH(B615,Evaporasi!$A$5:$A$16,0))</f>
        <v>149.98</v>
      </c>
      <c r="F615" s="17" t="n">
        <f aca="false">Kawasan!$B$11*Kawasan!$B$9*C615/1000</f>
        <v>1031.68</v>
      </c>
      <c r="G615" s="17" t="n">
        <f aca="false">C615*Desain_Kolam!$B$9/1000</f>
        <v>656.27</v>
      </c>
      <c r="H615" s="17" t="n">
        <f aca="false">Kawasan!$B$29*D615</f>
        <v>1428.48</v>
      </c>
      <c r="I615" s="17" t="n">
        <f aca="false">E615*Desain_Kolam!$B$9/1000</f>
        <v>793.76915</v>
      </c>
      <c r="J615" s="17" t="n">
        <f aca="false">F615+G615-H615-I615</f>
        <v>-534.29915</v>
      </c>
      <c r="K615" s="17" t="n">
        <f aca="false">K614+J615</f>
        <v>70130.723725</v>
      </c>
      <c r="L615" s="17" t="n">
        <f aca="false">MAX(L614,K615)</f>
        <v>76297.99515</v>
      </c>
      <c r="M615" s="17" t="n">
        <f aca="false">L615-K615</f>
        <v>6167.27142500003</v>
      </c>
      <c r="N615" s="17" t="n">
        <f aca="false">MIN(Desain_Kolam!$B$21,MAX(0,N614+F615+G615-H615-I615))</f>
        <v>9656.29525000002</v>
      </c>
      <c r="O615" s="6" t="n">
        <f aca="false">IF(N614+F615+G615-I615&gt;=H615,1,0)</f>
        <v>1</v>
      </c>
    </row>
    <row r="616" customFormat="false" ht="15" hidden="false" customHeight="false" outlineLevel="0" collapsed="false">
      <c r="A616" s="6" t="n">
        <v>2019</v>
      </c>
      <c r="B616" s="6" t="n">
        <v>2</v>
      </c>
      <c r="C616" s="4" t="n">
        <v>207</v>
      </c>
      <c r="D616" s="6" t="n">
        <v>28</v>
      </c>
      <c r="E616" s="4" t="n">
        <f aca="false">INDEX(Evaporasi!$B$5:$B$16,MATCH(B616,Evaporasi!$A$5:$A$16,0))</f>
        <v>148.64</v>
      </c>
      <c r="F616" s="17" t="n">
        <f aca="false">Kawasan!$B$11*Kawasan!$B$9*C616/1000</f>
        <v>1722.24</v>
      </c>
      <c r="G616" s="17" t="n">
        <f aca="false">C616*Desain_Kolam!$B$9/1000</f>
        <v>1095.5475</v>
      </c>
      <c r="H616" s="17" t="n">
        <f aca="false">Kawasan!$B$29*D616</f>
        <v>1290.24</v>
      </c>
      <c r="I616" s="17" t="n">
        <f aca="false">E616*Desain_Kolam!$B$9/1000</f>
        <v>786.6772</v>
      </c>
      <c r="J616" s="17" t="n">
        <f aca="false">F616+G616-H616-I616</f>
        <v>740.8703</v>
      </c>
      <c r="K616" s="17" t="n">
        <f aca="false">K615+J616</f>
        <v>70871.594025</v>
      </c>
      <c r="L616" s="17" t="n">
        <f aca="false">MAX(L615,K616)</f>
        <v>76297.99515</v>
      </c>
      <c r="M616" s="17" t="n">
        <f aca="false">L616-K616</f>
        <v>5426.40112500003</v>
      </c>
      <c r="N616" s="17" t="n">
        <f aca="false">MIN(Desain_Kolam!$B$21,MAX(0,N615+F616+G616-H616-I616))</f>
        <v>10397.16555</v>
      </c>
      <c r="O616" s="6" t="n">
        <f aca="false">IF(N615+F616+G616-I616&gt;=H616,1,0)</f>
        <v>1</v>
      </c>
    </row>
    <row r="617" customFormat="false" ht="15" hidden="false" customHeight="false" outlineLevel="0" collapsed="false">
      <c r="A617" s="6" t="n">
        <v>2019</v>
      </c>
      <c r="B617" s="6" t="n">
        <v>3</v>
      </c>
      <c r="C617" s="4" t="n">
        <v>44</v>
      </c>
      <c r="D617" s="6" t="n">
        <v>31</v>
      </c>
      <c r="E617" s="4" t="n">
        <f aca="false">INDEX(Evaporasi!$B$5:$B$16,MATCH(B617,Evaporasi!$A$5:$A$16,0))</f>
        <v>166.18</v>
      </c>
      <c r="F617" s="17" t="n">
        <f aca="false">Kawasan!$B$11*Kawasan!$B$9*C617/1000</f>
        <v>366.08</v>
      </c>
      <c r="G617" s="17" t="n">
        <f aca="false">C617*Desain_Kolam!$B$9/1000</f>
        <v>232.87</v>
      </c>
      <c r="H617" s="17" t="n">
        <f aca="false">Kawasan!$B$29*D617</f>
        <v>1428.48</v>
      </c>
      <c r="I617" s="17" t="n">
        <f aca="false">E617*Desain_Kolam!$B$9/1000</f>
        <v>879.50765</v>
      </c>
      <c r="J617" s="17" t="n">
        <f aca="false">F617+G617-H617-I617</f>
        <v>-1709.03765</v>
      </c>
      <c r="K617" s="17" t="n">
        <f aca="false">K616+J617</f>
        <v>69162.556375</v>
      </c>
      <c r="L617" s="17" t="n">
        <f aca="false">MAX(L616,K617)</f>
        <v>76297.99515</v>
      </c>
      <c r="M617" s="17" t="n">
        <f aca="false">L617-K617</f>
        <v>7135.43877500003</v>
      </c>
      <c r="N617" s="17" t="n">
        <f aca="false">MIN(Desain_Kolam!$B$21,MAX(0,N616+F617+G617-H617-I617))</f>
        <v>8688.12790000002</v>
      </c>
      <c r="O617" s="6" t="n">
        <f aca="false">IF(N616+F617+G617-I617&gt;=H617,1,0)</f>
        <v>1</v>
      </c>
    </row>
    <row r="618" customFormat="false" ht="15" hidden="false" customHeight="false" outlineLevel="0" collapsed="false">
      <c r="A618" s="6" t="n">
        <v>2019</v>
      </c>
      <c r="B618" s="6" t="n">
        <v>4</v>
      </c>
      <c r="C618" s="4" t="n">
        <v>151</v>
      </c>
      <c r="D618" s="6" t="n">
        <v>30</v>
      </c>
      <c r="E618" s="4" t="n">
        <f aca="false">INDEX(Evaporasi!$B$5:$B$16,MATCH(B618,Evaporasi!$A$5:$A$16,0))</f>
        <v>157.75</v>
      </c>
      <c r="F618" s="17" t="n">
        <f aca="false">Kawasan!$B$11*Kawasan!$B$9*C618/1000</f>
        <v>1256.32</v>
      </c>
      <c r="G618" s="17" t="n">
        <f aca="false">C618*Desain_Kolam!$B$9/1000</f>
        <v>799.1675</v>
      </c>
      <c r="H618" s="17" t="n">
        <f aca="false">Kawasan!$B$29*D618</f>
        <v>1382.4</v>
      </c>
      <c r="I618" s="17" t="n">
        <f aca="false">E618*Desain_Kolam!$B$9/1000</f>
        <v>834.891875</v>
      </c>
      <c r="J618" s="17" t="n">
        <f aca="false">F618+G618-H618-I618</f>
        <v>-161.804375</v>
      </c>
      <c r="K618" s="17" t="n">
        <f aca="false">K617+J618</f>
        <v>69000.752</v>
      </c>
      <c r="L618" s="17" t="n">
        <f aca="false">MAX(L617,K618)</f>
        <v>76297.99515</v>
      </c>
      <c r="M618" s="17" t="n">
        <f aca="false">L618-K618</f>
        <v>7297.24315000002</v>
      </c>
      <c r="N618" s="17" t="n">
        <f aca="false">MIN(Desain_Kolam!$B$21,MAX(0,N617+F618+G618-H618-I618))</f>
        <v>8526.32352500002</v>
      </c>
      <c r="O618" s="6" t="n">
        <f aca="false">IF(N617+F618+G618-I618&gt;=H618,1,0)</f>
        <v>1</v>
      </c>
    </row>
    <row r="619" customFormat="false" ht="15" hidden="false" customHeight="false" outlineLevel="0" collapsed="false">
      <c r="A619" s="6" t="n">
        <v>2019</v>
      </c>
      <c r="B619" s="6" t="n">
        <v>5</v>
      </c>
      <c r="C619" s="4" t="n">
        <v>118</v>
      </c>
      <c r="D619" s="6" t="n">
        <v>31</v>
      </c>
      <c r="E619" s="4" t="n">
        <f aca="false">INDEX(Evaporasi!$B$5:$B$16,MATCH(B619,Evaporasi!$A$5:$A$16,0))</f>
        <v>158.35</v>
      </c>
      <c r="F619" s="17" t="n">
        <f aca="false">Kawasan!$B$11*Kawasan!$B$9*C619/1000</f>
        <v>981.76</v>
      </c>
      <c r="G619" s="17" t="n">
        <f aca="false">C619*Desain_Kolam!$B$9/1000</f>
        <v>624.515</v>
      </c>
      <c r="H619" s="17" t="n">
        <f aca="false">Kawasan!$B$29*D619</f>
        <v>1428.48</v>
      </c>
      <c r="I619" s="17" t="n">
        <f aca="false">E619*Desain_Kolam!$B$9/1000</f>
        <v>838.067375</v>
      </c>
      <c r="J619" s="17" t="n">
        <f aca="false">F619+G619-H619-I619</f>
        <v>-660.272375</v>
      </c>
      <c r="K619" s="17" t="n">
        <f aca="false">K618+J619</f>
        <v>68340.479625</v>
      </c>
      <c r="L619" s="17" t="n">
        <f aca="false">MAX(L618,K619)</f>
        <v>76297.99515</v>
      </c>
      <c r="M619" s="17" t="n">
        <f aca="false">L619-K619</f>
        <v>7957.51552500002</v>
      </c>
      <c r="N619" s="17" t="n">
        <f aca="false">MIN(Desain_Kolam!$B$21,MAX(0,N618+F619+G619-H619-I619))</f>
        <v>7866.05115000002</v>
      </c>
      <c r="O619" s="6" t="n">
        <f aca="false">IF(N618+F619+G619-I619&gt;=H619,1,0)</f>
        <v>1</v>
      </c>
    </row>
    <row r="620" customFormat="false" ht="15" hidden="false" customHeight="false" outlineLevel="0" collapsed="false">
      <c r="A620" s="6" t="n">
        <v>2019</v>
      </c>
      <c r="B620" s="6" t="n">
        <v>6</v>
      </c>
      <c r="C620" s="4" t="n">
        <v>125</v>
      </c>
      <c r="D620" s="6" t="n">
        <v>30</v>
      </c>
      <c r="E620" s="4" t="n">
        <f aca="false">INDEX(Evaporasi!$B$5:$B$16,MATCH(B620,Evaporasi!$A$5:$A$16,0))</f>
        <v>150.17</v>
      </c>
      <c r="F620" s="17" t="n">
        <f aca="false">Kawasan!$B$11*Kawasan!$B$9*C620/1000</f>
        <v>1040</v>
      </c>
      <c r="G620" s="17" t="n">
        <f aca="false">C620*Desain_Kolam!$B$9/1000</f>
        <v>661.5625</v>
      </c>
      <c r="H620" s="17" t="n">
        <f aca="false">Kawasan!$B$29*D620</f>
        <v>1382.4</v>
      </c>
      <c r="I620" s="17" t="n">
        <f aca="false">E620*Desain_Kolam!$B$9/1000</f>
        <v>794.774725</v>
      </c>
      <c r="J620" s="17" t="n">
        <f aca="false">F620+G620-H620-I620</f>
        <v>-475.612225</v>
      </c>
      <c r="K620" s="17" t="n">
        <f aca="false">K619+J620</f>
        <v>67864.8674</v>
      </c>
      <c r="L620" s="17" t="n">
        <f aca="false">MAX(L619,K620)</f>
        <v>76297.99515</v>
      </c>
      <c r="M620" s="17" t="n">
        <f aca="false">L620-K620</f>
        <v>8433.12775000003</v>
      </c>
      <c r="N620" s="17" t="n">
        <f aca="false">MIN(Desain_Kolam!$B$21,MAX(0,N619+F620+G620-H620-I620))</f>
        <v>7390.43892500002</v>
      </c>
      <c r="O620" s="6" t="n">
        <f aca="false">IF(N619+F620+G620-I620&gt;=H620,1,0)</f>
        <v>1</v>
      </c>
    </row>
    <row r="621" customFormat="false" ht="15" hidden="false" customHeight="false" outlineLevel="0" collapsed="false">
      <c r="A621" s="6" t="n">
        <v>2019</v>
      </c>
      <c r="B621" s="6" t="n">
        <v>7</v>
      </c>
      <c r="C621" s="4" t="n">
        <v>53</v>
      </c>
      <c r="D621" s="6" t="n">
        <v>31</v>
      </c>
      <c r="E621" s="4" t="n">
        <f aca="false">INDEX(Evaporasi!$B$5:$B$16,MATCH(B621,Evaporasi!$A$5:$A$16,0))</f>
        <v>160.84</v>
      </c>
      <c r="F621" s="17" t="n">
        <f aca="false">Kawasan!$B$11*Kawasan!$B$9*C621/1000</f>
        <v>440.96</v>
      </c>
      <c r="G621" s="17" t="n">
        <f aca="false">C621*Desain_Kolam!$B$9/1000</f>
        <v>280.5025</v>
      </c>
      <c r="H621" s="17" t="n">
        <f aca="false">Kawasan!$B$29*D621</f>
        <v>1428.48</v>
      </c>
      <c r="I621" s="17" t="n">
        <f aca="false">E621*Desain_Kolam!$B$9/1000</f>
        <v>851.2457</v>
      </c>
      <c r="J621" s="17" t="n">
        <f aca="false">F621+G621-H621-I621</f>
        <v>-1558.2632</v>
      </c>
      <c r="K621" s="17" t="n">
        <f aca="false">K620+J621</f>
        <v>66306.6042</v>
      </c>
      <c r="L621" s="17" t="n">
        <f aca="false">MAX(L620,K621)</f>
        <v>76297.99515</v>
      </c>
      <c r="M621" s="17" t="n">
        <f aca="false">L621-K621</f>
        <v>9991.39095000003</v>
      </c>
      <c r="N621" s="17" t="n">
        <f aca="false">MIN(Desain_Kolam!$B$21,MAX(0,N620+F621+G621-H621-I621))</f>
        <v>5832.17572500002</v>
      </c>
      <c r="O621" s="6" t="n">
        <f aca="false">IF(N620+F621+G621-I621&gt;=H621,1,0)</f>
        <v>1</v>
      </c>
    </row>
    <row r="622" customFormat="false" ht="15" hidden="false" customHeight="false" outlineLevel="0" collapsed="false">
      <c r="A622" s="6" t="n">
        <v>2019</v>
      </c>
      <c r="B622" s="6" t="n">
        <v>8</v>
      </c>
      <c r="C622" s="4" t="n">
        <v>76</v>
      </c>
      <c r="D622" s="6" t="n">
        <v>31</v>
      </c>
      <c r="E622" s="4" t="n">
        <f aca="false">INDEX(Evaporasi!$B$5:$B$16,MATCH(B622,Evaporasi!$A$5:$A$16,0))</f>
        <v>161.16</v>
      </c>
      <c r="F622" s="17" t="n">
        <f aca="false">Kawasan!$B$11*Kawasan!$B$9*C622/1000</f>
        <v>632.32</v>
      </c>
      <c r="G622" s="17" t="n">
        <f aca="false">C622*Desain_Kolam!$B$9/1000</f>
        <v>402.23</v>
      </c>
      <c r="H622" s="17" t="n">
        <f aca="false">Kawasan!$B$29*D622</f>
        <v>1428.48</v>
      </c>
      <c r="I622" s="17" t="n">
        <f aca="false">E622*Desain_Kolam!$B$9/1000</f>
        <v>852.9393</v>
      </c>
      <c r="J622" s="17" t="n">
        <f aca="false">F622+G622-H622-I622</f>
        <v>-1246.8693</v>
      </c>
      <c r="K622" s="17" t="n">
        <f aca="false">K621+J622</f>
        <v>65059.7349</v>
      </c>
      <c r="L622" s="17" t="n">
        <f aca="false">MAX(L621,K622)</f>
        <v>76297.99515</v>
      </c>
      <c r="M622" s="17" t="n">
        <f aca="false">L622-K622</f>
        <v>11238.26025</v>
      </c>
      <c r="N622" s="17" t="n">
        <f aca="false">MIN(Desain_Kolam!$B$21,MAX(0,N621+F622+G622-H622-I622))</f>
        <v>4585.30642500002</v>
      </c>
      <c r="O622" s="6" t="n">
        <f aca="false">IF(N621+F622+G622-I622&gt;=H622,1,0)</f>
        <v>1</v>
      </c>
    </row>
    <row r="623" customFormat="false" ht="15" hidden="false" customHeight="false" outlineLevel="0" collapsed="false">
      <c r="A623" s="6" t="n">
        <v>2019</v>
      </c>
      <c r="B623" s="6" t="n">
        <v>9</v>
      </c>
      <c r="C623" s="4" t="n">
        <v>41</v>
      </c>
      <c r="D623" s="6" t="n">
        <v>30</v>
      </c>
      <c r="E623" s="4" t="n">
        <f aca="false">INDEX(Evaporasi!$B$5:$B$16,MATCH(B623,Evaporasi!$A$5:$A$16,0))</f>
        <v>159.21</v>
      </c>
      <c r="F623" s="17" t="n">
        <f aca="false">Kawasan!$B$11*Kawasan!$B$9*C623/1000</f>
        <v>341.12</v>
      </c>
      <c r="G623" s="17" t="n">
        <f aca="false">C623*Desain_Kolam!$B$9/1000</f>
        <v>216.9925</v>
      </c>
      <c r="H623" s="17" t="n">
        <f aca="false">Kawasan!$B$29*D623</f>
        <v>1382.4</v>
      </c>
      <c r="I623" s="17" t="n">
        <f aca="false">E623*Desain_Kolam!$B$9/1000</f>
        <v>842.618925</v>
      </c>
      <c r="J623" s="17" t="n">
        <f aca="false">F623+G623-H623-I623</f>
        <v>-1666.906425</v>
      </c>
      <c r="K623" s="17" t="n">
        <f aca="false">K622+J623</f>
        <v>63392.828475</v>
      </c>
      <c r="L623" s="17" t="n">
        <f aca="false">MAX(L622,K623)</f>
        <v>76297.99515</v>
      </c>
      <c r="M623" s="17" t="n">
        <f aca="false">L623-K623</f>
        <v>12905.166675</v>
      </c>
      <c r="N623" s="17" t="n">
        <f aca="false">MIN(Desain_Kolam!$B$21,MAX(0,N622+F623+G623-H623-I623))</f>
        <v>2918.40000000002</v>
      </c>
      <c r="O623" s="6" t="n">
        <f aca="false">IF(N622+F623+G623-I623&gt;=H623,1,0)</f>
        <v>1</v>
      </c>
    </row>
    <row r="624" customFormat="false" ht="15" hidden="false" customHeight="false" outlineLevel="0" collapsed="false">
      <c r="A624" s="6" t="n">
        <v>2019</v>
      </c>
      <c r="B624" s="6" t="n">
        <v>10</v>
      </c>
      <c r="C624" s="4" t="n">
        <v>548</v>
      </c>
      <c r="D624" s="6" t="n">
        <v>31</v>
      </c>
      <c r="E624" s="4" t="n">
        <f aca="false">INDEX(Evaporasi!$B$5:$B$16,MATCH(B624,Evaporasi!$A$5:$A$16,0))</f>
        <v>151.5</v>
      </c>
      <c r="F624" s="17" t="n">
        <f aca="false">Kawasan!$B$11*Kawasan!$B$9*C624/1000</f>
        <v>4559.36</v>
      </c>
      <c r="G624" s="17" t="n">
        <f aca="false">C624*Desain_Kolam!$B$9/1000</f>
        <v>2900.29</v>
      </c>
      <c r="H624" s="17" t="n">
        <f aca="false">Kawasan!$B$29*D624</f>
        <v>1428.48</v>
      </c>
      <c r="I624" s="17" t="n">
        <f aca="false">E624*Desain_Kolam!$B$9/1000</f>
        <v>801.81375</v>
      </c>
      <c r="J624" s="17" t="n">
        <f aca="false">F624+G624-H624-I624</f>
        <v>5229.35625</v>
      </c>
      <c r="K624" s="17" t="n">
        <f aca="false">K623+J624</f>
        <v>68622.184725</v>
      </c>
      <c r="L624" s="17" t="n">
        <f aca="false">MAX(L623,K624)</f>
        <v>76297.99515</v>
      </c>
      <c r="M624" s="17" t="n">
        <f aca="false">L624-K624</f>
        <v>7675.81042500003</v>
      </c>
      <c r="N624" s="17" t="n">
        <f aca="false">MIN(Desain_Kolam!$B$21,MAX(0,N623+F624+G624-H624-I624))</f>
        <v>8147.75625000002</v>
      </c>
      <c r="O624" s="6" t="n">
        <f aca="false">IF(N623+F624+G624-I624&gt;=H624,1,0)</f>
        <v>1</v>
      </c>
    </row>
    <row r="625" customFormat="false" ht="15" hidden="false" customHeight="false" outlineLevel="0" collapsed="false">
      <c r="A625" s="6" t="n">
        <v>2019</v>
      </c>
      <c r="B625" s="6" t="n">
        <v>11</v>
      </c>
      <c r="C625" s="4" t="n">
        <v>469</v>
      </c>
      <c r="D625" s="6" t="n">
        <v>30</v>
      </c>
      <c r="E625" s="4" t="n">
        <f aca="false">INDEX(Evaporasi!$B$5:$B$16,MATCH(B625,Evaporasi!$A$5:$A$16,0))</f>
        <v>142.3</v>
      </c>
      <c r="F625" s="17" t="n">
        <f aca="false">Kawasan!$B$11*Kawasan!$B$9*C625/1000</f>
        <v>3902.08</v>
      </c>
      <c r="G625" s="17" t="n">
        <f aca="false">C625*Desain_Kolam!$B$9/1000</f>
        <v>2482.1825</v>
      </c>
      <c r="H625" s="17" t="n">
        <f aca="false">Kawasan!$B$29*D625</f>
        <v>1382.4</v>
      </c>
      <c r="I625" s="17" t="n">
        <f aca="false">E625*Desain_Kolam!$B$9/1000</f>
        <v>753.12275</v>
      </c>
      <c r="J625" s="17" t="n">
        <f aca="false">F625+G625-H625-I625</f>
        <v>4248.73975</v>
      </c>
      <c r="K625" s="17" t="n">
        <f aca="false">K624+J625</f>
        <v>72870.924475</v>
      </c>
      <c r="L625" s="17" t="n">
        <f aca="false">MAX(L624,K625)</f>
        <v>76297.99515</v>
      </c>
      <c r="M625" s="17" t="n">
        <f aca="false">L625-K625</f>
        <v>3427.07067500004</v>
      </c>
      <c r="N625" s="17" t="n">
        <f aca="false">MIN(Desain_Kolam!$B$21,MAX(0,N624+F625+G625-H625-I625))</f>
        <v>12396.496</v>
      </c>
      <c r="O625" s="6" t="n">
        <f aca="false">IF(N624+F625+G625-I625&gt;=H625,1,0)</f>
        <v>1</v>
      </c>
    </row>
    <row r="626" customFormat="false" ht="15" hidden="false" customHeight="false" outlineLevel="0" collapsed="false">
      <c r="A626" s="6" t="n">
        <v>2019</v>
      </c>
      <c r="B626" s="6" t="n">
        <v>12</v>
      </c>
      <c r="C626" s="4" t="n">
        <v>357</v>
      </c>
      <c r="D626" s="6" t="n">
        <v>31</v>
      </c>
      <c r="E626" s="4" t="n">
        <f aca="false">INDEX(Evaporasi!$B$5:$B$16,MATCH(B626,Evaporasi!$A$5:$A$16,0))</f>
        <v>145.07</v>
      </c>
      <c r="F626" s="17" t="n">
        <f aca="false">Kawasan!$B$11*Kawasan!$B$9*C626/1000</f>
        <v>2970.24</v>
      </c>
      <c r="G626" s="17" t="n">
        <f aca="false">C626*Desain_Kolam!$B$9/1000</f>
        <v>1889.4225</v>
      </c>
      <c r="H626" s="17" t="n">
        <f aca="false">Kawasan!$B$29*D626</f>
        <v>1428.48</v>
      </c>
      <c r="I626" s="17" t="n">
        <f aca="false">E626*Desain_Kolam!$B$9/1000</f>
        <v>767.782975</v>
      </c>
      <c r="J626" s="17" t="n">
        <f aca="false">F626+G626-H626-I626</f>
        <v>2663.399525</v>
      </c>
      <c r="K626" s="17" t="n">
        <f aca="false">K625+J626</f>
        <v>75534.324</v>
      </c>
      <c r="L626" s="17" t="n">
        <f aca="false">MAX(L625,K626)</f>
        <v>76297.99515</v>
      </c>
      <c r="M626" s="17" t="n">
        <f aca="false">L626-K626</f>
        <v>763.671150000038</v>
      </c>
      <c r="N626" s="17" t="n">
        <f aca="false">MIN(Desain_Kolam!$B$21,MAX(0,N625+F626+G626-H626-I626))</f>
        <v>15059.895525</v>
      </c>
      <c r="O626" s="6" t="n">
        <f aca="false">IF(N625+F626+G626-I626&gt;=H626,1,0)</f>
        <v>1</v>
      </c>
    </row>
    <row r="627" customFormat="false" ht="15" hidden="false" customHeight="false" outlineLevel="0" collapsed="false">
      <c r="A627" s="6" t="n">
        <v>2020</v>
      </c>
      <c r="B627" s="6" t="n">
        <v>1</v>
      </c>
      <c r="C627" s="4" t="n">
        <v>337</v>
      </c>
      <c r="D627" s="6" t="n">
        <v>31</v>
      </c>
      <c r="E627" s="4" t="n">
        <f aca="false">INDEX(Evaporasi!$B$5:$B$16,MATCH(B627,Evaporasi!$A$5:$A$16,0))</f>
        <v>149.98</v>
      </c>
      <c r="F627" s="17" t="n">
        <f aca="false">Kawasan!$B$11*Kawasan!$B$9*C627/1000</f>
        <v>2803.84</v>
      </c>
      <c r="G627" s="17" t="n">
        <f aca="false">C627*Desain_Kolam!$B$9/1000</f>
        <v>1783.5725</v>
      </c>
      <c r="H627" s="17" t="n">
        <f aca="false">Kawasan!$B$29*D627</f>
        <v>1428.48</v>
      </c>
      <c r="I627" s="17" t="n">
        <f aca="false">E627*Desain_Kolam!$B$9/1000</f>
        <v>793.76915</v>
      </c>
      <c r="J627" s="17" t="n">
        <f aca="false">F627+G627-H627-I627</f>
        <v>2365.16335</v>
      </c>
      <c r="K627" s="17" t="n">
        <f aca="false">K626+J627</f>
        <v>77899.48735</v>
      </c>
      <c r="L627" s="17" t="n">
        <f aca="false">MAX(L626,K627)</f>
        <v>77899.48735</v>
      </c>
      <c r="M627" s="17" t="n">
        <f aca="false">L627-K627</f>
        <v>0</v>
      </c>
      <c r="N627" s="17" t="n">
        <f aca="false">MIN(Desain_Kolam!$B$21,MAX(0,N626+F627+G627-H627-I627))</f>
        <v>15823.566675</v>
      </c>
      <c r="O627" s="6" t="n">
        <f aca="false">IF(N626+F627+G627-I627&gt;=H627,1,0)</f>
        <v>1</v>
      </c>
    </row>
    <row r="628" customFormat="false" ht="15" hidden="false" customHeight="false" outlineLevel="0" collapsed="false">
      <c r="A628" s="6" t="n">
        <v>2020</v>
      </c>
      <c r="B628" s="6" t="n">
        <v>2</v>
      </c>
      <c r="C628" s="4" t="n">
        <v>305</v>
      </c>
      <c r="D628" s="6" t="n">
        <v>29</v>
      </c>
      <c r="E628" s="4" t="n">
        <f aca="false">INDEX(Evaporasi!$B$5:$B$16,MATCH(B628,Evaporasi!$A$5:$A$16,0))</f>
        <v>148.64</v>
      </c>
      <c r="F628" s="17" t="n">
        <f aca="false">Kawasan!$B$11*Kawasan!$B$9*C628/1000</f>
        <v>2537.6</v>
      </c>
      <c r="G628" s="17" t="n">
        <f aca="false">C628*Desain_Kolam!$B$9/1000</f>
        <v>1614.2125</v>
      </c>
      <c r="H628" s="17" t="n">
        <f aca="false">Kawasan!$B$29*D628</f>
        <v>1336.32</v>
      </c>
      <c r="I628" s="17" t="n">
        <f aca="false">E628*Desain_Kolam!$B$9/1000</f>
        <v>786.6772</v>
      </c>
      <c r="J628" s="17" t="n">
        <f aca="false">F628+G628-H628-I628</f>
        <v>2028.8153</v>
      </c>
      <c r="K628" s="17" t="n">
        <f aca="false">K627+J628</f>
        <v>79928.30265</v>
      </c>
      <c r="L628" s="17" t="n">
        <f aca="false">MAX(L627,K628)</f>
        <v>79928.30265</v>
      </c>
      <c r="M628" s="17" t="n">
        <f aca="false">L628-K628</f>
        <v>0</v>
      </c>
      <c r="N628" s="17" t="n">
        <f aca="false">MIN(Desain_Kolam!$B$21,MAX(0,N627+F628+G628-H628-I628))</f>
        <v>15823.566675</v>
      </c>
      <c r="O628" s="6" t="n">
        <f aca="false">IF(N627+F628+G628-I628&gt;=H628,1,0)</f>
        <v>1</v>
      </c>
    </row>
    <row r="629" customFormat="false" ht="15" hidden="false" customHeight="false" outlineLevel="0" collapsed="false">
      <c r="A629" s="6" t="n">
        <v>2020</v>
      </c>
      <c r="B629" s="6" t="n">
        <v>3</v>
      </c>
      <c r="C629" s="4" t="n">
        <v>219</v>
      </c>
      <c r="D629" s="6" t="n">
        <v>31</v>
      </c>
      <c r="E629" s="4" t="n">
        <f aca="false">INDEX(Evaporasi!$B$5:$B$16,MATCH(B629,Evaporasi!$A$5:$A$16,0))</f>
        <v>166.18</v>
      </c>
      <c r="F629" s="17" t="n">
        <f aca="false">Kawasan!$B$11*Kawasan!$B$9*C629/1000</f>
        <v>1822.08</v>
      </c>
      <c r="G629" s="17" t="n">
        <f aca="false">C629*Desain_Kolam!$B$9/1000</f>
        <v>1159.0575</v>
      </c>
      <c r="H629" s="17" t="n">
        <f aca="false">Kawasan!$B$29*D629</f>
        <v>1428.48</v>
      </c>
      <c r="I629" s="17" t="n">
        <f aca="false">E629*Desain_Kolam!$B$9/1000</f>
        <v>879.50765</v>
      </c>
      <c r="J629" s="17" t="n">
        <f aca="false">F629+G629-H629-I629</f>
        <v>673.14985</v>
      </c>
      <c r="K629" s="17" t="n">
        <f aca="false">K628+J629</f>
        <v>80601.4525</v>
      </c>
      <c r="L629" s="17" t="n">
        <f aca="false">MAX(L628,K629)</f>
        <v>80601.4525</v>
      </c>
      <c r="M629" s="17" t="n">
        <f aca="false">L629-K629</f>
        <v>0</v>
      </c>
      <c r="N629" s="17" t="n">
        <f aca="false">MIN(Desain_Kolam!$B$21,MAX(0,N628+F629+G629-H629-I629))</f>
        <v>15823.566675</v>
      </c>
      <c r="O629" s="6" t="n">
        <f aca="false">IF(N628+F629+G629-I629&gt;=H629,1,0)</f>
        <v>1</v>
      </c>
    </row>
    <row r="630" customFormat="false" ht="15" hidden="false" customHeight="false" outlineLevel="0" collapsed="false">
      <c r="A630" s="6" t="n">
        <v>2020</v>
      </c>
      <c r="B630" s="6" t="n">
        <v>4</v>
      </c>
      <c r="C630" s="4" t="n">
        <v>358</v>
      </c>
      <c r="D630" s="6" t="n">
        <v>30</v>
      </c>
      <c r="E630" s="4" t="n">
        <f aca="false">INDEX(Evaporasi!$B$5:$B$16,MATCH(B630,Evaporasi!$A$5:$A$16,0))</f>
        <v>157.75</v>
      </c>
      <c r="F630" s="17" t="n">
        <f aca="false">Kawasan!$B$11*Kawasan!$B$9*C630/1000</f>
        <v>2978.56</v>
      </c>
      <c r="G630" s="17" t="n">
        <f aca="false">C630*Desain_Kolam!$B$9/1000</f>
        <v>1894.715</v>
      </c>
      <c r="H630" s="17" t="n">
        <f aca="false">Kawasan!$B$29*D630</f>
        <v>1382.4</v>
      </c>
      <c r="I630" s="17" t="n">
        <f aca="false">E630*Desain_Kolam!$B$9/1000</f>
        <v>834.891875</v>
      </c>
      <c r="J630" s="17" t="n">
        <f aca="false">F630+G630-H630-I630</f>
        <v>2655.983125</v>
      </c>
      <c r="K630" s="17" t="n">
        <f aca="false">K629+J630</f>
        <v>83257.435625</v>
      </c>
      <c r="L630" s="17" t="n">
        <f aca="false">MAX(L629,K630)</f>
        <v>83257.435625</v>
      </c>
      <c r="M630" s="17" t="n">
        <f aca="false">L630-K630</f>
        <v>0</v>
      </c>
      <c r="N630" s="17" t="n">
        <f aca="false">MIN(Desain_Kolam!$B$21,MAX(0,N629+F630+G630-H630-I630))</f>
        <v>15823.566675</v>
      </c>
      <c r="O630" s="6" t="n">
        <f aca="false">IF(N629+F630+G630-I630&gt;=H630,1,0)</f>
        <v>1</v>
      </c>
    </row>
    <row r="631" customFormat="false" ht="15" hidden="false" customHeight="false" outlineLevel="0" collapsed="false">
      <c r="A631" s="6" t="n">
        <v>2020</v>
      </c>
      <c r="B631" s="6" t="n">
        <v>5</v>
      </c>
      <c r="C631" s="4" t="n">
        <v>305</v>
      </c>
      <c r="D631" s="6" t="n">
        <v>31</v>
      </c>
      <c r="E631" s="4" t="n">
        <f aca="false">INDEX(Evaporasi!$B$5:$B$16,MATCH(B631,Evaporasi!$A$5:$A$16,0))</f>
        <v>158.35</v>
      </c>
      <c r="F631" s="17" t="n">
        <f aca="false">Kawasan!$B$11*Kawasan!$B$9*C631/1000</f>
        <v>2537.6</v>
      </c>
      <c r="G631" s="17" t="n">
        <f aca="false">C631*Desain_Kolam!$B$9/1000</f>
        <v>1614.2125</v>
      </c>
      <c r="H631" s="17" t="n">
        <f aca="false">Kawasan!$B$29*D631</f>
        <v>1428.48</v>
      </c>
      <c r="I631" s="17" t="n">
        <f aca="false">E631*Desain_Kolam!$B$9/1000</f>
        <v>838.067375</v>
      </c>
      <c r="J631" s="17" t="n">
        <f aca="false">F631+G631-H631-I631</f>
        <v>1885.265125</v>
      </c>
      <c r="K631" s="17" t="n">
        <f aca="false">K630+J631</f>
        <v>85142.70075</v>
      </c>
      <c r="L631" s="17" t="n">
        <f aca="false">MAX(L630,K631)</f>
        <v>85142.70075</v>
      </c>
      <c r="M631" s="17" t="n">
        <f aca="false">L631-K631</f>
        <v>0</v>
      </c>
      <c r="N631" s="17" t="n">
        <f aca="false">MIN(Desain_Kolam!$B$21,MAX(0,N630+F631+G631-H631-I631))</f>
        <v>15823.566675</v>
      </c>
      <c r="O631" s="6" t="n">
        <f aca="false">IF(N630+F631+G631-I631&gt;=H631,1,0)</f>
        <v>1</v>
      </c>
    </row>
    <row r="632" customFormat="false" ht="15" hidden="false" customHeight="false" outlineLevel="0" collapsed="false">
      <c r="A632" s="6" t="n">
        <v>2020</v>
      </c>
      <c r="B632" s="6" t="n">
        <v>6</v>
      </c>
      <c r="C632" s="4" t="n">
        <v>388</v>
      </c>
      <c r="D632" s="6" t="n">
        <v>30</v>
      </c>
      <c r="E632" s="4" t="n">
        <f aca="false">INDEX(Evaporasi!$B$5:$B$16,MATCH(B632,Evaporasi!$A$5:$A$16,0))</f>
        <v>150.17</v>
      </c>
      <c r="F632" s="17" t="n">
        <f aca="false">Kawasan!$B$11*Kawasan!$B$9*C632/1000</f>
        <v>3228.16</v>
      </c>
      <c r="G632" s="17" t="n">
        <f aca="false">C632*Desain_Kolam!$B$9/1000</f>
        <v>2053.49</v>
      </c>
      <c r="H632" s="17" t="n">
        <f aca="false">Kawasan!$B$29*D632</f>
        <v>1382.4</v>
      </c>
      <c r="I632" s="17" t="n">
        <f aca="false">E632*Desain_Kolam!$B$9/1000</f>
        <v>794.774725</v>
      </c>
      <c r="J632" s="17" t="n">
        <f aca="false">F632+G632-H632-I632</f>
        <v>3104.475275</v>
      </c>
      <c r="K632" s="17" t="n">
        <f aca="false">K631+J632</f>
        <v>88247.176025</v>
      </c>
      <c r="L632" s="17" t="n">
        <f aca="false">MAX(L631,K632)</f>
        <v>88247.176025</v>
      </c>
      <c r="M632" s="17" t="n">
        <f aca="false">L632-K632</f>
        <v>0</v>
      </c>
      <c r="N632" s="17" t="n">
        <f aca="false">MIN(Desain_Kolam!$B$21,MAX(0,N631+F632+G632-H632-I632))</f>
        <v>15823.566675</v>
      </c>
      <c r="O632" s="6" t="n">
        <f aca="false">IF(N631+F632+G632-I632&gt;=H632,1,0)</f>
        <v>1</v>
      </c>
    </row>
    <row r="633" customFormat="false" ht="15" hidden="false" customHeight="false" outlineLevel="0" collapsed="false">
      <c r="A633" s="6" t="n">
        <v>2020</v>
      </c>
      <c r="B633" s="6" t="n">
        <v>7</v>
      </c>
      <c r="C633" s="4" t="n">
        <v>507</v>
      </c>
      <c r="D633" s="6" t="n">
        <v>31</v>
      </c>
      <c r="E633" s="4" t="n">
        <f aca="false">INDEX(Evaporasi!$B$5:$B$16,MATCH(B633,Evaporasi!$A$5:$A$16,0))</f>
        <v>160.84</v>
      </c>
      <c r="F633" s="17" t="n">
        <f aca="false">Kawasan!$B$11*Kawasan!$B$9*C633/1000</f>
        <v>4218.24</v>
      </c>
      <c r="G633" s="17" t="n">
        <f aca="false">C633*Desain_Kolam!$B$9/1000</f>
        <v>2683.2975</v>
      </c>
      <c r="H633" s="17" t="n">
        <f aca="false">Kawasan!$B$29*D633</f>
        <v>1428.48</v>
      </c>
      <c r="I633" s="17" t="n">
        <f aca="false">E633*Desain_Kolam!$B$9/1000</f>
        <v>851.2457</v>
      </c>
      <c r="J633" s="17" t="n">
        <f aca="false">F633+G633-H633-I633</f>
        <v>4621.8118</v>
      </c>
      <c r="K633" s="17" t="n">
        <f aca="false">K632+J633</f>
        <v>92868.987825</v>
      </c>
      <c r="L633" s="17" t="n">
        <f aca="false">MAX(L632,K633)</f>
        <v>92868.987825</v>
      </c>
      <c r="M633" s="17" t="n">
        <f aca="false">L633-K633</f>
        <v>0</v>
      </c>
      <c r="N633" s="17" t="n">
        <f aca="false">MIN(Desain_Kolam!$B$21,MAX(0,N632+F633+G633-H633-I633))</f>
        <v>15823.566675</v>
      </c>
      <c r="O633" s="6" t="n">
        <f aca="false">IF(N632+F633+G633-I633&gt;=H633,1,0)</f>
        <v>1</v>
      </c>
    </row>
    <row r="634" customFormat="false" ht="15" hidden="false" customHeight="false" outlineLevel="0" collapsed="false">
      <c r="A634" s="6" t="n">
        <v>2020</v>
      </c>
      <c r="B634" s="6" t="n">
        <v>8</v>
      </c>
      <c r="C634" s="4" t="n">
        <v>212</v>
      </c>
      <c r="D634" s="6" t="n">
        <v>31</v>
      </c>
      <c r="E634" s="4" t="n">
        <f aca="false">INDEX(Evaporasi!$B$5:$B$16,MATCH(B634,Evaporasi!$A$5:$A$16,0))</f>
        <v>161.16</v>
      </c>
      <c r="F634" s="17" t="n">
        <f aca="false">Kawasan!$B$11*Kawasan!$B$9*C634/1000</f>
        <v>1763.84</v>
      </c>
      <c r="G634" s="17" t="n">
        <f aca="false">C634*Desain_Kolam!$B$9/1000</f>
        <v>1122.01</v>
      </c>
      <c r="H634" s="17" t="n">
        <f aca="false">Kawasan!$B$29*D634</f>
        <v>1428.48</v>
      </c>
      <c r="I634" s="17" t="n">
        <f aca="false">E634*Desain_Kolam!$B$9/1000</f>
        <v>852.9393</v>
      </c>
      <c r="J634" s="17" t="n">
        <f aca="false">F634+G634-H634-I634</f>
        <v>604.4307</v>
      </c>
      <c r="K634" s="17" t="n">
        <f aca="false">K633+J634</f>
        <v>93473.418525</v>
      </c>
      <c r="L634" s="17" t="n">
        <f aca="false">MAX(L633,K634)</f>
        <v>93473.418525</v>
      </c>
      <c r="M634" s="17" t="n">
        <f aca="false">L634-K634</f>
        <v>0</v>
      </c>
      <c r="N634" s="17" t="n">
        <f aca="false">MIN(Desain_Kolam!$B$21,MAX(0,N633+F634+G634-H634-I634))</f>
        <v>15823.566675</v>
      </c>
      <c r="O634" s="6" t="n">
        <f aca="false">IF(N633+F634+G634-I634&gt;=H634,1,0)</f>
        <v>1</v>
      </c>
    </row>
    <row r="635" customFormat="false" ht="15" hidden="false" customHeight="false" outlineLevel="0" collapsed="false">
      <c r="A635" s="6" t="n">
        <v>2020</v>
      </c>
      <c r="B635" s="6" t="n">
        <v>9</v>
      </c>
      <c r="C635" s="4" t="n">
        <v>460</v>
      </c>
      <c r="D635" s="6" t="n">
        <v>30</v>
      </c>
      <c r="E635" s="4" t="n">
        <f aca="false">INDEX(Evaporasi!$B$5:$B$16,MATCH(B635,Evaporasi!$A$5:$A$16,0))</f>
        <v>159.21</v>
      </c>
      <c r="F635" s="17" t="n">
        <f aca="false">Kawasan!$B$11*Kawasan!$B$9*C635/1000</f>
        <v>3827.2</v>
      </c>
      <c r="G635" s="17" t="n">
        <f aca="false">C635*Desain_Kolam!$B$9/1000</f>
        <v>2434.55</v>
      </c>
      <c r="H635" s="17" t="n">
        <f aca="false">Kawasan!$B$29*D635</f>
        <v>1382.4</v>
      </c>
      <c r="I635" s="17" t="n">
        <f aca="false">E635*Desain_Kolam!$B$9/1000</f>
        <v>842.618925</v>
      </c>
      <c r="J635" s="17" t="n">
        <f aca="false">F635+G635-H635-I635</f>
        <v>4036.731075</v>
      </c>
      <c r="K635" s="17" t="n">
        <f aca="false">K634+J635</f>
        <v>97510.1496</v>
      </c>
      <c r="L635" s="17" t="n">
        <f aca="false">MAX(L634,K635)</f>
        <v>97510.1496</v>
      </c>
      <c r="M635" s="17" t="n">
        <f aca="false">L635-K635</f>
        <v>0</v>
      </c>
      <c r="N635" s="17" t="n">
        <f aca="false">MIN(Desain_Kolam!$B$21,MAX(0,N634+F635+G635-H635-I635))</f>
        <v>15823.566675</v>
      </c>
      <c r="O635" s="6" t="n">
        <f aca="false">IF(N634+F635+G635-I635&gt;=H635,1,0)</f>
        <v>1</v>
      </c>
    </row>
    <row r="636" customFormat="false" ht="15" hidden="false" customHeight="false" outlineLevel="0" collapsed="false">
      <c r="A636" s="6" t="n">
        <v>2020</v>
      </c>
      <c r="B636" s="6" t="n">
        <v>10</v>
      </c>
      <c r="C636" s="4" t="n">
        <v>256</v>
      </c>
      <c r="D636" s="6" t="n">
        <v>31</v>
      </c>
      <c r="E636" s="4" t="n">
        <f aca="false">INDEX(Evaporasi!$B$5:$B$16,MATCH(B636,Evaporasi!$A$5:$A$16,0))</f>
        <v>151.5</v>
      </c>
      <c r="F636" s="17" t="n">
        <f aca="false">Kawasan!$B$11*Kawasan!$B$9*C636/1000</f>
        <v>2129.92</v>
      </c>
      <c r="G636" s="17" t="n">
        <f aca="false">C636*Desain_Kolam!$B$9/1000</f>
        <v>1354.88</v>
      </c>
      <c r="H636" s="17" t="n">
        <f aca="false">Kawasan!$B$29*D636</f>
        <v>1428.48</v>
      </c>
      <c r="I636" s="17" t="n">
        <f aca="false">E636*Desain_Kolam!$B$9/1000</f>
        <v>801.81375</v>
      </c>
      <c r="J636" s="17" t="n">
        <f aca="false">F636+G636-H636-I636</f>
        <v>1254.50625</v>
      </c>
      <c r="K636" s="17" t="n">
        <f aca="false">K635+J636</f>
        <v>98764.65585</v>
      </c>
      <c r="L636" s="17" t="n">
        <f aca="false">MAX(L635,K636)</f>
        <v>98764.65585</v>
      </c>
      <c r="M636" s="17" t="n">
        <f aca="false">L636-K636</f>
        <v>0</v>
      </c>
      <c r="N636" s="17" t="n">
        <f aca="false">MIN(Desain_Kolam!$B$21,MAX(0,N635+F636+G636-H636-I636))</f>
        <v>15823.566675</v>
      </c>
      <c r="O636" s="6" t="n">
        <f aca="false">IF(N635+F636+G636-I636&gt;=H636,1,0)</f>
        <v>1</v>
      </c>
    </row>
    <row r="637" customFormat="false" ht="15" hidden="false" customHeight="false" outlineLevel="0" collapsed="false">
      <c r="A637" s="6" t="n">
        <v>2020</v>
      </c>
      <c r="B637" s="6" t="n">
        <v>11</v>
      </c>
      <c r="C637" s="4" t="n">
        <v>568</v>
      </c>
      <c r="D637" s="6" t="n">
        <v>30</v>
      </c>
      <c r="E637" s="4" t="n">
        <f aca="false">INDEX(Evaporasi!$B$5:$B$16,MATCH(B637,Evaporasi!$A$5:$A$16,0))</f>
        <v>142.3</v>
      </c>
      <c r="F637" s="17" t="n">
        <f aca="false">Kawasan!$B$11*Kawasan!$B$9*C637/1000</f>
        <v>4725.76</v>
      </c>
      <c r="G637" s="17" t="n">
        <f aca="false">C637*Desain_Kolam!$B$9/1000</f>
        <v>3006.14</v>
      </c>
      <c r="H637" s="17" t="n">
        <f aca="false">Kawasan!$B$29*D637</f>
        <v>1382.4</v>
      </c>
      <c r="I637" s="17" t="n">
        <f aca="false">E637*Desain_Kolam!$B$9/1000</f>
        <v>753.12275</v>
      </c>
      <c r="J637" s="17" t="n">
        <f aca="false">F637+G637-H637-I637</f>
        <v>5596.37725</v>
      </c>
      <c r="K637" s="17" t="n">
        <f aca="false">K636+J637</f>
        <v>104361.0331</v>
      </c>
      <c r="L637" s="17" t="n">
        <f aca="false">MAX(L636,K637)</f>
        <v>104361.0331</v>
      </c>
      <c r="M637" s="17" t="n">
        <f aca="false">L637-K637</f>
        <v>0</v>
      </c>
      <c r="N637" s="17" t="n">
        <f aca="false">MIN(Desain_Kolam!$B$21,MAX(0,N636+F637+G637-H637-I637))</f>
        <v>15823.566675</v>
      </c>
      <c r="O637" s="6" t="n">
        <f aca="false">IF(N636+F637+G637-I637&gt;=H637,1,0)</f>
        <v>1</v>
      </c>
    </row>
    <row r="638" customFormat="false" ht="15" hidden="false" customHeight="false" outlineLevel="0" collapsed="false">
      <c r="A638" s="6" t="n">
        <v>2020</v>
      </c>
      <c r="B638" s="6" t="n">
        <v>12</v>
      </c>
      <c r="C638" s="4" t="n">
        <v>274</v>
      </c>
      <c r="D638" s="6" t="n">
        <v>31</v>
      </c>
      <c r="E638" s="4" t="n">
        <f aca="false">INDEX(Evaporasi!$B$5:$B$16,MATCH(B638,Evaporasi!$A$5:$A$16,0))</f>
        <v>145.07</v>
      </c>
      <c r="F638" s="17" t="n">
        <f aca="false">Kawasan!$B$11*Kawasan!$B$9*C638/1000</f>
        <v>2279.68</v>
      </c>
      <c r="G638" s="17" t="n">
        <f aca="false">C638*Desain_Kolam!$B$9/1000</f>
        <v>1450.145</v>
      </c>
      <c r="H638" s="17" t="n">
        <f aca="false">Kawasan!$B$29*D638</f>
        <v>1428.48</v>
      </c>
      <c r="I638" s="17" t="n">
        <f aca="false">E638*Desain_Kolam!$B$9/1000</f>
        <v>767.782975</v>
      </c>
      <c r="J638" s="17" t="n">
        <f aca="false">F638+G638-H638-I638</f>
        <v>1533.562025</v>
      </c>
      <c r="K638" s="17" t="n">
        <f aca="false">K637+J638</f>
        <v>105894.595125</v>
      </c>
      <c r="L638" s="17" t="n">
        <f aca="false">MAX(L637,K638)</f>
        <v>105894.595125</v>
      </c>
      <c r="M638" s="17" t="n">
        <f aca="false">L638-K638</f>
        <v>0</v>
      </c>
      <c r="N638" s="17" t="n">
        <f aca="false">MIN(Desain_Kolam!$B$21,MAX(0,N637+F638+G638-H638-I638))</f>
        <v>15823.566675</v>
      </c>
      <c r="O638" s="6" t="n">
        <f aca="false">IF(N637+F638+G638-I638&gt;=H638,1,0)</f>
        <v>1</v>
      </c>
    </row>
    <row r="639" customFormat="false" ht="15" hidden="false" customHeight="false" outlineLevel="0" collapsed="false">
      <c r="A639" s="6" t="n">
        <v>2021</v>
      </c>
      <c r="B639" s="6" t="n">
        <v>1</v>
      </c>
      <c r="C639" s="4" t="n">
        <v>310</v>
      </c>
      <c r="D639" s="6" t="n">
        <v>31</v>
      </c>
      <c r="E639" s="4" t="n">
        <f aca="false">INDEX(Evaporasi!$B$5:$B$16,MATCH(B639,Evaporasi!$A$5:$A$16,0))</f>
        <v>149.98</v>
      </c>
      <c r="F639" s="17" t="n">
        <f aca="false">Kawasan!$B$11*Kawasan!$B$9*C639/1000</f>
        <v>2579.2</v>
      </c>
      <c r="G639" s="17" t="n">
        <f aca="false">C639*Desain_Kolam!$B$9/1000</f>
        <v>1640.675</v>
      </c>
      <c r="H639" s="17" t="n">
        <f aca="false">Kawasan!$B$29*D639</f>
        <v>1428.48</v>
      </c>
      <c r="I639" s="17" t="n">
        <f aca="false">E639*Desain_Kolam!$B$9/1000</f>
        <v>793.76915</v>
      </c>
      <c r="J639" s="17" t="n">
        <f aca="false">F639+G639-H639-I639</f>
        <v>1997.62585</v>
      </c>
      <c r="K639" s="17" t="n">
        <f aca="false">K638+J639</f>
        <v>107892.220975</v>
      </c>
      <c r="L639" s="17" t="n">
        <f aca="false">MAX(L638,K639)</f>
        <v>107892.220975</v>
      </c>
      <c r="M639" s="17" t="n">
        <f aca="false">L639-K639</f>
        <v>0</v>
      </c>
      <c r="N639" s="17" t="n">
        <f aca="false">MIN(Desain_Kolam!$B$21,MAX(0,N638+F639+G639-H639-I639))</f>
        <v>15823.566675</v>
      </c>
      <c r="O639" s="6" t="n">
        <f aca="false">IF(N638+F639+G639-I639&gt;=H639,1,0)</f>
        <v>1</v>
      </c>
    </row>
    <row r="640" customFormat="false" ht="15" hidden="false" customHeight="false" outlineLevel="0" collapsed="false">
      <c r="A640" s="6" t="n">
        <v>2021</v>
      </c>
      <c r="B640" s="6" t="n">
        <v>2</v>
      </c>
      <c r="C640" s="4" t="n">
        <v>50</v>
      </c>
      <c r="D640" s="6" t="n">
        <v>28</v>
      </c>
      <c r="E640" s="4" t="n">
        <f aca="false">INDEX(Evaporasi!$B$5:$B$16,MATCH(B640,Evaporasi!$A$5:$A$16,0))</f>
        <v>148.64</v>
      </c>
      <c r="F640" s="17" t="n">
        <f aca="false">Kawasan!$B$11*Kawasan!$B$9*C640/1000</f>
        <v>416</v>
      </c>
      <c r="G640" s="17" t="n">
        <f aca="false">C640*Desain_Kolam!$B$9/1000</f>
        <v>264.625</v>
      </c>
      <c r="H640" s="17" t="n">
        <f aca="false">Kawasan!$B$29*D640</f>
        <v>1290.24</v>
      </c>
      <c r="I640" s="17" t="n">
        <f aca="false">E640*Desain_Kolam!$B$9/1000</f>
        <v>786.6772</v>
      </c>
      <c r="J640" s="17" t="n">
        <f aca="false">F640+G640-H640-I640</f>
        <v>-1396.2922</v>
      </c>
      <c r="K640" s="17" t="n">
        <f aca="false">K639+J640</f>
        <v>106495.928775</v>
      </c>
      <c r="L640" s="17" t="n">
        <f aca="false">MAX(L639,K640)</f>
        <v>107892.220975</v>
      </c>
      <c r="M640" s="17" t="n">
        <f aca="false">L640-K640</f>
        <v>1396.2922</v>
      </c>
      <c r="N640" s="17" t="n">
        <f aca="false">MIN(Desain_Kolam!$B$21,MAX(0,N639+F640+G640-H640-I640))</f>
        <v>14427.274475</v>
      </c>
      <c r="O640" s="6" t="n">
        <f aca="false">IF(N639+F640+G640-I640&gt;=H640,1,0)</f>
        <v>1</v>
      </c>
    </row>
    <row r="641" customFormat="false" ht="15" hidden="false" customHeight="false" outlineLevel="0" collapsed="false">
      <c r="A641" s="6" t="n">
        <v>2021</v>
      </c>
      <c r="B641" s="6" t="n">
        <v>3</v>
      </c>
      <c r="C641" s="4" t="n">
        <v>263</v>
      </c>
      <c r="D641" s="6" t="n">
        <v>31</v>
      </c>
      <c r="E641" s="4" t="n">
        <f aca="false">INDEX(Evaporasi!$B$5:$B$16,MATCH(B641,Evaporasi!$A$5:$A$16,0))</f>
        <v>166.18</v>
      </c>
      <c r="F641" s="17" t="n">
        <f aca="false">Kawasan!$B$11*Kawasan!$B$9*C641/1000</f>
        <v>2188.16</v>
      </c>
      <c r="G641" s="17" t="n">
        <f aca="false">C641*Desain_Kolam!$B$9/1000</f>
        <v>1391.9275</v>
      </c>
      <c r="H641" s="17" t="n">
        <f aca="false">Kawasan!$B$29*D641</f>
        <v>1428.48</v>
      </c>
      <c r="I641" s="17" t="n">
        <f aca="false">E641*Desain_Kolam!$B$9/1000</f>
        <v>879.50765</v>
      </c>
      <c r="J641" s="17" t="n">
        <f aca="false">F641+G641-H641-I641</f>
        <v>1272.09985</v>
      </c>
      <c r="K641" s="17" t="n">
        <f aca="false">K640+J641</f>
        <v>107768.028625</v>
      </c>
      <c r="L641" s="17" t="n">
        <f aca="false">MAX(L640,K641)</f>
        <v>107892.220975</v>
      </c>
      <c r="M641" s="17" t="n">
        <f aca="false">L641-K641</f>
        <v>124.192349999998</v>
      </c>
      <c r="N641" s="17" t="n">
        <f aca="false">MIN(Desain_Kolam!$B$21,MAX(0,N640+F641+G641-H641-I641))</f>
        <v>15699.374325</v>
      </c>
      <c r="O641" s="6" t="n">
        <f aca="false">IF(N640+F641+G641-I641&gt;=H641,1,0)</f>
        <v>1</v>
      </c>
    </row>
    <row r="642" customFormat="false" ht="15" hidden="false" customHeight="false" outlineLevel="0" collapsed="false">
      <c r="A642" s="6" t="n">
        <v>2021</v>
      </c>
      <c r="B642" s="6" t="n">
        <v>4</v>
      </c>
      <c r="C642" s="4" t="n">
        <v>240</v>
      </c>
      <c r="D642" s="6" t="n">
        <v>30</v>
      </c>
      <c r="E642" s="4" t="n">
        <f aca="false">INDEX(Evaporasi!$B$5:$B$16,MATCH(B642,Evaporasi!$A$5:$A$16,0))</f>
        <v>157.75</v>
      </c>
      <c r="F642" s="17" t="n">
        <f aca="false">Kawasan!$B$11*Kawasan!$B$9*C642/1000</f>
        <v>1996.8</v>
      </c>
      <c r="G642" s="17" t="n">
        <f aca="false">C642*Desain_Kolam!$B$9/1000</f>
        <v>1270.2</v>
      </c>
      <c r="H642" s="17" t="n">
        <f aca="false">Kawasan!$B$29*D642</f>
        <v>1382.4</v>
      </c>
      <c r="I642" s="17" t="n">
        <f aca="false">E642*Desain_Kolam!$B$9/1000</f>
        <v>834.891875</v>
      </c>
      <c r="J642" s="17" t="n">
        <f aca="false">F642+G642-H642-I642</f>
        <v>1049.708125</v>
      </c>
      <c r="K642" s="17" t="n">
        <f aca="false">K641+J642</f>
        <v>108817.73675</v>
      </c>
      <c r="L642" s="17" t="n">
        <f aca="false">MAX(L641,K642)</f>
        <v>108817.73675</v>
      </c>
      <c r="M642" s="17" t="n">
        <f aca="false">L642-K642</f>
        <v>0</v>
      </c>
      <c r="N642" s="17" t="n">
        <f aca="false">MIN(Desain_Kolam!$B$21,MAX(0,N641+F642+G642-H642-I642))</f>
        <v>15823.566675</v>
      </c>
      <c r="O642" s="6" t="n">
        <f aca="false">IF(N641+F642+G642-I642&gt;=H642,1,0)</f>
        <v>1</v>
      </c>
    </row>
    <row r="643" customFormat="false" ht="15" hidden="false" customHeight="false" outlineLevel="0" collapsed="false">
      <c r="A643" s="6" t="n">
        <v>2021</v>
      </c>
      <c r="B643" s="6" t="n">
        <v>5</v>
      </c>
      <c r="C643" s="4" t="n">
        <v>465</v>
      </c>
      <c r="D643" s="6" t="n">
        <v>31</v>
      </c>
      <c r="E643" s="4" t="n">
        <f aca="false">INDEX(Evaporasi!$B$5:$B$16,MATCH(B643,Evaporasi!$A$5:$A$16,0))</f>
        <v>158.35</v>
      </c>
      <c r="F643" s="17" t="n">
        <f aca="false">Kawasan!$B$11*Kawasan!$B$9*C643/1000</f>
        <v>3868.8</v>
      </c>
      <c r="G643" s="17" t="n">
        <f aca="false">C643*Desain_Kolam!$B$9/1000</f>
        <v>2461.0125</v>
      </c>
      <c r="H643" s="17" t="n">
        <f aca="false">Kawasan!$B$29*D643</f>
        <v>1428.48</v>
      </c>
      <c r="I643" s="17" t="n">
        <f aca="false">E643*Desain_Kolam!$B$9/1000</f>
        <v>838.067375</v>
      </c>
      <c r="J643" s="17" t="n">
        <f aca="false">F643+G643-H643-I643</f>
        <v>4063.265125</v>
      </c>
      <c r="K643" s="17" t="n">
        <f aca="false">K642+J643</f>
        <v>112881.001875</v>
      </c>
      <c r="L643" s="17" t="n">
        <f aca="false">MAX(L642,K643)</f>
        <v>112881.001875</v>
      </c>
      <c r="M643" s="17" t="n">
        <f aca="false">L643-K643</f>
        <v>0</v>
      </c>
      <c r="N643" s="17" t="n">
        <f aca="false">MIN(Desain_Kolam!$B$21,MAX(0,N642+F643+G643-H643-I643))</f>
        <v>15823.566675</v>
      </c>
      <c r="O643" s="6" t="n">
        <f aca="false">IF(N642+F643+G643-I643&gt;=H643,1,0)</f>
        <v>1</v>
      </c>
    </row>
    <row r="644" customFormat="false" ht="15" hidden="false" customHeight="false" outlineLevel="0" collapsed="false">
      <c r="A644" s="6" t="n">
        <v>2021</v>
      </c>
      <c r="B644" s="6" t="n">
        <v>6</v>
      </c>
      <c r="C644" s="4" t="n">
        <v>390</v>
      </c>
      <c r="D644" s="6" t="n">
        <v>30</v>
      </c>
      <c r="E644" s="4" t="n">
        <f aca="false">INDEX(Evaporasi!$B$5:$B$16,MATCH(B644,Evaporasi!$A$5:$A$16,0))</f>
        <v>150.17</v>
      </c>
      <c r="F644" s="17" t="n">
        <f aca="false">Kawasan!$B$11*Kawasan!$B$9*C644/1000</f>
        <v>3244.8</v>
      </c>
      <c r="G644" s="17" t="n">
        <f aca="false">C644*Desain_Kolam!$B$9/1000</f>
        <v>2064.075</v>
      </c>
      <c r="H644" s="17" t="n">
        <f aca="false">Kawasan!$B$29*D644</f>
        <v>1382.4</v>
      </c>
      <c r="I644" s="17" t="n">
        <f aca="false">E644*Desain_Kolam!$B$9/1000</f>
        <v>794.774725</v>
      </c>
      <c r="J644" s="17" t="n">
        <f aca="false">F644+G644-H644-I644</f>
        <v>3131.700275</v>
      </c>
      <c r="K644" s="17" t="n">
        <f aca="false">K643+J644</f>
        <v>116012.70215</v>
      </c>
      <c r="L644" s="17" t="n">
        <f aca="false">MAX(L643,K644)</f>
        <v>116012.70215</v>
      </c>
      <c r="M644" s="17" t="n">
        <f aca="false">L644-K644</f>
        <v>0</v>
      </c>
      <c r="N644" s="17" t="n">
        <f aca="false">MIN(Desain_Kolam!$B$21,MAX(0,N643+F644+G644-H644-I644))</f>
        <v>15823.566675</v>
      </c>
      <c r="O644" s="6" t="n">
        <f aca="false">IF(N643+F644+G644-I644&gt;=H644,1,0)</f>
        <v>1</v>
      </c>
    </row>
    <row r="645" customFormat="false" ht="15" hidden="false" customHeight="false" outlineLevel="0" collapsed="false">
      <c r="A645" s="6" t="n">
        <v>2021</v>
      </c>
      <c r="B645" s="6" t="n">
        <v>7</v>
      </c>
      <c r="C645" s="4" t="n">
        <v>211</v>
      </c>
      <c r="D645" s="6" t="n">
        <v>31</v>
      </c>
      <c r="E645" s="4" t="n">
        <f aca="false">INDEX(Evaporasi!$B$5:$B$16,MATCH(B645,Evaporasi!$A$5:$A$16,0))</f>
        <v>160.84</v>
      </c>
      <c r="F645" s="17" t="n">
        <f aca="false">Kawasan!$B$11*Kawasan!$B$9*C645/1000</f>
        <v>1755.52</v>
      </c>
      <c r="G645" s="17" t="n">
        <f aca="false">C645*Desain_Kolam!$B$9/1000</f>
        <v>1116.7175</v>
      </c>
      <c r="H645" s="17" t="n">
        <f aca="false">Kawasan!$B$29*D645</f>
        <v>1428.48</v>
      </c>
      <c r="I645" s="17" t="n">
        <f aca="false">E645*Desain_Kolam!$B$9/1000</f>
        <v>851.2457</v>
      </c>
      <c r="J645" s="17" t="n">
        <f aca="false">F645+G645-H645-I645</f>
        <v>592.5118</v>
      </c>
      <c r="K645" s="17" t="n">
        <f aca="false">K644+J645</f>
        <v>116605.21395</v>
      </c>
      <c r="L645" s="17" t="n">
        <f aca="false">MAX(L644,K645)</f>
        <v>116605.21395</v>
      </c>
      <c r="M645" s="17" t="n">
        <f aca="false">L645-K645</f>
        <v>0</v>
      </c>
      <c r="N645" s="17" t="n">
        <f aca="false">MIN(Desain_Kolam!$B$21,MAX(0,N644+F645+G645-H645-I645))</f>
        <v>15823.566675</v>
      </c>
      <c r="O645" s="6" t="n">
        <f aca="false">IF(N644+F645+G645-I645&gt;=H645,1,0)</f>
        <v>1</v>
      </c>
    </row>
    <row r="646" customFormat="false" ht="15" hidden="false" customHeight="false" outlineLevel="0" collapsed="false">
      <c r="A646" s="6" t="n">
        <v>2021</v>
      </c>
      <c r="B646" s="6" t="n">
        <v>8</v>
      </c>
      <c r="C646" s="4" t="n">
        <v>587</v>
      </c>
      <c r="D646" s="6" t="n">
        <v>31</v>
      </c>
      <c r="E646" s="4" t="n">
        <f aca="false">INDEX(Evaporasi!$B$5:$B$16,MATCH(B646,Evaporasi!$A$5:$A$16,0))</f>
        <v>161.16</v>
      </c>
      <c r="F646" s="17" t="n">
        <f aca="false">Kawasan!$B$11*Kawasan!$B$9*C646/1000</f>
        <v>4883.84</v>
      </c>
      <c r="G646" s="17" t="n">
        <f aca="false">C646*Desain_Kolam!$B$9/1000</f>
        <v>3106.6975</v>
      </c>
      <c r="H646" s="17" t="n">
        <f aca="false">Kawasan!$B$29*D646</f>
        <v>1428.48</v>
      </c>
      <c r="I646" s="17" t="n">
        <f aca="false">E646*Desain_Kolam!$B$9/1000</f>
        <v>852.9393</v>
      </c>
      <c r="J646" s="17" t="n">
        <f aca="false">F646+G646-H646-I646</f>
        <v>5709.1182</v>
      </c>
      <c r="K646" s="17" t="n">
        <f aca="false">K645+J646</f>
        <v>122314.33215</v>
      </c>
      <c r="L646" s="17" t="n">
        <f aca="false">MAX(L645,K646)</f>
        <v>122314.33215</v>
      </c>
      <c r="M646" s="17" t="n">
        <f aca="false">L646-K646</f>
        <v>0</v>
      </c>
      <c r="N646" s="17" t="n">
        <f aca="false">MIN(Desain_Kolam!$B$21,MAX(0,N645+F646+G646-H646-I646))</f>
        <v>15823.566675</v>
      </c>
      <c r="O646" s="6" t="n">
        <f aca="false">IF(N645+F646+G646-I646&gt;=H646,1,0)</f>
        <v>1</v>
      </c>
    </row>
    <row r="647" customFormat="false" ht="15" hidden="false" customHeight="false" outlineLevel="0" collapsed="false">
      <c r="A647" s="6" t="n">
        <v>2021</v>
      </c>
      <c r="B647" s="6" t="n">
        <v>9</v>
      </c>
      <c r="C647" s="4" t="n">
        <v>524</v>
      </c>
      <c r="D647" s="6" t="n">
        <v>30</v>
      </c>
      <c r="E647" s="4" t="n">
        <f aca="false">INDEX(Evaporasi!$B$5:$B$16,MATCH(B647,Evaporasi!$A$5:$A$16,0))</f>
        <v>159.21</v>
      </c>
      <c r="F647" s="17" t="n">
        <f aca="false">Kawasan!$B$11*Kawasan!$B$9*C647/1000</f>
        <v>4359.68</v>
      </c>
      <c r="G647" s="17" t="n">
        <f aca="false">C647*Desain_Kolam!$B$9/1000</f>
        <v>2773.27</v>
      </c>
      <c r="H647" s="17" t="n">
        <f aca="false">Kawasan!$B$29*D647</f>
        <v>1382.4</v>
      </c>
      <c r="I647" s="17" t="n">
        <f aca="false">E647*Desain_Kolam!$B$9/1000</f>
        <v>842.618925</v>
      </c>
      <c r="J647" s="17" t="n">
        <f aca="false">F647+G647-H647-I647</f>
        <v>4907.931075</v>
      </c>
      <c r="K647" s="17" t="n">
        <f aca="false">K646+J647</f>
        <v>127222.263225</v>
      </c>
      <c r="L647" s="17" t="n">
        <f aca="false">MAX(L646,K647)</f>
        <v>127222.263225</v>
      </c>
      <c r="M647" s="17" t="n">
        <f aca="false">L647-K647</f>
        <v>0</v>
      </c>
      <c r="N647" s="17" t="n">
        <f aca="false">MIN(Desain_Kolam!$B$21,MAX(0,N646+F647+G647-H647-I647))</f>
        <v>15823.566675</v>
      </c>
      <c r="O647" s="6" t="n">
        <f aca="false">IF(N646+F647+G647-I647&gt;=H647,1,0)</f>
        <v>1</v>
      </c>
    </row>
    <row r="648" customFormat="false" ht="15" hidden="false" customHeight="false" outlineLevel="0" collapsed="false">
      <c r="A648" s="6" t="n">
        <v>2021</v>
      </c>
      <c r="B648" s="6" t="n">
        <v>10</v>
      </c>
      <c r="C648" s="4" t="n">
        <v>252</v>
      </c>
      <c r="D648" s="6" t="n">
        <v>31</v>
      </c>
      <c r="E648" s="4" t="n">
        <f aca="false">INDEX(Evaporasi!$B$5:$B$16,MATCH(B648,Evaporasi!$A$5:$A$16,0))</f>
        <v>151.5</v>
      </c>
      <c r="F648" s="17" t="n">
        <f aca="false">Kawasan!$B$11*Kawasan!$B$9*C648/1000</f>
        <v>2096.64</v>
      </c>
      <c r="G648" s="17" t="n">
        <f aca="false">C648*Desain_Kolam!$B$9/1000</f>
        <v>1333.71</v>
      </c>
      <c r="H648" s="17" t="n">
        <f aca="false">Kawasan!$B$29*D648</f>
        <v>1428.48</v>
      </c>
      <c r="I648" s="17" t="n">
        <f aca="false">E648*Desain_Kolam!$B$9/1000</f>
        <v>801.81375</v>
      </c>
      <c r="J648" s="17" t="n">
        <f aca="false">F648+G648-H648-I648</f>
        <v>1200.05625</v>
      </c>
      <c r="K648" s="17" t="n">
        <f aca="false">K647+J648</f>
        <v>128422.319475</v>
      </c>
      <c r="L648" s="17" t="n">
        <f aca="false">MAX(L647,K648)</f>
        <v>128422.319475</v>
      </c>
      <c r="M648" s="17" t="n">
        <f aca="false">L648-K648</f>
        <v>0</v>
      </c>
      <c r="N648" s="17" t="n">
        <f aca="false">MIN(Desain_Kolam!$B$21,MAX(0,N647+F648+G648-H648-I648))</f>
        <v>15823.566675</v>
      </c>
      <c r="O648" s="6" t="n">
        <f aca="false">IF(N647+F648+G648-I648&gt;=H648,1,0)</f>
        <v>1</v>
      </c>
    </row>
    <row r="649" customFormat="false" ht="15" hidden="false" customHeight="false" outlineLevel="0" collapsed="false">
      <c r="A649" s="6" t="n">
        <v>2021</v>
      </c>
      <c r="B649" s="6" t="n">
        <v>11</v>
      </c>
      <c r="C649" s="4" t="n">
        <v>252</v>
      </c>
      <c r="D649" s="6" t="n">
        <v>30</v>
      </c>
      <c r="E649" s="4" t="n">
        <f aca="false">INDEX(Evaporasi!$B$5:$B$16,MATCH(B649,Evaporasi!$A$5:$A$16,0))</f>
        <v>142.3</v>
      </c>
      <c r="F649" s="17" t="n">
        <f aca="false">Kawasan!$B$11*Kawasan!$B$9*C649/1000</f>
        <v>2096.64</v>
      </c>
      <c r="G649" s="17" t="n">
        <f aca="false">C649*Desain_Kolam!$B$9/1000</f>
        <v>1333.71</v>
      </c>
      <c r="H649" s="17" t="n">
        <f aca="false">Kawasan!$B$29*D649</f>
        <v>1382.4</v>
      </c>
      <c r="I649" s="17" t="n">
        <f aca="false">E649*Desain_Kolam!$B$9/1000</f>
        <v>753.12275</v>
      </c>
      <c r="J649" s="17" t="n">
        <f aca="false">F649+G649-H649-I649</f>
        <v>1294.82725</v>
      </c>
      <c r="K649" s="17" t="n">
        <f aca="false">K648+J649</f>
        <v>129717.146725</v>
      </c>
      <c r="L649" s="17" t="n">
        <f aca="false">MAX(L648,K649)</f>
        <v>129717.146725</v>
      </c>
      <c r="M649" s="17" t="n">
        <f aca="false">L649-K649</f>
        <v>0</v>
      </c>
      <c r="N649" s="17" t="n">
        <f aca="false">MIN(Desain_Kolam!$B$21,MAX(0,N648+F649+G649-H649-I649))</f>
        <v>15823.566675</v>
      </c>
      <c r="O649" s="6" t="n">
        <f aca="false">IF(N648+F649+G649-I649&gt;=H649,1,0)</f>
        <v>1</v>
      </c>
    </row>
    <row r="650" customFormat="false" ht="15" hidden="false" customHeight="false" outlineLevel="0" collapsed="false">
      <c r="A650" s="6" t="n">
        <v>2021</v>
      </c>
      <c r="B650" s="6" t="n">
        <v>12</v>
      </c>
      <c r="C650" s="4" t="n">
        <v>152</v>
      </c>
      <c r="D650" s="6" t="n">
        <v>31</v>
      </c>
      <c r="E650" s="4" t="n">
        <f aca="false">INDEX(Evaporasi!$B$5:$B$16,MATCH(B650,Evaporasi!$A$5:$A$16,0))</f>
        <v>145.07</v>
      </c>
      <c r="F650" s="17" t="n">
        <f aca="false">Kawasan!$B$11*Kawasan!$B$9*C650/1000</f>
        <v>1264.64</v>
      </c>
      <c r="G650" s="17" t="n">
        <f aca="false">C650*Desain_Kolam!$B$9/1000</f>
        <v>804.46</v>
      </c>
      <c r="H650" s="17" t="n">
        <f aca="false">Kawasan!$B$29*D650</f>
        <v>1428.48</v>
      </c>
      <c r="I650" s="17" t="n">
        <f aca="false">E650*Desain_Kolam!$B$9/1000</f>
        <v>767.782975</v>
      </c>
      <c r="J650" s="17" t="n">
        <f aca="false">F650+G650-H650-I650</f>
        <v>-127.162975</v>
      </c>
      <c r="K650" s="17" t="n">
        <f aca="false">K649+J650</f>
        <v>129589.98375</v>
      </c>
      <c r="L650" s="17" t="n">
        <f aca="false">MAX(L649,K650)</f>
        <v>129717.146725</v>
      </c>
      <c r="M650" s="17" t="n">
        <f aca="false">L650-K650</f>
        <v>127.162974999999</v>
      </c>
      <c r="N650" s="17" t="n">
        <f aca="false">MIN(Desain_Kolam!$B$21,MAX(0,N649+F650+G650-H650-I650))</f>
        <v>15696.4037</v>
      </c>
      <c r="O650" s="6" t="n">
        <f aca="false">IF(N649+F650+G650-I650&gt;=H650,1,0)</f>
        <v>1</v>
      </c>
    </row>
    <row r="651" customFormat="false" ht="15" hidden="false" customHeight="false" outlineLevel="0" collapsed="false">
      <c r="A651" s="6" t="n">
        <v>2022</v>
      </c>
      <c r="B651" s="6" t="n">
        <v>1</v>
      </c>
      <c r="C651" s="4" t="n">
        <v>145</v>
      </c>
      <c r="D651" s="6" t="n">
        <v>31</v>
      </c>
      <c r="E651" s="4" t="n">
        <f aca="false">INDEX(Evaporasi!$B$5:$B$16,MATCH(B651,Evaporasi!$A$5:$A$16,0))</f>
        <v>149.98</v>
      </c>
      <c r="F651" s="17" t="n">
        <f aca="false">Kawasan!$B$11*Kawasan!$B$9*C651/1000</f>
        <v>1206.4</v>
      </c>
      <c r="G651" s="17" t="n">
        <f aca="false">C651*Desain_Kolam!$B$9/1000</f>
        <v>767.4125</v>
      </c>
      <c r="H651" s="17" t="n">
        <f aca="false">Kawasan!$B$29*D651</f>
        <v>1428.48</v>
      </c>
      <c r="I651" s="17" t="n">
        <f aca="false">E651*Desain_Kolam!$B$9/1000</f>
        <v>793.76915</v>
      </c>
      <c r="J651" s="17" t="n">
        <f aca="false">F651+G651-H651-I651</f>
        <v>-248.43665</v>
      </c>
      <c r="K651" s="17" t="n">
        <f aca="false">K650+J651</f>
        <v>129341.5471</v>
      </c>
      <c r="L651" s="17" t="n">
        <f aca="false">MAX(L650,K651)</f>
        <v>129717.146725</v>
      </c>
      <c r="M651" s="17" t="n">
        <f aca="false">L651-K651</f>
        <v>375.599625000003</v>
      </c>
      <c r="N651" s="17" t="n">
        <f aca="false">MIN(Desain_Kolam!$B$21,MAX(0,N650+F651+G651-H651-I651))</f>
        <v>15447.96705</v>
      </c>
      <c r="O651" s="6" t="n">
        <f aca="false">IF(N650+F651+G651-I651&gt;=H651,1,0)</f>
        <v>1</v>
      </c>
    </row>
    <row r="652" customFormat="false" ht="15" hidden="false" customHeight="false" outlineLevel="0" collapsed="false">
      <c r="A652" s="6" t="n">
        <v>2022</v>
      </c>
      <c r="B652" s="6" t="n">
        <v>2</v>
      </c>
      <c r="C652" s="4" t="n">
        <v>106</v>
      </c>
      <c r="D652" s="6" t="n">
        <v>28</v>
      </c>
      <c r="E652" s="4" t="n">
        <f aca="false">INDEX(Evaporasi!$B$5:$B$16,MATCH(B652,Evaporasi!$A$5:$A$16,0))</f>
        <v>148.64</v>
      </c>
      <c r="F652" s="17" t="n">
        <f aca="false">Kawasan!$B$11*Kawasan!$B$9*C652/1000</f>
        <v>881.92</v>
      </c>
      <c r="G652" s="17" t="n">
        <f aca="false">C652*Desain_Kolam!$B$9/1000</f>
        <v>561.005</v>
      </c>
      <c r="H652" s="17" t="n">
        <f aca="false">Kawasan!$B$29*D652</f>
        <v>1290.24</v>
      </c>
      <c r="I652" s="17" t="n">
        <f aca="false">E652*Desain_Kolam!$B$9/1000</f>
        <v>786.6772</v>
      </c>
      <c r="J652" s="17" t="n">
        <f aca="false">F652+G652-H652-I652</f>
        <v>-633.9922</v>
      </c>
      <c r="K652" s="17" t="n">
        <f aca="false">K651+J652</f>
        <v>128707.5549</v>
      </c>
      <c r="L652" s="17" t="n">
        <f aca="false">MAX(L651,K652)</f>
        <v>129717.146725</v>
      </c>
      <c r="M652" s="17" t="n">
        <f aca="false">L652-K652</f>
        <v>1009.591825</v>
      </c>
      <c r="N652" s="17" t="n">
        <f aca="false">MIN(Desain_Kolam!$B$21,MAX(0,N651+F652+G652-H652-I652))</f>
        <v>14813.97485</v>
      </c>
      <c r="O652" s="6" t="n">
        <f aca="false">IF(N651+F652+G652-I652&gt;=H652,1,0)</f>
        <v>1</v>
      </c>
    </row>
    <row r="653" customFormat="false" ht="15" hidden="false" customHeight="false" outlineLevel="0" collapsed="false">
      <c r="A653" s="6" t="n">
        <v>2022</v>
      </c>
      <c r="B653" s="6" t="n">
        <v>3</v>
      </c>
      <c r="C653" s="4" t="n">
        <v>104</v>
      </c>
      <c r="D653" s="6" t="n">
        <v>31</v>
      </c>
      <c r="E653" s="4" t="n">
        <f aca="false">INDEX(Evaporasi!$B$5:$B$16,MATCH(B653,Evaporasi!$A$5:$A$16,0))</f>
        <v>166.18</v>
      </c>
      <c r="F653" s="17" t="n">
        <f aca="false">Kawasan!$B$11*Kawasan!$B$9*C653/1000</f>
        <v>865.28</v>
      </c>
      <c r="G653" s="17" t="n">
        <f aca="false">C653*Desain_Kolam!$B$9/1000</f>
        <v>550.42</v>
      </c>
      <c r="H653" s="17" t="n">
        <f aca="false">Kawasan!$B$29*D653</f>
        <v>1428.48</v>
      </c>
      <c r="I653" s="17" t="n">
        <f aca="false">E653*Desain_Kolam!$B$9/1000</f>
        <v>879.50765</v>
      </c>
      <c r="J653" s="17" t="n">
        <f aca="false">F653+G653-H653-I653</f>
        <v>-892.28765</v>
      </c>
      <c r="K653" s="17" t="n">
        <f aca="false">K652+J653</f>
        <v>127815.26725</v>
      </c>
      <c r="L653" s="17" t="n">
        <f aca="false">MAX(L652,K653)</f>
        <v>129717.146725</v>
      </c>
      <c r="M653" s="17" t="n">
        <f aca="false">L653-K653</f>
        <v>1901.87947499999</v>
      </c>
      <c r="N653" s="17" t="n">
        <f aca="false">MIN(Desain_Kolam!$B$21,MAX(0,N652+F653+G653-H653-I653))</f>
        <v>13921.6872</v>
      </c>
      <c r="O653" s="6" t="n">
        <f aca="false">IF(N652+F653+G653-I653&gt;=H653,1,0)</f>
        <v>1</v>
      </c>
    </row>
    <row r="654" customFormat="false" ht="15" hidden="false" customHeight="false" outlineLevel="0" collapsed="false">
      <c r="A654" s="6" t="n">
        <v>2022</v>
      </c>
      <c r="B654" s="6" t="n">
        <v>4</v>
      </c>
      <c r="C654" s="4" t="n">
        <v>301</v>
      </c>
      <c r="D654" s="6" t="n">
        <v>30</v>
      </c>
      <c r="E654" s="4" t="n">
        <f aca="false">INDEX(Evaporasi!$B$5:$B$16,MATCH(B654,Evaporasi!$A$5:$A$16,0))</f>
        <v>157.75</v>
      </c>
      <c r="F654" s="17" t="n">
        <f aca="false">Kawasan!$B$11*Kawasan!$B$9*C654/1000</f>
        <v>2504.32</v>
      </c>
      <c r="G654" s="17" t="n">
        <f aca="false">C654*Desain_Kolam!$B$9/1000</f>
        <v>1593.0425</v>
      </c>
      <c r="H654" s="17" t="n">
        <f aca="false">Kawasan!$B$29*D654</f>
        <v>1382.4</v>
      </c>
      <c r="I654" s="17" t="n">
        <f aca="false">E654*Desain_Kolam!$B$9/1000</f>
        <v>834.891875</v>
      </c>
      <c r="J654" s="17" t="n">
        <f aca="false">F654+G654-H654-I654</f>
        <v>1880.070625</v>
      </c>
      <c r="K654" s="17" t="n">
        <f aca="false">K653+J654</f>
        <v>129695.337875</v>
      </c>
      <c r="L654" s="17" t="n">
        <f aca="false">MAX(L653,K654)</f>
        <v>129717.146725</v>
      </c>
      <c r="M654" s="17" t="n">
        <f aca="false">L654-K654</f>
        <v>21.8088499999867</v>
      </c>
      <c r="N654" s="17" t="n">
        <f aca="false">MIN(Desain_Kolam!$B$21,MAX(0,N653+F654+G654-H654-I654))</f>
        <v>15801.757825</v>
      </c>
      <c r="O654" s="6" t="n">
        <f aca="false">IF(N653+F654+G654-I654&gt;=H654,1,0)</f>
        <v>1</v>
      </c>
    </row>
    <row r="655" customFormat="false" ht="15" hidden="false" customHeight="false" outlineLevel="0" collapsed="false">
      <c r="A655" s="6" t="n">
        <v>2022</v>
      </c>
      <c r="B655" s="6" t="n">
        <v>5</v>
      </c>
      <c r="C655" s="4" t="n">
        <v>201</v>
      </c>
      <c r="D655" s="6" t="n">
        <v>31</v>
      </c>
      <c r="E655" s="4" t="n">
        <f aca="false">INDEX(Evaporasi!$B$5:$B$16,MATCH(B655,Evaporasi!$A$5:$A$16,0))</f>
        <v>158.35</v>
      </c>
      <c r="F655" s="17" t="n">
        <f aca="false">Kawasan!$B$11*Kawasan!$B$9*C655/1000</f>
        <v>1672.32</v>
      </c>
      <c r="G655" s="17" t="n">
        <f aca="false">C655*Desain_Kolam!$B$9/1000</f>
        <v>1063.7925</v>
      </c>
      <c r="H655" s="17" t="n">
        <f aca="false">Kawasan!$B$29*D655</f>
        <v>1428.48</v>
      </c>
      <c r="I655" s="17" t="n">
        <f aca="false">E655*Desain_Kolam!$B$9/1000</f>
        <v>838.067375</v>
      </c>
      <c r="J655" s="17" t="n">
        <f aca="false">F655+G655-H655-I655</f>
        <v>469.565125</v>
      </c>
      <c r="K655" s="17" t="n">
        <f aca="false">K654+J655</f>
        <v>130164.903</v>
      </c>
      <c r="L655" s="17" t="n">
        <f aca="false">MAX(L654,K655)</f>
        <v>130164.903</v>
      </c>
      <c r="M655" s="17" t="n">
        <f aca="false">L655-K655</f>
        <v>0</v>
      </c>
      <c r="N655" s="17" t="n">
        <f aca="false">MIN(Desain_Kolam!$B$21,MAX(0,N654+F655+G655-H655-I655))</f>
        <v>15823.566675</v>
      </c>
      <c r="O655" s="6" t="n">
        <f aca="false">IF(N654+F655+G655-I655&gt;=H655,1,0)</f>
        <v>1</v>
      </c>
    </row>
    <row r="656" customFormat="false" ht="15" hidden="false" customHeight="false" outlineLevel="0" collapsed="false">
      <c r="A656" s="6" t="n">
        <v>2022</v>
      </c>
      <c r="B656" s="6" t="n">
        <v>6</v>
      </c>
      <c r="C656" s="4" t="n">
        <v>293</v>
      </c>
      <c r="D656" s="6" t="n">
        <v>30</v>
      </c>
      <c r="E656" s="4" t="n">
        <f aca="false">INDEX(Evaporasi!$B$5:$B$16,MATCH(B656,Evaporasi!$A$5:$A$16,0))</f>
        <v>150.17</v>
      </c>
      <c r="F656" s="17" t="n">
        <f aca="false">Kawasan!$B$11*Kawasan!$B$9*C656/1000</f>
        <v>2437.76</v>
      </c>
      <c r="G656" s="17" t="n">
        <f aca="false">C656*Desain_Kolam!$B$9/1000</f>
        <v>1550.7025</v>
      </c>
      <c r="H656" s="17" t="n">
        <f aca="false">Kawasan!$B$29*D656</f>
        <v>1382.4</v>
      </c>
      <c r="I656" s="17" t="n">
        <f aca="false">E656*Desain_Kolam!$B$9/1000</f>
        <v>794.774725</v>
      </c>
      <c r="J656" s="17" t="n">
        <f aca="false">F656+G656-H656-I656</f>
        <v>1811.287775</v>
      </c>
      <c r="K656" s="17" t="n">
        <f aca="false">K655+J656</f>
        <v>131976.190775</v>
      </c>
      <c r="L656" s="17" t="n">
        <f aca="false">MAX(L655,K656)</f>
        <v>131976.190775</v>
      </c>
      <c r="M656" s="17" t="n">
        <f aca="false">L656-K656</f>
        <v>0</v>
      </c>
      <c r="N656" s="17" t="n">
        <f aca="false">MIN(Desain_Kolam!$B$21,MAX(0,N655+F656+G656-H656-I656))</f>
        <v>15823.566675</v>
      </c>
      <c r="O656" s="6" t="n">
        <f aca="false">IF(N655+F656+G656-I656&gt;=H656,1,0)</f>
        <v>1</v>
      </c>
    </row>
    <row r="657" customFormat="false" ht="15" hidden="false" customHeight="false" outlineLevel="0" collapsed="false">
      <c r="A657" s="6" t="n">
        <v>2022</v>
      </c>
      <c r="B657" s="6" t="n">
        <v>7</v>
      </c>
      <c r="C657" s="4" t="n">
        <v>272</v>
      </c>
      <c r="D657" s="6" t="n">
        <v>31</v>
      </c>
      <c r="E657" s="4" t="n">
        <f aca="false">INDEX(Evaporasi!$B$5:$B$16,MATCH(B657,Evaporasi!$A$5:$A$16,0))</f>
        <v>160.84</v>
      </c>
      <c r="F657" s="17" t="n">
        <f aca="false">Kawasan!$B$11*Kawasan!$B$9*C657/1000</f>
        <v>2263.04</v>
      </c>
      <c r="G657" s="17" t="n">
        <f aca="false">C657*Desain_Kolam!$B$9/1000</f>
        <v>1439.56</v>
      </c>
      <c r="H657" s="17" t="n">
        <f aca="false">Kawasan!$B$29*D657</f>
        <v>1428.48</v>
      </c>
      <c r="I657" s="17" t="n">
        <f aca="false">E657*Desain_Kolam!$B$9/1000</f>
        <v>851.2457</v>
      </c>
      <c r="J657" s="17" t="n">
        <f aca="false">F657+G657-H657-I657</f>
        <v>1422.8743</v>
      </c>
      <c r="K657" s="17" t="n">
        <f aca="false">K656+J657</f>
        <v>133399.065075</v>
      </c>
      <c r="L657" s="17" t="n">
        <f aca="false">MAX(L656,K657)</f>
        <v>133399.065075</v>
      </c>
      <c r="M657" s="17" t="n">
        <f aca="false">L657-K657</f>
        <v>0</v>
      </c>
      <c r="N657" s="17" t="n">
        <f aca="false">MIN(Desain_Kolam!$B$21,MAX(0,N656+F657+G657-H657-I657))</f>
        <v>15823.566675</v>
      </c>
      <c r="O657" s="6" t="n">
        <f aca="false">IF(N656+F657+G657-I657&gt;=H657,1,0)</f>
        <v>1</v>
      </c>
    </row>
    <row r="658" customFormat="false" ht="15" hidden="false" customHeight="false" outlineLevel="0" collapsed="false">
      <c r="A658" s="6" t="n">
        <v>2022</v>
      </c>
      <c r="B658" s="6" t="n">
        <v>8</v>
      </c>
      <c r="C658" s="4" t="n">
        <v>354</v>
      </c>
      <c r="D658" s="6" t="n">
        <v>31</v>
      </c>
      <c r="E658" s="4" t="n">
        <f aca="false">INDEX(Evaporasi!$B$5:$B$16,MATCH(B658,Evaporasi!$A$5:$A$16,0))</f>
        <v>161.16</v>
      </c>
      <c r="F658" s="17" t="n">
        <f aca="false">Kawasan!$B$11*Kawasan!$B$9*C658/1000</f>
        <v>2945.28</v>
      </c>
      <c r="G658" s="17" t="n">
        <f aca="false">C658*Desain_Kolam!$B$9/1000</f>
        <v>1873.545</v>
      </c>
      <c r="H658" s="17" t="n">
        <f aca="false">Kawasan!$B$29*D658</f>
        <v>1428.48</v>
      </c>
      <c r="I658" s="17" t="n">
        <f aca="false">E658*Desain_Kolam!$B$9/1000</f>
        <v>852.9393</v>
      </c>
      <c r="J658" s="17" t="n">
        <f aca="false">F658+G658-H658-I658</f>
        <v>2537.4057</v>
      </c>
      <c r="K658" s="17" t="n">
        <f aca="false">K657+J658</f>
        <v>135936.470775</v>
      </c>
      <c r="L658" s="17" t="n">
        <f aca="false">MAX(L657,K658)</f>
        <v>135936.470775</v>
      </c>
      <c r="M658" s="17" t="n">
        <f aca="false">L658-K658</f>
        <v>0</v>
      </c>
      <c r="N658" s="17" t="n">
        <f aca="false">MIN(Desain_Kolam!$B$21,MAX(0,N657+F658+G658-H658-I658))</f>
        <v>15823.566675</v>
      </c>
      <c r="O658" s="6" t="n">
        <f aca="false">IF(N657+F658+G658-I658&gt;=H658,1,0)</f>
        <v>1</v>
      </c>
    </row>
    <row r="659" customFormat="false" ht="15" hidden="false" customHeight="false" outlineLevel="0" collapsed="false">
      <c r="A659" s="6" t="n">
        <v>2022</v>
      </c>
      <c r="B659" s="6" t="n">
        <v>9</v>
      </c>
      <c r="C659" s="4" t="n">
        <v>275</v>
      </c>
      <c r="D659" s="6" t="n">
        <v>30</v>
      </c>
      <c r="E659" s="4" t="n">
        <f aca="false">INDEX(Evaporasi!$B$5:$B$16,MATCH(B659,Evaporasi!$A$5:$A$16,0))</f>
        <v>159.21</v>
      </c>
      <c r="F659" s="17" t="n">
        <f aca="false">Kawasan!$B$11*Kawasan!$B$9*C659/1000</f>
        <v>2288</v>
      </c>
      <c r="G659" s="17" t="n">
        <f aca="false">C659*Desain_Kolam!$B$9/1000</f>
        <v>1455.4375</v>
      </c>
      <c r="H659" s="17" t="n">
        <f aca="false">Kawasan!$B$29*D659</f>
        <v>1382.4</v>
      </c>
      <c r="I659" s="17" t="n">
        <f aca="false">E659*Desain_Kolam!$B$9/1000</f>
        <v>842.618925</v>
      </c>
      <c r="J659" s="17" t="n">
        <f aca="false">F659+G659-H659-I659</f>
        <v>1518.418575</v>
      </c>
      <c r="K659" s="17" t="n">
        <f aca="false">K658+J659</f>
        <v>137454.88935</v>
      </c>
      <c r="L659" s="17" t="n">
        <f aca="false">MAX(L658,K659)</f>
        <v>137454.88935</v>
      </c>
      <c r="M659" s="17" t="n">
        <f aca="false">L659-K659</f>
        <v>0</v>
      </c>
      <c r="N659" s="17" t="n">
        <f aca="false">MIN(Desain_Kolam!$B$21,MAX(0,N658+F659+G659-H659-I659))</f>
        <v>15823.566675</v>
      </c>
      <c r="O659" s="6" t="n">
        <f aca="false">IF(N658+F659+G659-I659&gt;=H659,1,0)</f>
        <v>1</v>
      </c>
    </row>
    <row r="660" customFormat="false" ht="15" hidden="false" customHeight="false" outlineLevel="0" collapsed="false">
      <c r="A660" s="6" t="n">
        <v>2022</v>
      </c>
      <c r="B660" s="6" t="n">
        <v>10</v>
      </c>
      <c r="C660" s="4" t="n">
        <v>423</v>
      </c>
      <c r="D660" s="6" t="n">
        <v>31</v>
      </c>
      <c r="E660" s="4" t="n">
        <f aca="false">INDEX(Evaporasi!$B$5:$B$16,MATCH(B660,Evaporasi!$A$5:$A$16,0))</f>
        <v>151.5</v>
      </c>
      <c r="F660" s="17" t="n">
        <f aca="false">Kawasan!$B$11*Kawasan!$B$9*C660/1000</f>
        <v>3519.36</v>
      </c>
      <c r="G660" s="17" t="n">
        <f aca="false">C660*Desain_Kolam!$B$9/1000</f>
        <v>2238.7275</v>
      </c>
      <c r="H660" s="17" t="n">
        <f aca="false">Kawasan!$B$29*D660</f>
        <v>1428.48</v>
      </c>
      <c r="I660" s="17" t="n">
        <f aca="false">E660*Desain_Kolam!$B$9/1000</f>
        <v>801.81375</v>
      </c>
      <c r="J660" s="17" t="n">
        <f aca="false">F660+G660-H660-I660</f>
        <v>3527.79375</v>
      </c>
      <c r="K660" s="17" t="n">
        <f aca="false">K659+J660</f>
        <v>140982.6831</v>
      </c>
      <c r="L660" s="17" t="n">
        <f aca="false">MAX(L659,K660)</f>
        <v>140982.6831</v>
      </c>
      <c r="M660" s="17" t="n">
        <f aca="false">L660-K660</f>
        <v>0</v>
      </c>
      <c r="N660" s="17" t="n">
        <f aca="false">MIN(Desain_Kolam!$B$21,MAX(0,N659+F660+G660-H660-I660))</f>
        <v>15823.566675</v>
      </c>
      <c r="O660" s="6" t="n">
        <f aca="false">IF(N659+F660+G660-I660&gt;=H660,1,0)</f>
        <v>1</v>
      </c>
    </row>
    <row r="661" customFormat="false" ht="15" hidden="false" customHeight="false" outlineLevel="0" collapsed="false">
      <c r="A661" s="6" t="n">
        <v>2022</v>
      </c>
      <c r="B661" s="6" t="n">
        <v>11</v>
      </c>
      <c r="C661" s="4" t="n">
        <v>237</v>
      </c>
      <c r="D661" s="6" t="n">
        <v>30</v>
      </c>
      <c r="E661" s="4" t="n">
        <f aca="false">INDEX(Evaporasi!$B$5:$B$16,MATCH(B661,Evaporasi!$A$5:$A$16,0))</f>
        <v>142.3</v>
      </c>
      <c r="F661" s="17" t="n">
        <f aca="false">Kawasan!$B$11*Kawasan!$B$9*C661/1000</f>
        <v>1971.84</v>
      </c>
      <c r="G661" s="17" t="n">
        <f aca="false">C661*Desain_Kolam!$B$9/1000</f>
        <v>1254.3225</v>
      </c>
      <c r="H661" s="17" t="n">
        <f aca="false">Kawasan!$B$29*D661</f>
        <v>1382.4</v>
      </c>
      <c r="I661" s="17" t="n">
        <f aca="false">E661*Desain_Kolam!$B$9/1000</f>
        <v>753.12275</v>
      </c>
      <c r="J661" s="17" t="n">
        <f aca="false">F661+G661-H661-I661</f>
        <v>1090.63975</v>
      </c>
      <c r="K661" s="17" t="n">
        <f aca="false">K660+J661</f>
        <v>142073.32285</v>
      </c>
      <c r="L661" s="17" t="n">
        <f aca="false">MAX(L660,K661)</f>
        <v>142073.32285</v>
      </c>
      <c r="M661" s="17" t="n">
        <f aca="false">L661-K661</f>
        <v>0</v>
      </c>
      <c r="N661" s="17" t="n">
        <f aca="false">MIN(Desain_Kolam!$B$21,MAX(0,N660+F661+G661-H661-I661))</f>
        <v>15823.566675</v>
      </c>
      <c r="O661" s="6" t="n">
        <f aca="false">IF(N660+F661+G661-I661&gt;=H661,1,0)</f>
        <v>1</v>
      </c>
    </row>
    <row r="662" customFormat="false" ht="15" hidden="false" customHeight="false" outlineLevel="0" collapsed="false">
      <c r="A662" s="6" t="n">
        <v>2022</v>
      </c>
      <c r="B662" s="6" t="n">
        <v>12</v>
      </c>
      <c r="C662" s="4" t="n">
        <v>215</v>
      </c>
      <c r="D662" s="6" t="n">
        <v>31</v>
      </c>
      <c r="E662" s="4" t="n">
        <f aca="false">INDEX(Evaporasi!$B$5:$B$16,MATCH(B662,Evaporasi!$A$5:$A$16,0))</f>
        <v>145.07</v>
      </c>
      <c r="F662" s="17" t="n">
        <f aca="false">Kawasan!$B$11*Kawasan!$B$9*C662/1000</f>
        <v>1788.8</v>
      </c>
      <c r="G662" s="17" t="n">
        <f aca="false">C662*Desain_Kolam!$B$9/1000</f>
        <v>1137.8875</v>
      </c>
      <c r="H662" s="17" t="n">
        <f aca="false">Kawasan!$B$29*D662</f>
        <v>1428.48</v>
      </c>
      <c r="I662" s="17" t="n">
        <f aca="false">E662*Desain_Kolam!$B$9/1000</f>
        <v>767.782975</v>
      </c>
      <c r="J662" s="17" t="n">
        <f aca="false">F662+G662-H662-I662</f>
        <v>730.424525</v>
      </c>
      <c r="K662" s="17" t="n">
        <f aca="false">K661+J662</f>
        <v>142803.747375</v>
      </c>
      <c r="L662" s="17" t="n">
        <f aca="false">MAX(L661,K662)</f>
        <v>142803.747375</v>
      </c>
      <c r="M662" s="17" t="n">
        <f aca="false">L662-K662</f>
        <v>0</v>
      </c>
      <c r="N662" s="17" t="n">
        <f aca="false">MIN(Desain_Kolam!$B$21,MAX(0,N661+F662+G662-H662-I662))</f>
        <v>15823.566675</v>
      </c>
      <c r="O662" s="6" t="n">
        <f aca="false">IF(N661+F662+G662-I662&gt;=H662,1,0)</f>
        <v>1</v>
      </c>
    </row>
    <row r="663" customFormat="false" ht="15" hidden="false" customHeight="false" outlineLevel="0" collapsed="false">
      <c r="A663" s="6" t="n">
        <v>2023</v>
      </c>
      <c r="B663" s="6" t="n">
        <v>1</v>
      </c>
      <c r="C663" s="4" t="n">
        <v>258</v>
      </c>
      <c r="D663" s="6" t="n">
        <v>31</v>
      </c>
      <c r="E663" s="4" t="n">
        <f aca="false">INDEX(Evaporasi!$B$5:$B$16,MATCH(B663,Evaporasi!$A$5:$A$16,0))</f>
        <v>149.98</v>
      </c>
      <c r="F663" s="17" t="n">
        <f aca="false">Kawasan!$B$11*Kawasan!$B$9*C663/1000</f>
        <v>2146.56</v>
      </c>
      <c r="G663" s="17" t="n">
        <f aca="false">C663*Desain_Kolam!$B$9/1000</f>
        <v>1365.465</v>
      </c>
      <c r="H663" s="17" t="n">
        <f aca="false">Kawasan!$B$29*D663</f>
        <v>1428.48</v>
      </c>
      <c r="I663" s="17" t="n">
        <f aca="false">E663*Desain_Kolam!$B$9/1000</f>
        <v>793.76915</v>
      </c>
      <c r="J663" s="17" t="n">
        <f aca="false">F663+G663-H663-I663</f>
        <v>1289.77585</v>
      </c>
      <c r="K663" s="17" t="n">
        <f aca="false">K662+J663</f>
        <v>144093.523225</v>
      </c>
      <c r="L663" s="17" t="n">
        <f aca="false">MAX(L662,K663)</f>
        <v>144093.523225</v>
      </c>
      <c r="M663" s="17" t="n">
        <f aca="false">L663-K663</f>
        <v>0</v>
      </c>
      <c r="N663" s="17" t="n">
        <f aca="false">MIN(Desain_Kolam!$B$21,MAX(0,N662+F663+G663-H663-I663))</f>
        <v>15823.566675</v>
      </c>
      <c r="O663" s="6" t="n">
        <f aca="false">IF(N662+F663+G663-I663&gt;=H663,1,0)</f>
        <v>1</v>
      </c>
    </row>
    <row r="664" customFormat="false" ht="15" hidden="false" customHeight="false" outlineLevel="0" collapsed="false">
      <c r="A664" s="6" t="n">
        <v>2023</v>
      </c>
      <c r="B664" s="6" t="n">
        <v>2</v>
      </c>
      <c r="C664" s="4" t="n">
        <v>185</v>
      </c>
      <c r="D664" s="6" t="n">
        <v>28</v>
      </c>
      <c r="E664" s="4" t="n">
        <f aca="false">INDEX(Evaporasi!$B$5:$B$16,MATCH(B664,Evaporasi!$A$5:$A$16,0))</f>
        <v>148.64</v>
      </c>
      <c r="F664" s="17" t="n">
        <f aca="false">Kawasan!$B$11*Kawasan!$B$9*C664/1000</f>
        <v>1539.2</v>
      </c>
      <c r="G664" s="17" t="n">
        <f aca="false">C664*Desain_Kolam!$B$9/1000</f>
        <v>979.1125</v>
      </c>
      <c r="H664" s="17" t="n">
        <f aca="false">Kawasan!$B$29*D664</f>
        <v>1290.24</v>
      </c>
      <c r="I664" s="17" t="n">
        <f aca="false">E664*Desain_Kolam!$B$9/1000</f>
        <v>786.6772</v>
      </c>
      <c r="J664" s="17" t="n">
        <f aca="false">F664+G664-H664-I664</f>
        <v>441.3953</v>
      </c>
      <c r="K664" s="17" t="n">
        <f aca="false">K663+J664</f>
        <v>144534.918525</v>
      </c>
      <c r="L664" s="17" t="n">
        <f aca="false">MAX(L663,K664)</f>
        <v>144534.918525</v>
      </c>
      <c r="M664" s="17" t="n">
        <f aca="false">L664-K664</f>
        <v>0</v>
      </c>
      <c r="N664" s="17" t="n">
        <f aca="false">MIN(Desain_Kolam!$B$21,MAX(0,N663+F664+G664-H664-I664))</f>
        <v>15823.566675</v>
      </c>
      <c r="O664" s="6" t="n">
        <f aca="false">IF(N663+F664+G664-I664&gt;=H664,1,0)</f>
        <v>1</v>
      </c>
    </row>
    <row r="665" customFormat="false" ht="15" hidden="false" customHeight="false" outlineLevel="0" collapsed="false">
      <c r="A665" s="6" t="n">
        <v>2023</v>
      </c>
      <c r="B665" s="6" t="n">
        <v>3</v>
      </c>
      <c r="C665" s="4" t="n">
        <v>309</v>
      </c>
      <c r="D665" s="6" t="n">
        <v>31</v>
      </c>
      <c r="E665" s="4" t="n">
        <f aca="false">INDEX(Evaporasi!$B$5:$B$16,MATCH(B665,Evaporasi!$A$5:$A$16,0))</f>
        <v>166.18</v>
      </c>
      <c r="F665" s="17" t="n">
        <f aca="false">Kawasan!$B$11*Kawasan!$B$9*C665/1000</f>
        <v>2570.88</v>
      </c>
      <c r="G665" s="17" t="n">
        <f aca="false">C665*Desain_Kolam!$B$9/1000</f>
        <v>1635.3825</v>
      </c>
      <c r="H665" s="17" t="n">
        <f aca="false">Kawasan!$B$29*D665</f>
        <v>1428.48</v>
      </c>
      <c r="I665" s="17" t="n">
        <f aca="false">E665*Desain_Kolam!$B$9/1000</f>
        <v>879.50765</v>
      </c>
      <c r="J665" s="17" t="n">
        <f aca="false">F665+G665-H665-I665</f>
        <v>1898.27485</v>
      </c>
      <c r="K665" s="17" t="n">
        <f aca="false">K664+J665</f>
        <v>146433.193375</v>
      </c>
      <c r="L665" s="17" t="n">
        <f aca="false">MAX(L664,K665)</f>
        <v>146433.193375</v>
      </c>
      <c r="M665" s="17" t="n">
        <f aca="false">L665-K665</f>
        <v>0</v>
      </c>
      <c r="N665" s="17" t="n">
        <f aca="false">MIN(Desain_Kolam!$B$21,MAX(0,N664+F665+G665-H665-I665))</f>
        <v>15823.566675</v>
      </c>
      <c r="O665" s="6" t="n">
        <f aca="false">IF(N664+F665+G665-I665&gt;=H665,1,0)</f>
        <v>1</v>
      </c>
    </row>
    <row r="666" customFormat="false" ht="15" hidden="false" customHeight="false" outlineLevel="0" collapsed="false">
      <c r="A666" s="6" t="n">
        <v>2023</v>
      </c>
      <c r="B666" s="6" t="n">
        <v>4</v>
      </c>
      <c r="C666" s="4" t="n">
        <v>189</v>
      </c>
      <c r="D666" s="6" t="n">
        <v>30</v>
      </c>
      <c r="E666" s="4" t="n">
        <f aca="false">INDEX(Evaporasi!$B$5:$B$16,MATCH(B666,Evaporasi!$A$5:$A$16,0))</f>
        <v>157.75</v>
      </c>
      <c r="F666" s="17" t="n">
        <f aca="false">Kawasan!$B$11*Kawasan!$B$9*C666/1000</f>
        <v>1572.48</v>
      </c>
      <c r="G666" s="17" t="n">
        <f aca="false">C666*Desain_Kolam!$B$9/1000</f>
        <v>1000.2825</v>
      </c>
      <c r="H666" s="17" t="n">
        <f aca="false">Kawasan!$B$29*D666</f>
        <v>1382.4</v>
      </c>
      <c r="I666" s="17" t="n">
        <f aca="false">E666*Desain_Kolam!$B$9/1000</f>
        <v>834.891875</v>
      </c>
      <c r="J666" s="17" t="n">
        <f aca="false">F666+G666-H666-I666</f>
        <v>355.470625</v>
      </c>
      <c r="K666" s="17" t="n">
        <f aca="false">K665+J666</f>
        <v>146788.664</v>
      </c>
      <c r="L666" s="17" t="n">
        <f aca="false">MAX(L665,K666)</f>
        <v>146788.664</v>
      </c>
      <c r="M666" s="17" t="n">
        <f aca="false">L666-K666</f>
        <v>0</v>
      </c>
      <c r="N666" s="17" t="n">
        <f aca="false">MIN(Desain_Kolam!$B$21,MAX(0,N665+F666+G666-H666-I666))</f>
        <v>15823.566675</v>
      </c>
      <c r="O666" s="6" t="n">
        <f aca="false">IF(N665+F666+G666-I666&gt;=H666,1,0)</f>
        <v>1</v>
      </c>
    </row>
    <row r="667" customFormat="false" ht="15" hidden="false" customHeight="false" outlineLevel="0" collapsed="false">
      <c r="A667" s="6" t="n">
        <v>2023</v>
      </c>
      <c r="B667" s="6" t="n">
        <v>5</v>
      </c>
      <c r="C667" s="4" t="n">
        <v>333</v>
      </c>
      <c r="D667" s="6" t="n">
        <v>31</v>
      </c>
      <c r="E667" s="4" t="n">
        <f aca="false">INDEX(Evaporasi!$B$5:$B$16,MATCH(B667,Evaporasi!$A$5:$A$16,0))</f>
        <v>158.35</v>
      </c>
      <c r="F667" s="17" t="n">
        <f aca="false">Kawasan!$B$11*Kawasan!$B$9*C667/1000</f>
        <v>2770.56</v>
      </c>
      <c r="G667" s="17" t="n">
        <f aca="false">C667*Desain_Kolam!$B$9/1000</f>
        <v>1762.4025</v>
      </c>
      <c r="H667" s="17" t="n">
        <f aca="false">Kawasan!$B$29*D667</f>
        <v>1428.48</v>
      </c>
      <c r="I667" s="17" t="n">
        <f aca="false">E667*Desain_Kolam!$B$9/1000</f>
        <v>838.067375</v>
      </c>
      <c r="J667" s="17" t="n">
        <f aca="false">F667+G667-H667-I667</f>
        <v>2266.415125</v>
      </c>
      <c r="K667" s="17" t="n">
        <f aca="false">K666+J667</f>
        <v>149055.079125</v>
      </c>
      <c r="L667" s="17" t="n">
        <f aca="false">MAX(L666,K667)</f>
        <v>149055.079125</v>
      </c>
      <c r="M667" s="17" t="n">
        <f aca="false">L667-K667</f>
        <v>0</v>
      </c>
      <c r="N667" s="17" t="n">
        <f aca="false">MIN(Desain_Kolam!$B$21,MAX(0,N666+F667+G667-H667-I667))</f>
        <v>15823.566675</v>
      </c>
      <c r="O667" s="6" t="n">
        <f aca="false">IF(N666+F667+G667-I667&gt;=H667,1,0)</f>
        <v>1</v>
      </c>
    </row>
    <row r="668" customFormat="false" ht="15" hidden="false" customHeight="false" outlineLevel="0" collapsed="false">
      <c r="A668" s="6" t="n">
        <v>2023</v>
      </c>
      <c r="B668" s="6" t="n">
        <v>6</v>
      </c>
      <c r="C668" s="4" t="n">
        <v>263</v>
      </c>
      <c r="D668" s="6" t="n">
        <v>30</v>
      </c>
      <c r="E668" s="4" t="n">
        <f aca="false">INDEX(Evaporasi!$B$5:$B$16,MATCH(B668,Evaporasi!$A$5:$A$16,0))</f>
        <v>150.17</v>
      </c>
      <c r="F668" s="17" t="n">
        <f aca="false">Kawasan!$B$11*Kawasan!$B$9*C668/1000</f>
        <v>2188.16</v>
      </c>
      <c r="G668" s="17" t="n">
        <f aca="false">C668*Desain_Kolam!$B$9/1000</f>
        <v>1391.9275</v>
      </c>
      <c r="H668" s="17" t="n">
        <f aca="false">Kawasan!$B$29*D668</f>
        <v>1382.4</v>
      </c>
      <c r="I668" s="17" t="n">
        <f aca="false">E668*Desain_Kolam!$B$9/1000</f>
        <v>794.774725</v>
      </c>
      <c r="J668" s="17" t="n">
        <f aca="false">F668+G668-H668-I668</f>
        <v>1402.912775</v>
      </c>
      <c r="K668" s="17" t="n">
        <f aca="false">K667+J668</f>
        <v>150457.9919</v>
      </c>
      <c r="L668" s="17" t="n">
        <f aca="false">MAX(L667,K668)</f>
        <v>150457.9919</v>
      </c>
      <c r="M668" s="17" t="n">
        <f aca="false">L668-K668</f>
        <v>0</v>
      </c>
      <c r="N668" s="17" t="n">
        <f aca="false">MIN(Desain_Kolam!$B$21,MAX(0,N667+F668+G668-H668-I668))</f>
        <v>15823.566675</v>
      </c>
      <c r="O668" s="6" t="n">
        <f aca="false">IF(N667+F668+G668-I668&gt;=H668,1,0)</f>
        <v>1</v>
      </c>
    </row>
    <row r="669" customFormat="false" ht="15" hidden="false" customHeight="false" outlineLevel="0" collapsed="false">
      <c r="A669" s="6" t="n">
        <v>2023</v>
      </c>
      <c r="B669" s="6" t="n">
        <v>7</v>
      </c>
      <c r="C669" s="4" t="n">
        <v>405</v>
      </c>
      <c r="D669" s="6" t="n">
        <v>31</v>
      </c>
      <c r="E669" s="4" t="n">
        <f aca="false">INDEX(Evaporasi!$B$5:$B$16,MATCH(B669,Evaporasi!$A$5:$A$16,0))</f>
        <v>160.84</v>
      </c>
      <c r="F669" s="17" t="n">
        <f aca="false">Kawasan!$B$11*Kawasan!$B$9*C669/1000</f>
        <v>3369.6</v>
      </c>
      <c r="G669" s="17" t="n">
        <f aca="false">C669*Desain_Kolam!$B$9/1000</f>
        <v>2143.4625</v>
      </c>
      <c r="H669" s="17" t="n">
        <f aca="false">Kawasan!$B$29*D669</f>
        <v>1428.48</v>
      </c>
      <c r="I669" s="17" t="n">
        <f aca="false">E669*Desain_Kolam!$B$9/1000</f>
        <v>851.2457</v>
      </c>
      <c r="J669" s="17" t="n">
        <f aca="false">F669+G669-H669-I669</f>
        <v>3233.3368</v>
      </c>
      <c r="K669" s="17" t="n">
        <f aca="false">K668+J669</f>
        <v>153691.3287</v>
      </c>
      <c r="L669" s="17" t="n">
        <f aca="false">MAX(L668,K669)</f>
        <v>153691.3287</v>
      </c>
      <c r="M669" s="17" t="n">
        <f aca="false">L669-K669</f>
        <v>0</v>
      </c>
      <c r="N669" s="17" t="n">
        <f aca="false">MIN(Desain_Kolam!$B$21,MAX(0,N668+F669+G669-H669-I669))</f>
        <v>15823.566675</v>
      </c>
      <c r="O669" s="6" t="n">
        <f aca="false">IF(N668+F669+G669-I669&gt;=H669,1,0)</f>
        <v>1</v>
      </c>
    </row>
    <row r="670" customFormat="false" ht="15" hidden="false" customHeight="false" outlineLevel="0" collapsed="false">
      <c r="A670" s="6" t="n">
        <v>2023</v>
      </c>
      <c r="B670" s="6" t="n">
        <v>8</v>
      </c>
      <c r="C670" s="4" t="n">
        <v>164</v>
      </c>
      <c r="D670" s="6" t="n">
        <v>31</v>
      </c>
      <c r="E670" s="4" t="n">
        <f aca="false">INDEX(Evaporasi!$B$5:$B$16,MATCH(B670,Evaporasi!$A$5:$A$16,0))</f>
        <v>161.16</v>
      </c>
      <c r="F670" s="17" t="n">
        <f aca="false">Kawasan!$B$11*Kawasan!$B$9*C670/1000</f>
        <v>1364.48</v>
      </c>
      <c r="G670" s="17" t="n">
        <f aca="false">C670*Desain_Kolam!$B$9/1000</f>
        <v>867.97</v>
      </c>
      <c r="H670" s="17" t="n">
        <f aca="false">Kawasan!$B$29*D670</f>
        <v>1428.48</v>
      </c>
      <c r="I670" s="17" t="n">
        <f aca="false">E670*Desain_Kolam!$B$9/1000</f>
        <v>852.9393</v>
      </c>
      <c r="J670" s="17" t="n">
        <f aca="false">F670+G670-H670-I670</f>
        <v>-48.9693000000001</v>
      </c>
      <c r="K670" s="17" t="n">
        <f aca="false">K669+J670</f>
        <v>153642.3594</v>
      </c>
      <c r="L670" s="17" t="n">
        <f aca="false">MAX(L669,K670)</f>
        <v>153691.3287</v>
      </c>
      <c r="M670" s="17" t="n">
        <f aca="false">L670-K670</f>
        <v>48.969299999997</v>
      </c>
      <c r="N670" s="17" t="n">
        <f aca="false">MIN(Desain_Kolam!$B$21,MAX(0,N669+F670+G670-H670-I670))</f>
        <v>15774.597375</v>
      </c>
      <c r="O670" s="6" t="n">
        <f aca="false">IF(N669+F670+G670-I670&gt;=H670,1,0)</f>
        <v>1</v>
      </c>
    </row>
    <row r="671" customFormat="false" ht="15" hidden="false" customHeight="false" outlineLevel="0" collapsed="false">
      <c r="A671" s="6" t="n">
        <v>2023</v>
      </c>
      <c r="B671" s="6" t="n">
        <v>9</v>
      </c>
      <c r="C671" s="4" t="n">
        <v>218</v>
      </c>
      <c r="D671" s="6" t="n">
        <v>30</v>
      </c>
      <c r="E671" s="4" t="n">
        <f aca="false">INDEX(Evaporasi!$B$5:$B$16,MATCH(B671,Evaporasi!$A$5:$A$16,0))</f>
        <v>159.21</v>
      </c>
      <c r="F671" s="17" t="n">
        <f aca="false">Kawasan!$B$11*Kawasan!$B$9*C671/1000</f>
        <v>1813.76</v>
      </c>
      <c r="G671" s="17" t="n">
        <f aca="false">C671*Desain_Kolam!$B$9/1000</f>
        <v>1153.765</v>
      </c>
      <c r="H671" s="17" t="n">
        <f aca="false">Kawasan!$B$29*D671</f>
        <v>1382.4</v>
      </c>
      <c r="I671" s="17" t="n">
        <f aca="false">E671*Desain_Kolam!$B$9/1000</f>
        <v>842.618925</v>
      </c>
      <c r="J671" s="17" t="n">
        <f aca="false">F671+G671-H671-I671</f>
        <v>742.506075</v>
      </c>
      <c r="K671" s="17" t="n">
        <f aca="false">K670+J671</f>
        <v>154384.865475</v>
      </c>
      <c r="L671" s="17" t="n">
        <f aca="false">MAX(L670,K671)</f>
        <v>154384.865475</v>
      </c>
      <c r="M671" s="17" t="n">
        <f aca="false">L671-K671</f>
        <v>0</v>
      </c>
      <c r="N671" s="17" t="n">
        <f aca="false">MIN(Desain_Kolam!$B$21,MAX(0,N670+F671+G671-H671-I671))</f>
        <v>15823.566675</v>
      </c>
      <c r="O671" s="6" t="n">
        <f aca="false">IF(N670+F671+G671-I671&gt;=H671,1,0)</f>
        <v>1</v>
      </c>
    </row>
    <row r="672" customFormat="false" ht="15" hidden="false" customHeight="false" outlineLevel="0" collapsed="false">
      <c r="A672" s="6" t="n">
        <v>2023</v>
      </c>
      <c r="B672" s="6" t="n">
        <v>10</v>
      </c>
      <c r="C672" s="4" t="n">
        <v>250</v>
      </c>
      <c r="D672" s="6" t="n">
        <v>31</v>
      </c>
      <c r="E672" s="4" t="n">
        <f aca="false">INDEX(Evaporasi!$B$5:$B$16,MATCH(B672,Evaporasi!$A$5:$A$16,0))</f>
        <v>151.5</v>
      </c>
      <c r="F672" s="17" t="n">
        <f aca="false">Kawasan!$B$11*Kawasan!$B$9*C672/1000</f>
        <v>2080</v>
      </c>
      <c r="G672" s="17" t="n">
        <f aca="false">C672*Desain_Kolam!$B$9/1000</f>
        <v>1323.125</v>
      </c>
      <c r="H672" s="17" t="n">
        <f aca="false">Kawasan!$B$29*D672</f>
        <v>1428.48</v>
      </c>
      <c r="I672" s="17" t="n">
        <f aca="false">E672*Desain_Kolam!$B$9/1000</f>
        <v>801.81375</v>
      </c>
      <c r="J672" s="17" t="n">
        <f aca="false">F672+G672-H672-I672</f>
        <v>1172.83125</v>
      </c>
      <c r="K672" s="17" t="n">
        <f aca="false">K671+J672</f>
        <v>155557.696725</v>
      </c>
      <c r="L672" s="17" t="n">
        <f aca="false">MAX(L671,K672)</f>
        <v>155557.696725</v>
      </c>
      <c r="M672" s="17" t="n">
        <f aca="false">L672-K672</f>
        <v>0</v>
      </c>
      <c r="N672" s="17" t="n">
        <f aca="false">MIN(Desain_Kolam!$B$21,MAX(0,N671+F672+G672-H672-I672))</f>
        <v>15823.566675</v>
      </c>
      <c r="O672" s="6" t="n">
        <f aca="false">IF(N671+F672+G672-I672&gt;=H672,1,0)</f>
        <v>1</v>
      </c>
    </row>
    <row r="673" customFormat="false" ht="15" hidden="false" customHeight="false" outlineLevel="0" collapsed="false">
      <c r="A673" s="6" t="n">
        <v>2023</v>
      </c>
      <c r="B673" s="6" t="n">
        <v>11</v>
      </c>
      <c r="C673" s="4" t="n">
        <v>265</v>
      </c>
      <c r="D673" s="6" t="n">
        <v>30</v>
      </c>
      <c r="E673" s="4" t="n">
        <f aca="false">INDEX(Evaporasi!$B$5:$B$16,MATCH(B673,Evaporasi!$A$5:$A$16,0))</f>
        <v>142.3</v>
      </c>
      <c r="F673" s="17" t="n">
        <f aca="false">Kawasan!$B$11*Kawasan!$B$9*C673/1000</f>
        <v>2204.8</v>
      </c>
      <c r="G673" s="17" t="n">
        <f aca="false">C673*Desain_Kolam!$B$9/1000</f>
        <v>1402.5125</v>
      </c>
      <c r="H673" s="17" t="n">
        <f aca="false">Kawasan!$B$29*D673</f>
        <v>1382.4</v>
      </c>
      <c r="I673" s="17" t="n">
        <f aca="false">E673*Desain_Kolam!$B$9/1000</f>
        <v>753.12275</v>
      </c>
      <c r="J673" s="17" t="n">
        <f aca="false">F673+G673-H673-I673</f>
        <v>1471.78975</v>
      </c>
      <c r="K673" s="17" t="n">
        <f aca="false">K672+J673</f>
        <v>157029.486475</v>
      </c>
      <c r="L673" s="17" t="n">
        <f aca="false">MAX(L672,K673)</f>
        <v>157029.486475</v>
      </c>
      <c r="M673" s="17" t="n">
        <f aca="false">L673-K673</f>
        <v>0</v>
      </c>
      <c r="N673" s="17" t="n">
        <f aca="false">MIN(Desain_Kolam!$B$21,MAX(0,N672+F673+G673-H673-I673))</f>
        <v>15823.566675</v>
      </c>
      <c r="O673" s="6" t="n">
        <f aca="false">IF(N672+F673+G673-I673&gt;=H673,1,0)</f>
        <v>1</v>
      </c>
    </row>
    <row r="674" customFormat="false" ht="15" hidden="false" customHeight="false" outlineLevel="0" collapsed="false">
      <c r="A674" s="6" t="n">
        <v>2023</v>
      </c>
      <c r="B674" s="6" t="n">
        <v>12</v>
      </c>
      <c r="C674" s="4" t="n">
        <v>421</v>
      </c>
      <c r="D674" s="6" t="n">
        <v>31</v>
      </c>
      <c r="E674" s="4" t="n">
        <f aca="false">INDEX(Evaporasi!$B$5:$B$16,MATCH(B674,Evaporasi!$A$5:$A$16,0))</f>
        <v>145.07</v>
      </c>
      <c r="F674" s="17" t="n">
        <f aca="false">Kawasan!$B$11*Kawasan!$B$9*C674/1000</f>
        <v>3502.72</v>
      </c>
      <c r="G674" s="17" t="n">
        <f aca="false">C674*Desain_Kolam!$B$9/1000</f>
        <v>2228.1425</v>
      </c>
      <c r="H674" s="17" t="n">
        <f aca="false">Kawasan!$B$29*D674</f>
        <v>1428.48</v>
      </c>
      <c r="I674" s="17" t="n">
        <f aca="false">E674*Desain_Kolam!$B$9/1000</f>
        <v>767.782975</v>
      </c>
      <c r="J674" s="17" t="n">
        <f aca="false">F674+G674-H674-I674</f>
        <v>3534.599525</v>
      </c>
      <c r="K674" s="17" t="n">
        <f aca="false">K673+J674</f>
        <v>160564.086</v>
      </c>
      <c r="L674" s="17" t="n">
        <f aca="false">MAX(L673,K674)</f>
        <v>160564.086</v>
      </c>
      <c r="M674" s="17" t="n">
        <f aca="false">L674-K674</f>
        <v>0</v>
      </c>
      <c r="N674" s="17" t="n">
        <f aca="false">MIN(Desain_Kolam!$B$21,MAX(0,N673+F674+G674-H674-I674))</f>
        <v>15823.566675</v>
      </c>
      <c r="O674" s="6" t="n">
        <f aca="false">IF(N673+F674+G674-I674&gt;=H674,1,0)</f>
        <v>1</v>
      </c>
    </row>
    <row r="675" customFormat="false" ht="15" hidden="false" customHeight="false" outlineLevel="0" collapsed="false">
      <c r="A675" s="6" t="n">
        <v>2024</v>
      </c>
      <c r="B675" s="6" t="n">
        <v>1</v>
      </c>
      <c r="C675" s="4" t="n">
        <v>379</v>
      </c>
      <c r="D675" s="6" t="n">
        <v>31</v>
      </c>
      <c r="E675" s="4" t="n">
        <f aca="false">INDEX(Evaporasi!$B$5:$B$16,MATCH(B675,Evaporasi!$A$5:$A$16,0))</f>
        <v>149.98</v>
      </c>
      <c r="F675" s="17" t="n">
        <f aca="false">Kawasan!$B$11*Kawasan!$B$9*C675/1000</f>
        <v>3153.28</v>
      </c>
      <c r="G675" s="17" t="n">
        <f aca="false">C675*Desain_Kolam!$B$9/1000</f>
        <v>2005.8575</v>
      </c>
      <c r="H675" s="17" t="n">
        <f aca="false">Kawasan!$B$29*D675</f>
        <v>1428.48</v>
      </c>
      <c r="I675" s="17" t="n">
        <f aca="false">E675*Desain_Kolam!$B$9/1000</f>
        <v>793.76915</v>
      </c>
      <c r="J675" s="17" t="n">
        <f aca="false">F675+G675-H675-I675</f>
        <v>2936.88835</v>
      </c>
      <c r="K675" s="17" t="n">
        <f aca="false">K674+J675</f>
        <v>163500.97435</v>
      </c>
      <c r="L675" s="17" t="n">
        <f aca="false">MAX(L674,K675)</f>
        <v>163500.97435</v>
      </c>
      <c r="M675" s="17" t="n">
        <f aca="false">L675-K675</f>
        <v>0</v>
      </c>
      <c r="N675" s="17" t="n">
        <f aca="false">MIN(Desain_Kolam!$B$21,MAX(0,N674+F675+G675-H675-I675))</f>
        <v>15823.566675</v>
      </c>
      <c r="O675" s="6" t="n">
        <f aca="false">IF(N674+F675+G675-I675&gt;=H675,1,0)</f>
        <v>1</v>
      </c>
    </row>
    <row r="676" customFormat="false" ht="15" hidden="false" customHeight="false" outlineLevel="0" collapsed="false">
      <c r="A676" s="6" t="n">
        <v>2024</v>
      </c>
      <c r="B676" s="6" t="n">
        <v>2</v>
      </c>
      <c r="C676" s="4" t="n">
        <v>300</v>
      </c>
      <c r="D676" s="6" t="n">
        <v>29</v>
      </c>
      <c r="E676" s="4" t="n">
        <f aca="false">INDEX(Evaporasi!$B$5:$B$16,MATCH(B676,Evaporasi!$A$5:$A$16,0))</f>
        <v>148.64</v>
      </c>
      <c r="F676" s="17" t="n">
        <f aca="false">Kawasan!$B$11*Kawasan!$B$9*C676/1000</f>
        <v>2496</v>
      </c>
      <c r="G676" s="17" t="n">
        <f aca="false">C676*Desain_Kolam!$B$9/1000</f>
        <v>1587.75</v>
      </c>
      <c r="H676" s="17" t="n">
        <f aca="false">Kawasan!$B$29*D676</f>
        <v>1336.32</v>
      </c>
      <c r="I676" s="17" t="n">
        <f aca="false">E676*Desain_Kolam!$B$9/1000</f>
        <v>786.6772</v>
      </c>
      <c r="J676" s="17" t="n">
        <f aca="false">F676+G676-H676-I676</f>
        <v>1960.7528</v>
      </c>
      <c r="K676" s="17" t="n">
        <f aca="false">K675+J676</f>
        <v>165461.72715</v>
      </c>
      <c r="L676" s="17" t="n">
        <f aca="false">MAX(L675,K676)</f>
        <v>165461.72715</v>
      </c>
      <c r="M676" s="17" t="n">
        <f aca="false">L676-K676</f>
        <v>0</v>
      </c>
      <c r="N676" s="17" t="n">
        <f aca="false">MIN(Desain_Kolam!$B$21,MAX(0,N675+F676+G676-H676-I676))</f>
        <v>15823.566675</v>
      </c>
      <c r="O676" s="6" t="n">
        <f aca="false">IF(N675+F676+G676-I676&gt;=H676,1,0)</f>
        <v>1</v>
      </c>
    </row>
    <row r="677" customFormat="false" ht="15" hidden="false" customHeight="false" outlineLevel="0" collapsed="false">
      <c r="A677" s="6" t="n">
        <v>2024</v>
      </c>
      <c r="B677" s="6" t="n">
        <v>3</v>
      </c>
      <c r="C677" s="4" t="n">
        <v>512</v>
      </c>
      <c r="D677" s="6" t="n">
        <v>31</v>
      </c>
      <c r="E677" s="4" t="n">
        <f aca="false">INDEX(Evaporasi!$B$5:$B$16,MATCH(B677,Evaporasi!$A$5:$A$16,0))</f>
        <v>166.18</v>
      </c>
      <c r="F677" s="17" t="n">
        <f aca="false">Kawasan!$B$11*Kawasan!$B$9*C677/1000</f>
        <v>4259.84</v>
      </c>
      <c r="G677" s="17" t="n">
        <f aca="false">C677*Desain_Kolam!$B$9/1000</f>
        <v>2709.76</v>
      </c>
      <c r="H677" s="17" t="n">
        <f aca="false">Kawasan!$B$29*D677</f>
        <v>1428.48</v>
      </c>
      <c r="I677" s="17" t="n">
        <f aca="false">E677*Desain_Kolam!$B$9/1000</f>
        <v>879.50765</v>
      </c>
      <c r="J677" s="17" t="n">
        <f aca="false">F677+G677-H677-I677</f>
        <v>4661.61235</v>
      </c>
      <c r="K677" s="17" t="n">
        <f aca="false">K676+J677</f>
        <v>170123.3395</v>
      </c>
      <c r="L677" s="17" t="n">
        <f aca="false">MAX(L676,K677)</f>
        <v>170123.3395</v>
      </c>
      <c r="M677" s="17" t="n">
        <f aca="false">L677-K677</f>
        <v>0</v>
      </c>
      <c r="N677" s="17" t="n">
        <f aca="false">MIN(Desain_Kolam!$B$21,MAX(0,N676+F677+G677-H677-I677))</f>
        <v>15823.566675</v>
      </c>
      <c r="O677" s="6" t="n">
        <f aca="false">IF(N676+F677+G677-I677&gt;=H677,1,0)</f>
        <v>1</v>
      </c>
    </row>
    <row r="678" customFormat="false" ht="15" hidden="false" customHeight="false" outlineLevel="0" collapsed="false">
      <c r="A678" s="6" t="n">
        <v>2024</v>
      </c>
      <c r="B678" s="6" t="n">
        <v>4</v>
      </c>
      <c r="C678" s="4" t="n">
        <v>327</v>
      </c>
      <c r="D678" s="6" t="n">
        <v>30</v>
      </c>
      <c r="E678" s="4" t="n">
        <f aca="false">INDEX(Evaporasi!$B$5:$B$16,MATCH(B678,Evaporasi!$A$5:$A$16,0))</f>
        <v>157.75</v>
      </c>
      <c r="F678" s="17" t="n">
        <f aca="false">Kawasan!$B$11*Kawasan!$B$9*C678/1000</f>
        <v>2720.64</v>
      </c>
      <c r="G678" s="17" t="n">
        <f aca="false">C678*Desain_Kolam!$B$9/1000</f>
        <v>1730.6475</v>
      </c>
      <c r="H678" s="17" t="n">
        <f aca="false">Kawasan!$B$29*D678</f>
        <v>1382.4</v>
      </c>
      <c r="I678" s="17" t="n">
        <f aca="false">E678*Desain_Kolam!$B$9/1000</f>
        <v>834.891875</v>
      </c>
      <c r="J678" s="17" t="n">
        <f aca="false">F678+G678-H678-I678</f>
        <v>2233.995625</v>
      </c>
      <c r="K678" s="17" t="n">
        <f aca="false">K677+J678</f>
        <v>172357.335125</v>
      </c>
      <c r="L678" s="17" t="n">
        <f aca="false">MAX(L677,K678)</f>
        <v>172357.335125</v>
      </c>
      <c r="M678" s="17" t="n">
        <f aca="false">L678-K678</f>
        <v>0</v>
      </c>
      <c r="N678" s="17" t="n">
        <f aca="false">MIN(Desain_Kolam!$B$21,MAX(0,N677+F678+G678-H678-I678))</f>
        <v>15823.566675</v>
      </c>
      <c r="O678" s="6" t="n">
        <f aca="false">IF(N677+F678+G678-I678&gt;=H678,1,0)</f>
        <v>1</v>
      </c>
    </row>
    <row r="679" customFormat="false" ht="15" hidden="false" customHeight="false" outlineLevel="0" collapsed="false">
      <c r="A679" s="6" t="n">
        <v>2024</v>
      </c>
      <c r="B679" s="6" t="n">
        <v>5</v>
      </c>
      <c r="C679" s="4" t="n">
        <v>406</v>
      </c>
      <c r="D679" s="6" t="n">
        <v>31</v>
      </c>
      <c r="E679" s="4" t="n">
        <f aca="false">INDEX(Evaporasi!$B$5:$B$16,MATCH(B679,Evaporasi!$A$5:$A$16,0))</f>
        <v>158.35</v>
      </c>
      <c r="F679" s="17" t="n">
        <f aca="false">Kawasan!$B$11*Kawasan!$B$9*C679/1000</f>
        <v>3377.92</v>
      </c>
      <c r="G679" s="17" t="n">
        <f aca="false">C679*Desain_Kolam!$B$9/1000</f>
        <v>2148.755</v>
      </c>
      <c r="H679" s="17" t="n">
        <f aca="false">Kawasan!$B$29*D679</f>
        <v>1428.48</v>
      </c>
      <c r="I679" s="17" t="n">
        <f aca="false">E679*Desain_Kolam!$B$9/1000</f>
        <v>838.067375</v>
      </c>
      <c r="J679" s="17" t="n">
        <f aca="false">F679+G679-H679-I679</f>
        <v>3260.127625</v>
      </c>
      <c r="K679" s="17" t="n">
        <f aca="false">K678+J679</f>
        <v>175617.46275</v>
      </c>
      <c r="L679" s="17" t="n">
        <f aca="false">MAX(L678,K679)</f>
        <v>175617.46275</v>
      </c>
      <c r="M679" s="17" t="n">
        <f aca="false">L679-K679</f>
        <v>0</v>
      </c>
      <c r="N679" s="17" t="n">
        <f aca="false">MIN(Desain_Kolam!$B$21,MAX(0,N678+F679+G679-H679-I679))</f>
        <v>15823.566675</v>
      </c>
      <c r="O679" s="6" t="n">
        <f aca="false">IF(N678+F679+G679-I679&gt;=H679,1,0)</f>
        <v>1</v>
      </c>
    </row>
    <row r="680" customFormat="false" ht="15" hidden="false" customHeight="false" outlineLevel="0" collapsed="false">
      <c r="A680" s="6" t="n">
        <v>2024</v>
      </c>
      <c r="B680" s="6" t="n">
        <v>6</v>
      </c>
      <c r="C680" s="4" t="n">
        <v>166</v>
      </c>
      <c r="D680" s="6" t="n">
        <v>30</v>
      </c>
      <c r="E680" s="4" t="n">
        <f aca="false">INDEX(Evaporasi!$B$5:$B$16,MATCH(B680,Evaporasi!$A$5:$A$16,0))</f>
        <v>150.17</v>
      </c>
      <c r="F680" s="17" t="n">
        <f aca="false">Kawasan!$B$11*Kawasan!$B$9*C680/1000</f>
        <v>1381.12</v>
      </c>
      <c r="G680" s="17" t="n">
        <f aca="false">C680*Desain_Kolam!$B$9/1000</f>
        <v>878.555</v>
      </c>
      <c r="H680" s="17" t="n">
        <f aca="false">Kawasan!$B$29*D680</f>
        <v>1382.4</v>
      </c>
      <c r="I680" s="17" t="n">
        <f aca="false">E680*Desain_Kolam!$B$9/1000</f>
        <v>794.774725</v>
      </c>
      <c r="J680" s="17" t="n">
        <f aca="false">F680+G680-H680-I680</f>
        <v>82.5002749999999</v>
      </c>
      <c r="K680" s="17" t="n">
        <f aca="false">K679+J680</f>
        <v>175699.963025</v>
      </c>
      <c r="L680" s="17" t="n">
        <f aca="false">MAX(L679,K680)</f>
        <v>175699.963025</v>
      </c>
      <c r="M680" s="17" t="n">
        <f aca="false">L680-K680</f>
        <v>0</v>
      </c>
      <c r="N680" s="17" t="n">
        <f aca="false">MIN(Desain_Kolam!$B$21,MAX(0,N679+F680+G680-H680-I680))</f>
        <v>15823.566675</v>
      </c>
      <c r="O680" s="6" t="n">
        <f aca="false">IF(N679+F680+G680-I680&gt;=H680,1,0)</f>
        <v>1</v>
      </c>
    </row>
    <row r="681" customFormat="false" ht="15" hidden="false" customHeight="false" outlineLevel="0" collapsed="false">
      <c r="A681" s="6" t="n">
        <v>2024</v>
      </c>
      <c r="B681" s="6" t="n">
        <v>7</v>
      </c>
      <c r="C681" s="4" t="n">
        <v>114</v>
      </c>
      <c r="D681" s="6" t="n">
        <v>31</v>
      </c>
      <c r="E681" s="4" t="n">
        <f aca="false">INDEX(Evaporasi!$B$5:$B$16,MATCH(B681,Evaporasi!$A$5:$A$16,0))</f>
        <v>160.84</v>
      </c>
      <c r="F681" s="17" t="n">
        <f aca="false">Kawasan!$B$11*Kawasan!$B$9*C681/1000</f>
        <v>948.48</v>
      </c>
      <c r="G681" s="17" t="n">
        <f aca="false">C681*Desain_Kolam!$B$9/1000</f>
        <v>603.345</v>
      </c>
      <c r="H681" s="17" t="n">
        <f aca="false">Kawasan!$B$29*D681</f>
        <v>1428.48</v>
      </c>
      <c r="I681" s="17" t="n">
        <f aca="false">E681*Desain_Kolam!$B$9/1000</f>
        <v>851.2457</v>
      </c>
      <c r="J681" s="17" t="n">
        <f aca="false">F681+G681-H681-I681</f>
        <v>-727.9007</v>
      </c>
      <c r="K681" s="17" t="n">
        <f aca="false">K680+J681</f>
        <v>174972.062325</v>
      </c>
      <c r="L681" s="17" t="n">
        <f aca="false">MAX(L680,K681)</f>
        <v>175699.963025</v>
      </c>
      <c r="M681" s="17" t="n">
        <f aca="false">L681-K681</f>
        <v>727.900699999998</v>
      </c>
      <c r="N681" s="17" t="n">
        <f aca="false">MIN(Desain_Kolam!$B$21,MAX(0,N680+F681+G681-H681-I681))</f>
        <v>15095.665975</v>
      </c>
      <c r="O681" s="6" t="n">
        <f aca="false">IF(N680+F681+G681-I681&gt;=H681,1,0)</f>
        <v>1</v>
      </c>
    </row>
    <row r="682" customFormat="false" ht="15" hidden="false" customHeight="false" outlineLevel="0" collapsed="false">
      <c r="A682" s="6" t="n">
        <v>2024</v>
      </c>
      <c r="B682" s="6" t="n">
        <v>8</v>
      </c>
      <c r="C682" s="4" t="n">
        <v>350</v>
      </c>
      <c r="D682" s="6" t="n">
        <v>31</v>
      </c>
      <c r="E682" s="4" t="n">
        <f aca="false">INDEX(Evaporasi!$B$5:$B$16,MATCH(B682,Evaporasi!$A$5:$A$16,0))</f>
        <v>161.16</v>
      </c>
      <c r="F682" s="17" t="n">
        <f aca="false">Kawasan!$B$11*Kawasan!$B$9*C682/1000</f>
        <v>2912</v>
      </c>
      <c r="G682" s="17" t="n">
        <f aca="false">C682*Desain_Kolam!$B$9/1000</f>
        <v>1852.375</v>
      </c>
      <c r="H682" s="17" t="n">
        <f aca="false">Kawasan!$B$29*D682</f>
        <v>1428.48</v>
      </c>
      <c r="I682" s="17" t="n">
        <f aca="false">E682*Desain_Kolam!$B$9/1000</f>
        <v>852.9393</v>
      </c>
      <c r="J682" s="17" t="n">
        <f aca="false">F682+G682-H682-I682</f>
        <v>2482.9557</v>
      </c>
      <c r="K682" s="17" t="n">
        <f aca="false">K681+J682</f>
        <v>177455.018025</v>
      </c>
      <c r="L682" s="17" t="n">
        <f aca="false">MAX(L681,K682)</f>
        <v>177455.018025</v>
      </c>
      <c r="M682" s="17" t="n">
        <f aca="false">L682-K682</f>
        <v>0</v>
      </c>
      <c r="N682" s="17" t="n">
        <f aca="false">MIN(Desain_Kolam!$B$21,MAX(0,N681+F682+G682-H682-I682))</f>
        <v>15823.566675</v>
      </c>
      <c r="O682" s="6" t="n">
        <f aca="false">IF(N681+F682+G682-I682&gt;=H682,1,0)</f>
        <v>1</v>
      </c>
    </row>
    <row r="683" customFormat="false" ht="15" hidden="false" customHeight="false" outlineLevel="0" collapsed="false">
      <c r="A683" s="6" t="n">
        <v>2024</v>
      </c>
      <c r="B683" s="6" t="n">
        <v>9</v>
      </c>
      <c r="C683" s="4" t="n">
        <v>197</v>
      </c>
      <c r="D683" s="6" t="n">
        <v>30</v>
      </c>
      <c r="E683" s="4" t="n">
        <f aca="false">INDEX(Evaporasi!$B$5:$B$16,MATCH(B683,Evaporasi!$A$5:$A$16,0))</f>
        <v>159.21</v>
      </c>
      <c r="F683" s="17" t="n">
        <f aca="false">Kawasan!$B$11*Kawasan!$B$9*C683/1000</f>
        <v>1639.04</v>
      </c>
      <c r="G683" s="17" t="n">
        <f aca="false">C683*Desain_Kolam!$B$9/1000</f>
        <v>1042.6225</v>
      </c>
      <c r="H683" s="17" t="n">
        <f aca="false">Kawasan!$B$29*D683</f>
        <v>1382.4</v>
      </c>
      <c r="I683" s="17" t="n">
        <f aca="false">E683*Desain_Kolam!$B$9/1000</f>
        <v>842.618925</v>
      </c>
      <c r="J683" s="17" t="n">
        <f aca="false">F683+G683-H683-I683</f>
        <v>456.643575</v>
      </c>
      <c r="K683" s="17" t="n">
        <f aca="false">K682+J683</f>
        <v>177911.6616</v>
      </c>
      <c r="L683" s="17" t="n">
        <f aca="false">MAX(L682,K683)</f>
        <v>177911.6616</v>
      </c>
      <c r="M683" s="17" t="n">
        <f aca="false">L683-K683</f>
        <v>0</v>
      </c>
      <c r="N683" s="17" t="n">
        <f aca="false">MIN(Desain_Kolam!$B$21,MAX(0,N682+F683+G683-H683-I683))</f>
        <v>15823.566675</v>
      </c>
      <c r="O683" s="6" t="n">
        <f aca="false">IF(N682+F683+G683-I683&gt;=H683,1,0)</f>
        <v>1</v>
      </c>
    </row>
    <row r="684" customFormat="false" ht="15" hidden="false" customHeight="false" outlineLevel="0" collapsed="false">
      <c r="A684" s="6" t="n">
        <v>2024</v>
      </c>
      <c r="B684" s="6" t="n">
        <v>10</v>
      </c>
      <c r="C684" s="4" t="n">
        <v>327</v>
      </c>
      <c r="D684" s="6" t="n">
        <v>31</v>
      </c>
      <c r="E684" s="4" t="n">
        <f aca="false">INDEX(Evaporasi!$B$5:$B$16,MATCH(B684,Evaporasi!$A$5:$A$16,0))</f>
        <v>151.5</v>
      </c>
      <c r="F684" s="17" t="n">
        <f aca="false">Kawasan!$B$11*Kawasan!$B$9*C684/1000</f>
        <v>2720.64</v>
      </c>
      <c r="G684" s="17" t="n">
        <f aca="false">C684*Desain_Kolam!$B$9/1000</f>
        <v>1730.6475</v>
      </c>
      <c r="H684" s="17" t="n">
        <f aca="false">Kawasan!$B$29*D684</f>
        <v>1428.48</v>
      </c>
      <c r="I684" s="17" t="n">
        <f aca="false">E684*Desain_Kolam!$B$9/1000</f>
        <v>801.81375</v>
      </c>
      <c r="J684" s="17" t="n">
        <f aca="false">F684+G684-H684-I684</f>
        <v>2220.99375</v>
      </c>
      <c r="K684" s="17" t="n">
        <f aca="false">K683+J684</f>
        <v>180132.65535</v>
      </c>
      <c r="L684" s="17" t="n">
        <f aca="false">MAX(L683,K684)</f>
        <v>180132.65535</v>
      </c>
      <c r="M684" s="17" t="n">
        <f aca="false">L684-K684</f>
        <v>0</v>
      </c>
      <c r="N684" s="17" t="n">
        <f aca="false">MIN(Desain_Kolam!$B$21,MAX(0,N683+F684+G684-H684-I684))</f>
        <v>15823.566675</v>
      </c>
      <c r="O684" s="6" t="n">
        <f aca="false">IF(N683+F684+G684-I684&gt;=H684,1,0)</f>
        <v>1</v>
      </c>
    </row>
    <row r="685" customFormat="false" ht="15" hidden="false" customHeight="false" outlineLevel="0" collapsed="false">
      <c r="A685" s="6" t="n">
        <v>2024</v>
      </c>
      <c r="B685" s="6" t="n">
        <v>11</v>
      </c>
      <c r="C685" s="4" t="n">
        <v>419</v>
      </c>
      <c r="D685" s="6" t="n">
        <v>30</v>
      </c>
      <c r="E685" s="4" t="n">
        <f aca="false">INDEX(Evaporasi!$B$5:$B$16,MATCH(B685,Evaporasi!$A$5:$A$16,0))</f>
        <v>142.3</v>
      </c>
      <c r="F685" s="17" t="n">
        <f aca="false">Kawasan!$B$11*Kawasan!$B$9*C685/1000</f>
        <v>3486.08</v>
      </c>
      <c r="G685" s="17" t="n">
        <f aca="false">C685*Desain_Kolam!$B$9/1000</f>
        <v>2217.5575</v>
      </c>
      <c r="H685" s="17" t="n">
        <f aca="false">Kawasan!$B$29*D685</f>
        <v>1382.4</v>
      </c>
      <c r="I685" s="17" t="n">
        <f aca="false">E685*Desain_Kolam!$B$9/1000</f>
        <v>753.12275</v>
      </c>
      <c r="J685" s="17" t="n">
        <f aca="false">F685+G685-H685-I685</f>
        <v>3568.11475</v>
      </c>
      <c r="K685" s="17" t="n">
        <f aca="false">K684+J685</f>
        <v>183700.7701</v>
      </c>
      <c r="L685" s="17" t="n">
        <f aca="false">MAX(L684,K685)</f>
        <v>183700.7701</v>
      </c>
      <c r="M685" s="17" t="n">
        <f aca="false">L685-K685</f>
        <v>0</v>
      </c>
      <c r="N685" s="17" t="n">
        <f aca="false">MIN(Desain_Kolam!$B$21,MAX(0,N684+F685+G685-H685-I685))</f>
        <v>15823.566675</v>
      </c>
      <c r="O685" s="6" t="n">
        <f aca="false">IF(N684+F685+G685-I685&gt;=H685,1,0)</f>
        <v>1</v>
      </c>
    </row>
    <row r="686" customFormat="false" ht="15" hidden="false" customHeight="false" outlineLevel="0" collapsed="false">
      <c r="A686" s="6" t="n">
        <v>2024</v>
      </c>
      <c r="B686" s="6" t="n">
        <v>12</v>
      </c>
      <c r="C686" s="4" t="n">
        <v>214</v>
      </c>
      <c r="D686" s="6" t="n">
        <v>31</v>
      </c>
      <c r="E686" s="4" t="n">
        <f aca="false">INDEX(Evaporasi!$B$5:$B$16,MATCH(B686,Evaporasi!$A$5:$A$16,0))</f>
        <v>145.07</v>
      </c>
      <c r="F686" s="17" t="n">
        <f aca="false">Kawasan!$B$11*Kawasan!$B$9*C686/1000</f>
        <v>1780.48</v>
      </c>
      <c r="G686" s="17" t="n">
        <f aca="false">C686*Desain_Kolam!$B$9/1000</f>
        <v>1132.595</v>
      </c>
      <c r="H686" s="17" t="n">
        <f aca="false">Kawasan!$B$29*D686</f>
        <v>1428.48</v>
      </c>
      <c r="I686" s="17" t="n">
        <f aca="false">E686*Desain_Kolam!$B$9/1000</f>
        <v>767.782975</v>
      </c>
      <c r="J686" s="17" t="n">
        <f aca="false">F686+G686-H686-I686</f>
        <v>716.812025</v>
      </c>
      <c r="K686" s="17" t="n">
        <f aca="false">K685+J686</f>
        <v>184417.582125</v>
      </c>
      <c r="L686" s="17" t="n">
        <f aca="false">MAX(L685,K686)</f>
        <v>184417.582125</v>
      </c>
      <c r="M686" s="17" t="n">
        <f aca="false">L686-K686</f>
        <v>0</v>
      </c>
      <c r="N686" s="17" t="n">
        <f aca="false">MIN(Desain_Kolam!$B$21,MAX(0,N685+F686+G686-H686-I686))</f>
        <v>15823.566675</v>
      </c>
      <c r="O686" s="6" t="n">
        <f aca="false">IF(N685+F686+G686-I686&gt;=H686,1,0)</f>
        <v>1</v>
      </c>
    </row>
    <row r="687" customFormat="false" ht="15" hidden="false" customHeight="false" outlineLevel="0" collapsed="false">
      <c r="A687" s="6" t="n">
        <v>2025</v>
      </c>
      <c r="B687" s="6" t="n">
        <v>1</v>
      </c>
      <c r="C687" s="4" t="n">
        <v>400</v>
      </c>
      <c r="D687" s="6" t="n">
        <v>31</v>
      </c>
      <c r="E687" s="4" t="n">
        <f aca="false">INDEX(Evaporasi!$B$5:$B$16,MATCH(B687,Evaporasi!$A$5:$A$16,0))</f>
        <v>149.98</v>
      </c>
      <c r="F687" s="17" t="n">
        <f aca="false">Kawasan!$B$11*Kawasan!$B$9*C687/1000</f>
        <v>3328</v>
      </c>
      <c r="G687" s="17" t="n">
        <f aca="false">C687*Desain_Kolam!$B$9/1000</f>
        <v>2117</v>
      </c>
      <c r="H687" s="17" t="n">
        <f aca="false">Kawasan!$B$29*D687</f>
        <v>1428.48</v>
      </c>
      <c r="I687" s="17" t="n">
        <f aca="false">E687*Desain_Kolam!$B$9/1000</f>
        <v>793.76915</v>
      </c>
      <c r="J687" s="17" t="n">
        <f aca="false">F687+G687-H687-I687</f>
        <v>3222.75085</v>
      </c>
      <c r="K687" s="17" t="n">
        <f aca="false">K686+J687</f>
        <v>187640.332975</v>
      </c>
      <c r="L687" s="17" t="n">
        <f aca="false">MAX(L686,K687)</f>
        <v>187640.332975</v>
      </c>
      <c r="M687" s="17" t="n">
        <f aca="false">L687-K687</f>
        <v>0</v>
      </c>
      <c r="N687" s="17" t="n">
        <f aca="false">MIN(Desain_Kolam!$B$21,MAX(0,N686+F687+G687-H687-I687))</f>
        <v>15823.566675</v>
      </c>
      <c r="O687" s="6" t="n">
        <f aca="false">IF(N686+F687+G687-I687&gt;=H687,1,0)</f>
        <v>1</v>
      </c>
    </row>
    <row r="688" customFormat="false" ht="15" hidden="false" customHeight="false" outlineLevel="0" collapsed="false">
      <c r="A688" s="6" t="n">
        <v>2025</v>
      </c>
      <c r="B688" s="6" t="n">
        <v>2</v>
      </c>
      <c r="C688" s="4" t="n">
        <v>210</v>
      </c>
      <c r="D688" s="6" t="n">
        <v>28</v>
      </c>
      <c r="E688" s="4" t="n">
        <f aca="false">INDEX(Evaporasi!$B$5:$B$16,MATCH(B688,Evaporasi!$A$5:$A$16,0))</f>
        <v>148.64</v>
      </c>
      <c r="F688" s="17" t="n">
        <f aca="false">Kawasan!$B$11*Kawasan!$B$9*C688/1000</f>
        <v>1747.2</v>
      </c>
      <c r="G688" s="17" t="n">
        <f aca="false">C688*Desain_Kolam!$B$9/1000</f>
        <v>1111.425</v>
      </c>
      <c r="H688" s="17" t="n">
        <f aca="false">Kawasan!$B$29*D688</f>
        <v>1290.24</v>
      </c>
      <c r="I688" s="17" t="n">
        <f aca="false">E688*Desain_Kolam!$B$9/1000</f>
        <v>786.6772</v>
      </c>
      <c r="J688" s="17" t="n">
        <f aca="false">F688+G688-H688-I688</f>
        <v>781.7078</v>
      </c>
      <c r="K688" s="17" t="n">
        <f aca="false">K687+J688</f>
        <v>188422.040775</v>
      </c>
      <c r="L688" s="17" t="n">
        <f aca="false">MAX(L687,K688)</f>
        <v>188422.040775</v>
      </c>
      <c r="M688" s="17" t="n">
        <f aca="false">L688-K688</f>
        <v>0</v>
      </c>
      <c r="N688" s="17" t="n">
        <f aca="false">MIN(Desain_Kolam!$B$21,MAX(0,N687+F688+G688-H688-I688))</f>
        <v>15823.566675</v>
      </c>
      <c r="O688" s="6" t="n">
        <f aca="false">IF(N687+F688+G688-I688&gt;=H688,1,0)</f>
        <v>1</v>
      </c>
    </row>
    <row r="689" customFormat="false" ht="15" hidden="false" customHeight="false" outlineLevel="0" collapsed="false">
      <c r="A689" s="6" t="n">
        <v>2025</v>
      </c>
      <c r="B689" s="6" t="n">
        <v>3</v>
      </c>
      <c r="C689" s="4" t="n">
        <v>302</v>
      </c>
      <c r="D689" s="6" t="n">
        <v>31</v>
      </c>
      <c r="E689" s="4" t="n">
        <f aca="false">INDEX(Evaporasi!$B$5:$B$16,MATCH(B689,Evaporasi!$A$5:$A$16,0))</f>
        <v>166.18</v>
      </c>
      <c r="F689" s="17" t="n">
        <f aca="false">Kawasan!$B$11*Kawasan!$B$9*C689/1000</f>
        <v>2512.64</v>
      </c>
      <c r="G689" s="17" t="n">
        <f aca="false">C689*Desain_Kolam!$B$9/1000</f>
        <v>1598.335</v>
      </c>
      <c r="H689" s="17" t="n">
        <f aca="false">Kawasan!$B$29*D689</f>
        <v>1428.48</v>
      </c>
      <c r="I689" s="17" t="n">
        <f aca="false">E689*Desain_Kolam!$B$9/1000</f>
        <v>879.50765</v>
      </c>
      <c r="J689" s="17" t="n">
        <f aca="false">F689+G689-H689-I689</f>
        <v>1802.98735</v>
      </c>
      <c r="K689" s="17" t="n">
        <f aca="false">K688+J689</f>
        <v>190225.028125</v>
      </c>
      <c r="L689" s="17" t="n">
        <f aca="false">MAX(L688,K689)</f>
        <v>190225.028125</v>
      </c>
      <c r="M689" s="17" t="n">
        <f aca="false">L689-K689</f>
        <v>0</v>
      </c>
      <c r="N689" s="17" t="n">
        <f aca="false">MIN(Desain_Kolam!$B$21,MAX(0,N688+F689+G689-H689-I689))</f>
        <v>15823.566675</v>
      </c>
      <c r="O689" s="6" t="n">
        <f aca="false">IF(N688+F689+G689-I689&gt;=H689,1,0)</f>
        <v>1</v>
      </c>
    </row>
    <row r="690" customFormat="false" ht="15" hidden="false" customHeight="false" outlineLevel="0" collapsed="false">
      <c r="A690" s="6" t="n">
        <v>2025</v>
      </c>
      <c r="B690" s="6" t="n">
        <v>4</v>
      </c>
      <c r="C690" s="4" t="n">
        <v>231</v>
      </c>
      <c r="D690" s="6" t="n">
        <v>30</v>
      </c>
      <c r="E690" s="4" t="n">
        <f aca="false">INDEX(Evaporasi!$B$5:$B$16,MATCH(B690,Evaporasi!$A$5:$A$16,0))</f>
        <v>157.75</v>
      </c>
      <c r="F690" s="17" t="n">
        <f aca="false">Kawasan!$B$11*Kawasan!$B$9*C690/1000</f>
        <v>1921.92</v>
      </c>
      <c r="G690" s="17" t="n">
        <f aca="false">C690*Desain_Kolam!$B$9/1000</f>
        <v>1222.5675</v>
      </c>
      <c r="H690" s="17" t="n">
        <f aca="false">Kawasan!$B$29*D690</f>
        <v>1382.4</v>
      </c>
      <c r="I690" s="17" t="n">
        <f aca="false">E690*Desain_Kolam!$B$9/1000</f>
        <v>834.891875</v>
      </c>
      <c r="J690" s="17" t="n">
        <f aca="false">F690+G690-H690-I690</f>
        <v>927.195625</v>
      </c>
      <c r="K690" s="17" t="n">
        <f aca="false">K689+J690</f>
        <v>191152.22375</v>
      </c>
      <c r="L690" s="17" t="n">
        <f aca="false">MAX(L689,K690)</f>
        <v>191152.22375</v>
      </c>
      <c r="M690" s="17" t="n">
        <f aca="false">L690-K690</f>
        <v>0</v>
      </c>
      <c r="N690" s="17" t="n">
        <f aca="false">MIN(Desain_Kolam!$B$21,MAX(0,N689+F690+G690-H690-I690))</f>
        <v>15823.566675</v>
      </c>
      <c r="O690" s="6" t="n">
        <f aca="false">IF(N689+F690+G690-I690&gt;=H690,1,0)</f>
        <v>1</v>
      </c>
    </row>
    <row r="691" customFormat="false" ht="15" hidden="false" customHeight="false" outlineLevel="0" collapsed="false">
      <c r="A691" s="6" t="n">
        <v>2025</v>
      </c>
      <c r="B691" s="6" t="n">
        <v>5</v>
      </c>
      <c r="C691" s="4" t="n">
        <v>231</v>
      </c>
      <c r="D691" s="6" t="n">
        <v>31</v>
      </c>
      <c r="E691" s="4" t="n">
        <f aca="false">INDEX(Evaporasi!$B$5:$B$16,MATCH(B691,Evaporasi!$A$5:$A$16,0))</f>
        <v>158.35</v>
      </c>
      <c r="F691" s="17" t="n">
        <f aca="false">Kawasan!$B$11*Kawasan!$B$9*C691/1000</f>
        <v>1921.92</v>
      </c>
      <c r="G691" s="17" t="n">
        <f aca="false">C691*Desain_Kolam!$B$9/1000</f>
        <v>1222.5675</v>
      </c>
      <c r="H691" s="17" t="n">
        <f aca="false">Kawasan!$B$29*D691</f>
        <v>1428.48</v>
      </c>
      <c r="I691" s="17" t="n">
        <f aca="false">E691*Desain_Kolam!$B$9/1000</f>
        <v>838.067375</v>
      </c>
      <c r="J691" s="17" t="n">
        <f aca="false">F691+G691-H691-I691</f>
        <v>877.940125</v>
      </c>
      <c r="K691" s="17" t="n">
        <f aca="false">K690+J691</f>
        <v>192030.163875</v>
      </c>
      <c r="L691" s="17" t="n">
        <f aca="false">MAX(L690,K691)</f>
        <v>192030.163875</v>
      </c>
      <c r="M691" s="17" t="n">
        <f aca="false">L691-K691</f>
        <v>0</v>
      </c>
      <c r="N691" s="17" t="n">
        <f aca="false">MIN(Desain_Kolam!$B$21,MAX(0,N690+F691+G691-H691-I691))</f>
        <v>15823.566675</v>
      </c>
      <c r="O691" s="6" t="n">
        <f aca="false">IF(N690+F691+G691-I691&gt;=H691,1,0)</f>
        <v>1</v>
      </c>
    </row>
    <row r="692" customFormat="false" ht="15" hidden="false" customHeight="false" outlineLevel="0" collapsed="false">
      <c r="A692" s="6" t="n">
        <v>2025</v>
      </c>
      <c r="B692" s="6" t="n">
        <v>6</v>
      </c>
      <c r="C692" s="4" t="n">
        <v>167</v>
      </c>
      <c r="D692" s="6" t="n">
        <v>30</v>
      </c>
      <c r="E692" s="4" t="n">
        <f aca="false">INDEX(Evaporasi!$B$5:$B$16,MATCH(B692,Evaporasi!$A$5:$A$16,0))</f>
        <v>150.17</v>
      </c>
      <c r="F692" s="17" t="n">
        <f aca="false">Kawasan!$B$11*Kawasan!$B$9*C692/1000</f>
        <v>1389.44</v>
      </c>
      <c r="G692" s="17" t="n">
        <f aca="false">C692*Desain_Kolam!$B$9/1000</f>
        <v>883.8475</v>
      </c>
      <c r="H692" s="17" t="n">
        <f aca="false">Kawasan!$B$29*D692</f>
        <v>1382.4</v>
      </c>
      <c r="I692" s="17" t="n">
        <f aca="false">E692*Desain_Kolam!$B$9/1000</f>
        <v>794.774725</v>
      </c>
      <c r="J692" s="17" t="n">
        <f aca="false">F692+G692-H692-I692</f>
        <v>96.1127750000001</v>
      </c>
      <c r="K692" s="17" t="n">
        <f aca="false">K691+J692</f>
        <v>192126.27665</v>
      </c>
      <c r="L692" s="17" t="n">
        <f aca="false">MAX(L691,K692)</f>
        <v>192126.27665</v>
      </c>
      <c r="M692" s="17" t="n">
        <f aca="false">L692-K692</f>
        <v>0</v>
      </c>
      <c r="N692" s="17" t="n">
        <f aca="false">MIN(Desain_Kolam!$B$21,MAX(0,N691+F692+G692-H692-I692))</f>
        <v>15823.566675</v>
      </c>
      <c r="O692" s="6" t="n">
        <f aca="false">IF(N691+F692+G692-I692&gt;=H692,1,0)</f>
        <v>1</v>
      </c>
    </row>
    <row r="693" customFormat="false" ht="15" hidden="false" customHeight="false" outlineLevel="0" collapsed="false">
      <c r="A693" s="6" t="n">
        <v>2025</v>
      </c>
      <c r="B693" s="6" t="n">
        <v>7</v>
      </c>
      <c r="C693" s="4" t="n">
        <v>159</v>
      </c>
      <c r="D693" s="6" t="n">
        <v>31</v>
      </c>
      <c r="E693" s="4" t="n">
        <f aca="false">INDEX(Evaporasi!$B$5:$B$16,MATCH(B693,Evaporasi!$A$5:$A$16,0))</f>
        <v>160.84</v>
      </c>
      <c r="F693" s="17" t="n">
        <f aca="false">Kawasan!$B$11*Kawasan!$B$9*C693/1000</f>
        <v>1322.88</v>
      </c>
      <c r="G693" s="17" t="n">
        <f aca="false">C693*Desain_Kolam!$B$9/1000</f>
        <v>841.5075</v>
      </c>
      <c r="H693" s="17" t="n">
        <f aca="false">Kawasan!$B$29*D693</f>
        <v>1428.48</v>
      </c>
      <c r="I693" s="17" t="n">
        <f aca="false">E693*Desain_Kolam!$B$9/1000</f>
        <v>851.2457</v>
      </c>
      <c r="J693" s="17" t="n">
        <f aca="false">F693+G693-H693-I693</f>
        <v>-115.3382</v>
      </c>
      <c r="K693" s="17" t="n">
        <f aca="false">K692+J693</f>
        <v>192010.93845</v>
      </c>
      <c r="L693" s="17" t="n">
        <f aca="false">MAX(L692,K693)</f>
        <v>192126.27665</v>
      </c>
      <c r="M693" s="17" t="n">
        <f aca="false">L693-K693</f>
        <v>115.338199999998</v>
      </c>
      <c r="N693" s="17" t="n">
        <f aca="false">MIN(Desain_Kolam!$B$21,MAX(0,N692+F693+G693-H693-I693))</f>
        <v>15708.228475</v>
      </c>
      <c r="O693" s="6" t="n">
        <f aca="false">IF(N692+F693+G693-I693&gt;=H693,1,0)</f>
        <v>1</v>
      </c>
    </row>
    <row r="694" customFormat="false" ht="15" hidden="false" customHeight="false" outlineLevel="0" collapsed="false">
      <c r="A694" s="6" t="n">
        <v>2025</v>
      </c>
      <c r="B694" s="6" t="n">
        <v>8</v>
      </c>
      <c r="C694" s="4" t="n">
        <v>392</v>
      </c>
      <c r="D694" s="6" t="n">
        <v>31</v>
      </c>
      <c r="E694" s="4" t="n">
        <f aca="false">INDEX(Evaporasi!$B$5:$B$16,MATCH(B694,Evaporasi!$A$5:$A$16,0))</f>
        <v>161.16</v>
      </c>
      <c r="F694" s="17" t="n">
        <f aca="false">Kawasan!$B$11*Kawasan!$B$9*C694/1000</f>
        <v>3261.44</v>
      </c>
      <c r="G694" s="17" t="n">
        <f aca="false">C694*Desain_Kolam!$B$9/1000</f>
        <v>2074.66</v>
      </c>
      <c r="H694" s="17" t="n">
        <f aca="false">Kawasan!$B$29*D694</f>
        <v>1428.48</v>
      </c>
      <c r="I694" s="17" t="n">
        <f aca="false">E694*Desain_Kolam!$B$9/1000</f>
        <v>852.9393</v>
      </c>
      <c r="J694" s="17" t="n">
        <f aca="false">F694+G694-H694-I694</f>
        <v>3054.6807</v>
      </c>
      <c r="K694" s="17" t="n">
        <f aca="false">K693+J694</f>
        <v>195065.61915</v>
      </c>
      <c r="L694" s="17" t="n">
        <f aca="false">MAX(L693,K694)</f>
        <v>195065.61915</v>
      </c>
      <c r="M694" s="17" t="n">
        <f aca="false">L694-K694</f>
        <v>0</v>
      </c>
      <c r="N694" s="17" t="n">
        <f aca="false">MIN(Desain_Kolam!$B$21,MAX(0,N693+F694+G694-H694-I694))</f>
        <v>15823.566675</v>
      </c>
      <c r="O694" s="6" t="n">
        <f aca="false">IF(N693+F694+G694-I694&gt;=H694,1,0)</f>
        <v>1</v>
      </c>
    </row>
    <row r="695" customFormat="false" ht="15" hidden="false" customHeight="false" outlineLevel="0" collapsed="false">
      <c r="A695" s="6" t="n">
        <v>2025</v>
      </c>
      <c r="B695" s="6" t="n">
        <v>9</v>
      </c>
      <c r="C695" s="4" t="n">
        <v>360</v>
      </c>
      <c r="D695" s="6" t="n">
        <v>30</v>
      </c>
      <c r="E695" s="4" t="n">
        <f aca="false">INDEX(Evaporasi!$B$5:$B$16,MATCH(B695,Evaporasi!$A$5:$A$16,0))</f>
        <v>159.21</v>
      </c>
      <c r="F695" s="17" t="n">
        <f aca="false">Kawasan!$B$11*Kawasan!$B$9*C695/1000</f>
        <v>2995.2</v>
      </c>
      <c r="G695" s="17" t="n">
        <f aca="false">C695*Desain_Kolam!$B$9/1000</f>
        <v>1905.3</v>
      </c>
      <c r="H695" s="17" t="n">
        <f aca="false">Kawasan!$B$29*D695</f>
        <v>1382.4</v>
      </c>
      <c r="I695" s="17" t="n">
        <f aca="false">E695*Desain_Kolam!$B$9/1000</f>
        <v>842.618925</v>
      </c>
      <c r="J695" s="17" t="n">
        <f aca="false">F695+G695-H695-I695</f>
        <v>2675.481075</v>
      </c>
      <c r="K695" s="17" t="n">
        <f aca="false">K694+J695</f>
        <v>197741.100225</v>
      </c>
      <c r="L695" s="17" t="n">
        <f aca="false">MAX(L694,K695)</f>
        <v>197741.100225</v>
      </c>
      <c r="M695" s="17" t="n">
        <f aca="false">L695-K695</f>
        <v>0</v>
      </c>
      <c r="N695" s="17" t="n">
        <f aca="false">MIN(Desain_Kolam!$B$21,MAX(0,N694+F695+G695-H695-I695))</f>
        <v>15823.566675</v>
      </c>
      <c r="O695" s="6" t="n">
        <f aca="false">IF(N694+F695+G695-I695&gt;=H695,1,0)</f>
        <v>1</v>
      </c>
    </row>
    <row r="696" customFormat="false" ht="15" hidden="false" customHeight="false" outlineLevel="0" collapsed="false">
      <c r="A696" s="6" t="n">
        <v>2025</v>
      </c>
      <c r="B696" s="6" t="n">
        <v>10</v>
      </c>
      <c r="C696" s="4" t="n">
        <v>391</v>
      </c>
      <c r="D696" s="6" t="n">
        <v>31</v>
      </c>
      <c r="E696" s="4" t="n">
        <f aca="false">INDEX(Evaporasi!$B$5:$B$16,MATCH(B696,Evaporasi!$A$5:$A$16,0))</f>
        <v>151.5</v>
      </c>
      <c r="F696" s="17" t="n">
        <f aca="false">Kawasan!$B$11*Kawasan!$B$9*C696/1000</f>
        <v>3253.12</v>
      </c>
      <c r="G696" s="17" t="n">
        <f aca="false">C696*Desain_Kolam!$B$9/1000</f>
        <v>2069.3675</v>
      </c>
      <c r="H696" s="17" t="n">
        <f aca="false">Kawasan!$B$29*D696</f>
        <v>1428.48</v>
      </c>
      <c r="I696" s="17" t="n">
        <f aca="false">E696*Desain_Kolam!$B$9/1000</f>
        <v>801.81375</v>
      </c>
      <c r="J696" s="17" t="n">
        <f aca="false">F696+G696-H696-I696</f>
        <v>3092.19375</v>
      </c>
      <c r="K696" s="17" t="n">
        <f aca="false">K695+J696</f>
        <v>200833.293975</v>
      </c>
      <c r="L696" s="17" t="n">
        <f aca="false">MAX(L695,K696)</f>
        <v>200833.293975</v>
      </c>
      <c r="M696" s="17" t="n">
        <f aca="false">L696-K696</f>
        <v>0</v>
      </c>
      <c r="N696" s="17" t="n">
        <f aca="false">MIN(Desain_Kolam!$B$21,MAX(0,N695+F696+G696-H696-I696))</f>
        <v>15823.566675</v>
      </c>
      <c r="O696" s="6" t="n">
        <f aca="false">IF(N695+F696+G696-I696&gt;=H696,1,0)</f>
        <v>1</v>
      </c>
    </row>
    <row r="697" customFormat="false" ht="15" hidden="false" customHeight="false" outlineLevel="0" collapsed="false">
      <c r="A697" s="6" t="n">
        <v>2025</v>
      </c>
      <c r="B697" s="6" t="n">
        <v>11</v>
      </c>
      <c r="C697" s="4" t="n">
        <v>327</v>
      </c>
      <c r="D697" s="6" t="n">
        <v>30</v>
      </c>
      <c r="E697" s="4" t="n">
        <f aca="false">INDEX(Evaporasi!$B$5:$B$16,MATCH(B697,Evaporasi!$A$5:$A$16,0))</f>
        <v>142.3</v>
      </c>
      <c r="F697" s="17" t="n">
        <f aca="false">Kawasan!$B$11*Kawasan!$B$9*C697/1000</f>
        <v>2720.64</v>
      </c>
      <c r="G697" s="17" t="n">
        <f aca="false">C697*Desain_Kolam!$B$9/1000</f>
        <v>1730.6475</v>
      </c>
      <c r="H697" s="17" t="n">
        <f aca="false">Kawasan!$B$29*D697</f>
        <v>1382.4</v>
      </c>
      <c r="I697" s="17" t="n">
        <f aca="false">E697*Desain_Kolam!$B$9/1000</f>
        <v>753.12275</v>
      </c>
      <c r="J697" s="17" t="n">
        <f aca="false">F697+G697-H697-I697</f>
        <v>2315.76475</v>
      </c>
      <c r="K697" s="17" t="n">
        <f aca="false">K696+J697</f>
        <v>203149.058725</v>
      </c>
      <c r="L697" s="17" t="n">
        <f aca="false">MAX(L696,K697)</f>
        <v>203149.058725</v>
      </c>
      <c r="M697" s="17" t="n">
        <f aca="false">L697-K697</f>
        <v>0</v>
      </c>
      <c r="N697" s="17" t="n">
        <f aca="false">MIN(Desain_Kolam!$B$21,MAX(0,N696+F697+G697-H697-I697))</f>
        <v>15823.566675</v>
      </c>
      <c r="O697" s="6" t="n">
        <f aca="false">IF(N696+F697+G697-I697&gt;=H697,1,0)</f>
        <v>1</v>
      </c>
    </row>
    <row r="698" customFormat="false" ht="15" hidden="false" customHeight="false" outlineLevel="0" collapsed="false">
      <c r="A698" s="6" t="n">
        <v>2025</v>
      </c>
      <c r="B698" s="6" t="n">
        <v>12</v>
      </c>
      <c r="C698" s="4" t="n">
        <v>140</v>
      </c>
      <c r="D698" s="6" t="n">
        <v>31</v>
      </c>
      <c r="E698" s="4" t="n">
        <f aca="false">INDEX(Evaporasi!$B$5:$B$16,MATCH(B698,Evaporasi!$A$5:$A$16,0))</f>
        <v>145.07</v>
      </c>
      <c r="F698" s="17" t="n">
        <f aca="false">Kawasan!$B$11*Kawasan!$B$9*C698/1000</f>
        <v>1164.8</v>
      </c>
      <c r="G698" s="17" t="n">
        <f aca="false">C698*Desain_Kolam!$B$9/1000</f>
        <v>740.95</v>
      </c>
      <c r="H698" s="17" t="n">
        <f aca="false">Kawasan!$B$29*D698</f>
        <v>1428.48</v>
      </c>
      <c r="I698" s="17" t="n">
        <f aca="false">E698*Desain_Kolam!$B$9/1000</f>
        <v>767.782975</v>
      </c>
      <c r="J698" s="17" t="n">
        <f aca="false">F698+G698-H698-I698</f>
        <v>-290.512975</v>
      </c>
      <c r="K698" s="17" t="n">
        <f aca="false">K697+J698</f>
        <v>202858.54575</v>
      </c>
      <c r="L698" s="17" t="n">
        <f aca="false">MAX(L697,K698)</f>
        <v>203149.058725</v>
      </c>
      <c r="M698" s="17" t="n">
        <f aca="false">L698-K698</f>
        <v>290.512974999991</v>
      </c>
      <c r="N698" s="17" t="n">
        <f aca="false">MIN(Desain_Kolam!$B$21,MAX(0,N697+F698+G698-H698-I698))</f>
        <v>15533.0537</v>
      </c>
      <c r="O698" s="6" t="n">
        <f aca="false">IF(N697+F698+G698-I698&gt;=H698,1,0)</f>
        <v>1</v>
      </c>
    </row>
    <row r="699" customFormat="false" ht="15" hidden="false" customHeight="false" outlineLevel="0" collapsed="false">
      <c r="A699" s="28" t="s">
        <v>5436</v>
      </c>
      <c r="B699" s="28"/>
      <c r="C699" s="28"/>
      <c r="D699" s="28"/>
      <c r="E699" s="29" t="n">
        <f aca="false">MAX(M531:M698)</f>
        <v>12905.166675</v>
      </c>
    </row>
    <row r="700" customFormat="false" ht="15" hidden="false" customHeight="false" outlineLevel="0" collapsed="false">
      <c r="A700" s="28" t="s">
        <v>5428</v>
      </c>
      <c r="B700" s="28"/>
      <c r="C700" s="28"/>
      <c r="D700" s="28"/>
      <c r="E700" s="30" t="n">
        <f aca="false">100*SUM(O531:O698)/COUNT(O531:O698)</f>
        <v>100</v>
      </c>
    </row>
    <row r="701" customFormat="false" ht="15" hidden="false" customHeight="false" outlineLevel="0" collapsed="false">
      <c r="A701" s="28" t="s">
        <v>5429</v>
      </c>
      <c r="B701" s="28"/>
      <c r="C701" s="28"/>
      <c r="D701" s="28"/>
      <c r="E701" s="31" t="n">
        <f aca="false">SUM(O531:O698)</f>
        <v>168</v>
      </c>
    </row>
    <row r="702" customFormat="false" ht="15" hidden="false" customHeight="false" outlineLevel="0" collapsed="false">
      <c r="A702" s="28" t="s">
        <v>5430</v>
      </c>
      <c r="B702" s="28"/>
      <c r="C702" s="28"/>
      <c r="D702" s="28"/>
      <c r="E702" s="29" t="n">
        <f aca="false">K698</f>
        <v>202858.54575</v>
      </c>
    </row>
    <row r="704" customFormat="false" ht="15" hidden="false" customHeight="false" outlineLevel="0" collapsed="false">
      <c r="A704" s="7" t="s">
        <v>5437</v>
      </c>
    </row>
    <row r="705" customFormat="false" ht="23.85" hidden="false" customHeight="false" outlineLevel="0" collapsed="false">
      <c r="A705" s="1" t="s">
        <v>0</v>
      </c>
      <c r="B705" s="1" t="s">
        <v>1</v>
      </c>
      <c r="C705" s="1" t="s">
        <v>5414</v>
      </c>
      <c r="D705" s="1" t="s">
        <v>5415</v>
      </c>
      <c r="E705" s="1" t="s">
        <v>5416</v>
      </c>
      <c r="F705" s="1" t="s">
        <v>5417</v>
      </c>
      <c r="G705" s="1" t="s">
        <v>5418</v>
      </c>
      <c r="H705" s="1" t="s">
        <v>5419</v>
      </c>
      <c r="I705" s="1" t="s">
        <v>5420</v>
      </c>
      <c r="J705" s="1" t="s">
        <v>5421</v>
      </c>
      <c r="K705" s="1" t="s">
        <v>5422</v>
      </c>
      <c r="L705" s="1" t="s">
        <v>5423</v>
      </c>
      <c r="M705" s="1" t="s">
        <v>5424</v>
      </c>
      <c r="N705" s="1" t="s">
        <v>5425</v>
      </c>
      <c r="O705" s="1" t="s">
        <v>5426</v>
      </c>
    </row>
    <row r="706" customFormat="false" ht="15" hidden="false" customHeight="false" outlineLevel="0" collapsed="false">
      <c r="A706" s="6" t="n">
        <v>2012</v>
      </c>
      <c r="B706" s="6" t="n">
        <v>1</v>
      </c>
      <c r="C706" s="4" t="n">
        <v>349</v>
      </c>
      <c r="D706" s="6" t="n">
        <v>31</v>
      </c>
      <c r="E706" s="4" t="n">
        <f aca="false">INDEX(Evaporasi!$B$5:$B$16,MATCH(B706,Evaporasi!$A$5:$A$16,0))</f>
        <v>149.98</v>
      </c>
      <c r="F706" s="17" t="n">
        <f aca="false">Kawasan!$B$11*Kawasan!$B$9*C706/1000</f>
        <v>2903.68</v>
      </c>
      <c r="G706" s="17" t="n">
        <f aca="false">C706*Desain_Kolam!$B$9/1000</f>
        <v>1847.0825</v>
      </c>
      <c r="H706" s="17" t="n">
        <f aca="false">Kawasan!$B$30*D706</f>
        <v>1190.4</v>
      </c>
      <c r="I706" s="17" t="n">
        <f aca="false">E706*Desain_Kolam!$B$9/1000</f>
        <v>793.76915</v>
      </c>
      <c r="J706" s="17" t="n">
        <f aca="false">F706+G706-H706-I706</f>
        <v>2766.59335</v>
      </c>
      <c r="K706" s="17" t="n">
        <f aca="false">J706</f>
        <v>2766.59335</v>
      </c>
      <c r="L706" s="17" t="n">
        <f aca="false">MAX(0,K706)</f>
        <v>2766.59335</v>
      </c>
      <c r="M706" s="17" t="n">
        <f aca="false">L706-K706</f>
        <v>0</v>
      </c>
      <c r="N706" s="17" t="n">
        <f aca="false">MIN(Desain_Kolam!$B$21,MAX(0,F706+G706-H706-I706))</f>
        <v>2766.59335</v>
      </c>
      <c r="O706" s="6" t="n">
        <f aca="false">IF(F706+G706-I706&gt;=H706,1,0)</f>
        <v>1</v>
      </c>
    </row>
    <row r="707" customFormat="false" ht="15" hidden="false" customHeight="false" outlineLevel="0" collapsed="false">
      <c r="A707" s="6" t="n">
        <v>2012</v>
      </c>
      <c r="B707" s="6" t="n">
        <v>2</v>
      </c>
      <c r="C707" s="4" t="n">
        <v>340</v>
      </c>
      <c r="D707" s="6" t="n">
        <v>29</v>
      </c>
      <c r="E707" s="4" t="n">
        <f aca="false">INDEX(Evaporasi!$B$5:$B$16,MATCH(B707,Evaporasi!$A$5:$A$16,0))</f>
        <v>148.64</v>
      </c>
      <c r="F707" s="17" t="n">
        <f aca="false">Kawasan!$B$11*Kawasan!$B$9*C707/1000</f>
        <v>2828.8</v>
      </c>
      <c r="G707" s="17" t="n">
        <f aca="false">C707*Desain_Kolam!$B$9/1000</f>
        <v>1799.45</v>
      </c>
      <c r="H707" s="17" t="n">
        <f aca="false">Kawasan!$B$30*D707</f>
        <v>1113.6</v>
      </c>
      <c r="I707" s="17" t="n">
        <f aca="false">E707*Desain_Kolam!$B$9/1000</f>
        <v>786.6772</v>
      </c>
      <c r="J707" s="17" t="n">
        <f aca="false">F707+G707-H707-I707</f>
        <v>2727.9728</v>
      </c>
      <c r="K707" s="17" t="n">
        <f aca="false">K706+J707</f>
        <v>5494.56615</v>
      </c>
      <c r="L707" s="17" t="n">
        <f aca="false">MAX(L706,K707)</f>
        <v>5494.56615</v>
      </c>
      <c r="M707" s="17" t="n">
        <f aca="false">L707-K707</f>
        <v>0</v>
      </c>
      <c r="N707" s="17" t="n">
        <f aca="false">MIN(Desain_Kolam!$B$21,MAX(0,N706+F707+G707-H707-I707))</f>
        <v>5494.56615</v>
      </c>
      <c r="O707" s="6" t="n">
        <f aca="false">IF(N706+F707+G707-I707&gt;=H707,1,0)</f>
        <v>1</v>
      </c>
    </row>
    <row r="708" customFormat="false" ht="15" hidden="false" customHeight="false" outlineLevel="0" collapsed="false">
      <c r="A708" s="6" t="n">
        <v>2012</v>
      </c>
      <c r="B708" s="6" t="n">
        <v>3</v>
      </c>
      <c r="C708" s="4" t="n">
        <v>244</v>
      </c>
      <c r="D708" s="6" t="n">
        <v>31</v>
      </c>
      <c r="E708" s="4" t="n">
        <f aca="false">INDEX(Evaporasi!$B$5:$B$16,MATCH(B708,Evaporasi!$A$5:$A$16,0))</f>
        <v>166.18</v>
      </c>
      <c r="F708" s="17" t="n">
        <f aca="false">Kawasan!$B$11*Kawasan!$B$9*C708/1000</f>
        <v>2030.08</v>
      </c>
      <c r="G708" s="17" t="n">
        <f aca="false">C708*Desain_Kolam!$B$9/1000</f>
        <v>1291.37</v>
      </c>
      <c r="H708" s="17" t="n">
        <f aca="false">Kawasan!$B$30*D708</f>
        <v>1190.4</v>
      </c>
      <c r="I708" s="17" t="n">
        <f aca="false">E708*Desain_Kolam!$B$9/1000</f>
        <v>879.50765</v>
      </c>
      <c r="J708" s="17" t="n">
        <f aca="false">F708+G708-H708-I708</f>
        <v>1251.54235</v>
      </c>
      <c r="K708" s="17" t="n">
        <f aca="false">K707+J708</f>
        <v>6746.1085</v>
      </c>
      <c r="L708" s="17" t="n">
        <f aca="false">MAX(L707,K708)</f>
        <v>6746.1085</v>
      </c>
      <c r="M708" s="17" t="n">
        <f aca="false">L708-K708</f>
        <v>0</v>
      </c>
      <c r="N708" s="17" t="n">
        <f aca="false">MIN(Desain_Kolam!$B$21,MAX(0,N707+F708+G708-H708-I708))</f>
        <v>6746.1085</v>
      </c>
      <c r="O708" s="6" t="n">
        <f aca="false">IF(N707+F708+G708-I708&gt;=H708,1,0)</f>
        <v>1</v>
      </c>
    </row>
    <row r="709" customFormat="false" ht="15" hidden="false" customHeight="false" outlineLevel="0" collapsed="false">
      <c r="A709" s="6" t="n">
        <v>2012</v>
      </c>
      <c r="B709" s="6" t="n">
        <v>4</v>
      </c>
      <c r="C709" s="4" t="n">
        <v>282</v>
      </c>
      <c r="D709" s="6" t="n">
        <v>30</v>
      </c>
      <c r="E709" s="4" t="n">
        <f aca="false">INDEX(Evaporasi!$B$5:$B$16,MATCH(B709,Evaporasi!$A$5:$A$16,0))</f>
        <v>157.75</v>
      </c>
      <c r="F709" s="17" t="n">
        <f aca="false">Kawasan!$B$11*Kawasan!$B$9*C709/1000</f>
        <v>2346.24</v>
      </c>
      <c r="G709" s="17" t="n">
        <f aca="false">C709*Desain_Kolam!$B$9/1000</f>
        <v>1492.485</v>
      </c>
      <c r="H709" s="17" t="n">
        <f aca="false">Kawasan!$B$30*D709</f>
        <v>1152</v>
      </c>
      <c r="I709" s="17" t="n">
        <f aca="false">E709*Desain_Kolam!$B$9/1000</f>
        <v>834.891875</v>
      </c>
      <c r="J709" s="17" t="n">
        <f aca="false">F709+G709-H709-I709</f>
        <v>1851.833125</v>
      </c>
      <c r="K709" s="17" t="n">
        <f aca="false">K708+J709</f>
        <v>8597.941625</v>
      </c>
      <c r="L709" s="17" t="n">
        <f aca="false">MAX(L708,K709)</f>
        <v>8597.941625</v>
      </c>
      <c r="M709" s="17" t="n">
        <f aca="false">L709-K709</f>
        <v>0</v>
      </c>
      <c r="N709" s="17" t="n">
        <f aca="false">MIN(Desain_Kolam!$B$21,MAX(0,N708+F709+G709-H709-I709))</f>
        <v>8597.941625</v>
      </c>
      <c r="O709" s="6" t="n">
        <f aca="false">IF(N708+F709+G709-I709&gt;=H709,1,0)</f>
        <v>1</v>
      </c>
    </row>
    <row r="710" customFormat="false" ht="15" hidden="false" customHeight="false" outlineLevel="0" collapsed="false">
      <c r="A710" s="6" t="n">
        <v>2012</v>
      </c>
      <c r="B710" s="6" t="n">
        <v>5</v>
      </c>
      <c r="C710" s="4" t="n">
        <v>319</v>
      </c>
      <c r="D710" s="6" t="n">
        <v>31</v>
      </c>
      <c r="E710" s="4" t="n">
        <f aca="false">INDEX(Evaporasi!$B$5:$B$16,MATCH(B710,Evaporasi!$A$5:$A$16,0))</f>
        <v>158.35</v>
      </c>
      <c r="F710" s="17" t="n">
        <f aca="false">Kawasan!$B$11*Kawasan!$B$9*C710/1000</f>
        <v>2654.08</v>
      </c>
      <c r="G710" s="17" t="n">
        <f aca="false">C710*Desain_Kolam!$B$9/1000</f>
        <v>1688.3075</v>
      </c>
      <c r="H710" s="17" t="n">
        <f aca="false">Kawasan!$B$30*D710</f>
        <v>1190.4</v>
      </c>
      <c r="I710" s="17" t="n">
        <f aca="false">E710*Desain_Kolam!$B$9/1000</f>
        <v>838.067375</v>
      </c>
      <c r="J710" s="17" t="n">
        <f aca="false">F710+G710-H710-I710</f>
        <v>2313.920125</v>
      </c>
      <c r="K710" s="17" t="n">
        <f aca="false">K709+J710</f>
        <v>10911.86175</v>
      </c>
      <c r="L710" s="17" t="n">
        <f aca="false">MAX(L709,K710)</f>
        <v>10911.86175</v>
      </c>
      <c r="M710" s="17" t="n">
        <f aca="false">L710-K710</f>
        <v>0</v>
      </c>
      <c r="N710" s="17" t="n">
        <f aca="false">MIN(Desain_Kolam!$B$21,MAX(0,N709+F710+G710-H710-I710))</f>
        <v>10911.86175</v>
      </c>
      <c r="O710" s="6" t="n">
        <f aca="false">IF(N709+F710+G710-I710&gt;=H710,1,0)</f>
        <v>1</v>
      </c>
    </row>
    <row r="711" customFormat="false" ht="15" hidden="false" customHeight="false" outlineLevel="0" collapsed="false">
      <c r="A711" s="6" t="n">
        <v>2012</v>
      </c>
      <c r="B711" s="6" t="n">
        <v>6</v>
      </c>
      <c r="C711" s="4" t="n">
        <v>107</v>
      </c>
      <c r="D711" s="6" t="n">
        <v>30</v>
      </c>
      <c r="E711" s="4" t="n">
        <f aca="false">INDEX(Evaporasi!$B$5:$B$16,MATCH(B711,Evaporasi!$A$5:$A$16,0))</f>
        <v>150.17</v>
      </c>
      <c r="F711" s="17" t="n">
        <f aca="false">Kawasan!$B$11*Kawasan!$B$9*C711/1000</f>
        <v>890.24</v>
      </c>
      <c r="G711" s="17" t="n">
        <f aca="false">C711*Desain_Kolam!$B$9/1000</f>
        <v>566.2975</v>
      </c>
      <c r="H711" s="17" t="n">
        <f aca="false">Kawasan!$B$30*D711</f>
        <v>1152</v>
      </c>
      <c r="I711" s="17" t="n">
        <f aca="false">E711*Desain_Kolam!$B$9/1000</f>
        <v>794.774725</v>
      </c>
      <c r="J711" s="17" t="n">
        <f aca="false">F711+G711-H711-I711</f>
        <v>-490.237225</v>
      </c>
      <c r="K711" s="17" t="n">
        <f aca="false">K710+J711</f>
        <v>10421.624525</v>
      </c>
      <c r="L711" s="17" t="n">
        <f aca="false">MAX(L710,K711)</f>
        <v>10911.86175</v>
      </c>
      <c r="M711" s="17" t="n">
        <f aca="false">L711-K711</f>
        <v>490.237225000001</v>
      </c>
      <c r="N711" s="17" t="n">
        <f aca="false">MIN(Desain_Kolam!$B$21,MAX(0,N710+F711+G711-H711-I711))</f>
        <v>10421.624525</v>
      </c>
      <c r="O711" s="6" t="n">
        <f aca="false">IF(N710+F711+G711-I711&gt;=H711,1,0)</f>
        <v>1</v>
      </c>
    </row>
    <row r="712" customFormat="false" ht="15" hidden="false" customHeight="false" outlineLevel="0" collapsed="false">
      <c r="A712" s="6" t="n">
        <v>2012</v>
      </c>
      <c r="B712" s="6" t="n">
        <v>7</v>
      </c>
      <c r="C712" s="4" t="n">
        <v>133</v>
      </c>
      <c r="D712" s="6" t="n">
        <v>31</v>
      </c>
      <c r="E712" s="4" t="n">
        <f aca="false">INDEX(Evaporasi!$B$5:$B$16,MATCH(B712,Evaporasi!$A$5:$A$16,0))</f>
        <v>160.84</v>
      </c>
      <c r="F712" s="17" t="n">
        <f aca="false">Kawasan!$B$11*Kawasan!$B$9*C712/1000</f>
        <v>1106.56</v>
      </c>
      <c r="G712" s="17" t="n">
        <f aca="false">C712*Desain_Kolam!$B$9/1000</f>
        <v>703.9025</v>
      </c>
      <c r="H712" s="17" t="n">
        <f aca="false">Kawasan!$B$30*D712</f>
        <v>1190.4</v>
      </c>
      <c r="I712" s="17" t="n">
        <f aca="false">E712*Desain_Kolam!$B$9/1000</f>
        <v>851.2457</v>
      </c>
      <c r="J712" s="17" t="n">
        <f aca="false">F712+G712-H712-I712</f>
        <v>-231.1832</v>
      </c>
      <c r="K712" s="17" t="n">
        <f aca="false">K711+J712</f>
        <v>10190.441325</v>
      </c>
      <c r="L712" s="17" t="n">
        <f aca="false">MAX(L711,K712)</f>
        <v>10911.86175</v>
      </c>
      <c r="M712" s="17" t="n">
        <f aca="false">L712-K712</f>
        <v>721.420425</v>
      </c>
      <c r="N712" s="17" t="n">
        <f aca="false">MIN(Desain_Kolam!$B$21,MAX(0,N711+F712+G712-H712-I712))</f>
        <v>10190.441325</v>
      </c>
      <c r="O712" s="6" t="n">
        <f aca="false">IF(N711+F712+G712-I712&gt;=H712,1,0)</f>
        <v>1</v>
      </c>
    </row>
    <row r="713" customFormat="false" ht="15" hidden="false" customHeight="false" outlineLevel="0" collapsed="false">
      <c r="A713" s="6" t="n">
        <v>2012</v>
      </c>
      <c r="B713" s="6" t="n">
        <v>8</v>
      </c>
      <c r="C713" s="4" t="n">
        <v>105</v>
      </c>
      <c r="D713" s="6" t="n">
        <v>31</v>
      </c>
      <c r="E713" s="4" t="n">
        <f aca="false">INDEX(Evaporasi!$B$5:$B$16,MATCH(B713,Evaporasi!$A$5:$A$16,0))</f>
        <v>161.16</v>
      </c>
      <c r="F713" s="17" t="n">
        <f aca="false">Kawasan!$B$11*Kawasan!$B$9*C713/1000</f>
        <v>873.6</v>
      </c>
      <c r="G713" s="17" t="n">
        <f aca="false">C713*Desain_Kolam!$B$9/1000</f>
        <v>555.7125</v>
      </c>
      <c r="H713" s="17" t="n">
        <f aca="false">Kawasan!$B$30*D713</f>
        <v>1190.4</v>
      </c>
      <c r="I713" s="17" t="n">
        <f aca="false">E713*Desain_Kolam!$B$9/1000</f>
        <v>852.9393</v>
      </c>
      <c r="J713" s="17" t="n">
        <f aca="false">F713+G713-H713-I713</f>
        <v>-614.0268</v>
      </c>
      <c r="K713" s="17" t="n">
        <f aca="false">K712+J713</f>
        <v>9576.414525</v>
      </c>
      <c r="L713" s="17" t="n">
        <f aca="false">MAX(L712,K713)</f>
        <v>10911.86175</v>
      </c>
      <c r="M713" s="17" t="n">
        <f aca="false">L713-K713</f>
        <v>1335.447225</v>
      </c>
      <c r="N713" s="17" t="n">
        <f aca="false">MIN(Desain_Kolam!$B$21,MAX(0,N712+F713+G713-H713-I713))</f>
        <v>9576.414525</v>
      </c>
      <c r="O713" s="6" t="n">
        <f aca="false">IF(N712+F713+G713-I713&gt;=H713,1,0)</f>
        <v>1</v>
      </c>
    </row>
    <row r="714" customFormat="false" ht="15" hidden="false" customHeight="false" outlineLevel="0" collapsed="false">
      <c r="A714" s="6" t="n">
        <v>2012</v>
      </c>
      <c r="B714" s="6" t="n">
        <v>9</v>
      </c>
      <c r="C714" s="4" t="n">
        <v>174</v>
      </c>
      <c r="D714" s="6" t="n">
        <v>30</v>
      </c>
      <c r="E714" s="4" t="n">
        <f aca="false">INDEX(Evaporasi!$B$5:$B$16,MATCH(B714,Evaporasi!$A$5:$A$16,0))</f>
        <v>159.21</v>
      </c>
      <c r="F714" s="17" t="n">
        <f aca="false">Kawasan!$B$11*Kawasan!$B$9*C714/1000</f>
        <v>1447.68</v>
      </c>
      <c r="G714" s="17" t="n">
        <f aca="false">C714*Desain_Kolam!$B$9/1000</f>
        <v>920.895</v>
      </c>
      <c r="H714" s="17" t="n">
        <f aca="false">Kawasan!$B$30*D714</f>
        <v>1152</v>
      </c>
      <c r="I714" s="17" t="n">
        <f aca="false">E714*Desain_Kolam!$B$9/1000</f>
        <v>842.618925</v>
      </c>
      <c r="J714" s="17" t="n">
        <f aca="false">F714+G714-H714-I714</f>
        <v>373.956075</v>
      </c>
      <c r="K714" s="17" t="n">
        <f aca="false">K713+J714</f>
        <v>9950.3706</v>
      </c>
      <c r="L714" s="17" t="n">
        <f aca="false">MAX(L713,K714)</f>
        <v>10911.86175</v>
      </c>
      <c r="M714" s="17" t="n">
        <f aca="false">L714-K714</f>
        <v>961.49115</v>
      </c>
      <c r="N714" s="17" t="n">
        <f aca="false">MIN(Desain_Kolam!$B$21,MAX(0,N713+F714+G714-H714-I714))</f>
        <v>9950.3706</v>
      </c>
      <c r="O714" s="6" t="n">
        <f aca="false">IF(N713+F714+G714-I714&gt;=H714,1,0)</f>
        <v>1</v>
      </c>
    </row>
    <row r="715" customFormat="false" ht="15" hidden="false" customHeight="false" outlineLevel="0" collapsed="false">
      <c r="A715" s="6" t="n">
        <v>2012</v>
      </c>
      <c r="B715" s="6" t="n">
        <v>10</v>
      </c>
      <c r="C715" s="4" t="n">
        <v>436</v>
      </c>
      <c r="D715" s="6" t="n">
        <v>31</v>
      </c>
      <c r="E715" s="4" t="n">
        <f aca="false">INDEX(Evaporasi!$B$5:$B$16,MATCH(B715,Evaporasi!$A$5:$A$16,0))</f>
        <v>151.5</v>
      </c>
      <c r="F715" s="17" t="n">
        <f aca="false">Kawasan!$B$11*Kawasan!$B$9*C715/1000</f>
        <v>3627.52</v>
      </c>
      <c r="G715" s="17" t="n">
        <f aca="false">C715*Desain_Kolam!$B$9/1000</f>
        <v>2307.53</v>
      </c>
      <c r="H715" s="17" t="n">
        <f aca="false">Kawasan!$B$30*D715</f>
        <v>1190.4</v>
      </c>
      <c r="I715" s="17" t="n">
        <f aca="false">E715*Desain_Kolam!$B$9/1000</f>
        <v>801.81375</v>
      </c>
      <c r="J715" s="17" t="n">
        <f aca="false">F715+G715-H715-I715</f>
        <v>3942.83625</v>
      </c>
      <c r="K715" s="17" t="n">
        <f aca="false">K714+J715</f>
        <v>13893.20685</v>
      </c>
      <c r="L715" s="17" t="n">
        <f aca="false">MAX(L714,K715)</f>
        <v>13893.20685</v>
      </c>
      <c r="M715" s="17" t="n">
        <f aca="false">L715-K715</f>
        <v>0</v>
      </c>
      <c r="N715" s="17" t="n">
        <f aca="false">MIN(Desain_Kolam!$B$21,MAX(0,N714+F715+G715-H715-I715))</f>
        <v>13893.20685</v>
      </c>
      <c r="O715" s="6" t="n">
        <f aca="false">IF(N714+F715+G715-I715&gt;=H715,1,0)</f>
        <v>1</v>
      </c>
    </row>
    <row r="716" customFormat="false" ht="15" hidden="false" customHeight="false" outlineLevel="0" collapsed="false">
      <c r="A716" s="6" t="n">
        <v>2012</v>
      </c>
      <c r="B716" s="6" t="n">
        <v>11</v>
      </c>
      <c r="C716" s="4" t="n">
        <v>323</v>
      </c>
      <c r="D716" s="6" t="n">
        <v>30</v>
      </c>
      <c r="E716" s="4" t="n">
        <f aca="false">INDEX(Evaporasi!$B$5:$B$16,MATCH(B716,Evaporasi!$A$5:$A$16,0))</f>
        <v>142.3</v>
      </c>
      <c r="F716" s="17" t="n">
        <f aca="false">Kawasan!$B$11*Kawasan!$B$9*C716/1000</f>
        <v>2687.36</v>
      </c>
      <c r="G716" s="17" t="n">
        <f aca="false">C716*Desain_Kolam!$B$9/1000</f>
        <v>1709.4775</v>
      </c>
      <c r="H716" s="17" t="n">
        <f aca="false">Kawasan!$B$30*D716</f>
        <v>1152</v>
      </c>
      <c r="I716" s="17" t="n">
        <f aca="false">E716*Desain_Kolam!$B$9/1000</f>
        <v>753.12275</v>
      </c>
      <c r="J716" s="17" t="n">
        <f aca="false">F716+G716-H716-I716</f>
        <v>2491.71475</v>
      </c>
      <c r="K716" s="17" t="n">
        <f aca="false">K715+J716</f>
        <v>16384.9216</v>
      </c>
      <c r="L716" s="17" t="n">
        <f aca="false">MAX(L715,K716)</f>
        <v>16384.9216</v>
      </c>
      <c r="M716" s="17" t="n">
        <f aca="false">L716-K716</f>
        <v>0</v>
      </c>
      <c r="N716" s="17" t="n">
        <f aca="false">MIN(Desain_Kolam!$B$21,MAX(0,N715+F716+G716-H716-I716))</f>
        <v>15823.566675</v>
      </c>
      <c r="O716" s="6" t="n">
        <f aca="false">IF(N715+F716+G716-I716&gt;=H716,1,0)</f>
        <v>1</v>
      </c>
    </row>
    <row r="717" customFormat="false" ht="15" hidden="false" customHeight="false" outlineLevel="0" collapsed="false">
      <c r="A717" s="6" t="n">
        <v>2012</v>
      </c>
      <c r="B717" s="6" t="n">
        <v>12</v>
      </c>
      <c r="C717" s="4" t="n">
        <v>297</v>
      </c>
      <c r="D717" s="6" t="n">
        <v>31</v>
      </c>
      <c r="E717" s="4" t="n">
        <f aca="false">INDEX(Evaporasi!$B$5:$B$16,MATCH(B717,Evaporasi!$A$5:$A$16,0))</f>
        <v>145.07</v>
      </c>
      <c r="F717" s="17" t="n">
        <f aca="false">Kawasan!$B$11*Kawasan!$B$9*C717/1000</f>
        <v>2471.04</v>
      </c>
      <c r="G717" s="17" t="n">
        <f aca="false">C717*Desain_Kolam!$B$9/1000</f>
        <v>1571.8725</v>
      </c>
      <c r="H717" s="17" t="n">
        <f aca="false">Kawasan!$B$30*D717</f>
        <v>1190.4</v>
      </c>
      <c r="I717" s="17" t="n">
        <f aca="false">E717*Desain_Kolam!$B$9/1000</f>
        <v>767.782975</v>
      </c>
      <c r="J717" s="17" t="n">
        <f aca="false">F717+G717-H717-I717</f>
        <v>2084.729525</v>
      </c>
      <c r="K717" s="17" t="n">
        <f aca="false">K716+J717</f>
        <v>18469.651125</v>
      </c>
      <c r="L717" s="17" t="n">
        <f aca="false">MAX(L716,K717)</f>
        <v>18469.651125</v>
      </c>
      <c r="M717" s="17" t="n">
        <f aca="false">L717-K717</f>
        <v>0</v>
      </c>
      <c r="N717" s="17" t="n">
        <f aca="false">MIN(Desain_Kolam!$B$21,MAX(0,N716+F717+G717-H717-I717))</f>
        <v>15823.566675</v>
      </c>
      <c r="O717" s="6" t="n">
        <f aca="false">IF(N716+F717+G717-I717&gt;=H717,1,0)</f>
        <v>1</v>
      </c>
    </row>
    <row r="718" customFormat="false" ht="15" hidden="false" customHeight="false" outlineLevel="0" collapsed="false">
      <c r="A718" s="6" t="n">
        <v>2013</v>
      </c>
      <c r="B718" s="6" t="n">
        <v>1</v>
      </c>
      <c r="C718" s="4" t="n">
        <v>141</v>
      </c>
      <c r="D718" s="6" t="n">
        <v>31</v>
      </c>
      <c r="E718" s="4" t="n">
        <f aca="false">INDEX(Evaporasi!$B$5:$B$16,MATCH(B718,Evaporasi!$A$5:$A$16,0))</f>
        <v>149.98</v>
      </c>
      <c r="F718" s="17" t="n">
        <f aca="false">Kawasan!$B$11*Kawasan!$B$9*C718/1000</f>
        <v>1173.12</v>
      </c>
      <c r="G718" s="17" t="n">
        <f aca="false">C718*Desain_Kolam!$B$9/1000</f>
        <v>746.2425</v>
      </c>
      <c r="H718" s="17" t="n">
        <f aca="false">Kawasan!$B$30*D718</f>
        <v>1190.4</v>
      </c>
      <c r="I718" s="17" t="n">
        <f aca="false">E718*Desain_Kolam!$B$9/1000</f>
        <v>793.76915</v>
      </c>
      <c r="J718" s="17" t="n">
        <f aca="false">F718+G718-H718-I718</f>
        <v>-64.80665</v>
      </c>
      <c r="K718" s="17" t="n">
        <f aca="false">K717+J718</f>
        <v>18404.844475</v>
      </c>
      <c r="L718" s="17" t="n">
        <f aca="false">MAX(L717,K718)</f>
        <v>18469.651125</v>
      </c>
      <c r="M718" s="17" t="n">
        <f aca="false">L718-K718</f>
        <v>64.8066499999986</v>
      </c>
      <c r="N718" s="17" t="n">
        <f aca="false">MIN(Desain_Kolam!$B$21,MAX(0,N717+F718+G718-H718-I718))</f>
        <v>15758.760025</v>
      </c>
      <c r="O718" s="6" t="n">
        <f aca="false">IF(N717+F718+G718-I718&gt;=H718,1,0)</f>
        <v>1</v>
      </c>
    </row>
    <row r="719" customFormat="false" ht="15" hidden="false" customHeight="false" outlineLevel="0" collapsed="false">
      <c r="A719" s="6" t="n">
        <v>2013</v>
      </c>
      <c r="B719" s="6" t="n">
        <v>2</v>
      </c>
      <c r="C719" s="4" t="n">
        <v>291</v>
      </c>
      <c r="D719" s="6" t="n">
        <v>28</v>
      </c>
      <c r="E719" s="4" t="n">
        <f aca="false">INDEX(Evaporasi!$B$5:$B$16,MATCH(B719,Evaporasi!$A$5:$A$16,0))</f>
        <v>148.64</v>
      </c>
      <c r="F719" s="17" t="n">
        <f aca="false">Kawasan!$B$11*Kawasan!$B$9*C719/1000</f>
        <v>2421.12</v>
      </c>
      <c r="G719" s="17" t="n">
        <f aca="false">C719*Desain_Kolam!$B$9/1000</f>
        <v>1540.1175</v>
      </c>
      <c r="H719" s="17" t="n">
        <f aca="false">Kawasan!$B$30*D719</f>
        <v>1075.2</v>
      </c>
      <c r="I719" s="17" t="n">
        <f aca="false">E719*Desain_Kolam!$B$9/1000</f>
        <v>786.6772</v>
      </c>
      <c r="J719" s="17" t="n">
        <f aca="false">F719+G719-H719-I719</f>
        <v>2099.3603</v>
      </c>
      <c r="K719" s="17" t="n">
        <f aca="false">K718+J719</f>
        <v>20504.204775</v>
      </c>
      <c r="L719" s="17" t="n">
        <f aca="false">MAX(L718,K719)</f>
        <v>20504.204775</v>
      </c>
      <c r="M719" s="17" t="n">
        <f aca="false">L719-K719</f>
        <v>0</v>
      </c>
      <c r="N719" s="17" t="n">
        <f aca="false">MIN(Desain_Kolam!$B$21,MAX(0,N718+F719+G719-H719-I719))</f>
        <v>15823.566675</v>
      </c>
      <c r="O719" s="6" t="n">
        <f aca="false">IF(N718+F719+G719-I719&gt;=H719,1,0)</f>
        <v>1</v>
      </c>
    </row>
    <row r="720" customFormat="false" ht="15" hidden="false" customHeight="false" outlineLevel="0" collapsed="false">
      <c r="A720" s="6" t="n">
        <v>2013</v>
      </c>
      <c r="B720" s="6" t="n">
        <v>3</v>
      </c>
      <c r="C720" s="4" t="n">
        <v>152</v>
      </c>
      <c r="D720" s="6" t="n">
        <v>31</v>
      </c>
      <c r="E720" s="4" t="n">
        <f aca="false">INDEX(Evaporasi!$B$5:$B$16,MATCH(B720,Evaporasi!$A$5:$A$16,0))</f>
        <v>166.18</v>
      </c>
      <c r="F720" s="17" t="n">
        <f aca="false">Kawasan!$B$11*Kawasan!$B$9*C720/1000</f>
        <v>1264.64</v>
      </c>
      <c r="G720" s="17" t="n">
        <f aca="false">C720*Desain_Kolam!$B$9/1000</f>
        <v>804.46</v>
      </c>
      <c r="H720" s="17" t="n">
        <f aca="false">Kawasan!$B$30*D720</f>
        <v>1190.4</v>
      </c>
      <c r="I720" s="17" t="n">
        <f aca="false">E720*Desain_Kolam!$B$9/1000</f>
        <v>879.50765</v>
      </c>
      <c r="J720" s="17" t="n">
        <f aca="false">F720+G720-H720-I720</f>
        <v>-0.807649999999512</v>
      </c>
      <c r="K720" s="17" t="n">
        <f aca="false">K719+J720</f>
        <v>20503.397125</v>
      </c>
      <c r="L720" s="17" t="n">
        <f aca="false">MAX(L719,K720)</f>
        <v>20504.204775</v>
      </c>
      <c r="M720" s="17" t="n">
        <f aca="false">L720-K720</f>
        <v>0.80764999999883</v>
      </c>
      <c r="N720" s="17" t="n">
        <f aca="false">MIN(Desain_Kolam!$B$21,MAX(0,N719+F720+G720-H720-I720))</f>
        <v>15822.759025</v>
      </c>
      <c r="O720" s="6" t="n">
        <f aca="false">IF(N719+F720+G720-I720&gt;=H720,1,0)</f>
        <v>1</v>
      </c>
    </row>
    <row r="721" customFormat="false" ht="15" hidden="false" customHeight="false" outlineLevel="0" collapsed="false">
      <c r="A721" s="6" t="n">
        <v>2013</v>
      </c>
      <c r="B721" s="6" t="n">
        <v>4</v>
      </c>
      <c r="C721" s="4" t="n">
        <v>435</v>
      </c>
      <c r="D721" s="6" t="n">
        <v>30</v>
      </c>
      <c r="E721" s="4" t="n">
        <f aca="false">INDEX(Evaporasi!$B$5:$B$16,MATCH(B721,Evaporasi!$A$5:$A$16,0))</f>
        <v>157.75</v>
      </c>
      <c r="F721" s="17" t="n">
        <f aca="false">Kawasan!$B$11*Kawasan!$B$9*C721/1000</f>
        <v>3619.2</v>
      </c>
      <c r="G721" s="17" t="n">
        <f aca="false">C721*Desain_Kolam!$B$9/1000</f>
        <v>2302.2375</v>
      </c>
      <c r="H721" s="17" t="n">
        <f aca="false">Kawasan!$B$30*D721</f>
        <v>1152</v>
      </c>
      <c r="I721" s="17" t="n">
        <f aca="false">E721*Desain_Kolam!$B$9/1000</f>
        <v>834.891875</v>
      </c>
      <c r="J721" s="17" t="n">
        <f aca="false">F721+G721-H721-I721</f>
        <v>3934.545625</v>
      </c>
      <c r="K721" s="17" t="n">
        <f aca="false">K720+J721</f>
        <v>24437.94275</v>
      </c>
      <c r="L721" s="17" t="n">
        <f aca="false">MAX(L720,K721)</f>
        <v>24437.94275</v>
      </c>
      <c r="M721" s="17" t="n">
        <f aca="false">L721-K721</f>
        <v>0</v>
      </c>
      <c r="N721" s="17" t="n">
        <f aca="false">MIN(Desain_Kolam!$B$21,MAX(0,N720+F721+G721-H721-I721))</f>
        <v>15823.566675</v>
      </c>
      <c r="O721" s="6" t="n">
        <f aca="false">IF(N720+F721+G721-I721&gt;=H721,1,0)</f>
        <v>1</v>
      </c>
    </row>
    <row r="722" customFormat="false" ht="15" hidden="false" customHeight="false" outlineLevel="0" collapsed="false">
      <c r="A722" s="6" t="n">
        <v>2013</v>
      </c>
      <c r="B722" s="6" t="n">
        <v>5</v>
      </c>
      <c r="C722" s="4" t="n">
        <v>358</v>
      </c>
      <c r="D722" s="6" t="n">
        <v>31</v>
      </c>
      <c r="E722" s="4" t="n">
        <f aca="false">INDEX(Evaporasi!$B$5:$B$16,MATCH(B722,Evaporasi!$A$5:$A$16,0))</f>
        <v>158.35</v>
      </c>
      <c r="F722" s="17" t="n">
        <f aca="false">Kawasan!$B$11*Kawasan!$B$9*C722/1000</f>
        <v>2978.56</v>
      </c>
      <c r="G722" s="17" t="n">
        <f aca="false">C722*Desain_Kolam!$B$9/1000</f>
        <v>1894.715</v>
      </c>
      <c r="H722" s="17" t="n">
        <f aca="false">Kawasan!$B$30*D722</f>
        <v>1190.4</v>
      </c>
      <c r="I722" s="17" t="n">
        <f aca="false">E722*Desain_Kolam!$B$9/1000</f>
        <v>838.067375</v>
      </c>
      <c r="J722" s="17" t="n">
        <f aca="false">F722+G722-H722-I722</f>
        <v>2844.807625</v>
      </c>
      <c r="K722" s="17" t="n">
        <f aca="false">K721+J722</f>
        <v>27282.750375</v>
      </c>
      <c r="L722" s="17" t="n">
        <f aca="false">MAX(L721,K722)</f>
        <v>27282.750375</v>
      </c>
      <c r="M722" s="17" t="n">
        <f aca="false">L722-K722</f>
        <v>0</v>
      </c>
      <c r="N722" s="17" t="n">
        <f aca="false">MIN(Desain_Kolam!$B$21,MAX(0,N721+F722+G722-H722-I722))</f>
        <v>15823.566675</v>
      </c>
      <c r="O722" s="6" t="n">
        <f aca="false">IF(N721+F722+G722-I722&gt;=H722,1,0)</f>
        <v>1</v>
      </c>
    </row>
    <row r="723" customFormat="false" ht="15" hidden="false" customHeight="false" outlineLevel="0" collapsed="false">
      <c r="A723" s="6" t="n">
        <v>2013</v>
      </c>
      <c r="B723" s="6" t="n">
        <v>6</v>
      </c>
      <c r="C723" s="4" t="n">
        <v>212</v>
      </c>
      <c r="D723" s="6" t="n">
        <v>30</v>
      </c>
      <c r="E723" s="4" t="n">
        <f aca="false">INDEX(Evaporasi!$B$5:$B$16,MATCH(B723,Evaporasi!$A$5:$A$16,0))</f>
        <v>150.17</v>
      </c>
      <c r="F723" s="17" t="n">
        <f aca="false">Kawasan!$B$11*Kawasan!$B$9*C723/1000</f>
        <v>1763.84</v>
      </c>
      <c r="G723" s="17" t="n">
        <f aca="false">C723*Desain_Kolam!$B$9/1000</f>
        <v>1122.01</v>
      </c>
      <c r="H723" s="17" t="n">
        <f aca="false">Kawasan!$B$30*D723</f>
        <v>1152</v>
      </c>
      <c r="I723" s="17" t="n">
        <f aca="false">E723*Desain_Kolam!$B$9/1000</f>
        <v>794.774725</v>
      </c>
      <c r="J723" s="17" t="n">
        <f aca="false">F723+G723-H723-I723</f>
        <v>939.075275</v>
      </c>
      <c r="K723" s="17" t="n">
        <f aca="false">K722+J723</f>
        <v>28221.82565</v>
      </c>
      <c r="L723" s="17" t="n">
        <f aca="false">MAX(L722,K723)</f>
        <v>28221.82565</v>
      </c>
      <c r="M723" s="17" t="n">
        <f aca="false">L723-K723</f>
        <v>0</v>
      </c>
      <c r="N723" s="17" t="n">
        <f aca="false">MIN(Desain_Kolam!$B$21,MAX(0,N722+F723+G723-H723-I723))</f>
        <v>15823.566675</v>
      </c>
      <c r="O723" s="6" t="n">
        <f aca="false">IF(N722+F723+G723-I723&gt;=H723,1,0)</f>
        <v>1</v>
      </c>
    </row>
    <row r="724" customFormat="false" ht="15" hidden="false" customHeight="false" outlineLevel="0" collapsed="false">
      <c r="A724" s="6" t="n">
        <v>2013</v>
      </c>
      <c r="B724" s="6" t="n">
        <v>7</v>
      </c>
      <c r="C724" s="4" t="n">
        <v>320</v>
      </c>
      <c r="D724" s="6" t="n">
        <v>31</v>
      </c>
      <c r="E724" s="4" t="n">
        <f aca="false">INDEX(Evaporasi!$B$5:$B$16,MATCH(B724,Evaporasi!$A$5:$A$16,0))</f>
        <v>160.84</v>
      </c>
      <c r="F724" s="17" t="n">
        <f aca="false">Kawasan!$B$11*Kawasan!$B$9*C724/1000</f>
        <v>2662.4</v>
      </c>
      <c r="G724" s="17" t="n">
        <f aca="false">C724*Desain_Kolam!$B$9/1000</f>
        <v>1693.6</v>
      </c>
      <c r="H724" s="17" t="n">
        <f aca="false">Kawasan!$B$30*D724</f>
        <v>1190.4</v>
      </c>
      <c r="I724" s="17" t="n">
        <f aca="false">E724*Desain_Kolam!$B$9/1000</f>
        <v>851.2457</v>
      </c>
      <c r="J724" s="17" t="n">
        <f aca="false">F724+G724-H724-I724</f>
        <v>2314.3543</v>
      </c>
      <c r="K724" s="17" t="n">
        <f aca="false">K723+J724</f>
        <v>30536.17995</v>
      </c>
      <c r="L724" s="17" t="n">
        <f aca="false">MAX(L723,K724)</f>
        <v>30536.17995</v>
      </c>
      <c r="M724" s="17" t="n">
        <f aca="false">L724-K724</f>
        <v>0</v>
      </c>
      <c r="N724" s="17" t="n">
        <f aca="false">MIN(Desain_Kolam!$B$21,MAX(0,N723+F724+G724-H724-I724))</f>
        <v>15823.566675</v>
      </c>
      <c r="O724" s="6" t="n">
        <f aca="false">IF(N723+F724+G724-I724&gt;=H724,1,0)</f>
        <v>1</v>
      </c>
    </row>
    <row r="725" customFormat="false" ht="15" hidden="false" customHeight="false" outlineLevel="0" collapsed="false">
      <c r="A725" s="6" t="n">
        <v>2013</v>
      </c>
      <c r="B725" s="6" t="n">
        <v>8</v>
      </c>
      <c r="C725" s="4" t="n">
        <v>167</v>
      </c>
      <c r="D725" s="6" t="n">
        <v>31</v>
      </c>
      <c r="E725" s="4" t="n">
        <f aca="false">INDEX(Evaporasi!$B$5:$B$16,MATCH(B725,Evaporasi!$A$5:$A$16,0))</f>
        <v>161.16</v>
      </c>
      <c r="F725" s="17" t="n">
        <f aca="false">Kawasan!$B$11*Kawasan!$B$9*C725/1000</f>
        <v>1389.44</v>
      </c>
      <c r="G725" s="17" t="n">
        <f aca="false">C725*Desain_Kolam!$B$9/1000</f>
        <v>883.8475</v>
      </c>
      <c r="H725" s="17" t="n">
        <f aca="false">Kawasan!$B$30*D725</f>
        <v>1190.4</v>
      </c>
      <c r="I725" s="17" t="n">
        <f aca="false">E725*Desain_Kolam!$B$9/1000</f>
        <v>852.9393</v>
      </c>
      <c r="J725" s="17" t="n">
        <f aca="false">F725+G725-H725-I725</f>
        <v>229.9482</v>
      </c>
      <c r="K725" s="17" t="n">
        <f aca="false">K724+J725</f>
        <v>30766.12815</v>
      </c>
      <c r="L725" s="17" t="n">
        <f aca="false">MAX(L724,K725)</f>
        <v>30766.12815</v>
      </c>
      <c r="M725" s="17" t="n">
        <f aca="false">L725-K725</f>
        <v>0</v>
      </c>
      <c r="N725" s="17" t="n">
        <f aca="false">MIN(Desain_Kolam!$B$21,MAX(0,N724+F725+G725-H725-I725))</f>
        <v>15823.566675</v>
      </c>
      <c r="O725" s="6" t="n">
        <f aca="false">IF(N724+F725+G725-I725&gt;=H725,1,0)</f>
        <v>1</v>
      </c>
    </row>
    <row r="726" customFormat="false" ht="15" hidden="false" customHeight="false" outlineLevel="0" collapsed="false">
      <c r="A726" s="6" t="n">
        <v>2013</v>
      </c>
      <c r="B726" s="6" t="n">
        <v>9</v>
      </c>
      <c r="C726" s="4" t="n">
        <v>129</v>
      </c>
      <c r="D726" s="6" t="n">
        <v>30</v>
      </c>
      <c r="E726" s="4" t="n">
        <f aca="false">INDEX(Evaporasi!$B$5:$B$16,MATCH(B726,Evaporasi!$A$5:$A$16,0))</f>
        <v>159.21</v>
      </c>
      <c r="F726" s="17" t="n">
        <f aca="false">Kawasan!$B$11*Kawasan!$B$9*C726/1000</f>
        <v>1073.28</v>
      </c>
      <c r="G726" s="17" t="n">
        <f aca="false">C726*Desain_Kolam!$B$9/1000</f>
        <v>682.7325</v>
      </c>
      <c r="H726" s="17" t="n">
        <f aca="false">Kawasan!$B$30*D726</f>
        <v>1152</v>
      </c>
      <c r="I726" s="17" t="n">
        <f aca="false">E726*Desain_Kolam!$B$9/1000</f>
        <v>842.618925</v>
      </c>
      <c r="J726" s="17" t="n">
        <f aca="false">F726+G726-H726-I726</f>
        <v>-238.606425</v>
      </c>
      <c r="K726" s="17" t="n">
        <f aca="false">K725+J726</f>
        <v>30527.521725</v>
      </c>
      <c r="L726" s="17" t="n">
        <f aca="false">MAX(L725,K726)</f>
        <v>30766.12815</v>
      </c>
      <c r="M726" s="17" t="n">
        <f aca="false">L726-K726</f>
        <v>238.606425000002</v>
      </c>
      <c r="N726" s="17" t="n">
        <f aca="false">MIN(Desain_Kolam!$B$21,MAX(0,N725+F726+G726-H726-I726))</f>
        <v>15584.96025</v>
      </c>
      <c r="O726" s="6" t="n">
        <f aca="false">IF(N725+F726+G726-I726&gt;=H726,1,0)</f>
        <v>1</v>
      </c>
    </row>
    <row r="727" customFormat="false" ht="15" hidden="false" customHeight="false" outlineLevel="0" collapsed="false">
      <c r="A727" s="6" t="n">
        <v>2013</v>
      </c>
      <c r="B727" s="6" t="n">
        <v>10</v>
      </c>
      <c r="C727" s="4" t="n">
        <v>151</v>
      </c>
      <c r="D727" s="6" t="n">
        <v>31</v>
      </c>
      <c r="E727" s="4" t="n">
        <f aca="false">INDEX(Evaporasi!$B$5:$B$16,MATCH(B727,Evaporasi!$A$5:$A$16,0))</f>
        <v>151.5</v>
      </c>
      <c r="F727" s="17" t="n">
        <f aca="false">Kawasan!$B$11*Kawasan!$B$9*C727/1000</f>
        <v>1256.32</v>
      </c>
      <c r="G727" s="17" t="n">
        <f aca="false">C727*Desain_Kolam!$B$9/1000</f>
        <v>799.1675</v>
      </c>
      <c r="H727" s="17" t="n">
        <f aca="false">Kawasan!$B$30*D727</f>
        <v>1190.4</v>
      </c>
      <c r="I727" s="17" t="n">
        <f aca="false">E727*Desain_Kolam!$B$9/1000</f>
        <v>801.81375</v>
      </c>
      <c r="J727" s="17" t="n">
        <f aca="false">F727+G727-H727-I727</f>
        <v>63.2737500000003</v>
      </c>
      <c r="K727" s="17" t="n">
        <f aca="false">K726+J727</f>
        <v>30590.795475</v>
      </c>
      <c r="L727" s="17" t="n">
        <f aca="false">MAX(L726,K727)</f>
        <v>30766.12815</v>
      </c>
      <c r="M727" s="17" t="n">
        <f aca="false">L727-K727</f>
        <v>175.332675000001</v>
      </c>
      <c r="N727" s="17" t="n">
        <f aca="false">MIN(Desain_Kolam!$B$21,MAX(0,N726+F727+G727-H727-I727))</f>
        <v>15648.234</v>
      </c>
      <c r="O727" s="6" t="n">
        <f aca="false">IF(N726+F727+G727-I727&gt;=H727,1,0)</f>
        <v>1</v>
      </c>
    </row>
    <row r="728" customFormat="false" ht="15" hidden="false" customHeight="false" outlineLevel="0" collapsed="false">
      <c r="A728" s="6" t="n">
        <v>2013</v>
      </c>
      <c r="B728" s="6" t="n">
        <v>11</v>
      </c>
      <c r="C728" s="4" t="n">
        <v>280</v>
      </c>
      <c r="D728" s="6" t="n">
        <v>30</v>
      </c>
      <c r="E728" s="4" t="n">
        <f aca="false">INDEX(Evaporasi!$B$5:$B$16,MATCH(B728,Evaporasi!$A$5:$A$16,0))</f>
        <v>142.3</v>
      </c>
      <c r="F728" s="17" t="n">
        <f aca="false">Kawasan!$B$11*Kawasan!$B$9*C728/1000</f>
        <v>2329.6</v>
      </c>
      <c r="G728" s="17" t="n">
        <f aca="false">C728*Desain_Kolam!$B$9/1000</f>
        <v>1481.9</v>
      </c>
      <c r="H728" s="17" t="n">
        <f aca="false">Kawasan!$B$30*D728</f>
        <v>1152</v>
      </c>
      <c r="I728" s="17" t="n">
        <f aca="false">E728*Desain_Kolam!$B$9/1000</f>
        <v>753.12275</v>
      </c>
      <c r="J728" s="17" t="n">
        <f aca="false">F728+G728-H728-I728</f>
        <v>1906.37725</v>
      </c>
      <c r="K728" s="17" t="n">
        <f aca="false">K727+J728</f>
        <v>32497.172725</v>
      </c>
      <c r="L728" s="17" t="n">
        <f aca="false">MAX(L727,K728)</f>
        <v>32497.172725</v>
      </c>
      <c r="M728" s="17" t="n">
        <f aca="false">L728-K728</f>
        <v>0</v>
      </c>
      <c r="N728" s="17" t="n">
        <f aca="false">MIN(Desain_Kolam!$B$21,MAX(0,N727+F728+G728-H728-I728))</f>
        <v>15823.566675</v>
      </c>
      <c r="O728" s="6" t="n">
        <f aca="false">IF(N727+F728+G728-I728&gt;=H728,1,0)</f>
        <v>1</v>
      </c>
    </row>
    <row r="729" customFormat="false" ht="15" hidden="false" customHeight="false" outlineLevel="0" collapsed="false">
      <c r="A729" s="6" t="n">
        <v>2013</v>
      </c>
      <c r="B729" s="6" t="n">
        <v>12</v>
      </c>
      <c r="C729" s="4" t="n">
        <v>280</v>
      </c>
      <c r="D729" s="6" t="n">
        <v>31</v>
      </c>
      <c r="E729" s="4" t="n">
        <f aca="false">INDEX(Evaporasi!$B$5:$B$16,MATCH(B729,Evaporasi!$A$5:$A$16,0))</f>
        <v>145.07</v>
      </c>
      <c r="F729" s="17" t="n">
        <f aca="false">Kawasan!$B$11*Kawasan!$B$9*C729/1000</f>
        <v>2329.6</v>
      </c>
      <c r="G729" s="17" t="n">
        <f aca="false">C729*Desain_Kolam!$B$9/1000</f>
        <v>1481.9</v>
      </c>
      <c r="H729" s="17" t="n">
        <f aca="false">Kawasan!$B$30*D729</f>
        <v>1190.4</v>
      </c>
      <c r="I729" s="17" t="n">
        <f aca="false">E729*Desain_Kolam!$B$9/1000</f>
        <v>767.782975</v>
      </c>
      <c r="J729" s="17" t="n">
        <f aca="false">F729+G729-H729-I729</f>
        <v>1853.317025</v>
      </c>
      <c r="K729" s="17" t="n">
        <f aca="false">K728+J729</f>
        <v>34350.48975</v>
      </c>
      <c r="L729" s="17" t="n">
        <f aca="false">MAX(L728,K729)</f>
        <v>34350.48975</v>
      </c>
      <c r="M729" s="17" t="n">
        <f aca="false">L729-K729</f>
        <v>0</v>
      </c>
      <c r="N729" s="17" t="n">
        <f aca="false">MIN(Desain_Kolam!$B$21,MAX(0,N728+F729+G729-H729-I729))</f>
        <v>15823.566675</v>
      </c>
      <c r="O729" s="6" t="n">
        <f aca="false">IF(N728+F729+G729-I729&gt;=H729,1,0)</f>
        <v>1</v>
      </c>
    </row>
    <row r="730" customFormat="false" ht="15" hidden="false" customHeight="false" outlineLevel="0" collapsed="false">
      <c r="A730" s="6" t="n">
        <v>2014</v>
      </c>
      <c r="B730" s="6" t="n">
        <v>1</v>
      </c>
      <c r="C730" s="4" t="n">
        <v>66</v>
      </c>
      <c r="D730" s="6" t="n">
        <v>31</v>
      </c>
      <c r="E730" s="4" t="n">
        <f aca="false">INDEX(Evaporasi!$B$5:$B$16,MATCH(B730,Evaporasi!$A$5:$A$16,0))</f>
        <v>149.98</v>
      </c>
      <c r="F730" s="17" t="n">
        <f aca="false">Kawasan!$B$11*Kawasan!$B$9*C730/1000</f>
        <v>549.12</v>
      </c>
      <c r="G730" s="17" t="n">
        <f aca="false">C730*Desain_Kolam!$B$9/1000</f>
        <v>349.305</v>
      </c>
      <c r="H730" s="17" t="n">
        <f aca="false">Kawasan!$B$30*D730</f>
        <v>1190.4</v>
      </c>
      <c r="I730" s="17" t="n">
        <f aca="false">E730*Desain_Kolam!$B$9/1000</f>
        <v>793.76915</v>
      </c>
      <c r="J730" s="17" t="n">
        <f aca="false">F730+G730-H730-I730</f>
        <v>-1085.74415</v>
      </c>
      <c r="K730" s="17" t="n">
        <f aca="false">K729+J730</f>
        <v>33264.7456</v>
      </c>
      <c r="L730" s="17" t="n">
        <f aca="false">MAX(L729,K730)</f>
        <v>34350.48975</v>
      </c>
      <c r="M730" s="17" t="n">
        <f aca="false">L730-K730</f>
        <v>1085.74415</v>
      </c>
      <c r="N730" s="17" t="n">
        <f aca="false">MIN(Desain_Kolam!$B$21,MAX(0,N729+F730+G730-H730-I730))</f>
        <v>14737.822525</v>
      </c>
      <c r="O730" s="6" t="n">
        <f aca="false">IF(N729+F730+G730-I730&gt;=H730,1,0)</f>
        <v>1</v>
      </c>
    </row>
    <row r="731" customFormat="false" ht="15" hidden="false" customHeight="false" outlineLevel="0" collapsed="false">
      <c r="A731" s="6" t="n">
        <v>2014</v>
      </c>
      <c r="B731" s="6" t="n">
        <v>2</v>
      </c>
      <c r="C731" s="4" t="n">
        <v>24</v>
      </c>
      <c r="D731" s="6" t="n">
        <v>28</v>
      </c>
      <c r="E731" s="4" t="n">
        <f aca="false">INDEX(Evaporasi!$B$5:$B$16,MATCH(B731,Evaporasi!$A$5:$A$16,0))</f>
        <v>148.64</v>
      </c>
      <c r="F731" s="17" t="n">
        <f aca="false">Kawasan!$B$11*Kawasan!$B$9*C731/1000</f>
        <v>199.68</v>
      </c>
      <c r="G731" s="17" t="n">
        <f aca="false">C731*Desain_Kolam!$B$9/1000</f>
        <v>127.02</v>
      </c>
      <c r="H731" s="17" t="n">
        <f aca="false">Kawasan!$B$30*D731</f>
        <v>1075.2</v>
      </c>
      <c r="I731" s="17" t="n">
        <f aca="false">E731*Desain_Kolam!$B$9/1000</f>
        <v>786.6772</v>
      </c>
      <c r="J731" s="17" t="n">
        <f aca="false">F731+G731-H731-I731</f>
        <v>-1535.1772</v>
      </c>
      <c r="K731" s="17" t="n">
        <f aca="false">K730+J731</f>
        <v>31729.5684</v>
      </c>
      <c r="L731" s="17" t="n">
        <f aca="false">MAX(L730,K731)</f>
        <v>34350.48975</v>
      </c>
      <c r="M731" s="17" t="n">
        <f aca="false">L731-K731</f>
        <v>2620.92135</v>
      </c>
      <c r="N731" s="17" t="n">
        <f aca="false">MIN(Desain_Kolam!$B$21,MAX(0,N730+F731+G731-H731-I731))</f>
        <v>13202.645325</v>
      </c>
      <c r="O731" s="6" t="n">
        <f aca="false">IF(N730+F731+G731-I731&gt;=H731,1,0)</f>
        <v>1</v>
      </c>
    </row>
    <row r="732" customFormat="false" ht="15" hidden="false" customHeight="false" outlineLevel="0" collapsed="false">
      <c r="A732" s="6" t="n">
        <v>2014</v>
      </c>
      <c r="B732" s="6" t="n">
        <v>3</v>
      </c>
      <c r="C732" s="4" t="n">
        <v>141</v>
      </c>
      <c r="D732" s="6" t="n">
        <v>31</v>
      </c>
      <c r="E732" s="4" t="n">
        <f aca="false">INDEX(Evaporasi!$B$5:$B$16,MATCH(B732,Evaporasi!$A$5:$A$16,0))</f>
        <v>166.18</v>
      </c>
      <c r="F732" s="17" t="n">
        <f aca="false">Kawasan!$B$11*Kawasan!$B$9*C732/1000</f>
        <v>1173.12</v>
      </c>
      <c r="G732" s="17" t="n">
        <f aca="false">C732*Desain_Kolam!$B$9/1000</f>
        <v>746.2425</v>
      </c>
      <c r="H732" s="17" t="n">
        <f aca="false">Kawasan!$B$30*D732</f>
        <v>1190.4</v>
      </c>
      <c r="I732" s="17" t="n">
        <f aca="false">E732*Desain_Kolam!$B$9/1000</f>
        <v>879.50765</v>
      </c>
      <c r="J732" s="17" t="n">
        <f aca="false">F732+G732-H732-I732</f>
        <v>-150.54515</v>
      </c>
      <c r="K732" s="17" t="n">
        <f aca="false">K731+J732</f>
        <v>31579.02325</v>
      </c>
      <c r="L732" s="17" t="n">
        <f aca="false">MAX(L731,K732)</f>
        <v>34350.48975</v>
      </c>
      <c r="M732" s="17" t="n">
        <f aca="false">L732-K732</f>
        <v>2771.4665</v>
      </c>
      <c r="N732" s="17" t="n">
        <f aca="false">MIN(Desain_Kolam!$B$21,MAX(0,N731+F732+G732-H732-I732))</f>
        <v>13052.100175</v>
      </c>
      <c r="O732" s="6" t="n">
        <f aca="false">IF(N731+F732+G732-I732&gt;=H732,1,0)</f>
        <v>1</v>
      </c>
    </row>
    <row r="733" customFormat="false" ht="15" hidden="false" customHeight="false" outlineLevel="0" collapsed="false">
      <c r="A733" s="6" t="n">
        <v>2014</v>
      </c>
      <c r="B733" s="6" t="n">
        <v>4</v>
      </c>
      <c r="C733" s="4" t="n">
        <v>129</v>
      </c>
      <c r="D733" s="6" t="n">
        <v>30</v>
      </c>
      <c r="E733" s="4" t="n">
        <f aca="false">INDEX(Evaporasi!$B$5:$B$16,MATCH(B733,Evaporasi!$A$5:$A$16,0))</f>
        <v>157.75</v>
      </c>
      <c r="F733" s="17" t="n">
        <f aca="false">Kawasan!$B$11*Kawasan!$B$9*C733/1000</f>
        <v>1073.28</v>
      </c>
      <c r="G733" s="17" t="n">
        <f aca="false">C733*Desain_Kolam!$B$9/1000</f>
        <v>682.7325</v>
      </c>
      <c r="H733" s="17" t="n">
        <f aca="false">Kawasan!$B$30*D733</f>
        <v>1152</v>
      </c>
      <c r="I733" s="17" t="n">
        <f aca="false">E733*Desain_Kolam!$B$9/1000</f>
        <v>834.891875</v>
      </c>
      <c r="J733" s="17" t="n">
        <f aca="false">F733+G733-H733-I733</f>
        <v>-230.879375</v>
      </c>
      <c r="K733" s="17" t="n">
        <f aca="false">K732+J733</f>
        <v>31348.143875</v>
      </c>
      <c r="L733" s="17" t="n">
        <f aca="false">MAX(L732,K733)</f>
        <v>34350.48975</v>
      </c>
      <c r="M733" s="17" t="n">
        <f aca="false">L733-K733</f>
        <v>3002.345875</v>
      </c>
      <c r="N733" s="17" t="n">
        <f aca="false">MIN(Desain_Kolam!$B$21,MAX(0,N732+F733+G733-H733-I733))</f>
        <v>12821.2208</v>
      </c>
      <c r="O733" s="6" t="n">
        <f aca="false">IF(N732+F733+G733-I733&gt;=H733,1,0)</f>
        <v>1</v>
      </c>
    </row>
    <row r="734" customFormat="false" ht="15" hidden="false" customHeight="false" outlineLevel="0" collapsed="false">
      <c r="A734" s="6" t="n">
        <v>2014</v>
      </c>
      <c r="B734" s="6" t="n">
        <v>5</v>
      </c>
      <c r="C734" s="4" t="n">
        <v>279</v>
      </c>
      <c r="D734" s="6" t="n">
        <v>31</v>
      </c>
      <c r="E734" s="4" t="n">
        <f aca="false">INDEX(Evaporasi!$B$5:$B$16,MATCH(B734,Evaporasi!$A$5:$A$16,0))</f>
        <v>158.35</v>
      </c>
      <c r="F734" s="17" t="n">
        <f aca="false">Kawasan!$B$11*Kawasan!$B$9*C734/1000</f>
        <v>2321.28</v>
      </c>
      <c r="G734" s="17" t="n">
        <f aca="false">C734*Desain_Kolam!$B$9/1000</f>
        <v>1476.6075</v>
      </c>
      <c r="H734" s="17" t="n">
        <f aca="false">Kawasan!$B$30*D734</f>
        <v>1190.4</v>
      </c>
      <c r="I734" s="17" t="n">
        <f aca="false">E734*Desain_Kolam!$B$9/1000</f>
        <v>838.067375</v>
      </c>
      <c r="J734" s="17" t="n">
        <f aca="false">F734+G734-H734-I734</f>
        <v>1769.420125</v>
      </c>
      <c r="K734" s="17" t="n">
        <f aca="false">K733+J734</f>
        <v>33117.564</v>
      </c>
      <c r="L734" s="17" t="n">
        <f aca="false">MAX(L733,K734)</f>
        <v>34350.48975</v>
      </c>
      <c r="M734" s="17" t="n">
        <f aca="false">L734-K734</f>
        <v>1232.92575</v>
      </c>
      <c r="N734" s="17" t="n">
        <f aca="false">MIN(Desain_Kolam!$B$21,MAX(0,N733+F734+G734-H734-I734))</f>
        <v>14590.640925</v>
      </c>
      <c r="O734" s="6" t="n">
        <f aca="false">IF(N733+F734+G734-I734&gt;=H734,1,0)</f>
        <v>1</v>
      </c>
    </row>
    <row r="735" customFormat="false" ht="15" hidden="false" customHeight="false" outlineLevel="0" collapsed="false">
      <c r="A735" s="6" t="n">
        <v>2014</v>
      </c>
      <c r="B735" s="6" t="n">
        <v>6</v>
      </c>
      <c r="C735" s="4" t="n">
        <v>231</v>
      </c>
      <c r="D735" s="6" t="n">
        <v>30</v>
      </c>
      <c r="E735" s="4" t="n">
        <f aca="false">INDEX(Evaporasi!$B$5:$B$16,MATCH(B735,Evaporasi!$A$5:$A$16,0))</f>
        <v>150.17</v>
      </c>
      <c r="F735" s="17" t="n">
        <f aca="false">Kawasan!$B$11*Kawasan!$B$9*C735/1000</f>
        <v>1921.92</v>
      </c>
      <c r="G735" s="17" t="n">
        <f aca="false">C735*Desain_Kolam!$B$9/1000</f>
        <v>1222.5675</v>
      </c>
      <c r="H735" s="17" t="n">
        <f aca="false">Kawasan!$B$30*D735</f>
        <v>1152</v>
      </c>
      <c r="I735" s="17" t="n">
        <f aca="false">E735*Desain_Kolam!$B$9/1000</f>
        <v>794.774725</v>
      </c>
      <c r="J735" s="17" t="n">
        <f aca="false">F735+G735-H735-I735</f>
        <v>1197.712775</v>
      </c>
      <c r="K735" s="17" t="n">
        <f aca="false">K734+J735</f>
        <v>34315.276775</v>
      </c>
      <c r="L735" s="17" t="n">
        <f aca="false">MAX(L734,K735)</f>
        <v>34350.48975</v>
      </c>
      <c r="M735" s="17" t="n">
        <f aca="false">L735-K735</f>
        <v>35.2129750000022</v>
      </c>
      <c r="N735" s="17" t="n">
        <f aca="false">MIN(Desain_Kolam!$B$21,MAX(0,N734+F735+G735-H735-I735))</f>
        <v>15788.3537</v>
      </c>
      <c r="O735" s="6" t="n">
        <f aca="false">IF(N734+F735+G735-I735&gt;=H735,1,0)</f>
        <v>1</v>
      </c>
    </row>
    <row r="736" customFormat="false" ht="15" hidden="false" customHeight="false" outlineLevel="0" collapsed="false">
      <c r="A736" s="6" t="n">
        <v>2014</v>
      </c>
      <c r="B736" s="6" t="n">
        <v>7</v>
      </c>
      <c r="C736" s="4" t="n">
        <v>93</v>
      </c>
      <c r="D736" s="6" t="n">
        <v>31</v>
      </c>
      <c r="E736" s="4" t="n">
        <f aca="false">INDEX(Evaporasi!$B$5:$B$16,MATCH(B736,Evaporasi!$A$5:$A$16,0))</f>
        <v>160.84</v>
      </c>
      <c r="F736" s="17" t="n">
        <f aca="false">Kawasan!$B$11*Kawasan!$B$9*C736/1000</f>
        <v>773.76</v>
      </c>
      <c r="G736" s="17" t="n">
        <f aca="false">C736*Desain_Kolam!$B$9/1000</f>
        <v>492.2025</v>
      </c>
      <c r="H736" s="17" t="n">
        <f aca="false">Kawasan!$B$30*D736</f>
        <v>1190.4</v>
      </c>
      <c r="I736" s="17" t="n">
        <f aca="false">E736*Desain_Kolam!$B$9/1000</f>
        <v>851.2457</v>
      </c>
      <c r="J736" s="17" t="n">
        <f aca="false">F736+G736-H736-I736</f>
        <v>-775.6832</v>
      </c>
      <c r="K736" s="17" t="n">
        <f aca="false">K735+J736</f>
        <v>33539.593575</v>
      </c>
      <c r="L736" s="17" t="n">
        <f aca="false">MAX(L735,K736)</f>
        <v>34350.48975</v>
      </c>
      <c r="M736" s="17" t="n">
        <f aca="false">L736-K736</f>
        <v>810.896175000002</v>
      </c>
      <c r="N736" s="17" t="n">
        <f aca="false">MIN(Desain_Kolam!$B$21,MAX(0,N735+F736+G736-H736-I736))</f>
        <v>15012.6705</v>
      </c>
      <c r="O736" s="6" t="n">
        <f aca="false">IF(N735+F736+G736-I736&gt;=H736,1,0)</f>
        <v>1</v>
      </c>
    </row>
    <row r="737" customFormat="false" ht="15" hidden="false" customHeight="false" outlineLevel="0" collapsed="false">
      <c r="A737" s="6" t="n">
        <v>2014</v>
      </c>
      <c r="B737" s="6" t="n">
        <v>8</v>
      </c>
      <c r="C737" s="4" t="n">
        <v>303</v>
      </c>
      <c r="D737" s="6" t="n">
        <v>31</v>
      </c>
      <c r="E737" s="4" t="n">
        <f aca="false">INDEX(Evaporasi!$B$5:$B$16,MATCH(B737,Evaporasi!$A$5:$A$16,0))</f>
        <v>161.16</v>
      </c>
      <c r="F737" s="17" t="n">
        <f aca="false">Kawasan!$B$11*Kawasan!$B$9*C737/1000</f>
        <v>2520.96</v>
      </c>
      <c r="G737" s="17" t="n">
        <f aca="false">C737*Desain_Kolam!$B$9/1000</f>
        <v>1603.6275</v>
      </c>
      <c r="H737" s="17" t="n">
        <f aca="false">Kawasan!$B$30*D737</f>
        <v>1190.4</v>
      </c>
      <c r="I737" s="17" t="n">
        <f aca="false">E737*Desain_Kolam!$B$9/1000</f>
        <v>852.9393</v>
      </c>
      <c r="J737" s="17" t="n">
        <f aca="false">F737+G737-H737-I737</f>
        <v>2081.2482</v>
      </c>
      <c r="K737" s="17" t="n">
        <f aca="false">K736+J737</f>
        <v>35620.841775</v>
      </c>
      <c r="L737" s="17" t="n">
        <f aca="false">MAX(L736,K737)</f>
        <v>35620.841775</v>
      </c>
      <c r="M737" s="17" t="n">
        <f aca="false">L737-K737</f>
        <v>0</v>
      </c>
      <c r="N737" s="17" t="n">
        <f aca="false">MIN(Desain_Kolam!$B$21,MAX(0,N736+F737+G737-H737-I737))</f>
        <v>15823.566675</v>
      </c>
      <c r="O737" s="6" t="n">
        <f aca="false">IF(N736+F737+G737-I737&gt;=H737,1,0)</f>
        <v>1</v>
      </c>
    </row>
    <row r="738" customFormat="false" ht="15" hidden="false" customHeight="false" outlineLevel="0" collapsed="false">
      <c r="A738" s="6" t="n">
        <v>2014</v>
      </c>
      <c r="B738" s="6" t="n">
        <v>9</v>
      </c>
      <c r="C738" s="4" t="n">
        <v>156</v>
      </c>
      <c r="D738" s="6" t="n">
        <v>30</v>
      </c>
      <c r="E738" s="4" t="n">
        <f aca="false">INDEX(Evaporasi!$B$5:$B$16,MATCH(B738,Evaporasi!$A$5:$A$16,0))</f>
        <v>159.21</v>
      </c>
      <c r="F738" s="17" t="n">
        <f aca="false">Kawasan!$B$11*Kawasan!$B$9*C738/1000</f>
        <v>1297.92</v>
      </c>
      <c r="G738" s="17" t="n">
        <f aca="false">C738*Desain_Kolam!$B$9/1000</f>
        <v>825.63</v>
      </c>
      <c r="H738" s="17" t="n">
        <f aca="false">Kawasan!$B$30*D738</f>
        <v>1152</v>
      </c>
      <c r="I738" s="17" t="n">
        <f aca="false">E738*Desain_Kolam!$B$9/1000</f>
        <v>842.618925</v>
      </c>
      <c r="J738" s="17" t="n">
        <f aca="false">F738+G738-H738-I738</f>
        <v>128.931075</v>
      </c>
      <c r="K738" s="17" t="n">
        <f aca="false">K737+J738</f>
        <v>35749.77285</v>
      </c>
      <c r="L738" s="17" t="n">
        <f aca="false">MAX(L737,K738)</f>
        <v>35749.77285</v>
      </c>
      <c r="M738" s="17" t="n">
        <f aca="false">L738-K738</f>
        <v>0</v>
      </c>
      <c r="N738" s="17" t="n">
        <f aca="false">MIN(Desain_Kolam!$B$21,MAX(0,N737+F738+G738-H738-I738))</f>
        <v>15823.566675</v>
      </c>
      <c r="O738" s="6" t="n">
        <f aca="false">IF(N737+F738+G738-I738&gt;=H738,1,0)</f>
        <v>1</v>
      </c>
    </row>
    <row r="739" customFormat="false" ht="15" hidden="false" customHeight="false" outlineLevel="0" collapsed="false">
      <c r="A739" s="6" t="n">
        <v>2014</v>
      </c>
      <c r="B739" s="6" t="n">
        <v>10</v>
      </c>
      <c r="C739" s="4" t="n">
        <v>226</v>
      </c>
      <c r="D739" s="6" t="n">
        <v>31</v>
      </c>
      <c r="E739" s="4" t="n">
        <f aca="false">INDEX(Evaporasi!$B$5:$B$16,MATCH(B739,Evaporasi!$A$5:$A$16,0))</f>
        <v>151.5</v>
      </c>
      <c r="F739" s="17" t="n">
        <f aca="false">Kawasan!$B$11*Kawasan!$B$9*C739/1000</f>
        <v>1880.32</v>
      </c>
      <c r="G739" s="17" t="n">
        <f aca="false">C739*Desain_Kolam!$B$9/1000</f>
        <v>1196.105</v>
      </c>
      <c r="H739" s="17" t="n">
        <f aca="false">Kawasan!$B$30*D739</f>
        <v>1190.4</v>
      </c>
      <c r="I739" s="17" t="n">
        <f aca="false">E739*Desain_Kolam!$B$9/1000</f>
        <v>801.81375</v>
      </c>
      <c r="J739" s="17" t="n">
        <f aca="false">F739+G739-H739-I739</f>
        <v>1084.21125</v>
      </c>
      <c r="K739" s="17" t="n">
        <f aca="false">K738+J739</f>
        <v>36833.9841</v>
      </c>
      <c r="L739" s="17" t="n">
        <f aca="false">MAX(L738,K739)</f>
        <v>36833.9841</v>
      </c>
      <c r="M739" s="17" t="n">
        <f aca="false">L739-K739</f>
        <v>0</v>
      </c>
      <c r="N739" s="17" t="n">
        <f aca="false">MIN(Desain_Kolam!$B$21,MAX(0,N738+F739+G739-H739-I739))</f>
        <v>15823.566675</v>
      </c>
      <c r="O739" s="6" t="n">
        <f aca="false">IF(N738+F739+G739-I739&gt;=H739,1,0)</f>
        <v>1</v>
      </c>
    </row>
    <row r="740" customFormat="false" ht="15" hidden="false" customHeight="false" outlineLevel="0" collapsed="false">
      <c r="A740" s="6" t="n">
        <v>2014</v>
      </c>
      <c r="B740" s="6" t="n">
        <v>11</v>
      </c>
      <c r="C740" s="4" t="n">
        <v>290</v>
      </c>
      <c r="D740" s="6" t="n">
        <v>30</v>
      </c>
      <c r="E740" s="4" t="n">
        <f aca="false">INDEX(Evaporasi!$B$5:$B$16,MATCH(B740,Evaporasi!$A$5:$A$16,0))</f>
        <v>142.3</v>
      </c>
      <c r="F740" s="17" t="n">
        <f aca="false">Kawasan!$B$11*Kawasan!$B$9*C740/1000</f>
        <v>2412.8</v>
      </c>
      <c r="G740" s="17" t="n">
        <f aca="false">C740*Desain_Kolam!$B$9/1000</f>
        <v>1534.825</v>
      </c>
      <c r="H740" s="17" t="n">
        <f aca="false">Kawasan!$B$30*D740</f>
        <v>1152</v>
      </c>
      <c r="I740" s="17" t="n">
        <f aca="false">E740*Desain_Kolam!$B$9/1000</f>
        <v>753.12275</v>
      </c>
      <c r="J740" s="17" t="n">
        <f aca="false">F740+G740-H740-I740</f>
        <v>2042.50225</v>
      </c>
      <c r="K740" s="17" t="n">
        <f aca="false">K739+J740</f>
        <v>38876.48635</v>
      </c>
      <c r="L740" s="17" t="n">
        <f aca="false">MAX(L739,K740)</f>
        <v>38876.48635</v>
      </c>
      <c r="M740" s="17" t="n">
        <f aca="false">L740-K740</f>
        <v>0</v>
      </c>
      <c r="N740" s="17" t="n">
        <f aca="false">MIN(Desain_Kolam!$B$21,MAX(0,N739+F740+G740-H740-I740))</f>
        <v>15823.566675</v>
      </c>
      <c r="O740" s="6" t="n">
        <f aca="false">IF(N739+F740+G740-I740&gt;=H740,1,0)</f>
        <v>1</v>
      </c>
    </row>
    <row r="741" customFormat="false" ht="15" hidden="false" customHeight="false" outlineLevel="0" collapsed="false">
      <c r="A741" s="6" t="n">
        <v>2014</v>
      </c>
      <c r="B741" s="6" t="n">
        <v>12</v>
      </c>
      <c r="C741" s="4" t="n">
        <v>448</v>
      </c>
      <c r="D741" s="6" t="n">
        <v>31</v>
      </c>
      <c r="E741" s="4" t="n">
        <f aca="false">INDEX(Evaporasi!$B$5:$B$16,MATCH(B741,Evaporasi!$A$5:$A$16,0))</f>
        <v>145.07</v>
      </c>
      <c r="F741" s="17" t="n">
        <f aca="false">Kawasan!$B$11*Kawasan!$B$9*C741/1000</f>
        <v>3727.36</v>
      </c>
      <c r="G741" s="17" t="n">
        <f aca="false">C741*Desain_Kolam!$B$9/1000</f>
        <v>2371.04</v>
      </c>
      <c r="H741" s="17" t="n">
        <f aca="false">Kawasan!$B$30*D741</f>
        <v>1190.4</v>
      </c>
      <c r="I741" s="17" t="n">
        <f aca="false">E741*Desain_Kolam!$B$9/1000</f>
        <v>767.782975</v>
      </c>
      <c r="J741" s="17" t="n">
        <f aca="false">F741+G741-H741-I741</f>
        <v>4140.217025</v>
      </c>
      <c r="K741" s="17" t="n">
        <f aca="false">K740+J741</f>
        <v>43016.703375</v>
      </c>
      <c r="L741" s="17" t="n">
        <f aca="false">MAX(L740,K741)</f>
        <v>43016.703375</v>
      </c>
      <c r="M741" s="17" t="n">
        <f aca="false">L741-K741</f>
        <v>0</v>
      </c>
      <c r="N741" s="17" t="n">
        <f aca="false">MIN(Desain_Kolam!$B$21,MAX(0,N740+F741+G741-H741-I741))</f>
        <v>15823.566675</v>
      </c>
      <c r="O741" s="6" t="n">
        <f aca="false">IF(N740+F741+G741-I741&gt;=H741,1,0)</f>
        <v>1</v>
      </c>
    </row>
    <row r="742" customFormat="false" ht="15" hidden="false" customHeight="false" outlineLevel="0" collapsed="false">
      <c r="A742" s="6" t="n">
        <v>2015</v>
      </c>
      <c r="B742" s="6" t="n">
        <v>1</v>
      </c>
      <c r="C742" s="4" t="n">
        <v>266</v>
      </c>
      <c r="D742" s="6" t="n">
        <v>31</v>
      </c>
      <c r="E742" s="4" t="n">
        <f aca="false">INDEX(Evaporasi!$B$5:$B$16,MATCH(B742,Evaporasi!$A$5:$A$16,0))</f>
        <v>149.98</v>
      </c>
      <c r="F742" s="17" t="n">
        <f aca="false">Kawasan!$B$11*Kawasan!$B$9*C742/1000</f>
        <v>2213.12</v>
      </c>
      <c r="G742" s="17" t="n">
        <f aca="false">C742*Desain_Kolam!$B$9/1000</f>
        <v>1407.805</v>
      </c>
      <c r="H742" s="17" t="n">
        <f aca="false">Kawasan!$B$30*D742</f>
        <v>1190.4</v>
      </c>
      <c r="I742" s="17" t="n">
        <f aca="false">E742*Desain_Kolam!$B$9/1000</f>
        <v>793.76915</v>
      </c>
      <c r="J742" s="17" t="n">
        <f aca="false">F742+G742-H742-I742</f>
        <v>1636.75585</v>
      </c>
      <c r="K742" s="17" t="n">
        <f aca="false">K741+J742</f>
        <v>44653.459225</v>
      </c>
      <c r="L742" s="17" t="n">
        <f aca="false">MAX(L741,K742)</f>
        <v>44653.459225</v>
      </c>
      <c r="M742" s="17" t="n">
        <f aca="false">L742-K742</f>
        <v>0</v>
      </c>
      <c r="N742" s="17" t="n">
        <f aca="false">MIN(Desain_Kolam!$B$21,MAX(0,N741+F742+G742-H742-I742))</f>
        <v>15823.566675</v>
      </c>
      <c r="O742" s="6" t="n">
        <f aca="false">IF(N741+F742+G742-I742&gt;=H742,1,0)</f>
        <v>1</v>
      </c>
    </row>
    <row r="743" customFormat="false" ht="15" hidden="false" customHeight="false" outlineLevel="0" collapsed="false">
      <c r="A743" s="6" t="n">
        <v>2015</v>
      </c>
      <c r="B743" s="6" t="n">
        <v>2</v>
      </c>
      <c r="C743" s="4" t="n">
        <v>351</v>
      </c>
      <c r="D743" s="6" t="n">
        <v>28</v>
      </c>
      <c r="E743" s="4" t="n">
        <f aca="false">INDEX(Evaporasi!$B$5:$B$16,MATCH(B743,Evaporasi!$A$5:$A$16,0))</f>
        <v>148.64</v>
      </c>
      <c r="F743" s="17" t="n">
        <f aca="false">Kawasan!$B$11*Kawasan!$B$9*C743/1000</f>
        <v>2920.32</v>
      </c>
      <c r="G743" s="17" t="n">
        <f aca="false">C743*Desain_Kolam!$B$9/1000</f>
        <v>1857.6675</v>
      </c>
      <c r="H743" s="17" t="n">
        <f aca="false">Kawasan!$B$30*D743</f>
        <v>1075.2</v>
      </c>
      <c r="I743" s="17" t="n">
        <f aca="false">E743*Desain_Kolam!$B$9/1000</f>
        <v>786.6772</v>
      </c>
      <c r="J743" s="17" t="n">
        <f aca="false">F743+G743-H743-I743</f>
        <v>2916.1103</v>
      </c>
      <c r="K743" s="17" t="n">
        <f aca="false">K742+J743</f>
        <v>47569.569525</v>
      </c>
      <c r="L743" s="17" t="n">
        <f aca="false">MAX(L742,K743)</f>
        <v>47569.569525</v>
      </c>
      <c r="M743" s="17" t="n">
        <f aca="false">L743-K743</f>
        <v>0</v>
      </c>
      <c r="N743" s="17" t="n">
        <f aca="false">MIN(Desain_Kolam!$B$21,MAX(0,N742+F743+G743-H743-I743))</f>
        <v>15823.566675</v>
      </c>
      <c r="O743" s="6" t="n">
        <f aca="false">IF(N742+F743+G743-I743&gt;=H743,1,0)</f>
        <v>1</v>
      </c>
    </row>
    <row r="744" customFormat="false" ht="15" hidden="false" customHeight="false" outlineLevel="0" collapsed="false">
      <c r="A744" s="6" t="n">
        <v>2015</v>
      </c>
      <c r="B744" s="6" t="n">
        <v>3</v>
      </c>
      <c r="C744" s="4" t="n">
        <v>222</v>
      </c>
      <c r="D744" s="6" t="n">
        <v>31</v>
      </c>
      <c r="E744" s="4" t="n">
        <f aca="false">INDEX(Evaporasi!$B$5:$B$16,MATCH(B744,Evaporasi!$A$5:$A$16,0))</f>
        <v>166.18</v>
      </c>
      <c r="F744" s="17" t="n">
        <f aca="false">Kawasan!$B$11*Kawasan!$B$9*C744/1000</f>
        <v>1847.04</v>
      </c>
      <c r="G744" s="17" t="n">
        <f aca="false">C744*Desain_Kolam!$B$9/1000</f>
        <v>1174.935</v>
      </c>
      <c r="H744" s="17" t="n">
        <f aca="false">Kawasan!$B$30*D744</f>
        <v>1190.4</v>
      </c>
      <c r="I744" s="17" t="n">
        <f aca="false">E744*Desain_Kolam!$B$9/1000</f>
        <v>879.50765</v>
      </c>
      <c r="J744" s="17" t="n">
        <f aca="false">F744+G744-H744-I744</f>
        <v>952.06735</v>
      </c>
      <c r="K744" s="17" t="n">
        <f aca="false">K743+J744</f>
        <v>48521.636875</v>
      </c>
      <c r="L744" s="17" t="n">
        <f aca="false">MAX(L743,K744)</f>
        <v>48521.636875</v>
      </c>
      <c r="M744" s="17" t="n">
        <f aca="false">L744-K744</f>
        <v>0</v>
      </c>
      <c r="N744" s="17" t="n">
        <f aca="false">MIN(Desain_Kolam!$B$21,MAX(0,N743+F744+G744-H744-I744))</f>
        <v>15823.566675</v>
      </c>
      <c r="O744" s="6" t="n">
        <f aca="false">IF(N743+F744+G744-I744&gt;=H744,1,0)</f>
        <v>1</v>
      </c>
    </row>
    <row r="745" customFormat="false" ht="15" hidden="false" customHeight="false" outlineLevel="0" collapsed="false">
      <c r="A745" s="6" t="n">
        <v>2015</v>
      </c>
      <c r="B745" s="6" t="n">
        <v>4</v>
      </c>
      <c r="C745" s="4" t="n">
        <v>202</v>
      </c>
      <c r="D745" s="6" t="n">
        <v>30</v>
      </c>
      <c r="E745" s="4" t="n">
        <f aca="false">INDEX(Evaporasi!$B$5:$B$16,MATCH(B745,Evaporasi!$A$5:$A$16,0))</f>
        <v>157.75</v>
      </c>
      <c r="F745" s="17" t="n">
        <f aca="false">Kawasan!$B$11*Kawasan!$B$9*C745/1000</f>
        <v>1680.64</v>
      </c>
      <c r="G745" s="17" t="n">
        <f aca="false">C745*Desain_Kolam!$B$9/1000</f>
        <v>1069.085</v>
      </c>
      <c r="H745" s="17" t="n">
        <f aca="false">Kawasan!$B$30*D745</f>
        <v>1152</v>
      </c>
      <c r="I745" s="17" t="n">
        <f aca="false">E745*Desain_Kolam!$B$9/1000</f>
        <v>834.891875</v>
      </c>
      <c r="J745" s="17" t="n">
        <f aca="false">F745+G745-H745-I745</f>
        <v>762.833125</v>
      </c>
      <c r="K745" s="17" t="n">
        <f aca="false">K744+J745</f>
        <v>49284.47</v>
      </c>
      <c r="L745" s="17" t="n">
        <f aca="false">MAX(L744,K745)</f>
        <v>49284.47</v>
      </c>
      <c r="M745" s="17" t="n">
        <f aca="false">L745-K745</f>
        <v>0</v>
      </c>
      <c r="N745" s="17" t="n">
        <f aca="false">MIN(Desain_Kolam!$B$21,MAX(0,N744+F745+G745-H745-I745))</f>
        <v>15823.566675</v>
      </c>
      <c r="O745" s="6" t="n">
        <f aca="false">IF(N744+F745+G745-I745&gt;=H745,1,0)</f>
        <v>1</v>
      </c>
    </row>
    <row r="746" customFormat="false" ht="15" hidden="false" customHeight="false" outlineLevel="0" collapsed="false">
      <c r="A746" s="6" t="n">
        <v>2015</v>
      </c>
      <c r="B746" s="6" t="n">
        <v>5</v>
      </c>
      <c r="C746" s="4" t="n">
        <v>341</v>
      </c>
      <c r="D746" s="6" t="n">
        <v>31</v>
      </c>
      <c r="E746" s="4" t="n">
        <f aca="false">INDEX(Evaporasi!$B$5:$B$16,MATCH(B746,Evaporasi!$A$5:$A$16,0))</f>
        <v>158.35</v>
      </c>
      <c r="F746" s="17" t="n">
        <f aca="false">Kawasan!$B$11*Kawasan!$B$9*C746/1000</f>
        <v>2837.12</v>
      </c>
      <c r="G746" s="17" t="n">
        <f aca="false">C746*Desain_Kolam!$B$9/1000</f>
        <v>1804.7425</v>
      </c>
      <c r="H746" s="17" t="n">
        <f aca="false">Kawasan!$B$30*D746</f>
        <v>1190.4</v>
      </c>
      <c r="I746" s="17" t="n">
        <f aca="false">E746*Desain_Kolam!$B$9/1000</f>
        <v>838.067375</v>
      </c>
      <c r="J746" s="17" t="n">
        <f aca="false">F746+G746-H746-I746</f>
        <v>2613.395125</v>
      </c>
      <c r="K746" s="17" t="n">
        <f aca="false">K745+J746</f>
        <v>51897.865125</v>
      </c>
      <c r="L746" s="17" t="n">
        <f aca="false">MAX(L745,K746)</f>
        <v>51897.865125</v>
      </c>
      <c r="M746" s="17" t="n">
        <f aca="false">L746-K746</f>
        <v>0</v>
      </c>
      <c r="N746" s="17" t="n">
        <f aca="false">MIN(Desain_Kolam!$B$21,MAX(0,N745+F746+G746-H746-I746))</f>
        <v>15823.566675</v>
      </c>
      <c r="O746" s="6" t="n">
        <f aca="false">IF(N745+F746+G746-I746&gt;=H746,1,0)</f>
        <v>1</v>
      </c>
    </row>
    <row r="747" customFormat="false" ht="15" hidden="false" customHeight="false" outlineLevel="0" collapsed="false">
      <c r="A747" s="6" t="n">
        <v>2015</v>
      </c>
      <c r="B747" s="6" t="n">
        <v>6</v>
      </c>
      <c r="C747" s="4" t="n">
        <v>284</v>
      </c>
      <c r="D747" s="6" t="n">
        <v>30</v>
      </c>
      <c r="E747" s="4" t="n">
        <f aca="false">INDEX(Evaporasi!$B$5:$B$16,MATCH(B747,Evaporasi!$A$5:$A$16,0))</f>
        <v>150.17</v>
      </c>
      <c r="F747" s="17" t="n">
        <f aca="false">Kawasan!$B$11*Kawasan!$B$9*C747/1000</f>
        <v>2362.88</v>
      </c>
      <c r="G747" s="17" t="n">
        <f aca="false">C747*Desain_Kolam!$B$9/1000</f>
        <v>1503.07</v>
      </c>
      <c r="H747" s="17" t="n">
        <f aca="false">Kawasan!$B$30*D747</f>
        <v>1152</v>
      </c>
      <c r="I747" s="17" t="n">
        <f aca="false">E747*Desain_Kolam!$B$9/1000</f>
        <v>794.774725</v>
      </c>
      <c r="J747" s="17" t="n">
        <f aca="false">F747+G747-H747-I747</f>
        <v>1919.175275</v>
      </c>
      <c r="K747" s="17" t="n">
        <f aca="false">K746+J747</f>
        <v>53817.0404</v>
      </c>
      <c r="L747" s="17" t="n">
        <f aca="false">MAX(L746,K747)</f>
        <v>53817.0404</v>
      </c>
      <c r="M747" s="17" t="n">
        <f aca="false">L747-K747</f>
        <v>0</v>
      </c>
      <c r="N747" s="17" t="n">
        <f aca="false">MIN(Desain_Kolam!$B$21,MAX(0,N746+F747+G747-H747-I747))</f>
        <v>15823.566675</v>
      </c>
      <c r="O747" s="6" t="n">
        <f aca="false">IF(N746+F747+G747-I747&gt;=H747,1,0)</f>
        <v>1</v>
      </c>
    </row>
    <row r="748" customFormat="false" ht="15" hidden="false" customHeight="false" outlineLevel="0" collapsed="false">
      <c r="A748" s="6" t="n">
        <v>2015</v>
      </c>
      <c r="B748" s="6" t="n">
        <v>7</v>
      </c>
      <c r="C748" s="4" t="n">
        <v>290</v>
      </c>
      <c r="D748" s="6" t="n">
        <v>31</v>
      </c>
      <c r="E748" s="4" t="n">
        <f aca="false">INDEX(Evaporasi!$B$5:$B$16,MATCH(B748,Evaporasi!$A$5:$A$16,0))</f>
        <v>160.84</v>
      </c>
      <c r="F748" s="17" t="n">
        <f aca="false">Kawasan!$B$11*Kawasan!$B$9*C748/1000</f>
        <v>2412.8</v>
      </c>
      <c r="G748" s="17" t="n">
        <f aca="false">C748*Desain_Kolam!$B$9/1000</f>
        <v>1534.825</v>
      </c>
      <c r="H748" s="17" t="n">
        <f aca="false">Kawasan!$B$30*D748</f>
        <v>1190.4</v>
      </c>
      <c r="I748" s="17" t="n">
        <f aca="false">E748*Desain_Kolam!$B$9/1000</f>
        <v>851.2457</v>
      </c>
      <c r="J748" s="17" t="n">
        <f aca="false">F748+G748-H748-I748</f>
        <v>1905.9793</v>
      </c>
      <c r="K748" s="17" t="n">
        <f aca="false">K747+J748</f>
        <v>55723.0197</v>
      </c>
      <c r="L748" s="17" t="n">
        <f aca="false">MAX(L747,K748)</f>
        <v>55723.0197</v>
      </c>
      <c r="M748" s="17" t="n">
        <f aca="false">L748-K748</f>
        <v>0</v>
      </c>
      <c r="N748" s="17" t="n">
        <f aca="false">MIN(Desain_Kolam!$B$21,MAX(0,N747+F748+G748-H748-I748))</f>
        <v>15823.566675</v>
      </c>
      <c r="O748" s="6" t="n">
        <f aca="false">IF(N747+F748+G748-I748&gt;=H748,1,0)</f>
        <v>1</v>
      </c>
    </row>
    <row r="749" customFormat="false" ht="15" hidden="false" customHeight="false" outlineLevel="0" collapsed="false">
      <c r="A749" s="6" t="n">
        <v>2015</v>
      </c>
      <c r="B749" s="6" t="n">
        <v>8</v>
      </c>
      <c r="C749" s="4" t="n">
        <v>86</v>
      </c>
      <c r="D749" s="6" t="n">
        <v>31</v>
      </c>
      <c r="E749" s="4" t="n">
        <f aca="false">INDEX(Evaporasi!$B$5:$B$16,MATCH(B749,Evaporasi!$A$5:$A$16,0))</f>
        <v>161.16</v>
      </c>
      <c r="F749" s="17" t="n">
        <f aca="false">Kawasan!$B$11*Kawasan!$B$9*C749/1000</f>
        <v>715.52</v>
      </c>
      <c r="G749" s="17" t="n">
        <f aca="false">C749*Desain_Kolam!$B$9/1000</f>
        <v>455.155</v>
      </c>
      <c r="H749" s="17" t="n">
        <f aca="false">Kawasan!$B$30*D749</f>
        <v>1190.4</v>
      </c>
      <c r="I749" s="17" t="n">
        <f aca="false">E749*Desain_Kolam!$B$9/1000</f>
        <v>852.9393</v>
      </c>
      <c r="J749" s="17" t="n">
        <f aca="false">F749+G749-H749-I749</f>
        <v>-872.6643</v>
      </c>
      <c r="K749" s="17" t="n">
        <f aca="false">K748+J749</f>
        <v>54850.3554</v>
      </c>
      <c r="L749" s="17" t="n">
        <f aca="false">MAX(L748,K749)</f>
        <v>55723.0197</v>
      </c>
      <c r="M749" s="17" t="n">
        <f aca="false">L749-K749</f>
        <v>872.664299999997</v>
      </c>
      <c r="N749" s="17" t="n">
        <f aca="false">MIN(Desain_Kolam!$B$21,MAX(0,N748+F749+G749-H749-I749))</f>
        <v>14950.902375</v>
      </c>
      <c r="O749" s="6" t="n">
        <f aca="false">IF(N748+F749+G749-I749&gt;=H749,1,0)</f>
        <v>1</v>
      </c>
    </row>
    <row r="750" customFormat="false" ht="15" hidden="false" customHeight="false" outlineLevel="0" collapsed="false">
      <c r="A750" s="6" t="n">
        <v>2015</v>
      </c>
      <c r="B750" s="6" t="n">
        <v>9</v>
      </c>
      <c r="C750" s="4" t="n">
        <v>37</v>
      </c>
      <c r="D750" s="6" t="n">
        <v>30</v>
      </c>
      <c r="E750" s="4" t="n">
        <f aca="false">INDEX(Evaporasi!$B$5:$B$16,MATCH(B750,Evaporasi!$A$5:$A$16,0))</f>
        <v>159.21</v>
      </c>
      <c r="F750" s="17" t="n">
        <f aca="false">Kawasan!$B$11*Kawasan!$B$9*C750/1000</f>
        <v>307.84</v>
      </c>
      <c r="G750" s="17" t="n">
        <f aca="false">C750*Desain_Kolam!$B$9/1000</f>
        <v>195.8225</v>
      </c>
      <c r="H750" s="17" t="n">
        <f aca="false">Kawasan!$B$30*D750</f>
        <v>1152</v>
      </c>
      <c r="I750" s="17" t="n">
        <f aca="false">E750*Desain_Kolam!$B$9/1000</f>
        <v>842.618925</v>
      </c>
      <c r="J750" s="17" t="n">
        <f aca="false">F750+G750-H750-I750</f>
        <v>-1490.956425</v>
      </c>
      <c r="K750" s="17" t="n">
        <f aca="false">K749+J750</f>
        <v>53359.398975</v>
      </c>
      <c r="L750" s="17" t="n">
        <f aca="false">MAX(L749,K750)</f>
        <v>55723.0197</v>
      </c>
      <c r="M750" s="17" t="n">
        <f aca="false">L750-K750</f>
        <v>2363.62072499999</v>
      </c>
      <c r="N750" s="17" t="n">
        <f aca="false">MIN(Desain_Kolam!$B$21,MAX(0,N749+F750+G750-H750-I750))</f>
        <v>13459.94595</v>
      </c>
      <c r="O750" s="6" t="n">
        <f aca="false">IF(N749+F750+G750-I750&gt;=H750,1,0)</f>
        <v>1</v>
      </c>
    </row>
    <row r="751" customFormat="false" ht="15" hidden="false" customHeight="false" outlineLevel="0" collapsed="false">
      <c r="A751" s="6" t="n">
        <v>2015</v>
      </c>
      <c r="B751" s="6" t="n">
        <v>10</v>
      </c>
      <c r="C751" s="4" t="n">
        <v>159</v>
      </c>
      <c r="D751" s="6" t="n">
        <v>31</v>
      </c>
      <c r="E751" s="4" t="n">
        <f aca="false">INDEX(Evaporasi!$B$5:$B$16,MATCH(B751,Evaporasi!$A$5:$A$16,0))</f>
        <v>151.5</v>
      </c>
      <c r="F751" s="17" t="n">
        <f aca="false">Kawasan!$B$11*Kawasan!$B$9*C751/1000</f>
        <v>1322.88</v>
      </c>
      <c r="G751" s="17" t="n">
        <f aca="false">C751*Desain_Kolam!$B$9/1000</f>
        <v>841.5075</v>
      </c>
      <c r="H751" s="17" t="n">
        <f aca="false">Kawasan!$B$30*D751</f>
        <v>1190.4</v>
      </c>
      <c r="I751" s="17" t="n">
        <f aca="false">E751*Desain_Kolam!$B$9/1000</f>
        <v>801.81375</v>
      </c>
      <c r="J751" s="17" t="n">
        <f aca="false">F751+G751-H751-I751</f>
        <v>172.17375</v>
      </c>
      <c r="K751" s="17" t="n">
        <f aca="false">K750+J751</f>
        <v>53531.572725</v>
      </c>
      <c r="L751" s="17" t="n">
        <f aca="false">MAX(L750,K751)</f>
        <v>55723.0197</v>
      </c>
      <c r="M751" s="17" t="n">
        <f aca="false">L751-K751</f>
        <v>2191.44697499999</v>
      </c>
      <c r="N751" s="17" t="n">
        <f aca="false">MIN(Desain_Kolam!$B$21,MAX(0,N750+F751+G751-H751-I751))</f>
        <v>13632.1197</v>
      </c>
      <c r="O751" s="6" t="n">
        <f aca="false">IF(N750+F751+G751-I751&gt;=H751,1,0)</f>
        <v>1</v>
      </c>
    </row>
    <row r="752" customFormat="false" ht="15" hidden="false" customHeight="false" outlineLevel="0" collapsed="false">
      <c r="A752" s="6" t="n">
        <v>2015</v>
      </c>
      <c r="B752" s="6" t="n">
        <v>11</v>
      </c>
      <c r="C752" s="4" t="n">
        <v>471</v>
      </c>
      <c r="D752" s="6" t="n">
        <v>30</v>
      </c>
      <c r="E752" s="4" t="n">
        <f aca="false">INDEX(Evaporasi!$B$5:$B$16,MATCH(B752,Evaporasi!$A$5:$A$16,0))</f>
        <v>142.3</v>
      </c>
      <c r="F752" s="17" t="n">
        <f aca="false">Kawasan!$B$11*Kawasan!$B$9*C752/1000</f>
        <v>3918.72</v>
      </c>
      <c r="G752" s="17" t="n">
        <f aca="false">C752*Desain_Kolam!$B$9/1000</f>
        <v>2492.7675</v>
      </c>
      <c r="H752" s="17" t="n">
        <f aca="false">Kawasan!$B$30*D752</f>
        <v>1152</v>
      </c>
      <c r="I752" s="17" t="n">
        <f aca="false">E752*Desain_Kolam!$B$9/1000</f>
        <v>753.12275</v>
      </c>
      <c r="J752" s="17" t="n">
        <f aca="false">F752+G752-H752-I752</f>
        <v>4506.36475</v>
      </c>
      <c r="K752" s="17" t="n">
        <f aca="false">K751+J752</f>
        <v>58037.937475</v>
      </c>
      <c r="L752" s="17" t="n">
        <f aca="false">MAX(L751,K752)</f>
        <v>58037.937475</v>
      </c>
      <c r="M752" s="17" t="n">
        <f aca="false">L752-K752</f>
        <v>0</v>
      </c>
      <c r="N752" s="17" t="n">
        <f aca="false">MIN(Desain_Kolam!$B$21,MAX(0,N751+F752+G752-H752-I752))</f>
        <v>15823.566675</v>
      </c>
      <c r="O752" s="6" t="n">
        <f aca="false">IF(N751+F752+G752-I752&gt;=H752,1,0)</f>
        <v>1</v>
      </c>
    </row>
    <row r="753" customFormat="false" ht="15" hidden="false" customHeight="false" outlineLevel="0" collapsed="false">
      <c r="A753" s="6" t="n">
        <v>2015</v>
      </c>
      <c r="B753" s="6" t="n">
        <v>12</v>
      </c>
      <c r="C753" s="4" t="n">
        <v>252</v>
      </c>
      <c r="D753" s="6" t="n">
        <v>31</v>
      </c>
      <c r="E753" s="4" t="n">
        <f aca="false">INDEX(Evaporasi!$B$5:$B$16,MATCH(B753,Evaporasi!$A$5:$A$16,0))</f>
        <v>145.07</v>
      </c>
      <c r="F753" s="17" t="n">
        <f aca="false">Kawasan!$B$11*Kawasan!$B$9*C753/1000</f>
        <v>2096.64</v>
      </c>
      <c r="G753" s="17" t="n">
        <f aca="false">C753*Desain_Kolam!$B$9/1000</f>
        <v>1333.71</v>
      </c>
      <c r="H753" s="17" t="n">
        <f aca="false">Kawasan!$B$30*D753</f>
        <v>1190.4</v>
      </c>
      <c r="I753" s="17" t="n">
        <f aca="false">E753*Desain_Kolam!$B$9/1000</f>
        <v>767.782975</v>
      </c>
      <c r="J753" s="17" t="n">
        <f aca="false">F753+G753-H753-I753</f>
        <v>1472.167025</v>
      </c>
      <c r="K753" s="17" t="n">
        <f aca="false">K752+J753</f>
        <v>59510.1045</v>
      </c>
      <c r="L753" s="17" t="n">
        <f aca="false">MAX(L752,K753)</f>
        <v>59510.1045</v>
      </c>
      <c r="M753" s="17" t="n">
        <f aca="false">L753-K753</f>
        <v>0</v>
      </c>
      <c r="N753" s="17" t="n">
        <f aca="false">MIN(Desain_Kolam!$B$21,MAX(0,N752+F753+G753-H753-I753))</f>
        <v>15823.566675</v>
      </c>
      <c r="O753" s="6" t="n">
        <f aca="false">IF(N752+F753+G753-I753&gt;=H753,1,0)</f>
        <v>1</v>
      </c>
    </row>
    <row r="754" customFormat="false" ht="15" hidden="false" customHeight="false" outlineLevel="0" collapsed="false">
      <c r="A754" s="6" t="n">
        <v>2016</v>
      </c>
      <c r="B754" s="6" t="n">
        <v>1</v>
      </c>
      <c r="C754" s="4" t="n">
        <v>245</v>
      </c>
      <c r="D754" s="6" t="n">
        <v>31</v>
      </c>
      <c r="E754" s="4" t="n">
        <f aca="false">INDEX(Evaporasi!$B$5:$B$16,MATCH(B754,Evaporasi!$A$5:$A$16,0))</f>
        <v>149.98</v>
      </c>
      <c r="F754" s="17" t="n">
        <f aca="false">Kawasan!$B$11*Kawasan!$B$9*C754/1000</f>
        <v>2038.4</v>
      </c>
      <c r="G754" s="17" t="n">
        <f aca="false">C754*Desain_Kolam!$B$9/1000</f>
        <v>1296.6625</v>
      </c>
      <c r="H754" s="17" t="n">
        <f aca="false">Kawasan!$B$30*D754</f>
        <v>1190.4</v>
      </c>
      <c r="I754" s="17" t="n">
        <f aca="false">E754*Desain_Kolam!$B$9/1000</f>
        <v>793.76915</v>
      </c>
      <c r="J754" s="17" t="n">
        <f aca="false">F754+G754-H754-I754</f>
        <v>1350.89335</v>
      </c>
      <c r="K754" s="17" t="n">
        <f aca="false">K753+J754</f>
        <v>60860.99785</v>
      </c>
      <c r="L754" s="17" t="n">
        <f aca="false">MAX(L753,K754)</f>
        <v>60860.99785</v>
      </c>
      <c r="M754" s="17" t="n">
        <f aca="false">L754-K754</f>
        <v>0</v>
      </c>
      <c r="N754" s="17" t="n">
        <f aca="false">MIN(Desain_Kolam!$B$21,MAX(0,N753+F754+G754-H754-I754))</f>
        <v>15823.566675</v>
      </c>
      <c r="O754" s="6" t="n">
        <f aca="false">IF(N753+F754+G754-I754&gt;=H754,1,0)</f>
        <v>1</v>
      </c>
    </row>
    <row r="755" customFormat="false" ht="15" hidden="false" customHeight="false" outlineLevel="0" collapsed="false">
      <c r="A755" s="6" t="n">
        <v>2016</v>
      </c>
      <c r="B755" s="6" t="n">
        <v>2</v>
      </c>
      <c r="C755" s="4" t="n">
        <v>204</v>
      </c>
      <c r="D755" s="6" t="n">
        <v>29</v>
      </c>
      <c r="E755" s="4" t="n">
        <f aca="false">INDEX(Evaporasi!$B$5:$B$16,MATCH(B755,Evaporasi!$A$5:$A$16,0))</f>
        <v>148.64</v>
      </c>
      <c r="F755" s="17" t="n">
        <f aca="false">Kawasan!$B$11*Kawasan!$B$9*C755/1000</f>
        <v>1697.28</v>
      </c>
      <c r="G755" s="17" t="n">
        <f aca="false">C755*Desain_Kolam!$B$9/1000</f>
        <v>1079.67</v>
      </c>
      <c r="H755" s="17" t="n">
        <f aca="false">Kawasan!$B$30*D755</f>
        <v>1113.6</v>
      </c>
      <c r="I755" s="17" t="n">
        <f aca="false">E755*Desain_Kolam!$B$9/1000</f>
        <v>786.6772</v>
      </c>
      <c r="J755" s="17" t="n">
        <f aca="false">F755+G755-H755-I755</f>
        <v>876.6728</v>
      </c>
      <c r="K755" s="17" t="n">
        <f aca="false">K754+J755</f>
        <v>61737.67065</v>
      </c>
      <c r="L755" s="17" t="n">
        <f aca="false">MAX(L754,K755)</f>
        <v>61737.67065</v>
      </c>
      <c r="M755" s="17" t="n">
        <f aca="false">L755-K755</f>
        <v>0</v>
      </c>
      <c r="N755" s="17" t="n">
        <f aca="false">MIN(Desain_Kolam!$B$21,MAX(0,N754+F755+G755-H755-I755))</f>
        <v>15823.566675</v>
      </c>
      <c r="O755" s="6" t="n">
        <f aca="false">IF(N754+F755+G755-I755&gt;=H755,1,0)</f>
        <v>1</v>
      </c>
    </row>
    <row r="756" customFormat="false" ht="15" hidden="false" customHeight="false" outlineLevel="0" collapsed="false">
      <c r="A756" s="6" t="n">
        <v>2016</v>
      </c>
      <c r="B756" s="6" t="n">
        <v>3</v>
      </c>
      <c r="C756" s="4" t="n">
        <v>381</v>
      </c>
      <c r="D756" s="6" t="n">
        <v>31</v>
      </c>
      <c r="E756" s="4" t="n">
        <f aca="false">INDEX(Evaporasi!$B$5:$B$16,MATCH(B756,Evaporasi!$A$5:$A$16,0))</f>
        <v>166.18</v>
      </c>
      <c r="F756" s="17" t="n">
        <f aca="false">Kawasan!$B$11*Kawasan!$B$9*C756/1000</f>
        <v>3169.92</v>
      </c>
      <c r="G756" s="17" t="n">
        <f aca="false">C756*Desain_Kolam!$B$9/1000</f>
        <v>2016.4425</v>
      </c>
      <c r="H756" s="17" t="n">
        <f aca="false">Kawasan!$B$30*D756</f>
        <v>1190.4</v>
      </c>
      <c r="I756" s="17" t="n">
        <f aca="false">E756*Desain_Kolam!$B$9/1000</f>
        <v>879.50765</v>
      </c>
      <c r="J756" s="17" t="n">
        <f aca="false">F756+G756-H756-I756</f>
        <v>3116.45485</v>
      </c>
      <c r="K756" s="17" t="n">
        <f aca="false">K755+J756</f>
        <v>64854.1255</v>
      </c>
      <c r="L756" s="17" t="n">
        <f aca="false">MAX(L755,K756)</f>
        <v>64854.1255</v>
      </c>
      <c r="M756" s="17" t="n">
        <f aca="false">L756-K756</f>
        <v>0</v>
      </c>
      <c r="N756" s="17" t="n">
        <f aca="false">MIN(Desain_Kolam!$B$21,MAX(0,N755+F756+G756-H756-I756))</f>
        <v>15823.566675</v>
      </c>
      <c r="O756" s="6" t="n">
        <f aca="false">IF(N755+F756+G756-I756&gt;=H756,1,0)</f>
        <v>1</v>
      </c>
    </row>
    <row r="757" customFormat="false" ht="15" hidden="false" customHeight="false" outlineLevel="0" collapsed="false">
      <c r="A757" s="6" t="n">
        <v>2016</v>
      </c>
      <c r="B757" s="6" t="n">
        <v>4</v>
      </c>
      <c r="C757" s="4" t="n">
        <v>274</v>
      </c>
      <c r="D757" s="6" t="n">
        <v>30</v>
      </c>
      <c r="E757" s="4" t="n">
        <f aca="false">INDEX(Evaporasi!$B$5:$B$16,MATCH(B757,Evaporasi!$A$5:$A$16,0))</f>
        <v>157.75</v>
      </c>
      <c r="F757" s="17" t="n">
        <f aca="false">Kawasan!$B$11*Kawasan!$B$9*C757/1000</f>
        <v>2279.68</v>
      </c>
      <c r="G757" s="17" t="n">
        <f aca="false">C757*Desain_Kolam!$B$9/1000</f>
        <v>1450.145</v>
      </c>
      <c r="H757" s="17" t="n">
        <f aca="false">Kawasan!$B$30*D757</f>
        <v>1152</v>
      </c>
      <c r="I757" s="17" t="n">
        <f aca="false">E757*Desain_Kolam!$B$9/1000</f>
        <v>834.891875</v>
      </c>
      <c r="J757" s="17" t="n">
        <f aca="false">F757+G757-H757-I757</f>
        <v>1742.933125</v>
      </c>
      <c r="K757" s="17" t="n">
        <f aca="false">K756+J757</f>
        <v>66597.058625</v>
      </c>
      <c r="L757" s="17" t="n">
        <f aca="false">MAX(L756,K757)</f>
        <v>66597.058625</v>
      </c>
      <c r="M757" s="17" t="n">
        <f aca="false">L757-K757</f>
        <v>0</v>
      </c>
      <c r="N757" s="17" t="n">
        <f aca="false">MIN(Desain_Kolam!$B$21,MAX(0,N756+F757+G757-H757-I757))</f>
        <v>15823.566675</v>
      </c>
      <c r="O757" s="6" t="n">
        <f aca="false">IF(N756+F757+G757-I757&gt;=H757,1,0)</f>
        <v>1</v>
      </c>
    </row>
    <row r="758" customFormat="false" ht="15" hidden="false" customHeight="false" outlineLevel="0" collapsed="false">
      <c r="A758" s="6" t="n">
        <v>2016</v>
      </c>
      <c r="B758" s="6" t="n">
        <v>5</v>
      </c>
      <c r="C758" s="4" t="n">
        <v>514</v>
      </c>
      <c r="D758" s="6" t="n">
        <v>31</v>
      </c>
      <c r="E758" s="4" t="n">
        <f aca="false">INDEX(Evaporasi!$B$5:$B$16,MATCH(B758,Evaporasi!$A$5:$A$16,0))</f>
        <v>158.35</v>
      </c>
      <c r="F758" s="17" t="n">
        <f aca="false">Kawasan!$B$11*Kawasan!$B$9*C758/1000</f>
        <v>4276.48</v>
      </c>
      <c r="G758" s="17" t="n">
        <f aca="false">C758*Desain_Kolam!$B$9/1000</f>
        <v>2720.345</v>
      </c>
      <c r="H758" s="17" t="n">
        <f aca="false">Kawasan!$B$30*D758</f>
        <v>1190.4</v>
      </c>
      <c r="I758" s="17" t="n">
        <f aca="false">E758*Desain_Kolam!$B$9/1000</f>
        <v>838.067375</v>
      </c>
      <c r="J758" s="17" t="n">
        <f aca="false">F758+G758-H758-I758</f>
        <v>4968.357625</v>
      </c>
      <c r="K758" s="17" t="n">
        <f aca="false">K757+J758</f>
        <v>71565.41625</v>
      </c>
      <c r="L758" s="17" t="n">
        <f aca="false">MAX(L757,K758)</f>
        <v>71565.41625</v>
      </c>
      <c r="M758" s="17" t="n">
        <f aca="false">L758-K758</f>
        <v>0</v>
      </c>
      <c r="N758" s="17" t="n">
        <f aca="false">MIN(Desain_Kolam!$B$21,MAX(0,N757+F758+G758-H758-I758))</f>
        <v>15823.566675</v>
      </c>
      <c r="O758" s="6" t="n">
        <f aca="false">IF(N757+F758+G758-I758&gt;=H758,1,0)</f>
        <v>1</v>
      </c>
    </row>
    <row r="759" customFormat="false" ht="15" hidden="false" customHeight="false" outlineLevel="0" collapsed="false">
      <c r="A759" s="6" t="n">
        <v>2016</v>
      </c>
      <c r="B759" s="6" t="n">
        <v>6</v>
      </c>
      <c r="C759" s="4" t="n">
        <v>279</v>
      </c>
      <c r="D759" s="6" t="n">
        <v>30</v>
      </c>
      <c r="E759" s="4" t="n">
        <f aca="false">INDEX(Evaporasi!$B$5:$B$16,MATCH(B759,Evaporasi!$A$5:$A$16,0))</f>
        <v>150.17</v>
      </c>
      <c r="F759" s="17" t="n">
        <f aca="false">Kawasan!$B$11*Kawasan!$B$9*C759/1000</f>
        <v>2321.28</v>
      </c>
      <c r="G759" s="17" t="n">
        <f aca="false">C759*Desain_Kolam!$B$9/1000</f>
        <v>1476.6075</v>
      </c>
      <c r="H759" s="17" t="n">
        <f aca="false">Kawasan!$B$30*D759</f>
        <v>1152</v>
      </c>
      <c r="I759" s="17" t="n">
        <f aca="false">E759*Desain_Kolam!$B$9/1000</f>
        <v>794.774725</v>
      </c>
      <c r="J759" s="17" t="n">
        <f aca="false">F759+G759-H759-I759</f>
        <v>1851.112775</v>
      </c>
      <c r="K759" s="17" t="n">
        <f aca="false">K758+J759</f>
        <v>73416.529025</v>
      </c>
      <c r="L759" s="17" t="n">
        <f aca="false">MAX(L758,K759)</f>
        <v>73416.529025</v>
      </c>
      <c r="M759" s="17" t="n">
        <f aca="false">L759-K759</f>
        <v>0</v>
      </c>
      <c r="N759" s="17" t="n">
        <f aca="false">MIN(Desain_Kolam!$B$21,MAX(0,N758+F759+G759-H759-I759))</f>
        <v>15823.566675</v>
      </c>
      <c r="O759" s="6" t="n">
        <f aca="false">IF(N758+F759+G759-I759&gt;=H759,1,0)</f>
        <v>1</v>
      </c>
    </row>
    <row r="760" customFormat="false" ht="15" hidden="false" customHeight="false" outlineLevel="0" collapsed="false">
      <c r="A760" s="6" t="n">
        <v>2016</v>
      </c>
      <c r="B760" s="6" t="n">
        <v>7</v>
      </c>
      <c r="C760" s="4" t="n">
        <v>254</v>
      </c>
      <c r="D760" s="6" t="n">
        <v>31</v>
      </c>
      <c r="E760" s="4" t="n">
        <f aca="false">INDEX(Evaporasi!$B$5:$B$16,MATCH(B760,Evaporasi!$A$5:$A$16,0))</f>
        <v>160.84</v>
      </c>
      <c r="F760" s="17" t="n">
        <f aca="false">Kawasan!$B$11*Kawasan!$B$9*C760/1000</f>
        <v>2113.28</v>
      </c>
      <c r="G760" s="17" t="n">
        <f aca="false">C760*Desain_Kolam!$B$9/1000</f>
        <v>1344.295</v>
      </c>
      <c r="H760" s="17" t="n">
        <f aca="false">Kawasan!$B$30*D760</f>
        <v>1190.4</v>
      </c>
      <c r="I760" s="17" t="n">
        <f aca="false">E760*Desain_Kolam!$B$9/1000</f>
        <v>851.2457</v>
      </c>
      <c r="J760" s="17" t="n">
        <f aca="false">F760+G760-H760-I760</f>
        <v>1415.9293</v>
      </c>
      <c r="K760" s="17" t="n">
        <f aca="false">K759+J760</f>
        <v>74832.458325</v>
      </c>
      <c r="L760" s="17" t="n">
        <f aca="false">MAX(L759,K760)</f>
        <v>74832.458325</v>
      </c>
      <c r="M760" s="17" t="n">
        <f aca="false">L760-K760</f>
        <v>0</v>
      </c>
      <c r="N760" s="17" t="n">
        <f aca="false">MIN(Desain_Kolam!$B$21,MAX(0,N759+F760+G760-H760-I760))</f>
        <v>15823.566675</v>
      </c>
      <c r="O760" s="6" t="n">
        <f aca="false">IF(N759+F760+G760-I760&gt;=H760,1,0)</f>
        <v>1</v>
      </c>
    </row>
    <row r="761" customFormat="false" ht="15" hidden="false" customHeight="false" outlineLevel="0" collapsed="false">
      <c r="A761" s="6" t="n">
        <v>2016</v>
      </c>
      <c r="B761" s="6" t="n">
        <v>8</v>
      </c>
      <c r="C761" s="4" t="n">
        <v>14</v>
      </c>
      <c r="D761" s="6" t="n">
        <v>31</v>
      </c>
      <c r="E761" s="4" t="n">
        <f aca="false">INDEX(Evaporasi!$B$5:$B$16,MATCH(B761,Evaporasi!$A$5:$A$16,0))</f>
        <v>161.16</v>
      </c>
      <c r="F761" s="17" t="n">
        <f aca="false">Kawasan!$B$11*Kawasan!$B$9*C761/1000</f>
        <v>116.48</v>
      </c>
      <c r="G761" s="17" t="n">
        <f aca="false">C761*Desain_Kolam!$B$9/1000</f>
        <v>74.095</v>
      </c>
      <c r="H761" s="17" t="n">
        <f aca="false">Kawasan!$B$30*D761</f>
        <v>1190.4</v>
      </c>
      <c r="I761" s="17" t="n">
        <f aca="false">E761*Desain_Kolam!$B$9/1000</f>
        <v>852.9393</v>
      </c>
      <c r="J761" s="17" t="n">
        <f aca="false">F761+G761-H761-I761</f>
        <v>-1852.7643</v>
      </c>
      <c r="K761" s="17" t="n">
        <f aca="false">K760+J761</f>
        <v>72979.694025</v>
      </c>
      <c r="L761" s="17" t="n">
        <f aca="false">MAX(L760,K761)</f>
        <v>74832.458325</v>
      </c>
      <c r="M761" s="17" t="n">
        <f aca="false">L761-K761</f>
        <v>1852.7643</v>
      </c>
      <c r="N761" s="17" t="n">
        <f aca="false">MIN(Desain_Kolam!$B$21,MAX(0,N760+F761+G761-H761-I761))</f>
        <v>13970.802375</v>
      </c>
      <c r="O761" s="6" t="n">
        <f aca="false">IF(N760+F761+G761-I761&gt;=H761,1,0)</f>
        <v>1</v>
      </c>
    </row>
    <row r="762" customFormat="false" ht="15" hidden="false" customHeight="false" outlineLevel="0" collapsed="false">
      <c r="A762" s="6" t="n">
        <v>2016</v>
      </c>
      <c r="B762" s="6" t="n">
        <v>9</v>
      </c>
      <c r="C762" s="4" t="n">
        <v>200</v>
      </c>
      <c r="D762" s="6" t="n">
        <v>30</v>
      </c>
      <c r="E762" s="4" t="n">
        <f aca="false">INDEX(Evaporasi!$B$5:$B$16,MATCH(B762,Evaporasi!$A$5:$A$16,0))</f>
        <v>159.21</v>
      </c>
      <c r="F762" s="17" t="n">
        <f aca="false">Kawasan!$B$11*Kawasan!$B$9*C762/1000</f>
        <v>1664</v>
      </c>
      <c r="G762" s="17" t="n">
        <f aca="false">C762*Desain_Kolam!$B$9/1000</f>
        <v>1058.5</v>
      </c>
      <c r="H762" s="17" t="n">
        <f aca="false">Kawasan!$B$30*D762</f>
        <v>1152</v>
      </c>
      <c r="I762" s="17" t="n">
        <f aca="false">E762*Desain_Kolam!$B$9/1000</f>
        <v>842.618925</v>
      </c>
      <c r="J762" s="17" t="n">
        <f aca="false">F762+G762-H762-I762</f>
        <v>727.881075</v>
      </c>
      <c r="K762" s="17" t="n">
        <f aca="false">K761+J762</f>
        <v>73707.5751</v>
      </c>
      <c r="L762" s="17" t="n">
        <f aca="false">MAX(L761,K762)</f>
        <v>74832.458325</v>
      </c>
      <c r="M762" s="17" t="n">
        <f aca="false">L762-K762</f>
        <v>1124.883225</v>
      </c>
      <c r="N762" s="17" t="n">
        <f aca="false">MIN(Desain_Kolam!$B$21,MAX(0,N761+F762+G762-H762-I762))</f>
        <v>14698.68345</v>
      </c>
      <c r="O762" s="6" t="n">
        <f aca="false">IF(N761+F762+G762-I762&gt;=H762,1,0)</f>
        <v>1</v>
      </c>
    </row>
    <row r="763" customFormat="false" ht="15" hidden="false" customHeight="false" outlineLevel="0" collapsed="false">
      <c r="A763" s="6" t="n">
        <v>2016</v>
      </c>
      <c r="B763" s="6" t="n">
        <v>10</v>
      </c>
      <c r="C763" s="4" t="n">
        <v>302</v>
      </c>
      <c r="D763" s="6" t="n">
        <v>31</v>
      </c>
      <c r="E763" s="4" t="n">
        <f aca="false">INDEX(Evaporasi!$B$5:$B$16,MATCH(B763,Evaporasi!$A$5:$A$16,0))</f>
        <v>151.5</v>
      </c>
      <c r="F763" s="17" t="n">
        <f aca="false">Kawasan!$B$11*Kawasan!$B$9*C763/1000</f>
        <v>2512.64</v>
      </c>
      <c r="G763" s="17" t="n">
        <f aca="false">C763*Desain_Kolam!$B$9/1000</f>
        <v>1598.335</v>
      </c>
      <c r="H763" s="17" t="n">
        <f aca="false">Kawasan!$B$30*D763</f>
        <v>1190.4</v>
      </c>
      <c r="I763" s="17" t="n">
        <f aca="false">E763*Desain_Kolam!$B$9/1000</f>
        <v>801.81375</v>
      </c>
      <c r="J763" s="17" t="n">
        <f aca="false">F763+G763-H763-I763</f>
        <v>2118.76125</v>
      </c>
      <c r="K763" s="17" t="n">
        <f aca="false">K762+J763</f>
        <v>75826.33635</v>
      </c>
      <c r="L763" s="17" t="n">
        <f aca="false">MAX(L762,K763)</f>
        <v>75826.33635</v>
      </c>
      <c r="M763" s="17" t="n">
        <f aca="false">L763-K763</f>
        <v>0</v>
      </c>
      <c r="N763" s="17" t="n">
        <f aca="false">MIN(Desain_Kolam!$B$21,MAX(0,N762+F763+G763-H763-I763))</f>
        <v>15823.566675</v>
      </c>
      <c r="O763" s="6" t="n">
        <f aca="false">IF(N762+F763+G763-I763&gt;=H763,1,0)</f>
        <v>1</v>
      </c>
    </row>
    <row r="764" customFormat="false" ht="15" hidden="false" customHeight="false" outlineLevel="0" collapsed="false">
      <c r="A764" s="6" t="n">
        <v>2016</v>
      </c>
      <c r="B764" s="6" t="n">
        <v>11</v>
      </c>
      <c r="C764" s="4" t="n">
        <v>256</v>
      </c>
      <c r="D764" s="6" t="n">
        <v>30</v>
      </c>
      <c r="E764" s="4" t="n">
        <f aca="false">INDEX(Evaporasi!$B$5:$B$16,MATCH(B764,Evaporasi!$A$5:$A$16,0))</f>
        <v>142.3</v>
      </c>
      <c r="F764" s="17" t="n">
        <f aca="false">Kawasan!$B$11*Kawasan!$B$9*C764/1000</f>
        <v>2129.92</v>
      </c>
      <c r="G764" s="17" t="n">
        <f aca="false">C764*Desain_Kolam!$B$9/1000</f>
        <v>1354.88</v>
      </c>
      <c r="H764" s="17" t="n">
        <f aca="false">Kawasan!$B$30*D764</f>
        <v>1152</v>
      </c>
      <c r="I764" s="17" t="n">
        <f aca="false">E764*Desain_Kolam!$B$9/1000</f>
        <v>753.12275</v>
      </c>
      <c r="J764" s="17" t="n">
        <f aca="false">F764+G764-H764-I764</f>
        <v>1579.67725</v>
      </c>
      <c r="K764" s="17" t="n">
        <f aca="false">K763+J764</f>
        <v>77406.0136</v>
      </c>
      <c r="L764" s="17" t="n">
        <f aca="false">MAX(L763,K764)</f>
        <v>77406.0136</v>
      </c>
      <c r="M764" s="17" t="n">
        <f aca="false">L764-K764</f>
        <v>0</v>
      </c>
      <c r="N764" s="17" t="n">
        <f aca="false">MIN(Desain_Kolam!$B$21,MAX(0,N763+F764+G764-H764-I764))</f>
        <v>15823.566675</v>
      </c>
      <c r="O764" s="6" t="n">
        <f aca="false">IF(N763+F764+G764-I764&gt;=H764,1,0)</f>
        <v>1</v>
      </c>
    </row>
    <row r="765" customFormat="false" ht="15" hidden="false" customHeight="false" outlineLevel="0" collapsed="false">
      <c r="A765" s="6" t="n">
        <v>2016</v>
      </c>
      <c r="B765" s="6" t="n">
        <v>12</v>
      </c>
      <c r="C765" s="4" t="n">
        <v>305</v>
      </c>
      <c r="D765" s="6" t="n">
        <v>31</v>
      </c>
      <c r="E765" s="4" t="n">
        <f aca="false">INDEX(Evaporasi!$B$5:$B$16,MATCH(B765,Evaporasi!$A$5:$A$16,0))</f>
        <v>145.07</v>
      </c>
      <c r="F765" s="17" t="n">
        <f aca="false">Kawasan!$B$11*Kawasan!$B$9*C765/1000</f>
        <v>2537.6</v>
      </c>
      <c r="G765" s="17" t="n">
        <f aca="false">C765*Desain_Kolam!$B$9/1000</f>
        <v>1614.2125</v>
      </c>
      <c r="H765" s="17" t="n">
        <f aca="false">Kawasan!$B$30*D765</f>
        <v>1190.4</v>
      </c>
      <c r="I765" s="17" t="n">
        <f aca="false">E765*Desain_Kolam!$B$9/1000</f>
        <v>767.782975</v>
      </c>
      <c r="J765" s="17" t="n">
        <f aca="false">F765+G765-H765-I765</f>
        <v>2193.629525</v>
      </c>
      <c r="K765" s="17" t="n">
        <f aca="false">K764+J765</f>
        <v>79599.643125</v>
      </c>
      <c r="L765" s="17" t="n">
        <f aca="false">MAX(L764,K765)</f>
        <v>79599.643125</v>
      </c>
      <c r="M765" s="17" t="n">
        <f aca="false">L765-K765</f>
        <v>0</v>
      </c>
      <c r="N765" s="17" t="n">
        <f aca="false">MIN(Desain_Kolam!$B$21,MAX(0,N764+F765+G765-H765-I765))</f>
        <v>15823.566675</v>
      </c>
      <c r="O765" s="6" t="n">
        <f aca="false">IF(N764+F765+G765-I765&gt;=H765,1,0)</f>
        <v>1</v>
      </c>
    </row>
    <row r="766" customFormat="false" ht="15" hidden="false" customHeight="false" outlineLevel="0" collapsed="false">
      <c r="A766" s="6" t="n">
        <v>2017</v>
      </c>
      <c r="B766" s="6" t="n">
        <v>1</v>
      </c>
      <c r="C766" s="4" t="n">
        <v>212</v>
      </c>
      <c r="D766" s="6" t="n">
        <v>31</v>
      </c>
      <c r="E766" s="4" t="n">
        <f aca="false">INDEX(Evaporasi!$B$5:$B$16,MATCH(B766,Evaporasi!$A$5:$A$16,0))</f>
        <v>149.98</v>
      </c>
      <c r="F766" s="17" t="n">
        <f aca="false">Kawasan!$B$11*Kawasan!$B$9*C766/1000</f>
        <v>1763.84</v>
      </c>
      <c r="G766" s="17" t="n">
        <f aca="false">C766*Desain_Kolam!$B$9/1000</f>
        <v>1122.01</v>
      </c>
      <c r="H766" s="17" t="n">
        <f aca="false">Kawasan!$B$30*D766</f>
        <v>1190.4</v>
      </c>
      <c r="I766" s="17" t="n">
        <f aca="false">E766*Desain_Kolam!$B$9/1000</f>
        <v>793.76915</v>
      </c>
      <c r="J766" s="17" t="n">
        <f aca="false">F766+G766-H766-I766</f>
        <v>901.68085</v>
      </c>
      <c r="K766" s="17" t="n">
        <f aca="false">K765+J766</f>
        <v>80501.323975</v>
      </c>
      <c r="L766" s="17" t="n">
        <f aca="false">MAX(L765,K766)</f>
        <v>80501.323975</v>
      </c>
      <c r="M766" s="17" t="n">
        <f aca="false">L766-K766</f>
        <v>0</v>
      </c>
      <c r="N766" s="17" t="n">
        <f aca="false">MIN(Desain_Kolam!$B$21,MAX(0,N765+F766+G766-H766-I766))</f>
        <v>15823.566675</v>
      </c>
      <c r="O766" s="6" t="n">
        <f aca="false">IF(N765+F766+G766-I766&gt;=H766,1,0)</f>
        <v>1</v>
      </c>
    </row>
    <row r="767" customFormat="false" ht="15" hidden="false" customHeight="false" outlineLevel="0" collapsed="false">
      <c r="A767" s="6" t="n">
        <v>2017</v>
      </c>
      <c r="B767" s="6" t="n">
        <v>2</v>
      </c>
      <c r="C767" s="4" t="n">
        <v>198</v>
      </c>
      <c r="D767" s="6" t="n">
        <v>28</v>
      </c>
      <c r="E767" s="4" t="n">
        <f aca="false">INDEX(Evaporasi!$B$5:$B$16,MATCH(B767,Evaporasi!$A$5:$A$16,0))</f>
        <v>148.64</v>
      </c>
      <c r="F767" s="17" t="n">
        <f aca="false">Kawasan!$B$11*Kawasan!$B$9*C767/1000</f>
        <v>1647.36</v>
      </c>
      <c r="G767" s="17" t="n">
        <f aca="false">C767*Desain_Kolam!$B$9/1000</f>
        <v>1047.915</v>
      </c>
      <c r="H767" s="17" t="n">
        <f aca="false">Kawasan!$B$30*D767</f>
        <v>1075.2</v>
      </c>
      <c r="I767" s="17" t="n">
        <f aca="false">E767*Desain_Kolam!$B$9/1000</f>
        <v>786.6772</v>
      </c>
      <c r="J767" s="17" t="n">
        <f aca="false">F767+G767-H767-I767</f>
        <v>833.3978</v>
      </c>
      <c r="K767" s="17" t="n">
        <f aca="false">K766+J767</f>
        <v>81334.721775</v>
      </c>
      <c r="L767" s="17" t="n">
        <f aca="false">MAX(L766,K767)</f>
        <v>81334.721775</v>
      </c>
      <c r="M767" s="17" t="n">
        <f aca="false">L767-K767</f>
        <v>0</v>
      </c>
      <c r="N767" s="17" t="n">
        <f aca="false">MIN(Desain_Kolam!$B$21,MAX(0,N766+F767+G767-H767-I767))</f>
        <v>15823.566675</v>
      </c>
      <c r="O767" s="6" t="n">
        <f aca="false">IF(N766+F767+G767-I767&gt;=H767,1,0)</f>
        <v>1</v>
      </c>
    </row>
    <row r="768" customFormat="false" ht="15" hidden="false" customHeight="false" outlineLevel="0" collapsed="false">
      <c r="A768" s="6" t="n">
        <v>2017</v>
      </c>
      <c r="B768" s="6" t="n">
        <v>3</v>
      </c>
      <c r="C768" s="4" t="n">
        <v>310</v>
      </c>
      <c r="D768" s="6" t="n">
        <v>31</v>
      </c>
      <c r="E768" s="4" t="n">
        <f aca="false">INDEX(Evaporasi!$B$5:$B$16,MATCH(B768,Evaporasi!$A$5:$A$16,0))</f>
        <v>166.18</v>
      </c>
      <c r="F768" s="17" t="n">
        <f aca="false">Kawasan!$B$11*Kawasan!$B$9*C768/1000</f>
        <v>2579.2</v>
      </c>
      <c r="G768" s="17" t="n">
        <f aca="false">C768*Desain_Kolam!$B$9/1000</f>
        <v>1640.675</v>
      </c>
      <c r="H768" s="17" t="n">
        <f aca="false">Kawasan!$B$30*D768</f>
        <v>1190.4</v>
      </c>
      <c r="I768" s="17" t="n">
        <f aca="false">E768*Desain_Kolam!$B$9/1000</f>
        <v>879.50765</v>
      </c>
      <c r="J768" s="17" t="n">
        <f aca="false">F768+G768-H768-I768</f>
        <v>2149.96735</v>
      </c>
      <c r="K768" s="17" t="n">
        <f aca="false">K767+J768</f>
        <v>83484.689125</v>
      </c>
      <c r="L768" s="17" t="n">
        <f aca="false">MAX(L767,K768)</f>
        <v>83484.689125</v>
      </c>
      <c r="M768" s="17" t="n">
        <f aca="false">L768-K768</f>
        <v>0</v>
      </c>
      <c r="N768" s="17" t="n">
        <f aca="false">MIN(Desain_Kolam!$B$21,MAX(0,N767+F768+G768-H768-I768))</f>
        <v>15823.566675</v>
      </c>
      <c r="O768" s="6" t="n">
        <f aca="false">IF(N767+F768+G768-I768&gt;=H768,1,0)</f>
        <v>1</v>
      </c>
    </row>
    <row r="769" customFormat="false" ht="15" hidden="false" customHeight="false" outlineLevel="0" collapsed="false">
      <c r="A769" s="6" t="n">
        <v>2017</v>
      </c>
      <c r="B769" s="6" t="n">
        <v>4</v>
      </c>
      <c r="C769" s="4" t="n">
        <v>216</v>
      </c>
      <c r="D769" s="6" t="n">
        <v>30</v>
      </c>
      <c r="E769" s="4" t="n">
        <f aca="false">INDEX(Evaporasi!$B$5:$B$16,MATCH(B769,Evaporasi!$A$5:$A$16,0))</f>
        <v>157.75</v>
      </c>
      <c r="F769" s="17" t="n">
        <f aca="false">Kawasan!$B$11*Kawasan!$B$9*C769/1000</f>
        <v>1797.12</v>
      </c>
      <c r="G769" s="17" t="n">
        <f aca="false">C769*Desain_Kolam!$B$9/1000</f>
        <v>1143.18</v>
      </c>
      <c r="H769" s="17" t="n">
        <f aca="false">Kawasan!$B$30*D769</f>
        <v>1152</v>
      </c>
      <c r="I769" s="17" t="n">
        <f aca="false">E769*Desain_Kolam!$B$9/1000</f>
        <v>834.891875</v>
      </c>
      <c r="J769" s="17" t="n">
        <f aca="false">F769+G769-H769-I769</f>
        <v>953.408125</v>
      </c>
      <c r="K769" s="17" t="n">
        <f aca="false">K768+J769</f>
        <v>84438.09725</v>
      </c>
      <c r="L769" s="17" t="n">
        <f aca="false">MAX(L768,K769)</f>
        <v>84438.09725</v>
      </c>
      <c r="M769" s="17" t="n">
        <f aca="false">L769-K769</f>
        <v>0</v>
      </c>
      <c r="N769" s="17" t="n">
        <f aca="false">MIN(Desain_Kolam!$B$21,MAX(0,N768+F769+G769-H769-I769))</f>
        <v>15823.566675</v>
      </c>
      <c r="O769" s="6" t="n">
        <f aca="false">IF(N768+F769+G769-I769&gt;=H769,1,0)</f>
        <v>1</v>
      </c>
    </row>
    <row r="770" customFormat="false" ht="15" hidden="false" customHeight="false" outlineLevel="0" collapsed="false">
      <c r="A770" s="6" t="n">
        <v>2017</v>
      </c>
      <c r="B770" s="6" t="n">
        <v>5</v>
      </c>
      <c r="C770" s="4" t="n">
        <v>314</v>
      </c>
      <c r="D770" s="6" t="n">
        <v>31</v>
      </c>
      <c r="E770" s="4" t="n">
        <f aca="false">INDEX(Evaporasi!$B$5:$B$16,MATCH(B770,Evaporasi!$A$5:$A$16,0))</f>
        <v>158.35</v>
      </c>
      <c r="F770" s="17" t="n">
        <f aca="false">Kawasan!$B$11*Kawasan!$B$9*C770/1000</f>
        <v>2612.48</v>
      </c>
      <c r="G770" s="17" t="n">
        <f aca="false">C770*Desain_Kolam!$B$9/1000</f>
        <v>1661.845</v>
      </c>
      <c r="H770" s="17" t="n">
        <f aca="false">Kawasan!$B$30*D770</f>
        <v>1190.4</v>
      </c>
      <c r="I770" s="17" t="n">
        <f aca="false">E770*Desain_Kolam!$B$9/1000</f>
        <v>838.067375</v>
      </c>
      <c r="J770" s="17" t="n">
        <f aca="false">F770+G770-H770-I770</f>
        <v>2245.857625</v>
      </c>
      <c r="K770" s="17" t="n">
        <f aca="false">K769+J770</f>
        <v>86683.954875</v>
      </c>
      <c r="L770" s="17" t="n">
        <f aca="false">MAX(L769,K770)</f>
        <v>86683.954875</v>
      </c>
      <c r="M770" s="17" t="n">
        <f aca="false">L770-K770</f>
        <v>0</v>
      </c>
      <c r="N770" s="17" t="n">
        <f aca="false">MIN(Desain_Kolam!$B$21,MAX(0,N769+F770+G770-H770-I770))</f>
        <v>15823.566675</v>
      </c>
      <c r="O770" s="6" t="n">
        <f aca="false">IF(N769+F770+G770-I770&gt;=H770,1,0)</f>
        <v>1</v>
      </c>
    </row>
    <row r="771" customFormat="false" ht="15" hidden="false" customHeight="false" outlineLevel="0" collapsed="false">
      <c r="A771" s="6" t="n">
        <v>2017</v>
      </c>
      <c r="B771" s="6" t="n">
        <v>6</v>
      </c>
      <c r="C771" s="4" t="n">
        <v>248</v>
      </c>
      <c r="D771" s="6" t="n">
        <v>30</v>
      </c>
      <c r="E771" s="4" t="n">
        <f aca="false">INDEX(Evaporasi!$B$5:$B$16,MATCH(B771,Evaporasi!$A$5:$A$16,0))</f>
        <v>150.17</v>
      </c>
      <c r="F771" s="17" t="n">
        <f aca="false">Kawasan!$B$11*Kawasan!$B$9*C771/1000</f>
        <v>2063.36</v>
      </c>
      <c r="G771" s="17" t="n">
        <f aca="false">C771*Desain_Kolam!$B$9/1000</f>
        <v>1312.54</v>
      </c>
      <c r="H771" s="17" t="n">
        <f aca="false">Kawasan!$B$30*D771</f>
        <v>1152</v>
      </c>
      <c r="I771" s="17" t="n">
        <f aca="false">E771*Desain_Kolam!$B$9/1000</f>
        <v>794.774725</v>
      </c>
      <c r="J771" s="17" t="n">
        <f aca="false">F771+G771-H771-I771</f>
        <v>1429.125275</v>
      </c>
      <c r="K771" s="17" t="n">
        <f aca="false">K770+J771</f>
        <v>88113.08015</v>
      </c>
      <c r="L771" s="17" t="n">
        <f aca="false">MAX(L770,K771)</f>
        <v>88113.08015</v>
      </c>
      <c r="M771" s="17" t="n">
        <f aca="false">L771-K771</f>
        <v>0</v>
      </c>
      <c r="N771" s="17" t="n">
        <f aca="false">MIN(Desain_Kolam!$B$21,MAX(0,N770+F771+G771-H771-I771))</f>
        <v>15823.566675</v>
      </c>
      <c r="O771" s="6" t="n">
        <f aca="false">IF(N770+F771+G771-I771&gt;=H771,1,0)</f>
        <v>1</v>
      </c>
    </row>
    <row r="772" customFormat="false" ht="15" hidden="false" customHeight="false" outlineLevel="0" collapsed="false">
      <c r="A772" s="6" t="n">
        <v>2017</v>
      </c>
      <c r="B772" s="6" t="n">
        <v>7</v>
      </c>
      <c r="C772" s="4" t="n">
        <v>279</v>
      </c>
      <c r="D772" s="6" t="n">
        <v>31</v>
      </c>
      <c r="E772" s="4" t="n">
        <f aca="false">INDEX(Evaporasi!$B$5:$B$16,MATCH(B772,Evaporasi!$A$5:$A$16,0))</f>
        <v>160.84</v>
      </c>
      <c r="F772" s="17" t="n">
        <f aca="false">Kawasan!$B$11*Kawasan!$B$9*C772/1000</f>
        <v>2321.28</v>
      </c>
      <c r="G772" s="17" t="n">
        <f aca="false">C772*Desain_Kolam!$B$9/1000</f>
        <v>1476.6075</v>
      </c>
      <c r="H772" s="17" t="n">
        <f aca="false">Kawasan!$B$30*D772</f>
        <v>1190.4</v>
      </c>
      <c r="I772" s="17" t="n">
        <f aca="false">E772*Desain_Kolam!$B$9/1000</f>
        <v>851.2457</v>
      </c>
      <c r="J772" s="17" t="n">
        <f aca="false">F772+G772-H772-I772</f>
        <v>1756.2418</v>
      </c>
      <c r="K772" s="17" t="n">
        <f aca="false">K771+J772</f>
        <v>89869.32195</v>
      </c>
      <c r="L772" s="17" t="n">
        <f aca="false">MAX(L771,K772)</f>
        <v>89869.32195</v>
      </c>
      <c r="M772" s="17" t="n">
        <f aca="false">L772-K772</f>
        <v>0</v>
      </c>
      <c r="N772" s="17" t="n">
        <f aca="false">MIN(Desain_Kolam!$B$21,MAX(0,N771+F772+G772-H772-I772))</f>
        <v>15823.566675</v>
      </c>
      <c r="O772" s="6" t="n">
        <f aca="false">IF(N771+F772+G772-I772&gt;=H772,1,0)</f>
        <v>1</v>
      </c>
    </row>
    <row r="773" customFormat="false" ht="15" hidden="false" customHeight="false" outlineLevel="0" collapsed="false">
      <c r="A773" s="6" t="n">
        <v>2017</v>
      </c>
      <c r="B773" s="6" t="n">
        <v>8</v>
      </c>
      <c r="C773" s="4" t="n">
        <v>321</v>
      </c>
      <c r="D773" s="6" t="n">
        <v>31</v>
      </c>
      <c r="E773" s="4" t="n">
        <f aca="false">INDEX(Evaporasi!$B$5:$B$16,MATCH(B773,Evaporasi!$A$5:$A$16,0))</f>
        <v>161.16</v>
      </c>
      <c r="F773" s="17" t="n">
        <f aca="false">Kawasan!$B$11*Kawasan!$B$9*C773/1000</f>
        <v>2670.72</v>
      </c>
      <c r="G773" s="17" t="n">
        <f aca="false">C773*Desain_Kolam!$B$9/1000</f>
        <v>1698.8925</v>
      </c>
      <c r="H773" s="17" t="n">
        <f aca="false">Kawasan!$B$30*D773</f>
        <v>1190.4</v>
      </c>
      <c r="I773" s="17" t="n">
        <f aca="false">E773*Desain_Kolam!$B$9/1000</f>
        <v>852.9393</v>
      </c>
      <c r="J773" s="17" t="n">
        <f aca="false">F773+G773-H773-I773</f>
        <v>2326.2732</v>
      </c>
      <c r="K773" s="17" t="n">
        <f aca="false">K772+J773</f>
        <v>92195.59515</v>
      </c>
      <c r="L773" s="17" t="n">
        <f aca="false">MAX(L772,K773)</f>
        <v>92195.59515</v>
      </c>
      <c r="M773" s="17" t="n">
        <f aca="false">L773-K773</f>
        <v>0</v>
      </c>
      <c r="N773" s="17" t="n">
        <f aca="false">MIN(Desain_Kolam!$B$21,MAX(0,N772+F773+G773-H773-I773))</f>
        <v>15823.566675</v>
      </c>
      <c r="O773" s="6" t="n">
        <f aca="false">IF(N772+F773+G773-I773&gt;=H773,1,0)</f>
        <v>1</v>
      </c>
    </row>
    <row r="774" customFormat="false" ht="15" hidden="false" customHeight="false" outlineLevel="0" collapsed="false">
      <c r="A774" s="6" t="n">
        <v>2017</v>
      </c>
      <c r="B774" s="6" t="n">
        <v>9</v>
      </c>
      <c r="C774" s="4" t="n">
        <v>122</v>
      </c>
      <c r="D774" s="6" t="n">
        <v>30</v>
      </c>
      <c r="E774" s="4" t="n">
        <f aca="false">INDEX(Evaporasi!$B$5:$B$16,MATCH(B774,Evaporasi!$A$5:$A$16,0))</f>
        <v>159.21</v>
      </c>
      <c r="F774" s="17" t="n">
        <f aca="false">Kawasan!$B$11*Kawasan!$B$9*C774/1000</f>
        <v>1015.04</v>
      </c>
      <c r="G774" s="17" t="n">
        <f aca="false">C774*Desain_Kolam!$B$9/1000</f>
        <v>645.685</v>
      </c>
      <c r="H774" s="17" t="n">
        <f aca="false">Kawasan!$B$30*D774</f>
        <v>1152</v>
      </c>
      <c r="I774" s="17" t="n">
        <f aca="false">E774*Desain_Kolam!$B$9/1000</f>
        <v>842.618925</v>
      </c>
      <c r="J774" s="17" t="n">
        <f aca="false">F774+G774-H774-I774</f>
        <v>-333.893925</v>
      </c>
      <c r="K774" s="17" t="n">
        <f aca="false">K773+J774</f>
        <v>91861.701225</v>
      </c>
      <c r="L774" s="17" t="n">
        <f aca="false">MAX(L773,K774)</f>
        <v>92195.59515</v>
      </c>
      <c r="M774" s="17" t="n">
        <f aca="false">L774-K774</f>
        <v>333.893924999997</v>
      </c>
      <c r="N774" s="17" t="n">
        <f aca="false">MIN(Desain_Kolam!$B$21,MAX(0,N773+F774+G774-H774-I774))</f>
        <v>15489.67275</v>
      </c>
      <c r="O774" s="6" t="n">
        <f aca="false">IF(N773+F774+G774-I774&gt;=H774,1,0)</f>
        <v>1</v>
      </c>
    </row>
    <row r="775" customFormat="false" ht="15" hidden="false" customHeight="false" outlineLevel="0" collapsed="false">
      <c r="A775" s="6" t="n">
        <v>2017</v>
      </c>
      <c r="B775" s="6" t="n">
        <v>10</v>
      </c>
      <c r="C775" s="4" t="n">
        <v>107</v>
      </c>
      <c r="D775" s="6" t="n">
        <v>31</v>
      </c>
      <c r="E775" s="4" t="n">
        <f aca="false">INDEX(Evaporasi!$B$5:$B$16,MATCH(B775,Evaporasi!$A$5:$A$16,0))</f>
        <v>151.5</v>
      </c>
      <c r="F775" s="17" t="n">
        <f aca="false">Kawasan!$B$11*Kawasan!$B$9*C775/1000</f>
        <v>890.24</v>
      </c>
      <c r="G775" s="17" t="n">
        <f aca="false">C775*Desain_Kolam!$B$9/1000</f>
        <v>566.2975</v>
      </c>
      <c r="H775" s="17" t="n">
        <f aca="false">Kawasan!$B$30*D775</f>
        <v>1190.4</v>
      </c>
      <c r="I775" s="17" t="n">
        <f aca="false">E775*Desain_Kolam!$B$9/1000</f>
        <v>801.81375</v>
      </c>
      <c r="J775" s="17" t="n">
        <f aca="false">F775+G775-H775-I775</f>
        <v>-535.67625</v>
      </c>
      <c r="K775" s="17" t="n">
        <f aca="false">K774+J775</f>
        <v>91326.024975</v>
      </c>
      <c r="L775" s="17" t="n">
        <f aca="false">MAX(L774,K775)</f>
        <v>92195.59515</v>
      </c>
      <c r="M775" s="17" t="n">
        <f aca="false">L775-K775</f>
        <v>869.570175000001</v>
      </c>
      <c r="N775" s="17" t="n">
        <f aca="false">MIN(Desain_Kolam!$B$21,MAX(0,N774+F775+G775-H775-I775))</f>
        <v>14953.9965</v>
      </c>
      <c r="O775" s="6" t="n">
        <f aca="false">IF(N774+F775+G775-I775&gt;=H775,1,0)</f>
        <v>1</v>
      </c>
    </row>
    <row r="776" customFormat="false" ht="15" hidden="false" customHeight="false" outlineLevel="0" collapsed="false">
      <c r="A776" s="6" t="n">
        <v>2017</v>
      </c>
      <c r="B776" s="6" t="n">
        <v>11</v>
      </c>
      <c r="C776" s="4" t="n">
        <v>184</v>
      </c>
      <c r="D776" s="6" t="n">
        <v>30</v>
      </c>
      <c r="E776" s="4" t="n">
        <f aca="false">INDEX(Evaporasi!$B$5:$B$16,MATCH(B776,Evaporasi!$A$5:$A$16,0))</f>
        <v>142.3</v>
      </c>
      <c r="F776" s="17" t="n">
        <f aca="false">Kawasan!$B$11*Kawasan!$B$9*C776/1000</f>
        <v>1530.88</v>
      </c>
      <c r="G776" s="17" t="n">
        <f aca="false">C776*Desain_Kolam!$B$9/1000</f>
        <v>973.82</v>
      </c>
      <c r="H776" s="17" t="n">
        <f aca="false">Kawasan!$B$30*D776</f>
        <v>1152</v>
      </c>
      <c r="I776" s="17" t="n">
        <f aca="false">E776*Desain_Kolam!$B$9/1000</f>
        <v>753.12275</v>
      </c>
      <c r="J776" s="17" t="n">
        <f aca="false">F776+G776-H776-I776</f>
        <v>599.57725</v>
      </c>
      <c r="K776" s="17" t="n">
        <f aca="false">K775+J776</f>
        <v>91925.602225</v>
      </c>
      <c r="L776" s="17" t="n">
        <f aca="false">MAX(L775,K776)</f>
        <v>92195.59515</v>
      </c>
      <c r="M776" s="17" t="n">
        <f aca="false">L776-K776</f>
        <v>269.992924999999</v>
      </c>
      <c r="N776" s="17" t="n">
        <f aca="false">MIN(Desain_Kolam!$B$21,MAX(0,N775+F776+G776-H776-I776))</f>
        <v>15553.57375</v>
      </c>
      <c r="O776" s="6" t="n">
        <f aca="false">IF(N775+F776+G776-I776&gt;=H776,1,0)</f>
        <v>1</v>
      </c>
    </row>
    <row r="777" customFormat="false" ht="15" hidden="false" customHeight="false" outlineLevel="0" collapsed="false">
      <c r="A777" s="6" t="n">
        <v>2017</v>
      </c>
      <c r="B777" s="6" t="n">
        <v>12</v>
      </c>
      <c r="C777" s="4" t="n">
        <v>120</v>
      </c>
      <c r="D777" s="6" t="n">
        <v>31</v>
      </c>
      <c r="E777" s="4" t="n">
        <f aca="false">INDEX(Evaporasi!$B$5:$B$16,MATCH(B777,Evaporasi!$A$5:$A$16,0))</f>
        <v>145.07</v>
      </c>
      <c r="F777" s="17" t="n">
        <f aca="false">Kawasan!$B$11*Kawasan!$B$9*C777/1000</f>
        <v>998.4</v>
      </c>
      <c r="G777" s="17" t="n">
        <f aca="false">C777*Desain_Kolam!$B$9/1000</f>
        <v>635.1</v>
      </c>
      <c r="H777" s="17" t="n">
        <f aca="false">Kawasan!$B$30*D777</f>
        <v>1190.4</v>
      </c>
      <c r="I777" s="17" t="n">
        <f aca="false">E777*Desain_Kolam!$B$9/1000</f>
        <v>767.782975</v>
      </c>
      <c r="J777" s="17" t="n">
        <f aca="false">F777+G777-H777-I777</f>
        <v>-324.682975</v>
      </c>
      <c r="K777" s="17" t="n">
        <f aca="false">K776+J777</f>
        <v>91600.91925</v>
      </c>
      <c r="L777" s="17" t="n">
        <f aca="false">MAX(L776,K777)</f>
        <v>92195.59515</v>
      </c>
      <c r="M777" s="17" t="n">
        <f aca="false">L777-K777</f>
        <v>594.675900000002</v>
      </c>
      <c r="N777" s="17" t="n">
        <f aca="false">MIN(Desain_Kolam!$B$21,MAX(0,N776+F777+G777-H777-I777))</f>
        <v>15228.890775</v>
      </c>
      <c r="O777" s="6" t="n">
        <f aca="false">IF(N776+F777+G777-I777&gt;=H777,1,0)</f>
        <v>1</v>
      </c>
    </row>
    <row r="778" customFormat="false" ht="15" hidden="false" customHeight="false" outlineLevel="0" collapsed="false">
      <c r="A778" s="6" t="n">
        <v>2018</v>
      </c>
      <c r="B778" s="6" t="n">
        <v>1</v>
      </c>
      <c r="C778" s="4" t="n">
        <v>220</v>
      </c>
      <c r="D778" s="6" t="n">
        <v>31</v>
      </c>
      <c r="E778" s="4" t="n">
        <f aca="false">INDEX(Evaporasi!$B$5:$B$16,MATCH(B778,Evaporasi!$A$5:$A$16,0))</f>
        <v>149.98</v>
      </c>
      <c r="F778" s="17" t="n">
        <f aca="false">Kawasan!$B$11*Kawasan!$B$9*C778/1000</f>
        <v>1830.4</v>
      </c>
      <c r="G778" s="17" t="n">
        <f aca="false">C778*Desain_Kolam!$B$9/1000</f>
        <v>1164.35</v>
      </c>
      <c r="H778" s="17" t="n">
        <f aca="false">Kawasan!$B$30*D778</f>
        <v>1190.4</v>
      </c>
      <c r="I778" s="17" t="n">
        <f aca="false">E778*Desain_Kolam!$B$9/1000</f>
        <v>793.76915</v>
      </c>
      <c r="J778" s="17" t="n">
        <f aca="false">F778+G778-H778-I778</f>
        <v>1010.58085</v>
      </c>
      <c r="K778" s="17" t="n">
        <f aca="false">K777+J778</f>
        <v>92611.5001</v>
      </c>
      <c r="L778" s="17" t="n">
        <f aca="false">MAX(L777,K778)</f>
        <v>92611.5001</v>
      </c>
      <c r="M778" s="17" t="n">
        <f aca="false">L778-K778</f>
        <v>0</v>
      </c>
      <c r="N778" s="17" t="n">
        <f aca="false">MIN(Desain_Kolam!$B$21,MAX(0,N777+F778+G778-H778-I778))</f>
        <v>15823.566675</v>
      </c>
      <c r="O778" s="6" t="n">
        <f aca="false">IF(N777+F778+G778-I778&gt;=H778,1,0)</f>
        <v>1</v>
      </c>
    </row>
    <row r="779" customFormat="false" ht="15" hidden="false" customHeight="false" outlineLevel="0" collapsed="false">
      <c r="A779" s="6" t="n">
        <v>2018</v>
      </c>
      <c r="B779" s="6" t="n">
        <v>2</v>
      </c>
      <c r="C779" s="4" t="n">
        <v>93</v>
      </c>
      <c r="D779" s="6" t="n">
        <v>28</v>
      </c>
      <c r="E779" s="4" t="n">
        <f aca="false">INDEX(Evaporasi!$B$5:$B$16,MATCH(B779,Evaporasi!$A$5:$A$16,0))</f>
        <v>148.64</v>
      </c>
      <c r="F779" s="17" t="n">
        <f aca="false">Kawasan!$B$11*Kawasan!$B$9*C779/1000</f>
        <v>773.76</v>
      </c>
      <c r="G779" s="17" t="n">
        <f aca="false">C779*Desain_Kolam!$B$9/1000</f>
        <v>492.2025</v>
      </c>
      <c r="H779" s="17" t="n">
        <f aca="false">Kawasan!$B$30*D779</f>
        <v>1075.2</v>
      </c>
      <c r="I779" s="17" t="n">
        <f aca="false">E779*Desain_Kolam!$B$9/1000</f>
        <v>786.6772</v>
      </c>
      <c r="J779" s="17" t="n">
        <f aca="false">F779+G779-H779-I779</f>
        <v>-595.9147</v>
      </c>
      <c r="K779" s="17" t="n">
        <f aca="false">K778+J779</f>
        <v>92015.5854</v>
      </c>
      <c r="L779" s="17" t="n">
        <f aca="false">MAX(L778,K779)</f>
        <v>92611.5001</v>
      </c>
      <c r="M779" s="17" t="n">
        <f aca="false">L779-K779</f>
        <v>595.914699999994</v>
      </c>
      <c r="N779" s="17" t="n">
        <f aca="false">MIN(Desain_Kolam!$B$21,MAX(0,N778+F779+G779-H779-I779))</f>
        <v>15227.651975</v>
      </c>
      <c r="O779" s="6" t="n">
        <f aca="false">IF(N778+F779+G779-I779&gt;=H779,1,0)</f>
        <v>1</v>
      </c>
    </row>
    <row r="780" customFormat="false" ht="15" hidden="false" customHeight="false" outlineLevel="0" collapsed="false">
      <c r="A780" s="6" t="n">
        <v>2018</v>
      </c>
      <c r="B780" s="6" t="n">
        <v>3</v>
      </c>
      <c r="C780" s="4" t="n">
        <v>162</v>
      </c>
      <c r="D780" s="6" t="n">
        <v>31</v>
      </c>
      <c r="E780" s="4" t="n">
        <f aca="false">INDEX(Evaporasi!$B$5:$B$16,MATCH(B780,Evaporasi!$A$5:$A$16,0))</f>
        <v>166.18</v>
      </c>
      <c r="F780" s="17" t="n">
        <f aca="false">Kawasan!$B$11*Kawasan!$B$9*C780/1000</f>
        <v>1347.84</v>
      </c>
      <c r="G780" s="17" t="n">
        <f aca="false">C780*Desain_Kolam!$B$9/1000</f>
        <v>857.385</v>
      </c>
      <c r="H780" s="17" t="n">
        <f aca="false">Kawasan!$B$30*D780</f>
        <v>1190.4</v>
      </c>
      <c r="I780" s="17" t="n">
        <f aca="false">E780*Desain_Kolam!$B$9/1000</f>
        <v>879.50765</v>
      </c>
      <c r="J780" s="17" t="n">
        <f aca="false">F780+G780-H780-I780</f>
        <v>135.31735</v>
      </c>
      <c r="K780" s="17" t="n">
        <f aca="false">K779+J780</f>
        <v>92150.90275</v>
      </c>
      <c r="L780" s="17" t="n">
        <f aca="false">MAX(L779,K780)</f>
        <v>92611.5001</v>
      </c>
      <c r="M780" s="17" t="n">
        <f aca="false">L780-K780</f>
        <v>460.597349999996</v>
      </c>
      <c r="N780" s="17" t="n">
        <f aca="false">MIN(Desain_Kolam!$B$21,MAX(0,N779+F780+G780-H780-I780))</f>
        <v>15362.969325</v>
      </c>
      <c r="O780" s="6" t="n">
        <f aca="false">IF(N779+F780+G780-I780&gt;=H780,1,0)</f>
        <v>1</v>
      </c>
    </row>
    <row r="781" customFormat="false" ht="15" hidden="false" customHeight="false" outlineLevel="0" collapsed="false">
      <c r="A781" s="6" t="n">
        <v>2018</v>
      </c>
      <c r="B781" s="6" t="n">
        <v>4</v>
      </c>
      <c r="C781" s="4" t="n">
        <v>135</v>
      </c>
      <c r="D781" s="6" t="n">
        <v>30</v>
      </c>
      <c r="E781" s="4" t="n">
        <f aca="false">INDEX(Evaporasi!$B$5:$B$16,MATCH(B781,Evaporasi!$A$5:$A$16,0))</f>
        <v>157.75</v>
      </c>
      <c r="F781" s="17" t="n">
        <f aca="false">Kawasan!$B$11*Kawasan!$B$9*C781/1000</f>
        <v>1123.2</v>
      </c>
      <c r="G781" s="17" t="n">
        <f aca="false">C781*Desain_Kolam!$B$9/1000</f>
        <v>714.4875</v>
      </c>
      <c r="H781" s="17" t="n">
        <f aca="false">Kawasan!$B$30*D781</f>
        <v>1152</v>
      </c>
      <c r="I781" s="17" t="n">
        <f aca="false">E781*Desain_Kolam!$B$9/1000</f>
        <v>834.891875</v>
      </c>
      <c r="J781" s="17" t="n">
        <f aca="false">F781+G781-H781-I781</f>
        <v>-149.204375</v>
      </c>
      <c r="K781" s="17" t="n">
        <f aca="false">K780+J781</f>
        <v>92001.698375</v>
      </c>
      <c r="L781" s="17" t="n">
        <f aca="false">MAX(L780,K781)</f>
        <v>92611.5001</v>
      </c>
      <c r="M781" s="17" t="n">
        <f aca="false">L781-K781</f>
        <v>609.801724999998</v>
      </c>
      <c r="N781" s="17" t="n">
        <f aca="false">MIN(Desain_Kolam!$B$21,MAX(0,N780+F781+G781-H781-I781))</f>
        <v>15213.76495</v>
      </c>
      <c r="O781" s="6" t="n">
        <f aca="false">IF(N780+F781+G781-I781&gt;=H781,1,0)</f>
        <v>1</v>
      </c>
    </row>
    <row r="782" customFormat="false" ht="15" hidden="false" customHeight="false" outlineLevel="0" collapsed="false">
      <c r="A782" s="6" t="n">
        <v>2018</v>
      </c>
      <c r="B782" s="6" t="n">
        <v>5</v>
      </c>
      <c r="C782" s="4" t="n">
        <v>214</v>
      </c>
      <c r="D782" s="6" t="n">
        <v>31</v>
      </c>
      <c r="E782" s="4" t="n">
        <f aca="false">INDEX(Evaporasi!$B$5:$B$16,MATCH(B782,Evaporasi!$A$5:$A$16,0))</f>
        <v>158.35</v>
      </c>
      <c r="F782" s="17" t="n">
        <f aca="false">Kawasan!$B$11*Kawasan!$B$9*C782/1000</f>
        <v>1780.48</v>
      </c>
      <c r="G782" s="17" t="n">
        <f aca="false">C782*Desain_Kolam!$B$9/1000</f>
        <v>1132.595</v>
      </c>
      <c r="H782" s="17" t="n">
        <f aca="false">Kawasan!$B$30*D782</f>
        <v>1190.4</v>
      </c>
      <c r="I782" s="17" t="n">
        <f aca="false">E782*Desain_Kolam!$B$9/1000</f>
        <v>838.067375</v>
      </c>
      <c r="J782" s="17" t="n">
        <f aca="false">F782+G782-H782-I782</f>
        <v>884.607625</v>
      </c>
      <c r="K782" s="17" t="n">
        <f aca="false">K781+J782</f>
        <v>92886.306</v>
      </c>
      <c r="L782" s="17" t="n">
        <f aca="false">MAX(L781,K782)</f>
        <v>92886.306</v>
      </c>
      <c r="M782" s="17" t="n">
        <f aca="false">L782-K782</f>
        <v>0</v>
      </c>
      <c r="N782" s="17" t="n">
        <f aca="false">MIN(Desain_Kolam!$B$21,MAX(0,N781+F782+G782-H782-I782))</f>
        <v>15823.566675</v>
      </c>
      <c r="O782" s="6" t="n">
        <f aca="false">IF(N781+F782+G782-I782&gt;=H782,1,0)</f>
        <v>1</v>
      </c>
    </row>
    <row r="783" customFormat="false" ht="15" hidden="false" customHeight="false" outlineLevel="0" collapsed="false">
      <c r="A783" s="6" t="n">
        <v>2018</v>
      </c>
      <c r="B783" s="6" t="n">
        <v>6</v>
      </c>
      <c r="C783" s="4" t="n">
        <v>125</v>
      </c>
      <c r="D783" s="6" t="n">
        <v>30</v>
      </c>
      <c r="E783" s="4" t="n">
        <f aca="false">INDEX(Evaporasi!$B$5:$B$16,MATCH(B783,Evaporasi!$A$5:$A$16,0))</f>
        <v>150.17</v>
      </c>
      <c r="F783" s="17" t="n">
        <f aca="false">Kawasan!$B$11*Kawasan!$B$9*C783/1000</f>
        <v>1040</v>
      </c>
      <c r="G783" s="17" t="n">
        <f aca="false">C783*Desain_Kolam!$B$9/1000</f>
        <v>661.5625</v>
      </c>
      <c r="H783" s="17" t="n">
        <f aca="false">Kawasan!$B$30*D783</f>
        <v>1152</v>
      </c>
      <c r="I783" s="17" t="n">
        <f aca="false">E783*Desain_Kolam!$B$9/1000</f>
        <v>794.774725</v>
      </c>
      <c r="J783" s="17" t="n">
        <f aca="false">F783+G783-H783-I783</f>
        <v>-245.212225</v>
      </c>
      <c r="K783" s="17" t="n">
        <f aca="false">K782+J783</f>
        <v>92641.093775</v>
      </c>
      <c r="L783" s="17" t="n">
        <f aca="false">MAX(L782,K783)</f>
        <v>92886.306</v>
      </c>
      <c r="M783" s="17" t="n">
        <f aca="false">L783-K783</f>
        <v>245.212224999996</v>
      </c>
      <c r="N783" s="17" t="n">
        <f aca="false">MIN(Desain_Kolam!$B$21,MAX(0,N782+F783+G783-H783-I783))</f>
        <v>15578.35445</v>
      </c>
      <c r="O783" s="6" t="n">
        <f aca="false">IF(N782+F783+G783-I783&gt;=H783,1,0)</f>
        <v>1</v>
      </c>
    </row>
    <row r="784" customFormat="false" ht="15" hidden="false" customHeight="false" outlineLevel="0" collapsed="false">
      <c r="A784" s="6" t="n">
        <v>2018</v>
      </c>
      <c r="B784" s="6" t="n">
        <v>7</v>
      </c>
      <c r="C784" s="4" t="n">
        <v>24</v>
      </c>
      <c r="D784" s="6" t="n">
        <v>31</v>
      </c>
      <c r="E784" s="4" t="n">
        <f aca="false">INDEX(Evaporasi!$B$5:$B$16,MATCH(B784,Evaporasi!$A$5:$A$16,0))</f>
        <v>160.84</v>
      </c>
      <c r="F784" s="17" t="n">
        <f aca="false">Kawasan!$B$11*Kawasan!$B$9*C784/1000</f>
        <v>199.68</v>
      </c>
      <c r="G784" s="17" t="n">
        <f aca="false">C784*Desain_Kolam!$B$9/1000</f>
        <v>127.02</v>
      </c>
      <c r="H784" s="17" t="n">
        <f aca="false">Kawasan!$B$30*D784</f>
        <v>1190.4</v>
      </c>
      <c r="I784" s="17" t="n">
        <f aca="false">E784*Desain_Kolam!$B$9/1000</f>
        <v>851.2457</v>
      </c>
      <c r="J784" s="17" t="n">
        <f aca="false">F784+G784-H784-I784</f>
        <v>-1714.9457</v>
      </c>
      <c r="K784" s="17" t="n">
        <f aca="false">K783+J784</f>
        <v>90926.148075</v>
      </c>
      <c r="L784" s="17" t="n">
        <f aca="false">MAX(L783,K784)</f>
        <v>92886.306</v>
      </c>
      <c r="M784" s="17" t="n">
        <f aca="false">L784-K784</f>
        <v>1960.15792499999</v>
      </c>
      <c r="N784" s="17" t="n">
        <f aca="false">MIN(Desain_Kolam!$B$21,MAX(0,N783+F784+G784-H784-I784))</f>
        <v>13863.40875</v>
      </c>
      <c r="O784" s="6" t="n">
        <f aca="false">IF(N783+F784+G784-I784&gt;=H784,1,0)</f>
        <v>1</v>
      </c>
    </row>
    <row r="785" customFormat="false" ht="15" hidden="false" customHeight="false" outlineLevel="0" collapsed="false">
      <c r="A785" s="6" t="n">
        <v>2018</v>
      </c>
      <c r="B785" s="6" t="n">
        <v>8</v>
      </c>
      <c r="C785" s="4" t="n">
        <v>48</v>
      </c>
      <c r="D785" s="6" t="n">
        <v>31</v>
      </c>
      <c r="E785" s="4" t="n">
        <f aca="false">INDEX(Evaporasi!$B$5:$B$16,MATCH(B785,Evaporasi!$A$5:$A$16,0))</f>
        <v>161.16</v>
      </c>
      <c r="F785" s="17" t="n">
        <f aca="false">Kawasan!$B$11*Kawasan!$B$9*C785/1000</f>
        <v>399.36</v>
      </c>
      <c r="G785" s="17" t="n">
        <f aca="false">C785*Desain_Kolam!$B$9/1000</f>
        <v>254.04</v>
      </c>
      <c r="H785" s="17" t="n">
        <f aca="false">Kawasan!$B$30*D785</f>
        <v>1190.4</v>
      </c>
      <c r="I785" s="17" t="n">
        <f aca="false">E785*Desain_Kolam!$B$9/1000</f>
        <v>852.9393</v>
      </c>
      <c r="J785" s="17" t="n">
        <f aca="false">F785+G785-H785-I785</f>
        <v>-1389.9393</v>
      </c>
      <c r="K785" s="17" t="n">
        <f aca="false">K784+J785</f>
        <v>89536.208775</v>
      </c>
      <c r="L785" s="17" t="n">
        <f aca="false">MAX(L784,K785)</f>
        <v>92886.306</v>
      </c>
      <c r="M785" s="17" t="n">
        <f aca="false">L785-K785</f>
        <v>3350.09722499999</v>
      </c>
      <c r="N785" s="17" t="n">
        <f aca="false">MIN(Desain_Kolam!$B$21,MAX(0,N784+F785+G785-H785-I785))</f>
        <v>12473.46945</v>
      </c>
      <c r="O785" s="6" t="n">
        <f aca="false">IF(N784+F785+G785-I785&gt;=H785,1,0)</f>
        <v>1</v>
      </c>
    </row>
    <row r="786" customFormat="false" ht="15" hidden="false" customHeight="false" outlineLevel="0" collapsed="false">
      <c r="A786" s="6" t="n">
        <v>2018</v>
      </c>
      <c r="B786" s="6" t="n">
        <v>9</v>
      </c>
      <c r="C786" s="4" t="n">
        <v>103</v>
      </c>
      <c r="D786" s="6" t="n">
        <v>30</v>
      </c>
      <c r="E786" s="4" t="n">
        <f aca="false">INDEX(Evaporasi!$B$5:$B$16,MATCH(B786,Evaporasi!$A$5:$A$16,0))</f>
        <v>159.21</v>
      </c>
      <c r="F786" s="17" t="n">
        <f aca="false">Kawasan!$B$11*Kawasan!$B$9*C786/1000</f>
        <v>856.96</v>
      </c>
      <c r="G786" s="17" t="n">
        <f aca="false">C786*Desain_Kolam!$B$9/1000</f>
        <v>545.1275</v>
      </c>
      <c r="H786" s="17" t="n">
        <f aca="false">Kawasan!$B$30*D786</f>
        <v>1152</v>
      </c>
      <c r="I786" s="17" t="n">
        <f aca="false">E786*Desain_Kolam!$B$9/1000</f>
        <v>842.618925</v>
      </c>
      <c r="J786" s="17" t="n">
        <f aca="false">F786+G786-H786-I786</f>
        <v>-592.531425</v>
      </c>
      <c r="K786" s="17" t="n">
        <f aca="false">K785+J786</f>
        <v>88943.67735</v>
      </c>
      <c r="L786" s="17" t="n">
        <f aca="false">MAX(L785,K786)</f>
        <v>92886.306</v>
      </c>
      <c r="M786" s="17" t="n">
        <f aca="false">L786-K786</f>
        <v>3942.62864999998</v>
      </c>
      <c r="N786" s="17" t="n">
        <f aca="false">MIN(Desain_Kolam!$B$21,MAX(0,N785+F786+G786-H786-I786))</f>
        <v>11880.938025</v>
      </c>
      <c r="O786" s="6" t="n">
        <f aca="false">IF(N785+F786+G786-I786&gt;=H786,1,0)</f>
        <v>1</v>
      </c>
    </row>
    <row r="787" customFormat="false" ht="15" hidden="false" customHeight="false" outlineLevel="0" collapsed="false">
      <c r="A787" s="6" t="n">
        <v>2018</v>
      </c>
      <c r="B787" s="6" t="n">
        <v>10</v>
      </c>
      <c r="C787" s="4" t="n">
        <v>176</v>
      </c>
      <c r="D787" s="6" t="n">
        <v>31</v>
      </c>
      <c r="E787" s="4" t="n">
        <f aca="false">INDEX(Evaporasi!$B$5:$B$16,MATCH(B787,Evaporasi!$A$5:$A$16,0))</f>
        <v>151.5</v>
      </c>
      <c r="F787" s="17" t="n">
        <f aca="false">Kawasan!$B$11*Kawasan!$B$9*C787/1000</f>
        <v>1464.32</v>
      </c>
      <c r="G787" s="17" t="n">
        <f aca="false">C787*Desain_Kolam!$B$9/1000</f>
        <v>931.48</v>
      </c>
      <c r="H787" s="17" t="n">
        <f aca="false">Kawasan!$B$30*D787</f>
        <v>1190.4</v>
      </c>
      <c r="I787" s="17" t="n">
        <f aca="false">E787*Desain_Kolam!$B$9/1000</f>
        <v>801.81375</v>
      </c>
      <c r="J787" s="17" t="n">
        <f aca="false">F787+G787-H787-I787</f>
        <v>403.58625</v>
      </c>
      <c r="K787" s="17" t="n">
        <f aca="false">K786+J787</f>
        <v>89347.2636</v>
      </c>
      <c r="L787" s="17" t="n">
        <f aca="false">MAX(L786,K787)</f>
        <v>92886.306</v>
      </c>
      <c r="M787" s="17" t="n">
        <f aca="false">L787-K787</f>
        <v>3539.04239999999</v>
      </c>
      <c r="N787" s="17" t="n">
        <f aca="false">MIN(Desain_Kolam!$B$21,MAX(0,N786+F787+G787-H787-I787))</f>
        <v>12284.524275</v>
      </c>
      <c r="O787" s="6" t="n">
        <f aca="false">IF(N786+F787+G787-I787&gt;=H787,1,0)</f>
        <v>1</v>
      </c>
    </row>
    <row r="788" customFormat="false" ht="15" hidden="false" customHeight="false" outlineLevel="0" collapsed="false">
      <c r="A788" s="6" t="n">
        <v>2018</v>
      </c>
      <c r="B788" s="6" t="n">
        <v>11</v>
      </c>
      <c r="C788" s="4" t="n">
        <v>172</v>
      </c>
      <c r="D788" s="6" t="n">
        <v>30</v>
      </c>
      <c r="E788" s="4" t="n">
        <f aca="false">INDEX(Evaporasi!$B$5:$B$16,MATCH(B788,Evaporasi!$A$5:$A$16,0))</f>
        <v>142.3</v>
      </c>
      <c r="F788" s="17" t="n">
        <f aca="false">Kawasan!$B$11*Kawasan!$B$9*C788/1000</f>
        <v>1431.04</v>
      </c>
      <c r="G788" s="17" t="n">
        <f aca="false">C788*Desain_Kolam!$B$9/1000</f>
        <v>910.31</v>
      </c>
      <c r="H788" s="17" t="n">
        <f aca="false">Kawasan!$B$30*D788</f>
        <v>1152</v>
      </c>
      <c r="I788" s="17" t="n">
        <f aca="false">E788*Desain_Kolam!$B$9/1000</f>
        <v>753.12275</v>
      </c>
      <c r="J788" s="17" t="n">
        <f aca="false">F788+G788-H788-I788</f>
        <v>436.22725</v>
      </c>
      <c r="K788" s="17" t="n">
        <f aca="false">K787+J788</f>
        <v>89783.49085</v>
      </c>
      <c r="L788" s="17" t="n">
        <f aca="false">MAX(L787,K788)</f>
        <v>92886.306</v>
      </c>
      <c r="M788" s="17" t="n">
        <f aca="false">L788-K788</f>
        <v>3102.81515</v>
      </c>
      <c r="N788" s="17" t="n">
        <f aca="false">MIN(Desain_Kolam!$B$21,MAX(0,N787+F788+G788-H788-I788))</f>
        <v>12720.751525</v>
      </c>
      <c r="O788" s="6" t="n">
        <f aca="false">IF(N787+F788+G788-I788&gt;=H788,1,0)</f>
        <v>1</v>
      </c>
    </row>
    <row r="789" customFormat="false" ht="15" hidden="false" customHeight="false" outlineLevel="0" collapsed="false">
      <c r="A789" s="6" t="n">
        <v>2018</v>
      </c>
      <c r="B789" s="6" t="n">
        <v>12</v>
      </c>
      <c r="C789" s="4" t="n">
        <v>182</v>
      </c>
      <c r="D789" s="6" t="n">
        <v>31</v>
      </c>
      <c r="E789" s="4" t="n">
        <f aca="false">INDEX(Evaporasi!$B$5:$B$16,MATCH(B789,Evaporasi!$A$5:$A$16,0))</f>
        <v>145.07</v>
      </c>
      <c r="F789" s="17" t="n">
        <f aca="false">Kawasan!$B$11*Kawasan!$B$9*C789/1000</f>
        <v>1514.24</v>
      </c>
      <c r="G789" s="17" t="n">
        <f aca="false">C789*Desain_Kolam!$B$9/1000</f>
        <v>963.235</v>
      </c>
      <c r="H789" s="17" t="n">
        <f aca="false">Kawasan!$B$30*D789</f>
        <v>1190.4</v>
      </c>
      <c r="I789" s="17" t="n">
        <f aca="false">E789*Desain_Kolam!$B$9/1000</f>
        <v>767.782975</v>
      </c>
      <c r="J789" s="17" t="n">
        <f aca="false">F789+G789-H789-I789</f>
        <v>519.292025</v>
      </c>
      <c r="K789" s="17" t="n">
        <f aca="false">K788+J789</f>
        <v>90302.782875</v>
      </c>
      <c r="L789" s="17" t="n">
        <f aca="false">MAX(L788,K789)</f>
        <v>92886.306</v>
      </c>
      <c r="M789" s="17" t="n">
        <f aca="false">L789-K789</f>
        <v>2583.52312499999</v>
      </c>
      <c r="N789" s="17" t="n">
        <f aca="false">MIN(Desain_Kolam!$B$21,MAX(0,N788+F789+G789-H789-I789))</f>
        <v>13240.04355</v>
      </c>
      <c r="O789" s="6" t="n">
        <f aca="false">IF(N788+F789+G789-I789&gt;=H789,1,0)</f>
        <v>1</v>
      </c>
    </row>
    <row r="790" customFormat="false" ht="15" hidden="false" customHeight="false" outlineLevel="0" collapsed="false">
      <c r="A790" s="6" t="n">
        <v>2019</v>
      </c>
      <c r="B790" s="6" t="n">
        <v>1</v>
      </c>
      <c r="C790" s="4" t="n">
        <v>124</v>
      </c>
      <c r="D790" s="6" t="n">
        <v>31</v>
      </c>
      <c r="E790" s="4" t="n">
        <f aca="false">INDEX(Evaporasi!$B$5:$B$16,MATCH(B790,Evaporasi!$A$5:$A$16,0))</f>
        <v>149.98</v>
      </c>
      <c r="F790" s="17" t="n">
        <f aca="false">Kawasan!$B$11*Kawasan!$B$9*C790/1000</f>
        <v>1031.68</v>
      </c>
      <c r="G790" s="17" t="n">
        <f aca="false">C790*Desain_Kolam!$B$9/1000</f>
        <v>656.27</v>
      </c>
      <c r="H790" s="17" t="n">
        <f aca="false">Kawasan!$B$30*D790</f>
        <v>1190.4</v>
      </c>
      <c r="I790" s="17" t="n">
        <f aca="false">E790*Desain_Kolam!$B$9/1000</f>
        <v>793.76915</v>
      </c>
      <c r="J790" s="17" t="n">
        <f aca="false">F790+G790-H790-I790</f>
        <v>-296.21915</v>
      </c>
      <c r="K790" s="17" t="n">
        <f aca="false">K789+J790</f>
        <v>90006.563725</v>
      </c>
      <c r="L790" s="17" t="n">
        <f aca="false">MAX(L789,K790)</f>
        <v>92886.306</v>
      </c>
      <c r="M790" s="17" t="n">
        <f aca="false">L790-K790</f>
        <v>2879.742275</v>
      </c>
      <c r="N790" s="17" t="n">
        <f aca="false">MIN(Desain_Kolam!$B$21,MAX(0,N789+F790+G790-H790-I790))</f>
        <v>12943.8244</v>
      </c>
      <c r="O790" s="6" t="n">
        <f aca="false">IF(N789+F790+G790-I790&gt;=H790,1,0)</f>
        <v>1</v>
      </c>
    </row>
    <row r="791" customFormat="false" ht="15" hidden="false" customHeight="false" outlineLevel="0" collapsed="false">
      <c r="A791" s="6" t="n">
        <v>2019</v>
      </c>
      <c r="B791" s="6" t="n">
        <v>2</v>
      </c>
      <c r="C791" s="4" t="n">
        <v>207</v>
      </c>
      <c r="D791" s="6" t="n">
        <v>28</v>
      </c>
      <c r="E791" s="4" t="n">
        <f aca="false">INDEX(Evaporasi!$B$5:$B$16,MATCH(B791,Evaporasi!$A$5:$A$16,0))</f>
        <v>148.64</v>
      </c>
      <c r="F791" s="17" t="n">
        <f aca="false">Kawasan!$B$11*Kawasan!$B$9*C791/1000</f>
        <v>1722.24</v>
      </c>
      <c r="G791" s="17" t="n">
        <f aca="false">C791*Desain_Kolam!$B$9/1000</f>
        <v>1095.5475</v>
      </c>
      <c r="H791" s="17" t="n">
        <f aca="false">Kawasan!$B$30*D791</f>
        <v>1075.2</v>
      </c>
      <c r="I791" s="17" t="n">
        <f aca="false">E791*Desain_Kolam!$B$9/1000</f>
        <v>786.6772</v>
      </c>
      <c r="J791" s="17" t="n">
        <f aca="false">F791+G791-H791-I791</f>
        <v>955.9103</v>
      </c>
      <c r="K791" s="17" t="n">
        <f aca="false">K790+J791</f>
        <v>90962.474025</v>
      </c>
      <c r="L791" s="17" t="n">
        <f aca="false">MAX(L790,K791)</f>
        <v>92886.306</v>
      </c>
      <c r="M791" s="17" t="n">
        <f aca="false">L791-K791</f>
        <v>1923.83197499999</v>
      </c>
      <c r="N791" s="17" t="n">
        <f aca="false">MIN(Desain_Kolam!$B$21,MAX(0,N790+F791+G791-H791-I791))</f>
        <v>13899.7347</v>
      </c>
      <c r="O791" s="6" t="n">
        <f aca="false">IF(N790+F791+G791-I791&gt;=H791,1,0)</f>
        <v>1</v>
      </c>
    </row>
    <row r="792" customFormat="false" ht="15" hidden="false" customHeight="false" outlineLevel="0" collapsed="false">
      <c r="A792" s="6" t="n">
        <v>2019</v>
      </c>
      <c r="B792" s="6" t="n">
        <v>3</v>
      </c>
      <c r="C792" s="4" t="n">
        <v>44</v>
      </c>
      <c r="D792" s="6" t="n">
        <v>31</v>
      </c>
      <c r="E792" s="4" t="n">
        <f aca="false">INDEX(Evaporasi!$B$5:$B$16,MATCH(B792,Evaporasi!$A$5:$A$16,0))</f>
        <v>166.18</v>
      </c>
      <c r="F792" s="17" t="n">
        <f aca="false">Kawasan!$B$11*Kawasan!$B$9*C792/1000</f>
        <v>366.08</v>
      </c>
      <c r="G792" s="17" t="n">
        <f aca="false">C792*Desain_Kolam!$B$9/1000</f>
        <v>232.87</v>
      </c>
      <c r="H792" s="17" t="n">
        <f aca="false">Kawasan!$B$30*D792</f>
        <v>1190.4</v>
      </c>
      <c r="I792" s="17" t="n">
        <f aca="false">E792*Desain_Kolam!$B$9/1000</f>
        <v>879.50765</v>
      </c>
      <c r="J792" s="17" t="n">
        <f aca="false">F792+G792-H792-I792</f>
        <v>-1470.95765</v>
      </c>
      <c r="K792" s="17" t="n">
        <f aca="false">K791+J792</f>
        <v>89491.516375</v>
      </c>
      <c r="L792" s="17" t="n">
        <f aca="false">MAX(L791,K792)</f>
        <v>92886.306</v>
      </c>
      <c r="M792" s="17" t="n">
        <f aca="false">L792-K792</f>
        <v>3394.78962499999</v>
      </c>
      <c r="N792" s="17" t="n">
        <f aca="false">MIN(Desain_Kolam!$B$21,MAX(0,N791+F792+G792-H792-I792))</f>
        <v>12428.77705</v>
      </c>
      <c r="O792" s="6" t="n">
        <f aca="false">IF(N791+F792+G792-I792&gt;=H792,1,0)</f>
        <v>1</v>
      </c>
    </row>
    <row r="793" customFormat="false" ht="15" hidden="false" customHeight="false" outlineLevel="0" collapsed="false">
      <c r="A793" s="6" t="n">
        <v>2019</v>
      </c>
      <c r="B793" s="6" t="n">
        <v>4</v>
      </c>
      <c r="C793" s="4" t="n">
        <v>151</v>
      </c>
      <c r="D793" s="6" t="n">
        <v>30</v>
      </c>
      <c r="E793" s="4" t="n">
        <f aca="false">INDEX(Evaporasi!$B$5:$B$16,MATCH(B793,Evaporasi!$A$5:$A$16,0))</f>
        <v>157.75</v>
      </c>
      <c r="F793" s="17" t="n">
        <f aca="false">Kawasan!$B$11*Kawasan!$B$9*C793/1000</f>
        <v>1256.32</v>
      </c>
      <c r="G793" s="17" t="n">
        <f aca="false">C793*Desain_Kolam!$B$9/1000</f>
        <v>799.1675</v>
      </c>
      <c r="H793" s="17" t="n">
        <f aca="false">Kawasan!$B$30*D793</f>
        <v>1152</v>
      </c>
      <c r="I793" s="17" t="n">
        <f aca="false">E793*Desain_Kolam!$B$9/1000</f>
        <v>834.891875</v>
      </c>
      <c r="J793" s="17" t="n">
        <f aca="false">F793+G793-H793-I793</f>
        <v>68.5956250000002</v>
      </c>
      <c r="K793" s="17" t="n">
        <f aca="false">K792+J793</f>
        <v>89560.112</v>
      </c>
      <c r="L793" s="17" t="n">
        <f aca="false">MAX(L792,K793)</f>
        <v>92886.306</v>
      </c>
      <c r="M793" s="17" t="n">
        <f aca="false">L793-K793</f>
        <v>3326.19399999999</v>
      </c>
      <c r="N793" s="17" t="n">
        <f aca="false">MIN(Desain_Kolam!$B$21,MAX(0,N792+F793+G793-H793-I793))</f>
        <v>12497.372675</v>
      </c>
      <c r="O793" s="6" t="n">
        <f aca="false">IF(N792+F793+G793-I793&gt;=H793,1,0)</f>
        <v>1</v>
      </c>
    </row>
    <row r="794" customFormat="false" ht="15" hidden="false" customHeight="false" outlineLevel="0" collapsed="false">
      <c r="A794" s="6" t="n">
        <v>2019</v>
      </c>
      <c r="B794" s="6" t="n">
        <v>5</v>
      </c>
      <c r="C794" s="4" t="n">
        <v>118</v>
      </c>
      <c r="D794" s="6" t="n">
        <v>31</v>
      </c>
      <c r="E794" s="4" t="n">
        <f aca="false">INDEX(Evaporasi!$B$5:$B$16,MATCH(B794,Evaporasi!$A$5:$A$16,0))</f>
        <v>158.35</v>
      </c>
      <c r="F794" s="17" t="n">
        <f aca="false">Kawasan!$B$11*Kawasan!$B$9*C794/1000</f>
        <v>981.76</v>
      </c>
      <c r="G794" s="17" t="n">
        <f aca="false">C794*Desain_Kolam!$B$9/1000</f>
        <v>624.515</v>
      </c>
      <c r="H794" s="17" t="n">
        <f aca="false">Kawasan!$B$30*D794</f>
        <v>1190.4</v>
      </c>
      <c r="I794" s="17" t="n">
        <f aca="false">E794*Desain_Kolam!$B$9/1000</f>
        <v>838.067375</v>
      </c>
      <c r="J794" s="17" t="n">
        <f aca="false">F794+G794-H794-I794</f>
        <v>-422.192375</v>
      </c>
      <c r="K794" s="17" t="n">
        <f aca="false">K793+J794</f>
        <v>89137.919625</v>
      </c>
      <c r="L794" s="17" t="n">
        <f aca="false">MAX(L793,K794)</f>
        <v>92886.306</v>
      </c>
      <c r="M794" s="17" t="n">
        <f aca="false">L794-K794</f>
        <v>3748.38637499999</v>
      </c>
      <c r="N794" s="17" t="n">
        <f aca="false">MIN(Desain_Kolam!$B$21,MAX(0,N793+F794+G794-H794-I794))</f>
        <v>12075.1803</v>
      </c>
      <c r="O794" s="6" t="n">
        <f aca="false">IF(N793+F794+G794-I794&gt;=H794,1,0)</f>
        <v>1</v>
      </c>
    </row>
    <row r="795" customFormat="false" ht="15" hidden="false" customHeight="false" outlineLevel="0" collapsed="false">
      <c r="A795" s="6" t="n">
        <v>2019</v>
      </c>
      <c r="B795" s="6" t="n">
        <v>6</v>
      </c>
      <c r="C795" s="4" t="n">
        <v>125</v>
      </c>
      <c r="D795" s="6" t="n">
        <v>30</v>
      </c>
      <c r="E795" s="4" t="n">
        <f aca="false">INDEX(Evaporasi!$B$5:$B$16,MATCH(B795,Evaporasi!$A$5:$A$16,0))</f>
        <v>150.17</v>
      </c>
      <c r="F795" s="17" t="n">
        <f aca="false">Kawasan!$B$11*Kawasan!$B$9*C795/1000</f>
        <v>1040</v>
      </c>
      <c r="G795" s="17" t="n">
        <f aca="false">C795*Desain_Kolam!$B$9/1000</f>
        <v>661.5625</v>
      </c>
      <c r="H795" s="17" t="n">
        <f aca="false">Kawasan!$B$30*D795</f>
        <v>1152</v>
      </c>
      <c r="I795" s="17" t="n">
        <f aca="false">E795*Desain_Kolam!$B$9/1000</f>
        <v>794.774725</v>
      </c>
      <c r="J795" s="17" t="n">
        <f aca="false">F795+G795-H795-I795</f>
        <v>-245.212225</v>
      </c>
      <c r="K795" s="17" t="n">
        <f aca="false">K794+J795</f>
        <v>88892.7074</v>
      </c>
      <c r="L795" s="17" t="n">
        <f aca="false">MAX(L794,K795)</f>
        <v>92886.306</v>
      </c>
      <c r="M795" s="17" t="n">
        <f aca="false">L795-K795</f>
        <v>3993.59859999998</v>
      </c>
      <c r="N795" s="17" t="n">
        <f aca="false">MIN(Desain_Kolam!$B$21,MAX(0,N794+F795+G795-H795-I795))</f>
        <v>11829.968075</v>
      </c>
      <c r="O795" s="6" t="n">
        <f aca="false">IF(N794+F795+G795-I795&gt;=H795,1,0)</f>
        <v>1</v>
      </c>
    </row>
    <row r="796" customFormat="false" ht="15" hidden="false" customHeight="false" outlineLevel="0" collapsed="false">
      <c r="A796" s="6" t="n">
        <v>2019</v>
      </c>
      <c r="B796" s="6" t="n">
        <v>7</v>
      </c>
      <c r="C796" s="4" t="n">
        <v>53</v>
      </c>
      <c r="D796" s="6" t="n">
        <v>31</v>
      </c>
      <c r="E796" s="4" t="n">
        <f aca="false">INDEX(Evaporasi!$B$5:$B$16,MATCH(B796,Evaporasi!$A$5:$A$16,0))</f>
        <v>160.84</v>
      </c>
      <c r="F796" s="17" t="n">
        <f aca="false">Kawasan!$B$11*Kawasan!$B$9*C796/1000</f>
        <v>440.96</v>
      </c>
      <c r="G796" s="17" t="n">
        <f aca="false">C796*Desain_Kolam!$B$9/1000</f>
        <v>280.5025</v>
      </c>
      <c r="H796" s="17" t="n">
        <f aca="false">Kawasan!$B$30*D796</f>
        <v>1190.4</v>
      </c>
      <c r="I796" s="17" t="n">
        <f aca="false">E796*Desain_Kolam!$B$9/1000</f>
        <v>851.2457</v>
      </c>
      <c r="J796" s="17" t="n">
        <f aca="false">F796+G796-H796-I796</f>
        <v>-1320.1832</v>
      </c>
      <c r="K796" s="17" t="n">
        <f aca="false">K795+J796</f>
        <v>87572.5242</v>
      </c>
      <c r="L796" s="17" t="n">
        <f aca="false">MAX(L795,K796)</f>
        <v>92886.306</v>
      </c>
      <c r="M796" s="17" t="n">
        <f aca="false">L796-K796</f>
        <v>5313.78179999998</v>
      </c>
      <c r="N796" s="17" t="n">
        <f aca="false">MIN(Desain_Kolam!$B$21,MAX(0,N795+F796+G796-H796-I796))</f>
        <v>10509.784875</v>
      </c>
      <c r="O796" s="6" t="n">
        <f aca="false">IF(N795+F796+G796-I796&gt;=H796,1,0)</f>
        <v>1</v>
      </c>
    </row>
    <row r="797" customFormat="false" ht="15" hidden="false" customHeight="false" outlineLevel="0" collapsed="false">
      <c r="A797" s="6" t="n">
        <v>2019</v>
      </c>
      <c r="B797" s="6" t="n">
        <v>8</v>
      </c>
      <c r="C797" s="4" t="n">
        <v>76</v>
      </c>
      <c r="D797" s="6" t="n">
        <v>31</v>
      </c>
      <c r="E797" s="4" t="n">
        <f aca="false">INDEX(Evaporasi!$B$5:$B$16,MATCH(B797,Evaporasi!$A$5:$A$16,0))</f>
        <v>161.16</v>
      </c>
      <c r="F797" s="17" t="n">
        <f aca="false">Kawasan!$B$11*Kawasan!$B$9*C797/1000</f>
        <v>632.32</v>
      </c>
      <c r="G797" s="17" t="n">
        <f aca="false">C797*Desain_Kolam!$B$9/1000</f>
        <v>402.23</v>
      </c>
      <c r="H797" s="17" t="n">
        <f aca="false">Kawasan!$B$30*D797</f>
        <v>1190.4</v>
      </c>
      <c r="I797" s="17" t="n">
        <f aca="false">E797*Desain_Kolam!$B$9/1000</f>
        <v>852.9393</v>
      </c>
      <c r="J797" s="17" t="n">
        <f aca="false">F797+G797-H797-I797</f>
        <v>-1008.7893</v>
      </c>
      <c r="K797" s="17" t="n">
        <f aca="false">K796+J797</f>
        <v>86563.7349</v>
      </c>
      <c r="L797" s="17" t="n">
        <f aca="false">MAX(L796,K797)</f>
        <v>92886.306</v>
      </c>
      <c r="M797" s="17" t="n">
        <f aca="false">L797-K797</f>
        <v>6322.57109999999</v>
      </c>
      <c r="N797" s="17" t="n">
        <f aca="false">MIN(Desain_Kolam!$B$21,MAX(0,N796+F797+G797-H797-I797))</f>
        <v>9500.99557500002</v>
      </c>
      <c r="O797" s="6" t="n">
        <f aca="false">IF(N796+F797+G797-I797&gt;=H797,1,0)</f>
        <v>1</v>
      </c>
    </row>
    <row r="798" customFormat="false" ht="15" hidden="false" customHeight="false" outlineLevel="0" collapsed="false">
      <c r="A798" s="6" t="n">
        <v>2019</v>
      </c>
      <c r="B798" s="6" t="n">
        <v>9</v>
      </c>
      <c r="C798" s="4" t="n">
        <v>41</v>
      </c>
      <c r="D798" s="6" t="n">
        <v>30</v>
      </c>
      <c r="E798" s="4" t="n">
        <f aca="false">INDEX(Evaporasi!$B$5:$B$16,MATCH(B798,Evaporasi!$A$5:$A$16,0))</f>
        <v>159.21</v>
      </c>
      <c r="F798" s="17" t="n">
        <f aca="false">Kawasan!$B$11*Kawasan!$B$9*C798/1000</f>
        <v>341.12</v>
      </c>
      <c r="G798" s="17" t="n">
        <f aca="false">C798*Desain_Kolam!$B$9/1000</f>
        <v>216.9925</v>
      </c>
      <c r="H798" s="17" t="n">
        <f aca="false">Kawasan!$B$30*D798</f>
        <v>1152</v>
      </c>
      <c r="I798" s="17" t="n">
        <f aca="false">E798*Desain_Kolam!$B$9/1000</f>
        <v>842.618925</v>
      </c>
      <c r="J798" s="17" t="n">
        <f aca="false">F798+G798-H798-I798</f>
        <v>-1436.506425</v>
      </c>
      <c r="K798" s="17" t="n">
        <f aca="false">K797+J798</f>
        <v>85127.228475</v>
      </c>
      <c r="L798" s="17" t="n">
        <f aca="false">MAX(L797,K798)</f>
        <v>92886.306</v>
      </c>
      <c r="M798" s="17" t="n">
        <f aca="false">L798-K798</f>
        <v>7759.07752499999</v>
      </c>
      <c r="N798" s="17" t="n">
        <f aca="false">MIN(Desain_Kolam!$B$21,MAX(0,N797+F798+G798-H798-I798))</f>
        <v>8064.48915000002</v>
      </c>
      <c r="O798" s="6" t="n">
        <f aca="false">IF(N797+F798+G798-I798&gt;=H798,1,0)</f>
        <v>1</v>
      </c>
    </row>
    <row r="799" customFormat="false" ht="15" hidden="false" customHeight="false" outlineLevel="0" collapsed="false">
      <c r="A799" s="6" t="n">
        <v>2019</v>
      </c>
      <c r="B799" s="6" t="n">
        <v>10</v>
      </c>
      <c r="C799" s="4" t="n">
        <v>548</v>
      </c>
      <c r="D799" s="6" t="n">
        <v>31</v>
      </c>
      <c r="E799" s="4" t="n">
        <f aca="false">INDEX(Evaporasi!$B$5:$B$16,MATCH(B799,Evaporasi!$A$5:$A$16,0))</f>
        <v>151.5</v>
      </c>
      <c r="F799" s="17" t="n">
        <f aca="false">Kawasan!$B$11*Kawasan!$B$9*C799/1000</f>
        <v>4559.36</v>
      </c>
      <c r="G799" s="17" t="n">
        <f aca="false">C799*Desain_Kolam!$B$9/1000</f>
        <v>2900.29</v>
      </c>
      <c r="H799" s="17" t="n">
        <f aca="false">Kawasan!$B$30*D799</f>
        <v>1190.4</v>
      </c>
      <c r="I799" s="17" t="n">
        <f aca="false">E799*Desain_Kolam!$B$9/1000</f>
        <v>801.81375</v>
      </c>
      <c r="J799" s="17" t="n">
        <f aca="false">F799+G799-H799-I799</f>
        <v>5467.43625</v>
      </c>
      <c r="K799" s="17" t="n">
        <f aca="false">K798+J799</f>
        <v>90594.664725</v>
      </c>
      <c r="L799" s="17" t="n">
        <f aca="false">MAX(L798,K799)</f>
        <v>92886.306</v>
      </c>
      <c r="M799" s="17" t="n">
        <f aca="false">L799-K799</f>
        <v>2291.64127499999</v>
      </c>
      <c r="N799" s="17" t="n">
        <f aca="false">MIN(Desain_Kolam!$B$21,MAX(0,N798+F799+G799-H799-I799))</f>
        <v>13531.9254</v>
      </c>
      <c r="O799" s="6" t="n">
        <f aca="false">IF(N798+F799+G799-I799&gt;=H799,1,0)</f>
        <v>1</v>
      </c>
    </row>
    <row r="800" customFormat="false" ht="15" hidden="false" customHeight="false" outlineLevel="0" collapsed="false">
      <c r="A800" s="6" t="n">
        <v>2019</v>
      </c>
      <c r="B800" s="6" t="n">
        <v>11</v>
      </c>
      <c r="C800" s="4" t="n">
        <v>469</v>
      </c>
      <c r="D800" s="6" t="n">
        <v>30</v>
      </c>
      <c r="E800" s="4" t="n">
        <f aca="false">INDEX(Evaporasi!$B$5:$B$16,MATCH(B800,Evaporasi!$A$5:$A$16,0))</f>
        <v>142.3</v>
      </c>
      <c r="F800" s="17" t="n">
        <f aca="false">Kawasan!$B$11*Kawasan!$B$9*C800/1000</f>
        <v>3902.08</v>
      </c>
      <c r="G800" s="17" t="n">
        <f aca="false">C800*Desain_Kolam!$B$9/1000</f>
        <v>2482.1825</v>
      </c>
      <c r="H800" s="17" t="n">
        <f aca="false">Kawasan!$B$30*D800</f>
        <v>1152</v>
      </c>
      <c r="I800" s="17" t="n">
        <f aca="false">E800*Desain_Kolam!$B$9/1000</f>
        <v>753.12275</v>
      </c>
      <c r="J800" s="17" t="n">
        <f aca="false">F800+G800-H800-I800</f>
        <v>4479.13975</v>
      </c>
      <c r="K800" s="17" t="n">
        <f aca="false">K799+J800</f>
        <v>95073.804475</v>
      </c>
      <c r="L800" s="17" t="n">
        <f aca="false">MAX(L799,K800)</f>
        <v>95073.804475</v>
      </c>
      <c r="M800" s="17" t="n">
        <f aca="false">L800-K800</f>
        <v>0</v>
      </c>
      <c r="N800" s="17" t="n">
        <f aca="false">MIN(Desain_Kolam!$B$21,MAX(0,N799+F800+G800-H800-I800))</f>
        <v>15823.566675</v>
      </c>
      <c r="O800" s="6" t="n">
        <f aca="false">IF(N799+F800+G800-I800&gt;=H800,1,0)</f>
        <v>1</v>
      </c>
    </row>
    <row r="801" customFormat="false" ht="15" hidden="false" customHeight="false" outlineLevel="0" collapsed="false">
      <c r="A801" s="6" t="n">
        <v>2019</v>
      </c>
      <c r="B801" s="6" t="n">
        <v>12</v>
      </c>
      <c r="C801" s="4" t="n">
        <v>357</v>
      </c>
      <c r="D801" s="6" t="n">
        <v>31</v>
      </c>
      <c r="E801" s="4" t="n">
        <f aca="false">INDEX(Evaporasi!$B$5:$B$16,MATCH(B801,Evaporasi!$A$5:$A$16,0))</f>
        <v>145.07</v>
      </c>
      <c r="F801" s="17" t="n">
        <f aca="false">Kawasan!$B$11*Kawasan!$B$9*C801/1000</f>
        <v>2970.24</v>
      </c>
      <c r="G801" s="17" t="n">
        <f aca="false">C801*Desain_Kolam!$B$9/1000</f>
        <v>1889.4225</v>
      </c>
      <c r="H801" s="17" t="n">
        <f aca="false">Kawasan!$B$30*D801</f>
        <v>1190.4</v>
      </c>
      <c r="I801" s="17" t="n">
        <f aca="false">E801*Desain_Kolam!$B$9/1000</f>
        <v>767.782975</v>
      </c>
      <c r="J801" s="17" t="n">
        <f aca="false">F801+G801-H801-I801</f>
        <v>2901.479525</v>
      </c>
      <c r="K801" s="17" t="n">
        <f aca="false">K800+J801</f>
        <v>97975.284</v>
      </c>
      <c r="L801" s="17" t="n">
        <f aca="false">MAX(L800,K801)</f>
        <v>97975.284</v>
      </c>
      <c r="M801" s="17" t="n">
        <f aca="false">L801-K801</f>
        <v>0</v>
      </c>
      <c r="N801" s="17" t="n">
        <f aca="false">MIN(Desain_Kolam!$B$21,MAX(0,N800+F801+G801-H801-I801))</f>
        <v>15823.566675</v>
      </c>
      <c r="O801" s="6" t="n">
        <f aca="false">IF(N800+F801+G801-I801&gt;=H801,1,0)</f>
        <v>1</v>
      </c>
    </row>
    <row r="802" customFormat="false" ht="15" hidden="false" customHeight="false" outlineLevel="0" collapsed="false">
      <c r="A802" s="6" t="n">
        <v>2020</v>
      </c>
      <c r="B802" s="6" t="n">
        <v>1</v>
      </c>
      <c r="C802" s="4" t="n">
        <v>337</v>
      </c>
      <c r="D802" s="6" t="n">
        <v>31</v>
      </c>
      <c r="E802" s="4" t="n">
        <f aca="false">INDEX(Evaporasi!$B$5:$B$16,MATCH(B802,Evaporasi!$A$5:$A$16,0))</f>
        <v>149.98</v>
      </c>
      <c r="F802" s="17" t="n">
        <f aca="false">Kawasan!$B$11*Kawasan!$B$9*C802/1000</f>
        <v>2803.84</v>
      </c>
      <c r="G802" s="17" t="n">
        <f aca="false">C802*Desain_Kolam!$B$9/1000</f>
        <v>1783.5725</v>
      </c>
      <c r="H802" s="17" t="n">
        <f aca="false">Kawasan!$B$30*D802</f>
        <v>1190.4</v>
      </c>
      <c r="I802" s="17" t="n">
        <f aca="false">E802*Desain_Kolam!$B$9/1000</f>
        <v>793.76915</v>
      </c>
      <c r="J802" s="17" t="n">
        <f aca="false">F802+G802-H802-I802</f>
        <v>2603.24335</v>
      </c>
      <c r="K802" s="17" t="n">
        <f aca="false">K801+J802</f>
        <v>100578.52735</v>
      </c>
      <c r="L802" s="17" t="n">
        <f aca="false">MAX(L801,K802)</f>
        <v>100578.52735</v>
      </c>
      <c r="M802" s="17" t="n">
        <f aca="false">L802-K802</f>
        <v>0</v>
      </c>
      <c r="N802" s="17" t="n">
        <f aca="false">MIN(Desain_Kolam!$B$21,MAX(0,N801+F802+G802-H802-I802))</f>
        <v>15823.566675</v>
      </c>
      <c r="O802" s="6" t="n">
        <f aca="false">IF(N801+F802+G802-I802&gt;=H802,1,0)</f>
        <v>1</v>
      </c>
    </row>
    <row r="803" customFormat="false" ht="15" hidden="false" customHeight="false" outlineLevel="0" collapsed="false">
      <c r="A803" s="6" t="n">
        <v>2020</v>
      </c>
      <c r="B803" s="6" t="n">
        <v>2</v>
      </c>
      <c r="C803" s="4" t="n">
        <v>305</v>
      </c>
      <c r="D803" s="6" t="n">
        <v>29</v>
      </c>
      <c r="E803" s="4" t="n">
        <f aca="false">INDEX(Evaporasi!$B$5:$B$16,MATCH(B803,Evaporasi!$A$5:$A$16,0))</f>
        <v>148.64</v>
      </c>
      <c r="F803" s="17" t="n">
        <f aca="false">Kawasan!$B$11*Kawasan!$B$9*C803/1000</f>
        <v>2537.6</v>
      </c>
      <c r="G803" s="17" t="n">
        <f aca="false">C803*Desain_Kolam!$B$9/1000</f>
        <v>1614.2125</v>
      </c>
      <c r="H803" s="17" t="n">
        <f aca="false">Kawasan!$B$30*D803</f>
        <v>1113.6</v>
      </c>
      <c r="I803" s="17" t="n">
        <f aca="false">E803*Desain_Kolam!$B$9/1000</f>
        <v>786.6772</v>
      </c>
      <c r="J803" s="17" t="n">
        <f aca="false">F803+G803-H803-I803</f>
        <v>2251.5353</v>
      </c>
      <c r="K803" s="17" t="n">
        <f aca="false">K802+J803</f>
        <v>102830.06265</v>
      </c>
      <c r="L803" s="17" t="n">
        <f aca="false">MAX(L802,K803)</f>
        <v>102830.06265</v>
      </c>
      <c r="M803" s="17" t="n">
        <f aca="false">L803-K803</f>
        <v>0</v>
      </c>
      <c r="N803" s="17" t="n">
        <f aca="false">MIN(Desain_Kolam!$B$21,MAX(0,N802+F803+G803-H803-I803))</f>
        <v>15823.566675</v>
      </c>
      <c r="O803" s="6" t="n">
        <f aca="false">IF(N802+F803+G803-I803&gt;=H803,1,0)</f>
        <v>1</v>
      </c>
    </row>
    <row r="804" customFormat="false" ht="15" hidden="false" customHeight="false" outlineLevel="0" collapsed="false">
      <c r="A804" s="6" t="n">
        <v>2020</v>
      </c>
      <c r="B804" s="6" t="n">
        <v>3</v>
      </c>
      <c r="C804" s="4" t="n">
        <v>219</v>
      </c>
      <c r="D804" s="6" t="n">
        <v>31</v>
      </c>
      <c r="E804" s="4" t="n">
        <f aca="false">INDEX(Evaporasi!$B$5:$B$16,MATCH(B804,Evaporasi!$A$5:$A$16,0))</f>
        <v>166.18</v>
      </c>
      <c r="F804" s="17" t="n">
        <f aca="false">Kawasan!$B$11*Kawasan!$B$9*C804/1000</f>
        <v>1822.08</v>
      </c>
      <c r="G804" s="17" t="n">
        <f aca="false">C804*Desain_Kolam!$B$9/1000</f>
        <v>1159.0575</v>
      </c>
      <c r="H804" s="17" t="n">
        <f aca="false">Kawasan!$B$30*D804</f>
        <v>1190.4</v>
      </c>
      <c r="I804" s="17" t="n">
        <f aca="false">E804*Desain_Kolam!$B$9/1000</f>
        <v>879.50765</v>
      </c>
      <c r="J804" s="17" t="n">
        <f aca="false">F804+G804-H804-I804</f>
        <v>911.22985</v>
      </c>
      <c r="K804" s="17" t="n">
        <f aca="false">K803+J804</f>
        <v>103741.2925</v>
      </c>
      <c r="L804" s="17" t="n">
        <f aca="false">MAX(L803,K804)</f>
        <v>103741.2925</v>
      </c>
      <c r="M804" s="17" t="n">
        <f aca="false">L804-K804</f>
        <v>0</v>
      </c>
      <c r="N804" s="17" t="n">
        <f aca="false">MIN(Desain_Kolam!$B$21,MAX(0,N803+F804+G804-H804-I804))</f>
        <v>15823.566675</v>
      </c>
      <c r="O804" s="6" t="n">
        <f aca="false">IF(N803+F804+G804-I804&gt;=H804,1,0)</f>
        <v>1</v>
      </c>
    </row>
    <row r="805" customFormat="false" ht="15" hidden="false" customHeight="false" outlineLevel="0" collapsed="false">
      <c r="A805" s="6" t="n">
        <v>2020</v>
      </c>
      <c r="B805" s="6" t="n">
        <v>4</v>
      </c>
      <c r="C805" s="4" t="n">
        <v>358</v>
      </c>
      <c r="D805" s="6" t="n">
        <v>30</v>
      </c>
      <c r="E805" s="4" t="n">
        <f aca="false">INDEX(Evaporasi!$B$5:$B$16,MATCH(B805,Evaporasi!$A$5:$A$16,0))</f>
        <v>157.75</v>
      </c>
      <c r="F805" s="17" t="n">
        <f aca="false">Kawasan!$B$11*Kawasan!$B$9*C805/1000</f>
        <v>2978.56</v>
      </c>
      <c r="G805" s="17" t="n">
        <f aca="false">C805*Desain_Kolam!$B$9/1000</f>
        <v>1894.715</v>
      </c>
      <c r="H805" s="17" t="n">
        <f aca="false">Kawasan!$B$30*D805</f>
        <v>1152</v>
      </c>
      <c r="I805" s="17" t="n">
        <f aca="false">E805*Desain_Kolam!$B$9/1000</f>
        <v>834.891875</v>
      </c>
      <c r="J805" s="17" t="n">
        <f aca="false">F805+G805-H805-I805</f>
        <v>2886.383125</v>
      </c>
      <c r="K805" s="17" t="n">
        <f aca="false">K804+J805</f>
        <v>106627.675625</v>
      </c>
      <c r="L805" s="17" t="n">
        <f aca="false">MAX(L804,K805)</f>
        <v>106627.675625</v>
      </c>
      <c r="M805" s="17" t="n">
        <f aca="false">L805-K805</f>
        <v>0</v>
      </c>
      <c r="N805" s="17" t="n">
        <f aca="false">MIN(Desain_Kolam!$B$21,MAX(0,N804+F805+G805-H805-I805))</f>
        <v>15823.566675</v>
      </c>
      <c r="O805" s="6" t="n">
        <f aca="false">IF(N804+F805+G805-I805&gt;=H805,1,0)</f>
        <v>1</v>
      </c>
    </row>
    <row r="806" customFormat="false" ht="15" hidden="false" customHeight="false" outlineLevel="0" collapsed="false">
      <c r="A806" s="6" t="n">
        <v>2020</v>
      </c>
      <c r="B806" s="6" t="n">
        <v>5</v>
      </c>
      <c r="C806" s="4" t="n">
        <v>305</v>
      </c>
      <c r="D806" s="6" t="n">
        <v>31</v>
      </c>
      <c r="E806" s="4" t="n">
        <f aca="false">INDEX(Evaporasi!$B$5:$B$16,MATCH(B806,Evaporasi!$A$5:$A$16,0))</f>
        <v>158.35</v>
      </c>
      <c r="F806" s="17" t="n">
        <f aca="false">Kawasan!$B$11*Kawasan!$B$9*C806/1000</f>
        <v>2537.6</v>
      </c>
      <c r="G806" s="17" t="n">
        <f aca="false">C806*Desain_Kolam!$B$9/1000</f>
        <v>1614.2125</v>
      </c>
      <c r="H806" s="17" t="n">
        <f aca="false">Kawasan!$B$30*D806</f>
        <v>1190.4</v>
      </c>
      <c r="I806" s="17" t="n">
        <f aca="false">E806*Desain_Kolam!$B$9/1000</f>
        <v>838.067375</v>
      </c>
      <c r="J806" s="17" t="n">
        <f aca="false">F806+G806-H806-I806</f>
        <v>2123.345125</v>
      </c>
      <c r="K806" s="17" t="n">
        <f aca="false">K805+J806</f>
        <v>108751.02075</v>
      </c>
      <c r="L806" s="17" t="n">
        <f aca="false">MAX(L805,K806)</f>
        <v>108751.02075</v>
      </c>
      <c r="M806" s="17" t="n">
        <f aca="false">L806-K806</f>
        <v>0</v>
      </c>
      <c r="N806" s="17" t="n">
        <f aca="false">MIN(Desain_Kolam!$B$21,MAX(0,N805+F806+G806-H806-I806))</f>
        <v>15823.566675</v>
      </c>
      <c r="O806" s="6" t="n">
        <f aca="false">IF(N805+F806+G806-I806&gt;=H806,1,0)</f>
        <v>1</v>
      </c>
    </row>
    <row r="807" customFormat="false" ht="15" hidden="false" customHeight="false" outlineLevel="0" collapsed="false">
      <c r="A807" s="6" t="n">
        <v>2020</v>
      </c>
      <c r="B807" s="6" t="n">
        <v>6</v>
      </c>
      <c r="C807" s="4" t="n">
        <v>388</v>
      </c>
      <c r="D807" s="6" t="n">
        <v>30</v>
      </c>
      <c r="E807" s="4" t="n">
        <f aca="false">INDEX(Evaporasi!$B$5:$B$16,MATCH(B807,Evaporasi!$A$5:$A$16,0))</f>
        <v>150.17</v>
      </c>
      <c r="F807" s="17" t="n">
        <f aca="false">Kawasan!$B$11*Kawasan!$B$9*C807/1000</f>
        <v>3228.16</v>
      </c>
      <c r="G807" s="17" t="n">
        <f aca="false">C807*Desain_Kolam!$B$9/1000</f>
        <v>2053.49</v>
      </c>
      <c r="H807" s="17" t="n">
        <f aca="false">Kawasan!$B$30*D807</f>
        <v>1152</v>
      </c>
      <c r="I807" s="17" t="n">
        <f aca="false">E807*Desain_Kolam!$B$9/1000</f>
        <v>794.774725</v>
      </c>
      <c r="J807" s="17" t="n">
        <f aca="false">F807+G807-H807-I807</f>
        <v>3334.875275</v>
      </c>
      <c r="K807" s="17" t="n">
        <f aca="false">K806+J807</f>
        <v>112085.896025</v>
      </c>
      <c r="L807" s="17" t="n">
        <f aca="false">MAX(L806,K807)</f>
        <v>112085.896025</v>
      </c>
      <c r="M807" s="17" t="n">
        <f aca="false">L807-K807</f>
        <v>0</v>
      </c>
      <c r="N807" s="17" t="n">
        <f aca="false">MIN(Desain_Kolam!$B$21,MAX(0,N806+F807+G807-H807-I807))</f>
        <v>15823.566675</v>
      </c>
      <c r="O807" s="6" t="n">
        <f aca="false">IF(N806+F807+G807-I807&gt;=H807,1,0)</f>
        <v>1</v>
      </c>
    </row>
    <row r="808" customFormat="false" ht="15" hidden="false" customHeight="false" outlineLevel="0" collapsed="false">
      <c r="A808" s="6" t="n">
        <v>2020</v>
      </c>
      <c r="B808" s="6" t="n">
        <v>7</v>
      </c>
      <c r="C808" s="4" t="n">
        <v>507</v>
      </c>
      <c r="D808" s="6" t="n">
        <v>31</v>
      </c>
      <c r="E808" s="4" t="n">
        <f aca="false">INDEX(Evaporasi!$B$5:$B$16,MATCH(B808,Evaporasi!$A$5:$A$16,0))</f>
        <v>160.84</v>
      </c>
      <c r="F808" s="17" t="n">
        <f aca="false">Kawasan!$B$11*Kawasan!$B$9*C808/1000</f>
        <v>4218.24</v>
      </c>
      <c r="G808" s="17" t="n">
        <f aca="false">C808*Desain_Kolam!$B$9/1000</f>
        <v>2683.2975</v>
      </c>
      <c r="H808" s="17" t="n">
        <f aca="false">Kawasan!$B$30*D808</f>
        <v>1190.4</v>
      </c>
      <c r="I808" s="17" t="n">
        <f aca="false">E808*Desain_Kolam!$B$9/1000</f>
        <v>851.2457</v>
      </c>
      <c r="J808" s="17" t="n">
        <f aca="false">F808+G808-H808-I808</f>
        <v>4859.8918</v>
      </c>
      <c r="K808" s="17" t="n">
        <f aca="false">K807+J808</f>
        <v>116945.787825</v>
      </c>
      <c r="L808" s="17" t="n">
        <f aca="false">MAX(L807,K808)</f>
        <v>116945.787825</v>
      </c>
      <c r="M808" s="17" t="n">
        <f aca="false">L808-K808</f>
        <v>0</v>
      </c>
      <c r="N808" s="17" t="n">
        <f aca="false">MIN(Desain_Kolam!$B$21,MAX(0,N807+F808+G808-H808-I808))</f>
        <v>15823.566675</v>
      </c>
      <c r="O808" s="6" t="n">
        <f aca="false">IF(N807+F808+G808-I808&gt;=H808,1,0)</f>
        <v>1</v>
      </c>
    </row>
    <row r="809" customFormat="false" ht="15" hidden="false" customHeight="false" outlineLevel="0" collapsed="false">
      <c r="A809" s="6" t="n">
        <v>2020</v>
      </c>
      <c r="B809" s="6" t="n">
        <v>8</v>
      </c>
      <c r="C809" s="4" t="n">
        <v>212</v>
      </c>
      <c r="D809" s="6" t="n">
        <v>31</v>
      </c>
      <c r="E809" s="4" t="n">
        <f aca="false">INDEX(Evaporasi!$B$5:$B$16,MATCH(B809,Evaporasi!$A$5:$A$16,0))</f>
        <v>161.16</v>
      </c>
      <c r="F809" s="17" t="n">
        <f aca="false">Kawasan!$B$11*Kawasan!$B$9*C809/1000</f>
        <v>1763.84</v>
      </c>
      <c r="G809" s="17" t="n">
        <f aca="false">C809*Desain_Kolam!$B$9/1000</f>
        <v>1122.01</v>
      </c>
      <c r="H809" s="17" t="n">
        <f aca="false">Kawasan!$B$30*D809</f>
        <v>1190.4</v>
      </c>
      <c r="I809" s="17" t="n">
        <f aca="false">E809*Desain_Kolam!$B$9/1000</f>
        <v>852.9393</v>
      </c>
      <c r="J809" s="17" t="n">
        <f aca="false">F809+G809-H809-I809</f>
        <v>842.5107</v>
      </c>
      <c r="K809" s="17" t="n">
        <f aca="false">K808+J809</f>
        <v>117788.298525</v>
      </c>
      <c r="L809" s="17" t="n">
        <f aca="false">MAX(L808,K809)</f>
        <v>117788.298525</v>
      </c>
      <c r="M809" s="17" t="n">
        <f aca="false">L809-K809</f>
        <v>0</v>
      </c>
      <c r="N809" s="17" t="n">
        <f aca="false">MIN(Desain_Kolam!$B$21,MAX(0,N808+F809+G809-H809-I809))</f>
        <v>15823.566675</v>
      </c>
      <c r="O809" s="6" t="n">
        <f aca="false">IF(N808+F809+G809-I809&gt;=H809,1,0)</f>
        <v>1</v>
      </c>
    </row>
    <row r="810" customFormat="false" ht="15" hidden="false" customHeight="false" outlineLevel="0" collapsed="false">
      <c r="A810" s="6" t="n">
        <v>2020</v>
      </c>
      <c r="B810" s="6" t="n">
        <v>9</v>
      </c>
      <c r="C810" s="4" t="n">
        <v>460</v>
      </c>
      <c r="D810" s="6" t="n">
        <v>30</v>
      </c>
      <c r="E810" s="4" t="n">
        <f aca="false">INDEX(Evaporasi!$B$5:$B$16,MATCH(B810,Evaporasi!$A$5:$A$16,0))</f>
        <v>159.21</v>
      </c>
      <c r="F810" s="17" t="n">
        <f aca="false">Kawasan!$B$11*Kawasan!$B$9*C810/1000</f>
        <v>3827.2</v>
      </c>
      <c r="G810" s="17" t="n">
        <f aca="false">C810*Desain_Kolam!$B$9/1000</f>
        <v>2434.55</v>
      </c>
      <c r="H810" s="17" t="n">
        <f aca="false">Kawasan!$B$30*D810</f>
        <v>1152</v>
      </c>
      <c r="I810" s="17" t="n">
        <f aca="false">E810*Desain_Kolam!$B$9/1000</f>
        <v>842.618925</v>
      </c>
      <c r="J810" s="17" t="n">
        <f aca="false">F810+G810-H810-I810</f>
        <v>4267.131075</v>
      </c>
      <c r="K810" s="17" t="n">
        <f aca="false">K809+J810</f>
        <v>122055.4296</v>
      </c>
      <c r="L810" s="17" t="n">
        <f aca="false">MAX(L809,K810)</f>
        <v>122055.4296</v>
      </c>
      <c r="M810" s="17" t="n">
        <f aca="false">L810-K810</f>
        <v>0</v>
      </c>
      <c r="N810" s="17" t="n">
        <f aca="false">MIN(Desain_Kolam!$B$21,MAX(0,N809+F810+G810-H810-I810))</f>
        <v>15823.566675</v>
      </c>
      <c r="O810" s="6" t="n">
        <f aca="false">IF(N809+F810+G810-I810&gt;=H810,1,0)</f>
        <v>1</v>
      </c>
    </row>
    <row r="811" customFormat="false" ht="15" hidden="false" customHeight="false" outlineLevel="0" collapsed="false">
      <c r="A811" s="6" t="n">
        <v>2020</v>
      </c>
      <c r="B811" s="6" t="n">
        <v>10</v>
      </c>
      <c r="C811" s="4" t="n">
        <v>256</v>
      </c>
      <c r="D811" s="6" t="n">
        <v>31</v>
      </c>
      <c r="E811" s="4" t="n">
        <f aca="false">INDEX(Evaporasi!$B$5:$B$16,MATCH(B811,Evaporasi!$A$5:$A$16,0))</f>
        <v>151.5</v>
      </c>
      <c r="F811" s="17" t="n">
        <f aca="false">Kawasan!$B$11*Kawasan!$B$9*C811/1000</f>
        <v>2129.92</v>
      </c>
      <c r="G811" s="17" t="n">
        <f aca="false">C811*Desain_Kolam!$B$9/1000</f>
        <v>1354.88</v>
      </c>
      <c r="H811" s="17" t="n">
        <f aca="false">Kawasan!$B$30*D811</f>
        <v>1190.4</v>
      </c>
      <c r="I811" s="17" t="n">
        <f aca="false">E811*Desain_Kolam!$B$9/1000</f>
        <v>801.81375</v>
      </c>
      <c r="J811" s="17" t="n">
        <f aca="false">F811+G811-H811-I811</f>
        <v>1492.58625</v>
      </c>
      <c r="K811" s="17" t="n">
        <f aca="false">K810+J811</f>
        <v>123548.01585</v>
      </c>
      <c r="L811" s="17" t="n">
        <f aca="false">MAX(L810,K811)</f>
        <v>123548.01585</v>
      </c>
      <c r="M811" s="17" t="n">
        <f aca="false">L811-K811</f>
        <v>0</v>
      </c>
      <c r="N811" s="17" t="n">
        <f aca="false">MIN(Desain_Kolam!$B$21,MAX(0,N810+F811+G811-H811-I811))</f>
        <v>15823.566675</v>
      </c>
      <c r="O811" s="6" t="n">
        <f aca="false">IF(N810+F811+G811-I811&gt;=H811,1,0)</f>
        <v>1</v>
      </c>
    </row>
    <row r="812" customFormat="false" ht="15" hidden="false" customHeight="false" outlineLevel="0" collapsed="false">
      <c r="A812" s="6" t="n">
        <v>2020</v>
      </c>
      <c r="B812" s="6" t="n">
        <v>11</v>
      </c>
      <c r="C812" s="4" t="n">
        <v>568</v>
      </c>
      <c r="D812" s="6" t="n">
        <v>30</v>
      </c>
      <c r="E812" s="4" t="n">
        <f aca="false">INDEX(Evaporasi!$B$5:$B$16,MATCH(B812,Evaporasi!$A$5:$A$16,0))</f>
        <v>142.3</v>
      </c>
      <c r="F812" s="17" t="n">
        <f aca="false">Kawasan!$B$11*Kawasan!$B$9*C812/1000</f>
        <v>4725.76</v>
      </c>
      <c r="G812" s="17" t="n">
        <f aca="false">C812*Desain_Kolam!$B$9/1000</f>
        <v>3006.14</v>
      </c>
      <c r="H812" s="17" t="n">
        <f aca="false">Kawasan!$B$30*D812</f>
        <v>1152</v>
      </c>
      <c r="I812" s="17" t="n">
        <f aca="false">E812*Desain_Kolam!$B$9/1000</f>
        <v>753.12275</v>
      </c>
      <c r="J812" s="17" t="n">
        <f aca="false">F812+G812-H812-I812</f>
        <v>5826.77725</v>
      </c>
      <c r="K812" s="17" t="n">
        <f aca="false">K811+J812</f>
        <v>129374.7931</v>
      </c>
      <c r="L812" s="17" t="n">
        <f aca="false">MAX(L811,K812)</f>
        <v>129374.7931</v>
      </c>
      <c r="M812" s="17" t="n">
        <f aca="false">L812-K812</f>
        <v>0</v>
      </c>
      <c r="N812" s="17" t="n">
        <f aca="false">MIN(Desain_Kolam!$B$21,MAX(0,N811+F812+G812-H812-I812))</f>
        <v>15823.566675</v>
      </c>
      <c r="O812" s="6" t="n">
        <f aca="false">IF(N811+F812+G812-I812&gt;=H812,1,0)</f>
        <v>1</v>
      </c>
    </row>
    <row r="813" customFormat="false" ht="15" hidden="false" customHeight="false" outlineLevel="0" collapsed="false">
      <c r="A813" s="6" t="n">
        <v>2020</v>
      </c>
      <c r="B813" s="6" t="n">
        <v>12</v>
      </c>
      <c r="C813" s="4" t="n">
        <v>274</v>
      </c>
      <c r="D813" s="6" t="n">
        <v>31</v>
      </c>
      <c r="E813" s="4" t="n">
        <f aca="false">INDEX(Evaporasi!$B$5:$B$16,MATCH(B813,Evaporasi!$A$5:$A$16,0))</f>
        <v>145.07</v>
      </c>
      <c r="F813" s="17" t="n">
        <f aca="false">Kawasan!$B$11*Kawasan!$B$9*C813/1000</f>
        <v>2279.68</v>
      </c>
      <c r="G813" s="17" t="n">
        <f aca="false">C813*Desain_Kolam!$B$9/1000</f>
        <v>1450.145</v>
      </c>
      <c r="H813" s="17" t="n">
        <f aca="false">Kawasan!$B$30*D813</f>
        <v>1190.4</v>
      </c>
      <c r="I813" s="17" t="n">
        <f aca="false">E813*Desain_Kolam!$B$9/1000</f>
        <v>767.782975</v>
      </c>
      <c r="J813" s="17" t="n">
        <f aca="false">F813+G813-H813-I813</f>
        <v>1771.642025</v>
      </c>
      <c r="K813" s="17" t="n">
        <f aca="false">K812+J813</f>
        <v>131146.435125</v>
      </c>
      <c r="L813" s="17" t="n">
        <f aca="false">MAX(L812,K813)</f>
        <v>131146.435125</v>
      </c>
      <c r="M813" s="17" t="n">
        <f aca="false">L813-K813</f>
        <v>0</v>
      </c>
      <c r="N813" s="17" t="n">
        <f aca="false">MIN(Desain_Kolam!$B$21,MAX(0,N812+F813+G813-H813-I813))</f>
        <v>15823.566675</v>
      </c>
      <c r="O813" s="6" t="n">
        <f aca="false">IF(N812+F813+G813-I813&gt;=H813,1,0)</f>
        <v>1</v>
      </c>
    </row>
    <row r="814" customFormat="false" ht="15" hidden="false" customHeight="false" outlineLevel="0" collapsed="false">
      <c r="A814" s="6" t="n">
        <v>2021</v>
      </c>
      <c r="B814" s="6" t="n">
        <v>1</v>
      </c>
      <c r="C814" s="4" t="n">
        <v>310</v>
      </c>
      <c r="D814" s="6" t="n">
        <v>31</v>
      </c>
      <c r="E814" s="4" t="n">
        <f aca="false">INDEX(Evaporasi!$B$5:$B$16,MATCH(B814,Evaporasi!$A$5:$A$16,0))</f>
        <v>149.98</v>
      </c>
      <c r="F814" s="17" t="n">
        <f aca="false">Kawasan!$B$11*Kawasan!$B$9*C814/1000</f>
        <v>2579.2</v>
      </c>
      <c r="G814" s="17" t="n">
        <f aca="false">C814*Desain_Kolam!$B$9/1000</f>
        <v>1640.675</v>
      </c>
      <c r="H814" s="17" t="n">
        <f aca="false">Kawasan!$B$30*D814</f>
        <v>1190.4</v>
      </c>
      <c r="I814" s="17" t="n">
        <f aca="false">E814*Desain_Kolam!$B$9/1000</f>
        <v>793.76915</v>
      </c>
      <c r="J814" s="17" t="n">
        <f aca="false">F814+G814-H814-I814</f>
        <v>2235.70585</v>
      </c>
      <c r="K814" s="17" t="n">
        <f aca="false">K813+J814</f>
        <v>133382.140975</v>
      </c>
      <c r="L814" s="17" t="n">
        <f aca="false">MAX(L813,K814)</f>
        <v>133382.140975</v>
      </c>
      <c r="M814" s="17" t="n">
        <f aca="false">L814-K814</f>
        <v>0</v>
      </c>
      <c r="N814" s="17" t="n">
        <f aca="false">MIN(Desain_Kolam!$B$21,MAX(0,N813+F814+G814-H814-I814))</f>
        <v>15823.566675</v>
      </c>
      <c r="O814" s="6" t="n">
        <f aca="false">IF(N813+F814+G814-I814&gt;=H814,1,0)</f>
        <v>1</v>
      </c>
    </row>
    <row r="815" customFormat="false" ht="15" hidden="false" customHeight="false" outlineLevel="0" collapsed="false">
      <c r="A815" s="6" t="n">
        <v>2021</v>
      </c>
      <c r="B815" s="6" t="n">
        <v>2</v>
      </c>
      <c r="C815" s="4" t="n">
        <v>50</v>
      </c>
      <c r="D815" s="6" t="n">
        <v>28</v>
      </c>
      <c r="E815" s="4" t="n">
        <f aca="false">INDEX(Evaporasi!$B$5:$B$16,MATCH(B815,Evaporasi!$A$5:$A$16,0))</f>
        <v>148.64</v>
      </c>
      <c r="F815" s="17" t="n">
        <f aca="false">Kawasan!$B$11*Kawasan!$B$9*C815/1000</f>
        <v>416</v>
      </c>
      <c r="G815" s="17" t="n">
        <f aca="false">C815*Desain_Kolam!$B$9/1000</f>
        <v>264.625</v>
      </c>
      <c r="H815" s="17" t="n">
        <f aca="false">Kawasan!$B$30*D815</f>
        <v>1075.2</v>
      </c>
      <c r="I815" s="17" t="n">
        <f aca="false">E815*Desain_Kolam!$B$9/1000</f>
        <v>786.6772</v>
      </c>
      <c r="J815" s="17" t="n">
        <f aca="false">F815+G815-H815-I815</f>
        <v>-1181.2522</v>
      </c>
      <c r="K815" s="17" t="n">
        <f aca="false">K814+J815</f>
        <v>132200.888775</v>
      </c>
      <c r="L815" s="17" t="n">
        <f aca="false">MAX(L814,K815)</f>
        <v>133382.140975</v>
      </c>
      <c r="M815" s="17" t="n">
        <f aca="false">L815-K815</f>
        <v>1181.25219999999</v>
      </c>
      <c r="N815" s="17" t="n">
        <f aca="false">MIN(Desain_Kolam!$B$21,MAX(0,N814+F815+G815-H815-I815))</f>
        <v>14642.314475</v>
      </c>
      <c r="O815" s="6" t="n">
        <f aca="false">IF(N814+F815+G815-I815&gt;=H815,1,0)</f>
        <v>1</v>
      </c>
    </row>
    <row r="816" customFormat="false" ht="15" hidden="false" customHeight="false" outlineLevel="0" collapsed="false">
      <c r="A816" s="6" t="n">
        <v>2021</v>
      </c>
      <c r="B816" s="6" t="n">
        <v>3</v>
      </c>
      <c r="C816" s="4" t="n">
        <v>263</v>
      </c>
      <c r="D816" s="6" t="n">
        <v>31</v>
      </c>
      <c r="E816" s="4" t="n">
        <f aca="false">INDEX(Evaporasi!$B$5:$B$16,MATCH(B816,Evaporasi!$A$5:$A$16,0))</f>
        <v>166.18</v>
      </c>
      <c r="F816" s="17" t="n">
        <f aca="false">Kawasan!$B$11*Kawasan!$B$9*C816/1000</f>
        <v>2188.16</v>
      </c>
      <c r="G816" s="17" t="n">
        <f aca="false">C816*Desain_Kolam!$B$9/1000</f>
        <v>1391.9275</v>
      </c>
      <c r="H816" s="17" t="n">
        <f aca="false">Kawasan!$B$30*D816</f>
        <v>1190.4</v>
      </c>
      <c r="I816" s="17" t="n">
        <f aca="false">E816*Desain_Kolam!$B$9/1000</f>
        <v>879.50765</v>
      </c>
      <c r="J816" s="17" t="n">
        <f aca="false">F816+G816-H816-I816</f>
        <v>1510.17985</v>
      </c>
      <c r="K816" s="17" t="n">
        <f aca="false">K815+J816</f>
        <v>133711.068625</v>
      </c>
      <c r="L816" s="17" t="n">
        <f aca="false">MAX(L815,K816)</f>
        <v>133711.068625</v>
      </c>
      <c r="M816" s="17" t="n">
        <f aca="false">L816-K816</f>
        <v>0</v>
      </c>
      <c r="N816" s="17" t="n">
        <f aca="false">MIN(Desain_Kolam!$B$21,MAX(0,N815+F816+G816-H816-I816))</f>
        <v>15823.566675</v>
      </c>
      <c r="O816" s="6" t="n">
        <f aca="false">IF(N815+F816+G816-I816&gt;=H816,1,0)</f>
        <v>1</v>
      </c>
    </row>
    <row r="817" customFormat="false" ht="15" hidden="false" customHeight="false" outlineLevel="0" collapsed="false">
      <c r="A817" s="6" t="n">
        <v>2021</v>
      </c>
      <c r="B817" s="6" t="n">
        <v>4</v>
      </c>
      <c r="C817" s="4" t="n">
        <v>240</v>
      </c>
      <c r="D817" s="6" t="n">
        <v>30</v>
      </c>
      <c r="E817" s="4" t="n">
        <f aca="false">INDEX(Evaporasi!$B$5:$B$16,MATCH(B817,Evaporasi!$A$5:$A$16,0))</f>
        <v>157.75</v>
      </c>
      <c r="F817" s="17" t="n">
        <f aca="false">Kawasan!$B$11*Kawasan!$B$9*C817/1000</f>
        <v>1996.8</v>
      </c>
      <c r="G817" s="17" t="n">
        <f aca="false">C817*Desain_Kolam!$B$9/1000</f>
        <v>1270.2</v>
      </c>
      <c r="H817" s="17" t="n">
        <f aca="false">Kawasan!$B$30*D817</f>
        <v>1152</v>
      </c>
      <c r="I817" s="17" t="n">
        <f aca="false">E817*Desain_Kolam!$B$9/1000</f>
        <v>834.891875</v>
      </c>
      <c r="J817" s="17" t="n">
        <f aca="false">F817+G817-H817-I817</f>
        <v>1280.108125</v>
      </c>
      <c r="K817" s="17" t="n">
        <f aca="false">K816+J817</f>
        <v>134991.17675</v>
      </c>
      <c r="L817" s="17" t="n">
        <f aca="false">MAX(L816,K817)</f>
        <v>134991.17675</v>
      </c>
      <c r="M817" s="17" t="n">
        <f aca="false">L817-K817</f>
        <v>0</v>
      </c>
      <c r="N817" s="17" t="n">
        <f aca="false">MIN(Desain_Kolam!$B$21,MAX(0,N816+F817+G817-H817-I817))</f>
        <v>15823.566675</v>
      </c>
      <c r="O817" s="6" t="n">
        <f aca="false">IF(N816+F817+G817-I817&gt;=H817,1,0)</f>
        <v>1</v>
      </c>
    </row>
    <row r="818" customFormat="false" ht="15" hidden="false" customHeight="false" outlineLevel="0" collapsed="false">
      <c r="A818" s="6" t="n">
        <v>2021</v>
      </c>
      <c r="B818" s="6" t="n">
        <v>5</v>
      </c>
      <c r="C818" s="4" t="n">
        <v>465</v>
      </c>
      <c r="D818" s="6" t="n">
        <v>31</v>
      </c>
      <c r="E818" s="4" t="n">
        <f aca="false">INDEX(Evaporasi!$B$5:$B$16,MATCH(B818,Evaporasi!$A$5:$A$16,0))</f>
        <v>158.35</v>
      </c>
      <c r="F818" s="17" t="n">
        <f aca="false">Kawasan!$B$11*Kawasan!$B$9*C818/1000</f>
        <v>3868.8</v>
      </c>
      <c r="G818" s="17" t="n">
        <f aca="false">C818*Desain_Kolam!$B$9/1000</f>
        <v>2461.0125</v>
      </c>
      <c r="H818" s="17" t="n">
        <f aca="false">Kawasan!$B$30*D818</f>
        <v>1190.4</v>
      </c>
      <c r="I818" s="17" t="n">
        <f aca="false">E818*Desain_Kolam!$B$9/1000</f>
        <v>838.067375</v>
      </c>
      <c r="J818" s="17" t="n">
        <f aca="false">F818+G818-H818-I818</f>
        <v>4301.345125</v>
      </c>
      <c r="K818" s="17" t="n">
        <f aca="false">K817+J818</f>
        <v>139292.521875</v>
      </c>
      <c r="L818" s="17" t="n">
        <f aca="false">MAX(L817,K818)</f>
        <v>139292.521875</v>
      </c>
      <c r="M818" s="17" t="n">
        <f aca="false">L818-K818</f>
        <v>0</v>
      </c>
      <c r="N818" s="17" t="n">
        <f aca="false">MIN(Desain_Kolam!$B$21,MAX(0,N817+F818+G818-H818-I818))</f>
        <v>15823.566675</v>
      </c>
      <c r="O818" s="6" t="n">
        <f aca="false">IF(N817+F818+G818-I818&gt;=H818,1,0)</f>
        <v>1</v>
      </c>
    </row>
    <row r="819" customFormat="false" ht="15" hidden="false" customHeight="false" outlineLevel="0" collapsed="false">
      <c r="A819" s="6" t="n">
        <v>2021</v>
      </c>
      <c r="B819" s="6" t="n">
        <v>6</v>
      </c>
      <c r="C819" s="4" t="n">
        <v>390</v>
      </c>
      <c r="D819" s="6" t="n">
        <v>30</v>
      </c>
      <c r="E819" s="4" t="n">
        <f aca="false">INDEX(Evaporasi!$B$5:$B$16,MATCH(B819,Evaporasi!$A$5:$A$16,0))</f>
        <v>150.17</v>
      </c>
      <c r="F819" s="17" t="n">
        <f aca="false">Kawasan!$B$11*Kawasan!$B$9*C819/1000</f>
        <v>3244.8</v>
      </c>
      <c r="G819" s="17" t="n">
        <f aca="false">C819*Desain_Kolam!$B$9/1000</f>
        <v>2064.075</v>
      </c>
      <c r="H819" s="17" t="n">
        <f aca="false">Kawasan!$B$30*D819</f>
        <v>1152</v>
      </c>
      <c r="I819" s="17" t="n">
        <f aca="false">E819*Desain_Kolam!$B$9/1000</f>
        <v>794.774725</v>
      </c>
      <c r="J819" s="17" t="n">
        <f aca="false">F819+G819-H819-I819</f>
        <v>3362.100275</v>
      </c>
      <c r="K819" s="17" t="n">
        <f aca="false">K818+J819</f>
        <v>142654.62215</v>
      </c>
      <c r="L819" s="17" t="n">
        <f aca="false">MAX(L818,K819)</f>
        <v>142654.62215</v>
      </c>
      <c r="M819" s="17" t="n">
        <f aca="false">L819-K819</f>
        <v>0</v>
      </c>
      <c r="N819" s="17" t="n">
        <f aca="false">MIN(Desain_Kolam!$B$21,MAX(0,N818+F819+G819-H819-I819))</f>
        <v>15823.566675</v>
      </c>
      <c r="O819" s="6" t="n">
        <f aca="false">IF(N818+F819+G819-I819&gt;=H819,1,0)</f>
        <v>1</v>
      </c>
    </row>
    <row r="820" customFormat="false" ht="15" hidden="false" customHeight="false" outlineLevel="0" collapsed="false">
      <c r="A820" s="6" t="n">
        <v>2021</v>
      </c>
      <c r="B820" s="6" t="n">
        <v>7</v>
      </c>
      <c r="C820" s="4" t="n">
        <v>211</v>
      </c>
      <c r="D820" s="6" t="n">
        <v>31</v>
      </c>
      <c r="E820" s="4" t="n">
        <f aca="false">INDEX(Evaporasi!$B$5:$B$16,MATCH(B820,Evaporasi!$A$5:$A$16,0))</f>
        <v>160.84</v>
      </c>
      <c r="F820" s="17" t="n">
        <f aca="false">Kawasan!$B$11*Kawasan!$B$9*C820/1000</f>
        <v>1755.52</v>
      </c>
      <c r="G820" s="17" t="n">
        <f aca="false">C820*Desain_Kolam!$B$9/1000</f>
        <v>1116.7175</v>
      </c>
      <c r="H820" s="17" t="n">
        <f aca="false">Kawasan!$B$30*D820</f>
        <v>1190.4</v>
      </c>
      <c r="I820" s="17" t="n">
        <f aca="false">E820*Desain_Kolam!$B$9/1000</f>
        <v>851.2457</v>
      </c>
      <c r="J820" s="17" t="n">
        <f aca="false">F820+G820-H820-I820</f>
        <v>830.5918</v>
      </c>
      <c r="K820" s="17" t="n">
        <f aca="false">K819+J820</f>
        <v>143485.21395</v>
      </c>
      <c r="L820" s="17" t="n">
        <f aca="false">MAX(L819,K820)</f>
        <v>143485.21395</v>
      </c>
      <c r="M820" s="17" t="n">
        <f aca="false">L820-K820</f>
        <v>0</v>
      </c>
      <c r="N820" s="17" t="n">
        <f aca="false">MIN(Desain_Kolam!$B$21,MAX(0,N819+F820+G820-H820-I820))</f>
        <v>15823.566675</v>
      </c>
      <c r="O820" s="6" t="n">
        <f aca="false">IF(N819+F820+G820-I820&gt;=H820,1,0)</f>
        <v>1</v>
      </c>
    </row>
    <row r="821" customFormat="false" ht="15" hidden="false" customHeight="false" outlineLevel="0" collapsed="false">
      <c r="A821" s="6" t="n">
        <v>2021</v>
      </c>
      <c r="B821" s="6" t="n">
        <v>8</v>
      </c>
      <c r="C821" s="4" t="n">
        <v>587</v>
      </c>
      <c r="D821" s="6" t="n">
        <v>31</v>
      </c>
      <c r="E821" s="4" t="n">
        <f aca="false">INDEX(Evaporasi!$B$5:$B$16,MATCH(B821,Evaporasi!$A$5:$A$16,0))</f>
        <v>161.16</v>
      </c>
      <c r="F821" s="17" t="n">
        <f aca="false">Kawasan!$B$11*Kawasan!$B$9*C821/1000</f>
        <v>4883.84</v>
      </c>
      <c r="G821" s="17" t="n">
        <f aca="false">C821*Desain_Kolam!$B$9/1000</f>
        <v>3106.6975</v>
      </c>
      <c r="H821" s="17" t="n">
        <f aca="false">Kawasan!$B$30*D821</f>
        <v>1190.4</v>
      </c>
      <c r="I821" s="17" t="n">
        <f aca="false">E821*Desain_Kolam!$B$9/1000</f>
        <v>852.9393</v>
      </c>
      <c r="J821" s="17" t="n">
        <f aca="false">F821+G821-H821-I821</f>
        <v>5947.1982</v>
      </c>
      <c r="K821" s="17" t="n">
        <f aca="false">K820+J821</f>
        <v>149432.41215</v>
      </c>
      <c r="L821" s="17" t="n">
        <f aca="false">MAX(L820,K821)</f>
        <v>149432.41215</v>
      </c>
      <c r="M821" s="17" t="n">
        <f aca="false">L821-K821</f>
        <v>0</v>
      </c>
      <c r="N821" s="17" t="n">
        <f aca="false">MIN(Desain_Kolam!$B$21,MAX(0,N820+F821+G821-H821-I821))</f>
        <v>15823.566675</v>
      </c>
      <c r="O821" s="6" t="n">
        <f aca="false">IF(N820+F821+G821-I821&gt;=H821,1,0)</f>
        <v>1</v>
      </c>
    </row>
    <row r="822" customFormat="false" ht="15" hidden="false" customHeight="false" outlineLevel="0" collapsed="false">
      <c r="A822" s="6" t="n">
        <v>2021</v>
      </c>
      <c r="B822" s="6" t="n">
        <v>9</v>
      </c>
      <c r="C822" s="4" t="n">
        <v>524</v>
      </c>
      <c r="D822" s="6" t="n">
        <v>30</v>
      </c>
      <c r="E822" s="4" t="n">
        <f aca="false">INDEX(Evaporasi!$B$5:$B$16,MATCH(B822,Evaporasi!$A$5:$A$16,0))</f>
        <v>159.21</v>
      </c>
      <c r="F822" s="17" t="n">
        <f aca="false">Kawasan!$B$11*Kawasan!$B$9*C822/1000</f>
        <v>4359.68</v>
      </c>
      <c r="G822" s="17" t="n">
        <f aca="false">C822*Desain_Kolam!$B$9/1000</f>
        <v>2773.27</v>
      </c>
      <c r="H822" s="17" t="n">
        <f aca="false">Kawasan!$B$30*D822</f>
        <v>1152</v>
      </c>
      <c r="I822" s="17" t="n">
        <f aca="false">E822*Desain_Kolam!$B$9/1000</f>
        <v>842.618925</v>
      </c>
      <c r="J822" s="17" t="n">
        <f aca="false">F822+G822-H822-I822</f>
        <v>5138.331075</v>
      </c>
      <c r="K822" s="17" t="n">
        <f aca="false">K821+J822</f>
        <v>154570.743225</v>
      </c>
      <c r="L822" s="17" t="n">
        <f aca="false">MAX(L821,K822)</f>
        <v>154570.743225</v>
      </c>
      <c r="M822" s="17" t="n">
        <f aca="false">L822-K822</f>
        <v>0</v>
      </c>
      <c r="N822" s="17" t="n">
        <f aca="false">MIN(Desain_Kolam!$B$21,MAX(0,N821+F822+G822-H822-I822))</f>
        <v>15823.566675</v>
      </c>
      <c r="O822" s="6" t="n">
        <f aca="false">IF(N821+F822+G822-I822&gt;=H822,1,0)</f>
        <v>1</v>
      </c>
    </row>
    <row r="823" customFormat="false" ht="15" hidden="false" customHeight="false" outlineLevel="0" collapsed="false">
      <c r="A823" s="6" t="n">
        <v>2021</v>
      </c>
      <c r="B823" s="6" t="n">
        <v>10</v>
      </c>
      <c r="C823" s="4" t="n">
        <v>252</v>
      </c>
      <c r="D823" s="6" t="n">
        <v>31</v>
      </c>
      <c r="E823" s="4" t="n">
        <f aca="false">INDEX(Evaporasi!$B$5:$B$16,MATCH(B823,Evaporasi!$A$5:$A$16,0))</f>
        <v>151.5</v>
      </c>
      <c r="F823" s="17" t="n">
        <f aca="false">Kawasan!$B$11*Kawasan!$B$9*C823/1000</f>
        <v>2096.64</v>
      </c>
      <c r="G823" s="17" t="n">
        <f aca="false">C823*Desain_Kolam!$B$9/1000</f>
        <v>1333.71</v>
      </c>
      <c r="H823" s="17" t="n">
        <f aca="false">Kawasan!$B$30*D823</f>
        <v>1190.4</v>
      </c>
      <c r="I823" s="17" t="n">
        <f aca="false">E823*Desain_Kolam!$B$9/1000</f>
        <v>801.81375</v>
      </c>
      <c r="J823" s="17" t="n">
        <f aca="false">F823+G823-H823-I823</f>
        <v>1438.13625</v>
      </c>
      <c r="K823" s="17" t="n">
        <f aca="false">K822+J823</f>
        <v>156008.879475</v>
      </c>
      <c r="L823" s="17" t="n">
        <f aca="false">MAX(L822,K823)</f>
        <v>156008.879475</v>
      </c>
      <c r="M823" s="17" t="n">
        <f aca="false">L823-K823</f>
        <v>0</v>
      </c>
      <c r="N823" s="17" t="n">
        <f aca="false">MIN(Desain_Kolam!$B$21,MAX(0,N822+F823+G823-H823-I823))</f>
        <v>15823.566675</v>
      </c>
      <c r="O823" s="6" t="n">
        <f aca="false">IF(N822+F823+G823-I823&gt;=H823,1,0)</f>
        <v>1</v>
      </c>
    </row>
    <row r="824" customFormat="false" ht="15" hidden="false" customHeight="false" outlineLevel="0" collapsed="false">
      <c r="A824" s="6" t="n">
        <v>2021</v>
      </c>
      <c r="B824" s="6" t="n">
        <v>11</v>
      </c>
      <c r="C824" s="4" t="n">
        <v>252</v>
      </c>
      <c r="D824" s="6" t="n">
        <v>30</v>
      </c>
      <c r="E824" s="4" t="n">
        <f aca="false">INDEX(Evaporasi!$B$5:$B$16,MATCH(B824,Evaporasi!$A$5:$A$16,0))</f>
        <v>142.3</v>
      </c>
      <c r="F824" s="17" t="n">
        <f aca="false">Kawasan!$B$11*Kawasan!$B$9*C824/1000</f>
        <v>2096.64</v>
      </c>
      <c r="G824" s="17" t="n">
        <f aca="false">C824*Desain_Kolam!$B$9/1000</f>
        <v>1333.71</v>
      </c>
      <c r="H824" s="17" t="n">
        <f aca="false">Kawasan!$B$30*D824</f>
        <v>1152</v>
      </c>
      <c r="I824" s="17" t="n">
        <f aca="false">E824*Desain_Kolam!$B$9/1000</f>
        <v>753.12275</v>
      </c>
      <c r="J824" s="17" t="n">
        <f aca="false">F824+G824-H824-I824</f>
        <v>1525.22725</v>
      </c>
      <c r="K824" s="17" t="n">
        <f aca="false">K823+J824</f>
        <v>157534.106725</v>
      </c>
      <c r="L824" s="17" t="n">
        <f aca="false">MAX(L823,K824)</f>
        <v>157534.106725</v>
      </c>
      <c r="M824" s="17" t="n">
        <f aca="false">L824-K824</f>
        <v>0</v>
      </c>
      <c r="N824" s="17" t="n">
        <f aca="false">MIN(Desain_Kolam!$B$21,MAX(0,N823+F824+G824-H824-I824))</f>
        <v>15823.566675</v>
      </c>
      <c r="O824" s="6" t="n">
        <f aca="false">IF(N823+F824+G824-I824&gt;=H824,1,0)</f>
        <v>1</v>
      </c>
    </row>
    <row r="825" customFormat="false" ht="15" hidden="false" customHeight="false" outlineLevel="0" collapsed="false">
      <c r="A825" s="6" t="n">
        <v>2021</v>
      </c>
      <c r="B825" s="6" t="n">
        <v>12</v>
      </c>
      <c r="C825" s="4" t="n">
        <v>152</v>
      </c>
      <c r="D825" s="6" t="n">
        <v>31</v>
      </c>
      <c r="E825" s="4" t="n">
        <f aca="false">INDEX(Evaporasi!$B$5:$B$16,MATCH(B825,Evaporasi!$A$5:$A$16,0))</f>
        <v>145.07</v>
      </c>
      <c r="F825" s="17" t="n">
        <f aca="false">Kawasan!$B$11*Kawasan!$B$9*C825/1000</f>
        <v>1264.64</v>
      </c>
      <c r="G825" s="17" t="n">
        <f aca="false">C825*Desain_Kolam!$B$9/1000</f>
        <v>804.46</v>
      </c>
      <c r="H825" s="17" t="n">
        <f aca="false">Kawasan!$B$30*D825</f>
        <v>1190.4</v>
      </c>
      <c r="I825" s="17" t="n">
        <f aca="false">E825*Desain_Kolam!$B$9/1000</f>
        <v>767.782975</v>
      </c>
      <c r="J825" s="17" t="n">
        <f aca="false">F825+G825-H825-I825</f>
        <v>110.917025000001</v>
      </c>
      <c r="K825" s="17" t="n">
        <f aca="false">K824+J825</f>
        <v>157645.02375</v>
      </c>
      <c r="L825" s="17" t="n">
        <f aca="false">MAX(L824,K825)</f>
        <v>157645.02375</v>
      </c>
      <c r="M825" s="17" t="n">
        <f aca="false">L825-K825</f>
        <v>0</v>
      </c>
      <c r="N825" s="17" t="n">
        <f aca="false">MIN(Desain_Kolam!$B$21,MAX(0,N824+F825+G825-H825-I825))</f>
        <v>15823.566675</v>
      </c>
      <c r="O825" s="6" t="n">
        <f aca="false">IF(N824+F825+G825-I825&gt;=H825,1,0)</f>
        <v>1</v>
      </c>
    </row>
    <row r="826" customFormat="false" ht="15" hidden="false" customHeight="false" outlineLevel="0" collapsed="false">
      <c r="A826" s="6" t="n">
        <v>2022</v>
      </c>
      <c r="B826" s="6" t="n">
        <v>1</v>
      </c>
      <c r="C826" s="4" t="n">
        <v>145</v>
      </c>
      <c r="D826" s="6" t="n">
        <v>31</v>
      </c>
      <c r="E826" s="4" t="n">
        <f aca="false">INDEX(Evaporasi!$B$5:$B$16,MATCH(B826,Evaporasi!$A$5:$A$16,0))</f>
        <v>149.98</v>
      </c>
      <c r="F826" s="17" t="n">
        <f aca="false">Kawasan!$B$11*Kawasan!$B$9*C826/1000</f>
        <v>1206.4</v>
      </c>
      <c r="G826" s="17" t="n">
        <f aca="false">C826*Desain_Kolam!$B$9/1000</f>
        <v>767.4125</v>
      </c>
      <c r="H826" s="17" t="n">
        <f aca="false">Kawasan!$B$30*D826</f>
        <v>1190.4</v>
      </c>
      <c r="I826" s="17" t="n">
        <f aca="false">E826*Desain_Kolam!$B$9/1000</f>
        <v>793.76915</v>
      </c>
      <c r="J826" s="17" t="n">
        <f aca="false">F826+G826-H826-I826</f>
        <v>-10.3566499999997</v>
      </c>
      <c r="K826" s="17" t="n">
        <f aca="false">K825+J826</f>
        <v>157634.6671</v>
      </c>
      <c r="L826" s="17" t="n">
        <f aca="false">MAX(L825,K826)</f>
        <v>157645.02375</v>
      </c>
      <c r="M826" s="17" t="n">
        <f aca="false">L826-K826</f>
        <v>10.3566500000015</v>
      </c>
      <c r="N826" s="17" t="n">
        <f aca="false">MIN(Desain_Kolam!$B$21,MAX(0,N825+F826+G826-H826-I826))</f>
        <v>15813.210025</v>
      </c>
      <c r="O826" s="6" t="n">
        <f aca="false">IF(N825+F826+G826-I826&gt;=H826,1,0)</f>
        <v>1</v>
      </c>
    </row>
    <row r="827" customFormat="false" ht="15" hidden="false" customHeight="false" outlineLevel="0" collapsed="false">
      <c r="A827" s="6" t="n">
        <v>2022</v>
      </c>
      <c r="B827" s="6" t="n">
        <v>2</v>
      </c>
      <c r="C827" s="4" t="n">
        <v>106</v>
      </c>
      <c r="D827" s="6" t="n">
        <v>28</v>
      </c>
      <c r="E827" s="4" t="n">
        <f aca="false">INDEX(Evaporasi!$B$5:$B$16,MATCH(B827,Evaporasi!$A$5:$A$16,0))</f>
        <v>148.64</v>
      </c>
      <c r="F827" s="17" t="n">
        <f aca="false">Kawasan!$B$11*Kawasan!$B$9*C827/1000</f>
        <v>881.92</v>
      </c>
      <c r="G827" s="17" t="n">
        <f aca="false">C827*Desain_Kolam!$B$9/1000</f>
        <v>561.005</v>
      </c>
      <c r="H827" s="17" t="n">
        <f aca="false">Kawasan!$B$30*D827</f>
        <v>1075.2</v>
      </c>
      <c r="I827" s="17" t="n">
        <f aca="false">E827*Desain_Kolam!$B$9/1000</f>
        <v>786.6772</v>
      </c>
      <c r="J827" s="17" t="n">
        <f aca="false">F827+G827-H827-I827</f>
        <v>-418.9522</v>
      </c>
      <c r="K827" s="17" t="n">
        <f aca="false">K826+J827</f>
        <v>157215.7149</v>
      </c>
      <c r="L827" s="17" t="n">
        <f aca="false">MAX(L826,K827)</f>
        <v>157645.02375</v>
      </c>
      <c r="M827" s="17" t="n">
        <f aca="false">L827-K827</f>
        <v>429.308850000001</v>
      </c>
      <c r="N827" s="17" t="n">
        <f aca="false">MIN(Desain_Kolam!$B$21,MAX(0,N826+F827+G827-H827-I827))</f>
        <v>15394.257825</v>
      </c>
      <c r="O827" s="6" t="n">
        <f aca="false">IF(N826+F827+G827-I827&gt;=H827,1,0)</f>
        <v>1</v>
      </c>
    </row>
    <row r="828" customFormat="false" ht="15" hidden="false" customHeight="false" outlineLevel="0" collapsed="false">
      <c r="A828" s="6" t="n">
        <v>2022</v>
      </c>
      <c r="B828" s="6" t="n">
        <v>3</v>
      </c>
      <c r="C828" s="4" t="n">
        <v>104</v>
      </c>
      <c r="D828" s="6" t="n">
        <v>31</v>
      </c>
      <c r="E828" s="4" t="n">
        <f aca="false">INDEX(Evaporasi!$B$5:$B$16,MATCH(B828,Evaporasi!$A$5:$A$16,0))</f>
        <v>166.18</v>
      </c>
      <c r="F828" s="17" t="n">
        <f aca="false">Kawasan!$B$11*Kawasan!$B$9*C828/1000</f>
        <v>865.28</v>
      </c>
      <c r="G828" s="17" t="n">
        <f aca="false">C828*Desain_Kolam!$B$9/1000</f>
        <v>550.42</v>
      </c>
      <c r="H828" s="17" t="n">
        <f aca="false">Kawasan!$B$30*D828</f>
        <v>1190.4</v>
      </c>
      <c r="I828" s="17" t="n">
        <f aca="false">E828*Desain_Kolam!$B$9/1000</f>
        <v>879.50765</v>
      </c>
      <c r="J828" s="17" t="n">
        <f aca="false">F828+G828-H828-I828</f>
        <v>-654.20765</v>
      </c>
      <c r="K828" s="17" t="n">
        <f aca="false">K827+J828</f>
        <v>156561.50725</v>
      </c>
      <c r="L828" s="17" t="n">
        <f aca="false">MAX(L827,K828)</f>
        <v>157645.02375</v>
      </c>
      <c r="M828" s="17" t="n">
        <f aca="false">L828-K828</f>
        <v>1083.5165</v>
      </c>
      <c r="N828" s="17" t="n">
        <f aca="false">MIN(Desain_Kolam!$B$21,MAX(0,N827+F828+G828-H828-I828))</f>
        <v>14740.050175</v>
      </c>
      <c r="O828" s="6" t="n">
        <f aca="false">IF(N827+F828+G828-I828&gt;=H828,1,0)</f>
        <v>1</v>
      </c>
    </row>
    <row r="829" customFormat="false" ht="15" hidden="false" customHeight="false" outlineLevel="0" collapsed="false">
      <c r="A829" s="6" t="n">
        <v>2022</v>
      </c>
      <c r="B829" s="6" t="n">
        <v>4</v>
      </c>
      <c r="C829" s="4" t="n">
        <v>301</v>
      </c>
      <c r="D829" s="6" t="n">
        <v>30</v>
      </c>
      <c r="E829" s="4" t="n">
        <f aca="false">INDEX(Evaporasi!$B$5:$B$16,MATCH(B829,Evaporasi!$A$5:$A$16,0))</f>
        <v>157.75</v>
      </c>
      <c r="F829" s="17" t="n">
        <f aca="false">Kawasan!$B$11*Kawasan!$B$9*C829/1000</f>
        <v>2504.32</v>
      </c>
      <c r="G829" s="17" t="n">
        <f aca="false">C829*Desain_Kolam!$B$9/1000</f>
        <v>1593.0425</v>
      </c>
      <c r="H829" s="17" t="n">
        <f aca="false">Kawasan!$B$30*D829</f>
        <v>1152</v>
      </c>
      <c r="I829" s="17" t="n">
        <f aca="false">E829*Desain_Kolam!$B$9/1000</f>
        <v>834.891875</v>
      </c>
      <c r="J829" s="17" t="n">
        <f aca="false">F829+G829-H829-I829</f>
        <v>2110.470625</v>
      </c>
      <c r="K829" s="17" t="n">
        <f aca="false">K828+J829</f>
        <v>158671.977875</v>
      </c>
      <c r="L829" s="17" t="n">
        <f aca="false">MAX(L828,K829)</f>
        <v>158671.977875</v>
      </c>
      <c r="M829" s="17" t="n">
        <f aca="false">L829-K829</f>
        <v>0</v>
      </c>
      <c r="N829" s="17" t="n">
        <f aca="false">MIN(Desain_Kolam!$B$21,MAX(0,N828+F829+G829-H829-I829))</f>
        <v>15823.566675</v>
      </c>
      <c r="O829" s="6" t="n">
        <f aca="false">IF(N828+F829+G829-I829&gt;=H829,1,0)</f>
        <v>1</v>
      </c>
    </row>
    <row r="830" customFormat="false" ht="15" hidden="false" customHeight="false" outlineLevel="0" collapsed="false">
      <c r="A830" s="6" t="n">
        <v>2022</v>
      </c>
      <c r="B830" s="6" t="n">
        <v>5</v>
      </c>
      <c r="C830" s="4" t="n">
        <v>201</v>
      </c>
      <c r="D830" s="6" t="n">
        <v>31</v>
      </c>
      <c r="E830" s="4" t="n">
        <f aca="false">INDEX(Evaporasi!$B$5:$B$16,MATCH(B830,Evaporasi!$A$5:$A$16,0))</f>
        <v>158.35</v>
      </c>
      <c r="F830" s="17" t="n">
        <f aca="false">Kawasan!$B$11*Kawasan!$B$9*C830/1000</f>
        <v>1672.32</v>
      </c>
      <c r="G830" s="17" t="n">
        <f aca="false">C830*Desain_Kolam!$B$9/1000</f>
        <v>1063.7925</v>
      </c>
      <c r="H830" s="17" t="n">
        <f aca="false">Kawasan!$B$30*D830</f>
        <v>1190.4</v>
      </c>
      <c r="I830" s="17" t="n">
        <f aca="false">E830*Desain_Kolam!$B$9/1000</f>
        <v>838.067375</v>
      </c>
      <c r="J830" s="17" t="n">
        <f aca="false">F830+G830-H830-I830</f>
        <v>707.645125</v>
      </c>
      <c r="K830" s="17" t="n">
        <f aca="false">K829+J830</f>
        <v>159379.623</v>
      </c>
      <c r="L830" s="17" t="n">
        <f aca="false">MAX(L829,K830)</f>
        <v>159379.623</v>
      </c>
      <c r="M830" s="17" t="n">
        <f aca="false">L830-K830</f>
        <v>0</v>
      </c>
      <c r="N830" s="17" t="n">
        <f aca="false">MIN(Desain_Kolam!$B$21,MAX(0,N829+F830+G830-H830-I830))</f>
        <v>15823.566675</v>
      </c>
      <c r="O830" s="6" t="n">
        <f aca="false">IF(N829+F830+G830-I830&gt;=H830,1,0)</f>
        <v>1</v>
      </c>
    </row>
    <row r="831" customFormat="false" ht="15" hidden="false" customHeight="false" outlineLevel="0" collapsed="false">
      <c r="A831" s="6" t="n">
        <v>2022</v>
      </c>
      <c r="B831" s="6" t="n">
        <v>6</v>
      </c>
      <c r="C831" s="4" t="n">
        <v>293</v>
      </c>
      <c r="D831" s="6" t="n">
        <v>30</v>
      </c>
      <c r="E831" s="4" t="n">
        <f aca="false">INDEX(Evaporasi!$B$5:$B$16,MATCH(B831,Evaporasi!$A$5:$A$16,0))</f>
        <v>150.17</v>
      </c>
      <c r="F831" s="17" t="n">
        <f aca="false">Kawasan!$B$11*Kawasan!$B$9*C831/1000</f>
        <v>2437.76</v>
      </c>
      <c r="G831" s="17" t="n">
        <f aca="false">C831*Desain_Kolam!$B$9/1000</f>
        <v>1550.7025</v>
      </c>
      <c r="H831" s="17" t="n">
        <f aca="false">Kawasan!$B$30*D831</f>
        <v>1152</v>
      </c>
      <c r="I831" s="17" t="n">
        <f aca="false">E831*Desain_Kolam!$B$9/1000</f>
        <v>794.774725</v>
      </c>
      <c r="J831" s="17" t="n">
        <f aca="false">F831+G831-H831-I831</f>
        <v>2041.687775</v>
      </c>
      <c r="K831" s="17" t="n">
        <f aca="false">K830+J831</f>
        <v>161421.310775</v>
      </c>
      <c r="L831" s="17" t="n">
        <f aca="false">MAX(L830,K831)</f>
        <v>161421.310775</v>
      </c>
      <c r="M831" s="17" t="n">
        <f aca="false">L831-K831</f>
        <v>0</v>
      </c>
      <c r="N831" s="17" t="n">
        <f aca="false">MIN(Desain_Kolam!$B$21,MAX(0,N830+F831+G831-H831-I831))</f>
        <v>15823.566675</v>
      </c>
      <c r="O831" s="6" t="n">
        <f aca="false">IF(N830+F831+G831-I831&gt;=H831,1,0)</f>
        <v>1</v>
      </c>
    </row>
    <row r="832" customFormat="false" ht="15" hidden="false" customHeight="false" outlineLevel="0" collapsed="false">
      <c r="A832" s="6" t="n">
        <v>2022</v>
      </c>
      <c r="B832" s="6" t="n">
        <v>7</v>
      </c>
      <c r="C832" s="4" t="n">
        <v>272</v>
      </c>
      <c r="D832" s="6" t="n">
        <v>31</v>
      </c>
      <c r="E832" s="4" t="n">
        <f aca="false">INDEX(Evaporasi!$B$5:$B$16,MATCH(B832,Evaporasi!$A$5:$A$16,0))</f>
        <v>160.84</v>
      </c>
      <c r="F832" s="17" t="n">
        <f aca="false">Kawasan!$B$11*Kawasan!$B$9*C832/1000</f>
        <v>2263.04</v>
      </c>
      <c r="G832" s="17" t="n">
        <f aca="false">C832*Desain_Kolam!$B$9/1000</f>
        <v>1439.56</v>
      </c>
      <c r="H832" s="17" t="n">
        <f aca="false">Kawasan!$B$30*D832</f>
        <v>1190.4</v>
      </c>
      <c r="I832" s="17" t="n">
        <f aca="false">E832*Desain_Kolam!$B$9/1000</f>
        <v>851.2457</v>
      </c>
      <c r="J832" s="17" t="n">
        <f aca="false">F832+G832-H832-I832</f>
        <v>1660.9543</v>
      </c>
      <c r="K832" s="17" t="n">
        <f aca="false">K831+J832</f>
        <v>163082.265075</v>
      </c>
      <c r="L832" s="17" t="n">
        <f aca="false">MAX(L831,K832)</f>
        <v>163082.265075</v>
      </c>
      <c r="M832" s="17" t="n">
        <f aca="false">L832-K832</f>
        <v>0</v>
      </c>
      <c r="N832" s="17" t="n">
        <f aca="false">MIN(Desain_Kolam!$B$21,MAX(0,N831+F832+G832-H832-I832))</f>
        <v>15823.566675</v>
      </c>
      <c r="O832" s="6" t="n">
        <f aca="false">IF(N831+F832+G832-I832&gt;=H832,1,0)</f>
        <v>1</v>
      </c>
    </row>
    <row r="833" customFormat="false" ht="15" hidden="false" customHeight="false" outlineLevel="0" collapsed="false">
      <c r="A833" s="6" t="n">
        <v>2022</v>
      </c>
      <c r="B833" s="6" t="n">
        <v>8</v>
      </c>
      <c r="C833" s="4" t="n">
        <v>354</v>
      </c>
      <c r="D833" s="6" t="n">
        <v>31</v>
      </c>
      <c r="E833" s="4" t="n">
        <f aca="false">INDEX(Evaporasi!$B$5:$B$16,MATCH(B833,Evaporasi!$A$5:$A$16,0))</f>
        <v>161.16</v>
      </c>
      <c r="F833" s="17" t="n">
        <f aca="false">Kawasan!$B$11*Kawasan!$B$9*C833/1000</f>
        <v>2945.28</v>
      </c>
      <c r="G833" s="17" t="n">
        <f aca="false">C833*Desain_Kolam!$B$9/1000</f>
        <v>1873.545</v>
      </c>
      <c r="H833" s="17" t="n">
        <f aca="false">Kawasan!$B$30*D833</f>
        <v>1190.4</v>
      </c>
      <c r="I833" s="17" t="n">
        <f aca="false">E833*Desain_Kolam!$B$9/1000</f>
        <v>852.9393</v>
      </c>
      <c r="J833" s="17" t="n">
        <f aca="false">F833+G833-H833-I833</f>
        <v>2775.4857</v>
      </c>
      <c r="K833" s="17" t="n">
        <f aca="false">K832+J833</f>
        <v>165857.750775</v>
      </c>
      <c r="L833" s="17" t="n">
        <f aca="false">MAX(L832,K833)</f>
        <v>165857.750775</v>
      </c>
      <c r="M833" s="17" t="n">
        <f aca="false">L833-K833</f>
        <v>0</v>
      </c>
      <c r="N833" s="17" t="n">
        <f aca="false">MIN(Desain_Kolam!$B$21,MAX(0,N832+F833+G833-H833-I833))</f>
        <v>15823.566675</v>
      </c>
      <c r="O833" s="6" t="n">
        <f aca="false">IF(N832+F833+G833-I833&gt;=H833,1,0)</f>
        <v>1</v>
      </c>
    </row>
    <row r="834" customFormat="false" ht="15" hidden="false" customHeight="false" outlineLevel="0" collapsed="false">
      <c r="A834" s="6" t="n">
        <v>2022</v>
      </c>
      <c r="B834" s="6" t="n">
        <v>9</v>
      </c>
      <c r="C834" s="4" t="n">
        <v>275</v>
      </c>
      <c r="D834" s="6" t="n">
        <v>30</v>
      </c>
      <c r="E834" s="4" t="n">
        <f aca="false">INDEX(Evaporasi!$B$5:$B$16,MATCH(B834,Evaporasi!$A$5:$A$16,0))</f>
        <v>159.21</v>
      </c>
      <c r="F834" s="17" t="n">
        <f aca="false">Kawasan!$B$11*Kawasan!$B$9*C834/1000</f>
        <v>2288</v>
      </c>
      <c r="G834" s="17" t="n">
        <f aca="false">C834*Desain_Kolam!$B$9/1000</f>
        <v>1455.4375</v>
      </c>
      <c r="H834" s="17" t="n">
        <f aca="false">Kawasan!$B$30*D834</f>
        <v>1152</v>
      </c>
      <c r="I834" s="17" t="n">
        <f aca="false">E834*Desain_Kolam!$B$9/1000</f>
        <v>842.618925</v>
      </c>
      <c r="J834" s="17" t="n">
        <f aca="false">F834+G834-H834-I834</f>
        <v>1748.818575</v>
      </c>
      <c r="K834" s="17" t="n">
        <f aca="false">K833+J834</f>
        <v>167606.56935</v>
      </c>
      <c r="L834" s="17" t="n">
        <f aca="false">MAX(L833,K834)</f>
        <v>167606.56935</v>
      </c>
      <c r="M834" s="17" t="n">
        <f aca="false">L834-K834</f>
        <v>0</v>
      </c>
      <c r="N834" s="17" t="n">
        <f aca="false">MIN(Desain_Kolam!$B$21,MAX(0,N833+F834+G834-H834-I834))</f>
        <v>15823.566675</v>
      </c>
      <c r="O834" s="6" t="n">
        <f aca="false">IF(N833+F834+G834-I834&gt;=H834,1,0)</f>
        <v>1</v>
      </c>
    </row>
    <row r="835" customFormat="false" ht="15" hidden="false" customHeight="false" outlineLevel="0" collapsed="false">
      <c r="A835" s="6" t="n">
        <v>2022</v>
      </c>
      <c r="B835" s="6" t="n">
        <v>10</v>
      </c>
      <c r="C835" s="4" t="n">
        <v>423</v>
      </c>
      <c r="D835" s="6" t="n">
        <v>31</v>
      </c>
      <c r="E835" s="4" t="n">
        <f aca="false">INDEX(Evaporasi!$B$5:$B$16,MATCH(B835,Evaporasi!$A$5:$A$16,0))</f>
        <v>151.5</v>
      </c>
      <c r="F835" s="17" t="n">
        <f aca="false">Kawasan!$B$11*Kawasan!$B$9*C835/1000</f>
        <v>3519.36</v>
      </c>
      <c r="G835" s="17" t="n">
        <f aca="false">C835*Desain_Kolam!$B$9/1000</f>
        <v>2238.7275</v>
      </c>
      <c r="H835" s="17" t="n">
        <f aca="false">Kawasan!$B$30*D835</f>
        <v>1190.4</v>
      </c>
      <c r="I835" s="17" t="n">
        <f aca="false">E835*Desain_Kolam!$B$9/1000</f>
        <v>801.81375</v>
      </c>
      <c r="J835" s="17" t="n">
        <f aca="false">F835+G835-H835-I835</f>
        <v>3765.87375</v>
      </c>
      <c r="K835" s="17" t="n">
        <f aca="false">K834+J835</f>
        <v>171372.4431</v>
      </c>
      <c r="L835" s="17" t="n">
        <f aca="false">MAX(L834,K835)</f>
        <v>171372.4431</v>
      </c>
      <c r="M835" s="17" t="n">
        <f aca="false">L835-K835</f>
        <v>0</v>
      </c>
      <c r="N835" s="17" t="n">
        <f aca="false">MIN(Desain_Kolam!$B$21,MAX(0,N834+F835+G835-H835-I835))</f>
        <v>15823.566675</v>
      </c>
      <c r="O835" s="6" t="n">
        <f aca="false">IF(N834+F835+G835-I835&gt;=H835,1,0)</f>
        <v>1</v>
      </c>
    </row>
    <row r="836" customFormat="false" ht="15" hidden="false" customHeight="false" outlineLevel="0" collapsed="false">
      <c r="A836" s="6" t="n">
        <v>2022</v>
      </c>
      <c r="B836" s="6" t="n">
        <v>11</v>
      </c>
      <c r="C836" s="4" t="n">
        <v>237</v>
      </c>
      <c r="D836" s="6" t="n">
        <v>30</v>
      </c>
      <c r="E836" s="4" t="n">
        <f aca="false">INDEX(Evaporasi!$B$5:$B$16,MATCH(B836,Evaporasi!$A$5:$A$16,0))</f>
        <v>142.3</v>
      </c>
      <c r="F836" s="17" t="n">
        <f aca="false">Kawasan!$B$11*Kawasan!$B$9*C836/1000</f>
        <v>1971.84</v>
      </c>
      <c r="G836" s="17" t="n">
        <f aca="false">C836*Desain_Kolam!$B$9/1000</f>
        <v>1254.3225</v>
      </c>
      <c r="H836" s="17" t="n">
        <f aca="false">Kawasan!$B$30*D836</f>
        <v>1152</v>
      </c>
      <c r="I836" s="17" t="n">
        <f aca="false">E836*Desain_Kolam!$B$9/1000</f>
        <v>753.12275</v>
      </c>
      <c r="J836" s="17" t="n">
        <f aca="false">F836+G836-H836-I836</f>
        <v>1321.03975</v>
      </c>
      <c r="K836" s="17" t="n">
        <f aca="false">K835+J836</f>
        <v>172693.48285</v>
      </c>
      <c r="L836" s="17" t="n">
        <f aca="false">MAX(L835,K836)</f>
        <v>172693.48285</v>
      </c>
      <c r="M836" s="17" t="n">
        <f aca="false">L836-K836</f>
        <v>0</v>
      </c>
      <c r="N836" s="17" t="n">
        <f aca="false">MIN(Desain_Kolam!$B$21,MAX(0,N835+F836+G836-H836-I836))</f>
        <v>15823.566675</v>
      </c>
      <c r="O836" s="6" t="n">
        <f aca="false">IF(N835+F836+G836-I836&gt;=H836,1,0)</f>
        <v>1</v>
      </c>
    </row>
    <row r="837" customFormat="false" ht="15" hidden="false" customHeight="false" outlineLevel="0" collapsed="false">
      <c r="A837" s="6" t="n">
        <v>2022</v>
      </c>
      <c r="B837" s="6" t="n">
        <v>12</v>
      </c>
      <c r="C837" s="4" t="n">
        <v>215</v>
      </c>
      <c r="D837" s="6" t="n">
        <v>31</v>
      </c>
      <c r="E837" s="4" t="n">
        <f aca="false">INDEX(Evaporasi!$B$5:$B$16,MATCH(B837,Evaporasi!$A$5:$A$16,0))</f>
        <v>145.07</v>
      </c>
      <c r="F837" s="17" t="n">
        <f aca="false">Kawasan!$B$11*Kawasan!$B$9*C837/1000</f>
        <v>1788.8</v>
      </c>
      <c r="G837" s="17" t="n">
        <f aca="false">C837*Desain_Kolam!$B$9/1000</f>
        <v>1137.8875</v>
      </c>
      <c r="H837" s="17" t="n">
        <f aca="false">Kawasan!$B$30*D837</f>
        <v>1190.4</v>
      </c>
      <c r="I837" s="17" t="n">
        <f aca="false">E837*Desain_Kolam!$B$9/1000</f>
        <v>767.782975</v>
      </c>
      <c r="J837" s="17" t="n">
        <f aca="false">F837+G837-H837-I837</f>
        <v>968.504525</v>
      </c>
      <c r="K837" s="17" t="n">
        <f aca="false">K836+J837</f>
        <v>173661.987375</v>
      </c>
      <c r="L837" s="17" t="n">
        <f aca="false">MAX(L836,K837)</f>
        <v>173661.987375</v>
      </c>
      <c r="M837" s="17" t="n">
        <f aca="false">L837-K837</f>
        <v>0</v>
      </c>
      <c r="N837" s="17" t="n">
        <f aca="false">MIN(Desain_Kolam!$B$21,MAX(0,N836+F837+G837-H837-I837))</f>
        <v>15823.566675</v>
      </c>
      <c r="O837" s="6" t="n">
        <f aca="false">IF(N836+F837+G837-I837&gt;=H837,1,0)</f>
        <v>1</v>
      </c>
    </row>
    <row r="838" customFormat="false" ht="15" hidden="false" customHeight="false" outlineLevel="0" collapsed="false">
      <c r="A838" s="6" t="n">
        <v>2023</v>
      </c>
      <c r="B838" s="6" t="n">
        <v>1</v>
      </c>
      <c r="C838" s="4" t="n">
        <v>258</v>
      </c>
      <c r="D838" s="6" t="n">
        <v>31</v>
      </c>
      <c r="E838" s="4" t="n">
        <f aca="false">INDEX(Evaporasi!$B$5:$B$16,MATCH(B838,Evaporasi!$A$5:$A$16,0))</f>
        <v>149.98</v>
      </c>
      <c r="F838" s="17" t="n">
        <f aca="false">Kawasan!$B$11*Kawasan!$B$9*C838/1000</f>
        <v>2146.56</v>
      </c>
      <c r="G838" s="17" t="n">
        <f aca="false">C838*Desain_Kolam!$B$9/1000</f>
        <v>1365.465</v>
      </c>
      <c r="H838" s="17" t="n">
        <f aca="false">Kawasan!$B$30*D838</f>
        <v>1190.4</v>
      </c>
      <c r="I838" s="17" t="n">
        <f aca="false">E838*Desain_Kolam!$B$9/1000</f>
        <v>793.76915</v>
      </c>
      <c r="J838" s="17" t="n">
        <f aca="false">F838+G838-H838-I838</f>
        <v>1527.85585</v>
      </c>
      <c r="K838" s="17" t="n">
        <f aca="false">K837+J838</f>
        <v>175189.843225</v>
      </c>
      <c r="L838" s="17" t="n">
        <f aca="false">MAX(L837,K838)</f>
        <v>175189.843225</v>
      </c>
      <c r="M838" s="17" t="n">
        <f aca="false">L838-K838</f>
        <v>0</v>
      </c>
      <c r="N838" s="17" t="n">
        <f aca="false">MIN(Desain_Kolam!$B$21,MAX(0,N837+F838+G838-H838-I838))</f>
        <v>15823.566675</v>
      </c>
      <c r="O838" s="6" t="n">
        <f aca="false">IF(N837+F838+G838-I838&gt;=H838,1,0)</f>
        <v>1</v>
      </c>
    </row>
    <row r="839" customFormat="false" ht="15" hidden="false" customHeight="false" outlineLevel="0" collapsed="false">
      <c r="A839" s="6" t="n">
        <v>2023</v>
      </c>
      <c r="B839" s="6" t="n">
        <v>2</v>
      </c>
      <c r="C839" s="4" t="n">
        <v>185</v>
      </c>
      <c r="D839" s="6" t="n">
        <v>28</v>
      </c>
      <c r="E839" s="4" t="n">
        <f aca="false">INDEX(Evaporasi!$B$5:$B$16,MATCH(B839,Evaporasi!$A$5:$A$16,0))</f>
        <v>148.64</v>
      </c>
      <c r="F839" s="17" t="n">
        <f aca="false">Kawasan!$B$11*Kawasan!$B$9*C839/1000</f>
        <v>1539.2</v>
      </c>
      <c r="G839" s="17" t="n">
        <f aca="false">C839*Desain_Kolam!$B$9/1000</f>
        <v>979.1125</v>
      </c>
      <c r="H839" s="17" t="n">
        <f aca="false">Kawasan!$B$30*D839</f>
        <v>1075.2</v>
      </c>
      <c r="I839" s="17" t="n">
        <f aca="false">E839*Desain_Kolam!$B$9/1000</f>
        <v>786.6772</v>
      </c>
      <c r="J839" s="17" t="n">
        <f aca="false">F839+G839-H839-I839</f>
        <v>656.4353</v>
      </c>
      <c r="K839" s="17" t="n">
        <f aca="false">K838+J839</f>
        <v>175846.278525</v>
      </c>
      <c r="L839" s="17" t="n">
        <f aca="false">MAX(L838,K839)</f>
        <v>175846.278525</v>
      </c>
      <c r="M839" s="17" t="n">
        <f aca="false">L839-K839</f>
        <v>0</v>
      </c>
      <c r="N839" s="17" t="n">
        <f aca="false">MIN(Desain_Kolam!$B$21,MAX(0,N838+F839+G839-H839-I839))</f>
        <v>15823.566675</v>
      </c>
      <c r="O839" s="6" t="n">
        <f aca="false">IF(N838+F839+G839-I839&gt;=H839,1,0)</f>
        <v>1</v>
      </c>
    </row>
    <row r="840" customFormat="false" ht="15" hidden="false" customHeight="false" outlineLevel="0" collapsed="false">
      <c r="A840" s="6" t="n">
        <v>2023</v>
      </c>
      <c r="B840" s="6" t="n">
        <v>3</v>
      </c>
      <c r="C840" s="4" t="n">
        <v>309</v>
      </c>
      <c r="D840" s="6" t="n">
        <v>31</v>
      </c>
      <c r="E840" s="4" t="n">
        <f aca="false">INDEX(Evaporasi!$B$5:$B$16,MATCH(B840,Evaporasi!$A$5:$A$16,0))</f>
        <v>166.18</v>
      </c>
      <c r="F840" s="17" t="n">
        <f aca="false">Kawasan!$B$11*Kawasan!$B$9*C840/1000</f>
        <v>2570.88</v>
      </c>
      <c r="G840" s="17" t="n">
        <f aca="false">C840*Desain_Kolam!$B$9/1000</f>
        <v>1635.3825</v>
      </c>
      <c r="H840" s="17" t="n">
        <f aca="false">Kawasan!$B$30*D840</f>
        <v>1190.4</v>
      </c>
      <c r="I840" s="17" t="n">
        <f aca="false">E840*Desain_Kolam!$B$9/1000</f>
        <v>879.50765</v>
      </c>
      <c r="J840" s="17" t="n">
        <f aca="false">F840+G840-H840-I840</f>
        <v>2136.35485</v>
      </c>
      <c r="K840" s="17" t="n">
        <f aca="false">K839+J840</f>
        <v>177982.633375</v>
      </c>
      <c r="L840" s="17" t="n">
        <f aca="false">MAX(L839,K840)</f>
        <v>177982.633375</v>
      </c>
      <c r="M840" s="17" t="n">
        <f aca="false">L840-K840</f>
        <v>0</v>
      </c>
      <c r="N840" s="17" t="n">
        <f aca="false">MIN(Desain_Kolam!$B$21,MAX(0,N839+F840+G840-H840-I840))</f>
        <v>15823.566675</v>
      </c>
      <c r="O840" s="6" t="n">
        <f aca="false">IF(N839+F840+G840-I840&gt;=H840,1,0)</f>
        <v>1</v>
      </c>
    </row>
    <row r="841" customFormat="false" ht="15" hidden="false" customHeight="false" outlineLevel="0" collapsed="false">
      <c r="A841" s="6" t="n">
        <v>2023</v>
      </c>
      <c r="B841" s="6" t="n">
        <v>4</v>
      </c>
      <c r="C841" s="4" t="n">
        <v>189</v>
      </c>
      <c r="D841" s="6" t="n">
        <v>30</v>
      </c>
      <c r="E841" s="4" t="n">
        <f aca="false">INDEX(Evaporasi!$B$5:$B$16,MATCH(B841,Evaporasi!$A$5:$A$16,0))</f>
        <v>157.75</v>
      </c>
      <c r="F841" s="17" t="n">
        <f aca="false">Kawasan!$B$11*Kawasan!$B$9*C841/1000</f>
        <v>1572.48</v>
      </c>
      <c r="G841" s="17" t="n">
        <f aca="false">C841*Desain_Kolam!$B$9/1000</f>
        <v>1000.2825</v>
      </c>
      <c r="H841" s="17" t="n">
        <f aca="false">Kawasan!$B$30*D841</f>
        <v>1152</v>
      </c>
      <c r="I841" s="17" t="n">
        <f aca="false">E841*Desain_Kolam!$B$9/1000</f>
        <v>834.891875</v>
      </c>
      <c r="J841" s="17" t="n">
        <f aca="false">F841+G841-H841-I841</f>
        <v>585.870625</v>
      </c>
      <c r="K841" s="17" t="n">
        <f aca="false">K840+J841</f>
        <v>178568.504</v>
      </c>
      <c r="L841" s="17" t="n">
        <f aca="false">MAX(L840,K841)</f>
        <v>178568.504</v>
      </c>
      <c r="M841" s="17" t="n">
        <f aca="false">L841-K841</f>
        <v>0</v>
      </c>
      <c r="N841" s="17" t="n">
        <f aca="false">MIN(Desain_Kolam!$B$21,MAX(0,N840+F841+G841-H841-I841))</f>
        <v>15823.566675</v>
      </c>
      <c r="O841" s="6" t="n">
        <f aca="false">IF(N840+F841+G841-I841&gt;=H841,1,0)</f>
        <v>1</v>
      </c>
    </row>
    <row r="842" customFormat="false" ht="15" hidden="false" customHeight="false" outlineLevel="0" collapsed="false">
      <c r="A842" s="6" t="n">
        <v>2023</v>
      </c>
      <c r="B842" s="6" t="n">
        <v>5</v>
      </c>
      <c r="C842" s="4" t="n">
        <v>333</v>
      </c>
      <c r="D842" s="6" t="n">
        <v>31</v>
      </c>
      <c r="E842" s="4" t="n">
        <f aca="false">INDEX(Evaporasi!$B$5:$B$16,MATCH(B842,Evaporasi!$A$5:$A$16,0))</f>
        <v>158.35</v>
      </c>
      <c r="F842" s="17" t="n">
        <f aca="false">Kawasan!$B$11*Kawasan!$B$9*C842/1000</f>
        <v>2770.56</v>
      </c>
      <c r="G842" s="17" t="n">
        <f aca="false">C842*Desain_Kolam!$B$9/1000</f>
        <v>1762.4025</v>
      </c>
      <c r="H842" s="17" t="n">
        <f aca="false">Kawasan!$B$30*D842</f>
        <v>1190.4</v>
      </c>
      <c r="I842" s="17" t="n">
        <f aca="false">E842*Desain_Kolam!$B$9/1000</f>
        <v>838.067375</v>
      </c>
      <c r="J842" s="17" t="n">
        <f aca="false">F842+G842-H842-I842</f>
        <v>2504.495125</v>
      </c>
      <c r="K842" s="17" t="n">
        <f aca="false">K841+J842</f>
        <v>181072.999125</v>
      </c>
      <c r="L842" s="17" t="n">
        <f aca="false">MAX(L841,K842)</f>
        <v>181072.999125</v>
      </c>
      <c r="M842" s="17" t="n">
        <f aca="false">L842-K842</f>
        <v>0</v>
      </c>
      <c r="N842" s="17" t="n">
        <f aca="false">MIN(Desain_Kolam!$B$21,MAX(0,N841+F842+G842-H842-I842))</f>
        <v>15823.566675</v>
      </c>
      <c r="O842" s="6" t="n">
        <f aca="false">IF(N841+F842+G842-I842&gt;=H842,1,0)</f>
        <v>1</v>
      </c>
    </row>
    <row r="843" customFormat="false" ht="15" hidden="false" customHeight="false" outlineLevel="0" collapsed="false">
      <c r="A843" s="6" t="n">
        <v>2023</v>
      </c>
      <c r="B843" s="6" t="n">
        <v>6</v>
      </c>
      <c r="C843" s="4" t="n">
        <v>263</v>
      </c>
      <c r="D843" s="6" t="n">
        <v>30</v>
      </c>
      <c r="E843" s="4" t="n">
        <f aca="false">INDEX(Evaporasi!$B$5:$B$16,MATCH(B843,Evaporasi!$A$5:$A$16,0))</f>
        <v>150.17</v>
      </c>
      <c r="F843" s="17" t="n">
        <f aca="false">Kawasan!$B$11*Kawasan!$B$9*C843/1000</f>
        <v>2188.16</v>
      </c>
      <c r="G843" s="17" t="n">
        <f aca="false">C843*Desain_Kolam!$B$9/1000</f>
        <v>1391.9275</v>
      </c>
      <c r="H843" s="17" t="n">
        <f aca="false">Kawasan!$B$30*D843</f>
        <v>1152</v>
      </c>
      <c r="I843" s="17" t="n">
        <f aca="false">E843*Desain_Kolam!$B$9/1000</f>
        <v>794.774725</v>
      </c>
      <c r="J843" s="17" t="n">
        <f aca="false">F843+G843-H843-I843</f>
        <v>1633.312775</v>
      </c>
      <c r="K843" s="17" t="n">
        <f aca="false">K842+J843</f>
        <v>182706.3119</v>
      </c>
      <c r="L843" s="17" t="n">
        <f aca="false">MAX(L842,K843)</f>
        <v>182706.3119</v>
      </c>
      <c r="M843" s="17" t="n">
        <f aca="false">L843-K843</f>
        <v>0</v>
      </c>
      <c r="N843" s="17" t="n">
        <f aca="false">MIN(Desain_Kolam!$B$21,MAX(0,N842+F843+G843-H843-I843))</f>
        <v>15823.566675</v>
      </c>
      <c r="O843" s="6" t="n">
        <f aca="false">IF(N842+F843+G843-I843&gt;=H843,1,0)</f>
        <v>1</v>
      </c>
    </row>
    <row r="844" customFormat="false" ht="15" hidden="false" customHeight="false" outlineLevel="0" collapsed="false">
      <c r="A844" s="6" t="n">
        <v>2023</v>
      </c>
      <c r="B844" s="6" t="n">
        <v>7</v>
      </c>
      <c r="C844" s="4" t="n">
        <v>405</v>
      </c>
      <c r="D844" s="6" t="n">
        <v>31</v>
      </c>
      <c r="E844" s="4" t="n">
        <f aca="false">INDEX(Evaporasi!$B$5:$B$16,MATCH(B844,Evaporasi!$A$5:$A$16,0))</f>
        <v>160.84</v>
      </c>
      <c r="F844" s="17" t="n">
        <f aca="false">Kawasan!$B$11*Kawasan!$B$9*C844/1000</f>
        <v>3369.6</v>
      </c>
      <c r="G844" s="17" t="n">
        <f aca="false">C844*Desain_Kolam!$B$9/1000</f>
        <v>2143.4625</v>
      </c>
      <c r="H844" s="17" t="n">
        <f aca="false">Kawasan!$B$30*D844</f>
        <v>1190.4</v>
      </c>
      <c r="I844" s="17" t="n">
        <f aca="false">E844*Desain_Kolam!$B$9/1000</f>
        <v>851.2457</v>
      </c>
      <c r="J844" s="17" t="n">
        <f aca="false">F844+G844-H844-I844</f>
        <v>3471.4168</v>
      </c>
      <c r="K844" s="17" t="n">
        <f aca="false">K843+J844</f>
        <v>186177.7287</v>
      </c>
      <c r="L844" s="17" t="n">
        <f aca="false">MAX(L843,K844)</f>
        <v>186177.7287</v>
      </c>
      <c r="M844" s="17" t="n">
        <f aca="false">L844-K844</f>
        <v>0</v>
      </c>
      <c r="N844" s="17" t="n">
        <f aca="false">MIN(Desain_Kolam!$B$21,MAX(0,N843+F844+G844-H844-I844))</f>
        <v>15823.566675</v>
      </c>
      <c r="O844" s="6" t="n">
        <f aca="false">IF(N843+F844+G844-I844&gt;=H844,1,0)</f>
        <v>1</v>
      </c>
    </row>
    <row r="845" customFormat="false" ht="15" hidden="false" customHeight="false" outlineLevel="0" collapsed="false">
      <c r="A845" s="6" t="n">
        <v>2023</v>
      </c>
      <c r="B845" s="6" t="n">
        <v>8</v>
      </c>
      <c r="C845" s="4" t="n">
        <v>164</v>
      </c>
      <c r="D845" s="6" t="n">
        <v>31</v>
      </c>
      <c r="E845" s="4" t="n">
        <f aca="false">INDEX(Evaporasi!$B$5:$B$16,MATCH(B845,Evaporasi!$A$5:$A$16,0))</f>
        <v>161.16</v>
      </c>
      <c r="F845" s="17" t="n">
        <f aca="false">Kawasan!$B$11*Kawasan!$B$9*C845/1000</f>
        <v>1364.48</v>
      </c>
      <c r="G845" s="17" t="n">
        <f aca="false">C845*Desain_Kolam!$B$9/1000</f>
        <v>867.97</v>
      </c>
      <c r="H845" s="17" t="n">
        <f aca="false">Kawasan!$B$30*D845</f>
        <v>1190.4</v>
      </c>
      <c r="I845" s="17" t="n">
        <f aca="false">E845*Desain_Kolam!$B$9/1000</f>
        <v>852.9393</v>
      </c>
      <c r="J845" s="17" t="n">
        <f aca="false">F845+G845-H845-I845</f>
        <v>189.1107</v>
      </c>
      <c r="K845" s="17" t="n">
        <f aca="false">K844+J845</f>
        <v>186366.8394</v>
      </c>
      <c r="L845" s="17" t="n">
        <f aca="false">MAX(L844,K845)</f>
        <v>186366.8394</v>
      </c>
      <c r="M845" s="17" t="n">
        <f aca="false">L845-K845</f>
        <v>0</v>
      </c>
      <c r="N845" s="17" t="n">
        <f aca="false">MIN(Desain_Kolam!$B$21,MAX(0,N844+F845+G845-H845-I845))</f>
        <v>15823.566675</v>
      </c>
      <c r="O845" s="6" t="n">
        <f aca="false">IF(N844+F845+G845-I845&gt;=H845,1,0)</f>
        <v>1</v>
      </c>
    </row>
    <row r="846" customFormat="false" ht="15" hidden="false" customHeight="false" outlineLevel="0" collapsed="false">
      <c r="A846" s="6" t="n">
        <v>2023</v>
      </c>
      <c r="B846" s="6" t="n">
        <v>9</v>
      </c>
      <c r="C846" s="4" t="n">
        <v>218</v>
      </c>
      <c r="D846" s="6" t="n">
        <v>30</v>
      </c>
      <c r="E846" s="4" t="n">
        <f aca="false">INDEX(Evaporasi!$B$5:$B$16,MATCH(B846,Evaporasi!$A$5:$A$16,0))</f>
        <v>159.21</v>
      </c>
      <c r="F846" s="17" t="n">
        <f aca="false">Kawasan!$B$11*Kawasan!$B$9*C846/1000</f>
        <v>1813.76</v>
      </c>
      <c r="G846" s="17" t="n">
        <f aca="false">C846*Desain_Kolam!$B$9/1000</f>
        <v>1153.765</v>
      </c>
      <c r="H846" s="17" t="n">
        <f aca="false">Kawasan!$B$30*D846</f>
        <v>1152</v>
      </c>
      <c r="I846" s="17" t="n">
        <f aca="false">E846*Desain_Kolam!$B$9/1000</f>
        <v>842.618925</v>
      </c>
      <c r="J846" s="17" t="n">
        <f aca="false">F846+G846-H846-I846</f>
        <v>972.906075</v>
      </c>
      <c r="K846" s="17" t="n">
        <f aca="false">K845+J846</f>
        <v>187339.745475</v>
      </c>
      <c r="L846" s="17" t="n">
        <f aca="false">MAX(L845,K846)</f>
        <v>187339.745475</v>
      </c>
      <c r="M846" s="17" t="n">
        <f aca="false">L846-K846</f>
        <v>0</v>
      </c>
      <c r="N846" s="17" t="n">
        <f aca="false">MIN(Desain_Kolam!$B$21,MAX(0,N845+F846+G846-H846-I846))</f>
        <v>15823.566675</v>
      </c>
      <c r="O846" s="6" t="n">
        <f aca="false">IF(N845+F846+G846-I846&gt;=H846,1,0)</f>
        <v>1</v>
      </c>
    </row>
    <row r="847" customFormat="false" ht="15" hidden="false" customHeight="false" outlineLevel="0" collapsed="false">
      <c r="A847" s="6" t="n">
        <v>2023</v>
      </c>
      <c r="B847" s="6" t="n">
        <v>10</v>
      </c>
      <c r="C847" s="4" t="n">
        <v>250</v>
      </c>
      <c r="D847" s="6" t="n">
        <v>31</v>
      </c>
      <c r="E847" s="4" t="n">
        <f aca="false">INDEX(Evaporasi!$B$5:$B$16,MATCH(B847,Evaporasi!$A$5:$A$16,0))</f>
        <v>151.5</v>
      </c>
      <c r="F847" s="17" t="n">
        <f aca="false">Kawasan!$B$11*Kawasan!$B$9*C847/1000</f>
        <v>2080</v>
      </c>
      <c r="G847" s="17" t="n">
        <f aca="false">C847*Desain_Kolam!$B$9/1000</f>
        <v>1323.125</v>
      </c>
      <c r="H847" s="17" t="n">
        <f aca="false">Kawasan!$B$30*D847</f>
        <v>1190.4</v>
      </c>
      <c r="I847" s="17" t="n">
        <f aca="false">E847*Desain_Kolam!$B$9/1000</f>
        <v>801.81375</v>
      </c>
      <c r="J847" s="17" t="n">
        <f aca="false">F847+G847-H847-I847</f>
        <v>1410.91125</v>
      </c>
      <c r="K847" s="17" t="n">
        <f aca="false">K846+J847</f>
        <v>188750.656725</v>
      </c>
      <c r="L847" s="17" t="n">
        <f aca="false">MAX(L846,K847)</f>
        <v>188750.656725</v>
      </c>
      <c r="M847" s="17" t="n">
        <f aca="false">L847-K847</f>
        <v>0</v>
      </c>
      <c r="N847" s="17" t="n">
        <f aca="false">MIN(Desain_Kolam!$B$21,MAX(0,N846+F847+G847-H847-I847))</f>
        <v>15823.566675</v>
      </c>
      <c r="O847" s="6" t="n">
        <f aca="false">IF(N846+F847+G847-I847&gt;=H847,1,0)</f>
        <v>1</v>
      </c>
    </row>
    <row r="848" customFormat="false" ht="15" hidden="false" customHeight="false" outlineLevel="0" collapsed="false">
      <c r="A848" s="6" t="n">
        <v>2023</v>
      </c>
      <c r="B848" s="6" t="n">
        <v>11</v>
      </c>
      <c r="C848" s="4" t="n">
        <v>265</v>
      </c>
      <c r="D848" s="6" t="n">
        <v>30</v>
      </c>
      <c r="E848" s="4" t="n">
        <f aca="false">INDEX(Evaporasi!$B$5:$B$16,MATCH(B848,Evaporasi!$A$5:$A$16,0))</f>
        <v>142.3</v>
      </c>
      <c r="F848" s="17" t="n">
        <f aca="false">Kawasan!$B$11*Kawasan!$B$9*C848/1000</f>
        <v>2204.8</v>
      </c>
      <c r="G848" s="17" t="n">
        <f aca="false">C848*Desain_Kolam!$B$9/1000</f>
        <v>1402.5125</v>
      </c>
      <c r="H848" s="17" t="n">
        <f aca="false">Kawasan!$B$30*D848</f>
        <v>1152</v>
      </c>
      <c r="I848" s="17" t="n">
        <f aca="false">E848*Desain_Kolam!$B$9/1000</f>
        <v>753.12275</v>
      </c>
      <c r="J848" s="17" t="n">
        <f aca="false">F848+G848-H848-I848</f>
        <v>1702.18975</v>
      </c>
      <c r="K848" s="17" t="n">
        <f aca="false">K847+J848</f>
        <v>190452.846475</v>
      </c>
      <c r="L848" s="17" t="n">
        <f aca="false">MAX(L847,K848)</f>
        <v>190452.846475</v>
      </c>
      <c r="M848" s="17" t="n">
        <f aca="false">L848-K848</f>
        <v>0</v>
      </c>
      <c r="N848" s="17" t="n">
        <f aca="false">MIN(Desain_Kolam!$B$21,MAX(0,N847+F848+G848-H848-I848))</f>
        <v>15823.566675</v>
      </c>
      <c r="O848" s="6" t="n">
        <f aca="false">IF(N847+F848+G848-I848&gt;=H848,1,0)</f>
        <v>1</v>
      </c>
    </row>
    <row r="849" customFormat="false" ht="15" hidden="false" customHeight="false" outlineLevel="0" collapsed="false">
      <c r="A849" s="6" t="n">
        <v>2023</v>
      </c>
      <c r="B849" s="6" t="n">
        <v>12</v>
      </c>
      <c r="C849" s="4" t="n">
        <v>421</v>
      </c>
      <c r="D849" s="6" t="n">
        <v>31</v>
      </c>
      <c r="E849" s="4" t="n">
        <f aca="false">INDEX(Evaporasi!$B$5:$B$16,MATCH(B849,Evaporasi!$A$5:$A$16,0))</f>
        <v>145.07</v>
      </c>
      <c r="F849" s="17" t="n">
        <f aca="false">Kawasan!$B$11*Kawasan!$B$9*C849/1000</f>
        <v>3502.72</v>
      </c>
      <c r="G849" s="17" t="n">
        <f aca="false">C849*Desain_Kolam!$B$9/1000</f>
        <v>2228.1425</v>
      </c>
      <c r="H849" s="17" t="n">
        <f aca="false">Kawasan!$B$30*D849</f>
        <v>1190.4</v>
      </c>
      <c r="I849" s="17" t="n">
        <f aca="false">E849*Desain_Kolam!$B$9/1000</f>
        <v>767.782975</v>
      </c>
      <c r="J849" s="17" t="n">
        <f aca="false">F849+G849-H849-I849</f>
        <v>3772.679525</v>
      </c>
      <c r="K849" s="17" t="n">
        <f aca="false">K848+J849</f>
        <v>194225.526</v>
      </c>
      <c r="L849" s="17" t="n">
        <f aca="false">MAX(L848,K849)</f>
        <v>194225.526</v>
      </c>
      <c r="M849" s="17" t="n">
        <f aca="false">L849-K849</f>
        <v>0</v>
      </c>
      <c r="N849" s="17" t="n">
        <f aca="false">MIN(Desain_Kolam!$B$21,MAX(0,N848+F849+G849-H849-I849))</f>
        <v>15823.566675</v>
      </c>
      <c r="O849" s="6" t="n">
        <f aca="false">IF(N848+F849+G849-I849&gt;=H849,1,0)</f>
        <v>1</v>
      </c>
    </row>
    <row r="850" customFormat="false" ht="15" hidden="false" customHeight="false" outlineLevel="0" collapsed="false">
      <c r="A850" s="6" t="n">
        <v>2024</v>
      </c>
      <c r="B850" s="6" t="n">
        <v>1</v>
      </c>
      <c r="C850" s="4" t="n">
        <v>379</v>
      </c>
      <c r="D850" s="6" t="n">
        <v>31</v>
      </c>
      <c r="E850" s="4" t="n">
        <f aca="false">INDEX(Evaporasi!$B$5:$B$16,MATCH(B850,Evaporasi!$A$5:$A$16,0))</f>
        <v>149.98</v>
      </c>
      <c r="F850" s="17" t="n">
        <f aca="false">Kawasan!$B$11*Kawasan!$B$9*C850/1000</f>
        <v>3153.28</v>
      </c>
      <c r="G850" s="17" t="n">
        <f aca="false">C850*Desain_Kolam!$B$9/1000</f>
        <v>2005.8575</v>
      </c>
      <c r="H850" s="17" t="n">
        <f aca="false">Kawasan!$B$30*D850</f>
        <v>1190.4</v>
      </c>
      <c r="I850" s="17" t="n">
        <f aca="false">E850*Desain_Kolam!$B$9/1000</f>
        <v>793.76915</v>
      </c>
      <c r="J850" s="17" t="n">
        <f aca="false">F850+G850-H850-I850</f>
        <v>3174.96835</v>
      </c>
      <c r="K850" s="17" t="n">
        <f aca="false">K849+J850</f>
        <v>197400.49435</v>
      </c>
      <c r="L850" s="17" t="n">
        <f aca="false">MAX(L849,K850)</f>
        <v>197400.49435</v>
      </c>
      <c r="M850" s="17" t="n">
        <f aca="false">L850-K850</f>
        <v>0</v>
      </c>
      <c r="N850" s="17" t="n">
        <f aca="false">MIN(Desain_Kolam!$B$21,MAX(0,N849+F850+G850-H850-I850))</f>
        <v>15823.566675</v>
      </c>
      <c r="O850" s="6" t="n">
        <f aca="false">IF(N849+F850+G850-I850&gt;=H850,1,0)</f>
        <v>1</v>
      </c>
    </row>
    <row r="851" customFormat="false" ht="15" hidden="false" customHeight="false" outlineLevel="0" collapsed="false">
      <c r="A851" s="6" t="n">
        <v>2024</v>
      </c>
      <c r="B851" s="6" t="n">
        <v>2</v>
      </c>
      <c r="C851" s="4" t="n">
        <v>300</v>
      </c>
      <c r="D851" s="6" t="n">
        <v>29</v>
      </c>
      <c r="E851" s="4" t="n">
        <f aca="false">INDEX(Evaporasi!$B$5:$B$16,MATCH(B851,Evaporasi!$A$5:$A$16,0))</f>
        <v>148.64</v>
      </c>
      <c r="F851" s="17" t="n">
        <f aca="false">Kawasan!$B$11*Kawasan!$B$9*C851/1000</f>
        <v>2496</v>
      </c>
      <c r="G851" s="17" t="n">
        <f aca="false">C851*Desain_Kolam!$B$9/1000</f>
        <v>1587.75</v>
      </c>
      <c r="H851" s="17" t="n">
        <f aca="false">Kawasan!$B$30*D851</f>
        <v>1113.6</v>
      </c>
      <c r="I851" s="17" t="n">
        <f aca="false">E851*Desain_Kolam!$B$9/1000</f>
        <v>786.6772</v>
      </c>
      <c r="J851" s="17" t="n">
        <f aca="false">F851+G851-H851-I851</f>
        <v>2183.4728</v>
      </c>
      <c r="K851" s="17" t="n">
        <f aca="false">K850+J851</f>
        <v>199583.96715</v>
      </c>
      <c r="L851" s="17" t="n">
        <f aca="false">MAX(L850,K851)</f>
        <v>199583.96715</v>
      </c>
      <c r="M851" s="17" t="n">
        <f aca="false">L851-K851</f>
        <v>0</v>
      </c>
      <c r="N851" s="17" t="n">
        <f aca="false">MIN(Desain_Kolam!$B$21,MAX(0,N850+F851+G851-H851-I851))</f>
        <v>15823.566675</v>
      </c>
      <c r="O851" s="6" t="n">
        <f aca="false">IF(N850+F851+G851-I851&gt;=H851,1,0)</f>
        <v>1</v>
      </c>
    </row>
    <row r="852" customFormat="false" ht="15" hidden="false" customHeight="false" outlineLevel="0" collapsed="false">
      <c r="A852" s="6" t="n">
        <v>2024</v>
      </c>
      <c r="B852" s="6" t="n">
        <v>3</v>
      </c>
      <c r="C852" s="4" t="n">
        <v>512</v>
      </c>
      <c r="D852" s="6" t="n">
        <v>31</v>
      </c>
      <c r="E852" s="4" t="n">
        <f aca="false">INDEX(Evaporasi!$B$5:$B$16,MATCH(B852,Evaporasi!$A$5:$A$16,0))</f>
        <v>166.18</v>
      </c>
      <c r="F852" s="17" t="n">
        <f aca="false">Kawasan!$B$11*Kawasan!$B$9*C852/1000</f>
        <v>4259.84</v>
      </c>
      <c r="G852" s="17" t="n">
        <f aca="false">C852*Desain_Kolam!$B$9/1000</f>
        <v>2709.76</v>
      </c>
      <c r="H852" s="17" t="n">
        <f aca="false">Kawasan!$B$30*D852</f>
        <v>1190.4</v>
      </c>
      <c r="I852" s="17" t="n">
        <f aca="false">E852*Desain_Kolam!$B$9/1000</f>
        <v>879.50765</v>
      </c>
      <c r="J852" s="17" t="n">
        <f aca="false">F852+G852-H852-I852</f>
        <v>4899.69235</v>
      </c>
      <c r="K852" s="17" t="n">
        <f aca="false">K851+J852</f>
        <v>204483.6595</v>
      </c>
      <c r="L852" s="17" t="n">
        <f aca="false">MAX(L851,K852)</f>
        <v>204483.6595</v>
      </c>
      <c r="M852" s="17" t="n">
        <f aca="false">L852-K852</f>
        <v>0</v>
      </c>
      <c r="N852" s="17" t="n">
        <f aca="false">MIN(Desain_Kolam!$B$21,MAX(0,N851+F852+G852-H852-I852))</f>
        <v>15823.566675</v>
      </c>
      <c r="O852" s="6" t="n">
        <f aca="false">IF(N851+F852+G852-I852&gt;=H852,1,0)</f>
        <v>1</v>
      </c>
    </row>
    <row r="853" customFormat="false" ht="15" hidden="false" customHeight="false" outlineLevel="0" collapsed="false">
      <c r="A853" s="6" t="n">
        <v>2024</v>
      </c>
      <c r="B853" s="6" t="n">
        <v>4</v>
      </c>
      <c r="C853" s="4" t="n">
        <v>327</v>
      </c>
      <c r="D853" s="6" t="n">
        <v>30</v>
      </c>
      <c r="E853" s="4" t="n">
        <f aca="false">INDEX(Evaporasi!$B$5:$B$16,MATCH(B853,Evaporasi!$A$5:$A$16,0))</f>
        <v>157.75</v>
      </c>
      <c r="F853" s="17" t="n">
        <f aca="false">Kawasan!$B$11*Kawasan!$B$9*C853/1000</f>
        <v>2720.64</v>
      </c>
      <c r="G853" s="17" t="n">
        <f aca="false">C853*Desain_Kolam!$B$9/1000</f>
        <v>1730.6475</v>
      </c>
      <c r="H853" s="17" t="n">
        <f aca="false">Kawasan!$B$30*D853</f>
        <v>1152</v>
      </c>
      <c r="I853" s="17" t="n">
        <f aca="false">E853*Desain_Kolam!$B$9/1000</f>
        <v>834.891875</v>
      </c>
      <c r="J853" s="17" t="n">
        <f aca="false">F853+G853-H853-I853</f>
        <v>2464.395625</v>
      </c>
      <c r="K853" s="17" t="n">
        <f aca="false">K852+J853</f>
        <v>206948.055125</v>
      </c>
      <c r="L853" s="17" t="n">
        <f aca="false">MAX(L852,K853)</f>
        <v>206948.055125</v>
      </c>
      <c r="M853" s="17" t="n">
        <f aca="false">L853-K853</f>
        <v>0</v>
      </c>
      <c r="N853" s="17" t="n">
        <f aca="false">MIN(Desain_Kolam!$B$21,MAX(0,N852+F853+G853-H853-I853))</f>
        <v>15823.566675</v>
      </c>
      <c r="O853" s="6" t="n">
        <f aca="false">IF(N852+F853+G853-I853&gt;=H853,1,0)</f>
        <v>1</v>
      </c>
    </row>
    <row r="854" customFormat="false" ht="15" hidden="false" customHeight="false" outlineLevel="0" collapsed="false">
      <c r="A854" s="6" t="n">
        <v>2024</v>
      </c>
      <c r="B854" s="6" t="n">
        <v>5</v>
      </c>
      <c r="C854" s="4" t="n">
        <v>406</v>
      </c>
      <c r="D854" s="6" t="n">
        <v>31</v>
      </c>
      <c r="E854" s="4" t="n">
        <f aca="false">INDEX(Evaporasi!$B$5:$B$16,MATCH(B854,Evaporasi!$A$5:$A$16,0))</f>
        <v>158.35</v>
      </c>
      <c r="F854" s="17" t="n">
        <f aca="false">Kawasan!$B$11*Kawasan!$B$9*C854/1000</f>
        <v>3377.92</v>
      </c>
      <c r="G854" s="17" t="n">
        <f aca="false">C854*Desain_Kolam!$B$9/1000</f>
        <v>2148.755</v>
      </c>
      <c r="H854" s="17" t="n">
        <f aca="false">Kawasan!$B$30*D854</f>
        <v>1190.4</v>
      </c>
      <c r="I854" s="17" t="n">
        <f aca="false">E854*Desain_Kolam!$B$9/1000</f>
        <v>838.067375</v>
      </c>
      <c r="J854" s="17" t="n">
        <f aca="false">F854+G854-H854-I854</f>
        <v>3498.207625</v>
      </c>
      <c r="K854" s="17" t="n">
        <f aca="false">K853+J854</f>
        <v>210446.26275</v>
      </c>
      <c r="L854" s="17" t="n">
        <f aca="false">MAX(L853,K854)</f>
        <v>210446.26275</v>
      </c>
      <c r="M854" s="17" t="n">
        <f aca="false">L854-K854</f>
        <v>0</v>
      </c>
      <c r="N854" s="17" t="n">
        <f aca="false">MIN(Desain_Kolam!$B$21,MAX(0,N853+F854+G854-H854-I854))</f>
        <v>15823.566675</v>
      </c>
      <c r="O854" s="6" t="n">
        <f aca="false">IF(N853+F854+G854-I854&gt;=H854,1,0)</f>
        <v>1</v>
      </c>
    </row>
    <row r="855" customFormat="false" ht="15" hidden="false" customHeight="false" outlineLevel="0" collapsed="false">
      <c r="A855" s="6" t="n">
        <v>2024</v>
      </c>
      <c r="B855" s="6" t="n">
        <v>6</v>
      </c>
      <c r="C855" s="4" t="n">
        <v>166</v>
      </c>
      <c r="D855" s="6" t="n">
        <v>30</v>
      </c>
      <c r="E855" s="4" t="n">
        <f aca="false">INDEX(Evaporasi!$B$5:$B$16,MATCH(B855,Evaporasi!$A$5:$A$16,0))</f>
        <v>150.17</v>
      </c>
      <c r="F855" s="17" t="n">
        <f aca="false">Kawasan!$B$11*Kawasan!$B$9*C855/1000</f>
        <v>1381.12</v>
      </c>
      <c r="G855" s="17" t="n">
        <f aca="false">C855*Desain_Kolam!$B$9/1000</f>
        <v>878.555</v>
      </c>
      <c r="H855" s="17" t="n">
        <f aca="false">Kawasan!$B$30*D855</f>
        <v>1152</v>
      </c>
      <c r="I855" s="17" t="n">
        <f aca="false">E855*Desain_Kolam!$B$9/1000</f>
        <v>794.774725</v>
      </c>
      <c r="J855" s="17" t="n">
        <f aca="false">F855+G855-H855-I855</f>
        <v>312.900275</v>
      </c>
      <c r="K855" s="17" t="n">
        <f aca="false">K854+J855</f>
        <v>210759.163025</v>
      </c>
      <c r="L855" s="17" t="n">
        <f aca="false">MAX(L854,K855)</f>
        <v>210759.163025</v>
      </c>
      <c r="M855" s="17" t="n">
        <f aca="false">L855-K855</f>
        <v>0</v>
      </c>
      <c r="N855" s="17" t="n">
        <f aca="false">MIN(Desain_Kolam!$B$21,MAX(0,N854+F855+G855-H855-I855))</f>
        <v>15823.566675</v>
      </c>
      <c r="O855" s="6" t="n">
        <f aca="false">IF(N854+F855+G855-I855&gt;=H855,1,0)</f>
        <v>1</v>
      </c>
    </row>
    <row r="856" customFormat="false" ht="15" hidden="false" customHeight="false" outlineLevel="0" collapsed="false">
      <c r="A856" s="6" t="n">
        <v>2024</v>
      </c>
      <c r="B856" s="6" t="n">
        <v>7</v>
      </c>
      <c r="C856" s="4" t="n">
        <v>114</v>
      </c>
      <c r="D856" s="6" t="n">
        <v>31</v>
      </c>
      <c r="E856" s="4" t="n">
        <f aca="false">INDEX(Evaporasi!$B$5:$B$16,MATCH(B856,Evaporasi!$A$5:$A$16,0))</f>
        <v>160.84</v>
      </c>
      <c r="F856" s="17" t="n">
        <f aca="false">Kawasan!$B$11*Kawasan!$B$9*C856/1000</f>
        <v>948.48</v>
      </c>
      <c r="G856" s="17" t="n">
        <f aca="false">C856*Desain_Kolam!$B$9/1000</f>
        <v>603.345</v>
      </c>
      <c r="H856" s="17" t="n">
        <f aca="false">Kawasan!$B$30*D856</f>
        <v>1190.4</v>
      </c>
      <c r="I856" s="17" t="n">
        <f aca="false">E856*Desain_Kolam!$B$9/1000</f>
        <v>851.2457</v>
      </c>
      <c r="J856" s="17" t="n">
        <f aca="false">F856+G856-H856-I856</f>
        <v>-489.8207</v>
      </c>
      <c r="K856" s="17" t="n">
        <f aca="false">K855+J856</f>
        <v>210269.342325</v>
      </c>
      <c r="L856" s="17" t="n">
        <f aca="false">MAX(L855,K856)</f>
        <v>210759.163025</v>
      </c>
      <c r="M856" s="17" t="n">
        <f aca="false">L856-K856</f>
        <v>489.820700000011</v>
      </c>
      <c r="N856" s="17" t="n">
        <f aca="false">MIN(Desain_Kolam!$B$21,MAX(0,N855+F856+G856-H856-I856))</f>
        <v>15333.745975</v>
      </c>
      <c r="O856" s="6" t="n">
        <f aca="false">IF(N855+F856+G856-I856&gt;=H856,1,0)</f>
        <v>1</v>
      </c>
    </row>
    <row r="857" customFormat="false" ht="15" hidden="false" customHeight="false" outlineLevel="0" collapsed="false">
      <c r="A857" s="6" t="n">
        <v>2024</v>
      </c>
      <c r="B857" s="6" t="n">
        <v>8</v>
      </c>
      <c r="C857" s="4" t="n">
        <v>350</v>
      </c>
      <c r="D857" s="6" t="n">
        <v>31</v>
      </c>
      <c r="E857" s="4" t="n">
        <f aca="false">INDEX(Evaporasi!$B$5:$B$16,MATCH(B857,Evaporasi!$A$5:$A$16,0))</f>
        <v>161.16</v>
      </c>
      <c r="F857" s="17" t="n">
        <f aca="false">Kawasan!$B$11*Kawasan!$B$9*C857/1000</f>
        <v>2912</v>
      </c>
      <c r="G857" s="17" t="n">
        <f aca="false">C857*Desain_Kolam!$B$9/1000</f>
        <v>1852.375</v>
      </c>
      <c r="H857" s="17" t="n">
        <f aca="false">Kawasan!$B$30*D857</f>
        <v>1190.4</v>
      </c>
      <c r="I857" s="17" t="n">
        <f aca="false">E857*Desain_Kolam!$B$9/1000</f>
        <v>852.9393</v>
      </c>
      <c r="J857" s="17" t="n">
        <f aca="false">F857+G857-H857-I857</f>
        <v>2721.0357</v>
      </c>
      <c r="K857" s="17" t="n">
        <f aca="false">K856+J857</f>
        <v>212990.378025</v>
      </c>
      <c r="L857" s="17" t="n">
        <f aca="false">MAX(L856,K857)</f>
        <v>212990.378025</v>
      </c>
      <c r="M857" s="17" t="n">
        <f aca="false">L857-K857</f>
        <v>0</v>
      </c>
      <c r="N857" s="17" t="n">
        <f aca="false">MIN(Desain_Kolam!$B$21,MAX(0,N856+F857+G857-H857-I857))</f>
        <v>15823.566675</v>
      </c>
      <c r="O857" s="6" t="n">
        <f aca="false">IF(N856+F857+G857-I857&gt;=H857,1,0)</f>
        <v>1</v>
      </c>
    </row>
    <row r="858" customFormat="false" ht="15" hidden="false" customHeight="false" outlineLevel="0" collapsed="false">
      <c r="A858" s="6" t="n">
        <v>2024</v>
      </c>
      <c r="B858" s="6" t="n">
        <v>9</v>
      </c>
      <c r="C858" s="4" t="n">
        <v>197</v>
      </c>
      <c r="D858" s="6" t="n">
        <v>30</v>
      </c>
      <c r="E858" s="4" t="n">
        <f aca="false">INDEX(Evaporasi!$B$5:$B$16,MATCH(B858,Evaporasi!$A$5:$A$16,0))</f>
        <v>159.21</v>
      </c>
      <c r="F858" s="17" t="n">
        <f aca="false">Kawasan!$B$11*Kawasan!$B$9*C858/1000</f>
        <v>1639.04</v>
      </c>
      <c r="G858" s="17" t="n">
        <f aca="false">C858*Desain_Kolam!$B$9/1000</f>
        <v>1042.6225</v>
      </c>
      <c r="H858" s="17" t="n">
        <f aca="false">Kawasan!$B$30*D858</f>
        <v>1152</v>
      </c>
      <c r="I858" s="17" t="n">
        <f aca="false">E858*Desain_Kolam!$B$9/1000</f>
        <v>842.618925</v>
      </c>
      <c r="J858" s="17" t="n">
        <f aca="false">F858+G858-H858-I858</f>
        <v>687.043575</v>
      </c>
      <c r="K858" s="17" t="n">
        <f aca="false">K857+J858</f>
        <v>213677.4216</v>
      </c>
      <c r="L858" s="17" t="n">
        <f aca="false">MAX(L857,K858)</f>
        <v>213677.4216</v>
      </c>
      <c r="M858" s="17" t="n">
        <f aca="false">L858-K858</f>
        <v>0</v>
      </c>
      <c r="N858" s="17" t="n">
        <f aca="false">MIN(Desain_Kolam!$B$21,MAX(0,N857+F858+G858-H858-I858))</f>
        <v>15823.566675</v>
      </c>
      <c r="O858" s="6" t="n">
        <f aca="false">IF(N857+F858+G858-I858&gt;=H858,1,0)</f>
        <v>1</v>
      </c>
    </row>
    <row r="859" customFormat="false" ht="15" hidden="false" customHeight="false" outlineLevel="0" collapsed="false">
      <c r="A859" s="6" t="n">
        <v>2024</v>
      </c>
      <c r="B859" s="6" t="n">
        <v>10</v>
      </c>
      <c r="C859" s="4" t="n">
        <v>327</v>
      </c>
      <c r="D859" s="6" t="n">
        <v>31</v>
      </c>
      <c r="E859" s="4" t="n">
        <f aca="false">INDEX(Evaporasi!$B$5:$B$16,MATCH(B859,Evaporasi!$A$5:$A$16,0))</f>
        <v>151.5</v>
      </c>
      <c r="F859" s="17" t="n">
        <f aca="false">Kawasan!$B$11*Kawasan!$B$9*C859/1000</f>
        <v>2720.64</v>
      </c>
      <c r="G859" s="17" t="n">
        <f aca="false">C859*Desain_Kolam!$B$9/1000</f>
        <v>1730.6475</v>
      </c>
      <c r="H859" s="17" t="n">
        <f aca="false">Kawasan!$B$30*D859</f>
        <v>1190.4</v>
      </c>
      <c r="I859" s="17" t="n">
        <f aca="false">E859*Desain_Kolam!$B$9/1000</f>
        <v>801.81375</v>
      </c>
      <c r="J859" s="17" t="n">
        <f aca="false">F859+G859-H859-I859</f>
        <v>2459.07375</v>
      </c>
      <c r="K859" s="17" t="n">
        <f aca="false">K858+J859</f>
        <v>216136.49535</v>
      </c>
      <c r="L859" s="17" t="n">
        <f aca="false">MAX(L858,K859)</f>
        <v>216136.49535</v>
      </c>
      <c r="M859" s="17" t="n">
        <f aca="false">L859-K859</f>
        <v>0</v>
      </c>
      <c r="N859" s="17" t="n">
        <f aca="false">MIN(Desain_Kolam!$B$21,MAX(0,N858+F859+G859-H859-I859))</f>
        <v>15823.566675</v>
      </c>
      <c r="O859" s="6" t="n">
        <f aca="false">IF(N858+F859+G859-I859&gt;=H859,1,0)</f>
        <v>1</v>
      </c>
    </row>
    <row r="860" customFormat="false" ht="15" hidden="false" customHeight="false" outlineLevel="0" collapsed="false">
      <c r="A860" s="6" t="n">
        <v>2024</v>
      </c>
      <c r="B860" s="6" t="n">
        <v>11</v>
      </c>
      <c r="C860" s="4" t="n">
        <v>419</v>
      </c>
      <c r="D860" s="6" t="n">
        <v>30</v>
      </c>
      <c r="E860" s="4" t="n">
        <f aca="false">INDEX(Evaporasi!$B$5:$B$16,MATCH(B860,Evaporasi!$A$5:$A$16,0))</f>
        <v>142.3</v>
      </c>
      <c r="F860" s="17" t="n">
        <f aca="false">Kawasan!$B$11*Kawasan!$B$9*C860/1000</f>
        <v>3486.08</v>
      </c>
      <c r="G860" s="17" t="n">
        <f aca="false">C860*Desain_Kolam!$B$9/1000</f>
        <v>2217.5575</v>
      </c>
      <c r="H860" s="17" t="n">
        <f aca="false">Kawasan!$B$30*D860</f>
        <v>1152</v>
      </c>
      <c r="I860" s="17" t="n">
        <f aca="false">E860*Desain_Kolam!$B$9/1000</f>
        <v>753.12275</v>
      </c>
      <c r="J860" s="17" t="n">
        <f aca="false">F860+G860-H860-I860</f>
        <v>3798.51475</v>
      </c>
      <c r="K860" s="17" t="n">
        <f aca="false">K859+J860</f>
        <v>219935.0101</v>
      </c>
      <c r="L860" s="17" t="n">
        <f aca="false">MAX(L859,K860)</f>
        <v>219935.0101</v>
      </c>
      <c r="M860" s="17" t="n">
        <f aca="false">L860-K860</f>
        <v>0</v>
      </c>
      <c r="N860" s="17" t="n">
        <f aca="false">MIN(Desain_Kolam!$B$21,MAX(0,N859+F860+G860-H860-I860))</f>
        <v>15823.566675</v>
      </c>
      <c r="O860" s="6" t="n">
        <f aca="false">IF(N859+F860+G860-I860&gt;=H860,1,0)</f>
        <v>1</v>
      </c>
    </row>
    <row r="861" customFormat="false" ht="15" hidden="false" customHeight="false" outlineLevel="0" collapsed="false">
      <c r="A861" s="6" t="n">
        <v>2024</v>
      </c>
      <c r="B861" s="6" t="n">
        <v>12</v>
      </c>
      <c r="C861" s="4" t="n">
        <v>214</v>
      </c>
      <c r="D861" s="6" t="n">
        <v>31</v>
      </c>
      <c r="E861" s="4" t="n">
        <f aca="false">INDEX(Evaporasi!$B$5:$B$16,MATCH(B861,Evaporasi!$A$5:$A$16,0))</f>
        <v>145.07</v>
      </c>
      <c r="F861" s="17" t="n">
        <f aca="false">Kawasan!$B$11*Kawasan!$B$9*C861/1000</f>
        <v>1780.48</v>
      </c>
      <c r="G861" s="17" t="n">
        <f aca="false">C861*Desain_Kolam!$B$9/1000</f>
        <v>1132.595</v>
      </c>
      <c r="H861" s="17" t="n">
        <f aca="false">Kawasan!$B$30*D861</f>
        <v>1190.4</v>
      </c>
      <c r="I861" s="17" t="n">
        <f aca="false">E861*Desain_Kolam!$B$9/1000</f>
        <v>767.782975</v>
      </c>
      <c r="J861" s="17" t="n">
        <f aca="false">F861+G861-H861-I861</f>
        <v>954.892025</v>
      </c>
      <c r="K861" s="17" t="n">
        <f aca="false">K860+J861</f>
        <v>220889.902125</v>
      </c>
      <c r="L861" s="17" t="n">
        <f aca="false">MAX(L860,K861)</f>
        <v>220889.902125</v>
      </c>
      <c r="M861" s="17" t="n">
        <f aca="false">L861-K861</f>
        <v>0</v>
      </c>
      <c r="N861" s="17" t="n">
        <f aca="false">MIN(Desain_Kolam!$B$21,MAX(0,N860+F861+G861-H861-I861))</f>
        <v>15823.566675</v>
      </c>
      <c r="O861" s="6" t="n">
        <f aca="false">IF(N860+F861+G861-I861&gt;=H861,1,0)</f>
        <v>1</v>
      </c>
    </row>
    <row r="862" customFormat="false" ht="15" hidden="false" customHeight="false" outlineLevel="0" collapsed="false">
      <c r="A862" s="6" t="n">
        <v>2025</v>
      </c>
      <c r="B862" s="6" t="n">
        <v>1</v>
      </c>
      <c r="C862" s="4" t="n">
        <v>400</v>
      </c>
      <c r="D862" s="6" t="n">
        <v>31</v>
      </c>
      <c r="E862" s="4" t="n">
        <f aca="false">INDEX(Evaporasi!$B$5:$B$16,MATCH(B862,Evaporasi!$A$5:$A$16,0))</f>
        <v>149.98</v>
      </c>
      <c r="F862" s="17" t="n">
        <f aca="false">Kawasan!$B$11*Kawasan!$B$9*C862/1000</f>
        <v>3328</v>
      </c>
      <c r="G862" s="17" t="n">
        <f aca="false">C862*Desain_Kolam!$B$9/1000</f>
        <v>2117</v>
      </c>
      <c r="H862" s="17" t="n">
        <f aca="false">Kawasan!$B$30*D862</f>
        <v>1190.4</v>
      </c>
      <c r="I862" s="17" t="n">
        <f aca="false">E862*Desain_Kolam!$B$9/1000</f>
        <v>793.76915</v>
      </c>
      <c r="J862" s="17" t="n">
        <f aca="false">F862+G862-H862-I862</f>
        <v>3460.83085</v>
      </c>
      <c r="K862" s="17" t="n">
        <f aca="false">K861+J862</f>
        <v>224350.732975</v>
      </c>
      <c r="L862" s="17" t="n">
        <f aca="false">MAX(L861,K862)</f>
        <v>224350.732975</v>
      </c>
      <c r="M862" s="17" t="n">
        <f aca="false">L862-K862</f>
        <v>0</v>
      </c>
      <c r="N862" s="17" t="n">
        <f aca="false">MIN(Desain_Kolam!$B$21,MAX(0,N861+F862+G862-H862-I862))</f>
        <v>15823.566675</v>
      </c>
      <c r="O862" s="6" t="n">
        <f aca="false">IF(N861+F862+G862-I862&gt;=H862,1,0)</f>
        <v>1</v>
      </c>
    </row>
    <row r="863" customFormat="false" ht="15" hidden="false" customHeight="false" outlineLevel="0" collapsed="false">
      <c r="A863" s="6" t="n">
        <v>2025</v>
      </c>
      <c r="B863" s="6" t="n">
        <v>2</v>
      </c>
      <c r="C863" s="4" t="n">
        <v>210</v>
      </c>
      <c r="D863" s="6" t="n">
        <v>28</v>
      </c>
      <c r="E863" s="4" t="n">
        <f aca="false">INDEX(Evaporasi!$B$5:$B$16,MATCH(B863,Evaporasi!$A$5:$A$16,0))</f>
        <v>148.64</v>
      </c>
      <c r="F863" s="17" t="n">
        <f aca="false">Kawasan!$B$11*Kawasan!$B$9*C863/1000</f>
        <v>1747.2</v>
      </c>
      <c r="G863" s="17" t="n">
        <f aca="false">C863*Desain_Kolam!$B$9/1000</f>
        <v>1111.425</v>
      </c>
      <c r="H863" s="17" t="n">
        <f aca="false">Kawasan!$B$30*D863</f>
        <v>1075.2</v>
      </c>
      <c r="I863" s="17" t="n">
        <f aca="false">E863*Desain_Kolam!$B$9/1000</f>
        <v>786.6772</v>
      </c>
      <c r="J863" s="17" t="n">
        <f aca="false">F863+G863-H863-I863</f>
        <v>996.7478</v>
      </c>
      <c r="K863" s="17" t="n">
        <f aca="false">K862+J863</f>
        <v>225347.480775</v>
      </c>
      <c r="L863" s="17" t="n">
        <f aca="false">MAX(L862,K863)</f>
        <v>225347.480775</v>
      </c>
      <c r="M863" s="17" t="n">
        <f aca="false">L863-K863</f>
        <v>0</v>
      </c>
      <c r="N863" s="17" t="n">
        <f aca="false">MIN(Desain_Kolam!$B$21,MAX(0,N862+F863+G863-H863-I863))</f>
        <v>15823.566675</v>
      </c>
      <c r="O863" s="6" t="n">
        <f aca="false">IF(N862+F863+G863-I863&gt;=H863,1,0)</f>
        <v>1</v>
      </c>
    </row>
    <row r="864" customFormat="false" ht="15" hidden="false" customHeight="false" outlineLevel="0" collapsed="false">
      <c r="A864" s="6" t="n">
        <v>2025</v>
      </c>
      <c r="B864" s="6" t="n">
        <v>3</v>
      </c>
      <c r="C864" s="4" t="n">
        <v>302</v>
      </c>
      <c r="D864" s="6" t="n">
        <v>31</v>
      </c>
      <c r="E864" s="4" t="n">
        <f aca="false">INDEX(Evaporasi!$B$5:$B$16,MATCH(B864,Evaporasi!$A$5:$A$16,0))</f>
        <v>166.18</v>
      </c>
      <c r="F864" s="17" t="n">
        <f aca="false">Kawasan!$B$11*Kawasan!$B$9*C864/1000</f>
        <v>2512.64</v>
      </c>
      <c r="G864" s="17" t="n">
        <f aca="false">C864*Desain_Kolam!$B$9/1000</f>
        <v>1598.335</v>
      </c>
      <c r="H864" s="17" t="n">
        <f aca="false">Kawasan!$B$30*D864</f>
        <v>1190.4</v>
      </c>
      <c r="I864" s="17" t="n">
        <f aca="false">E864*Desain_Kolam!$B$9/1000</f>
        <v>879.50765</v>
      </c>
      <c r="J864" s="17" t="n">
        <f aca="false">F864+G864-H864-I864</f>
        <v>2041.06735</v>
      </c>
      <c r="K864" s="17" t="n">
        <f aca="false">K863+J864</f>
        <v>227388.548125</v>
      </c>
      <c r="L864" s="17" t="n">
        <f aca="false">MAX(L863,K864)</f>
        <v>227388.548125</v>
      </c>
      <c r="M864" s="17" t="n">
        <f aca="false">L864-K864</f>
        <v>0</v>
      </c>
      <c r="N864" s="17" t="n">
        <f aca="false">MIN(Desain_Kolam!$B$21,MAX(0,N863+F864+G864-H864-I864))</f>
        <v>15823.566675</v>
      </c>
      <c r="O864" s="6" t="n">
        <f aca="false">IF(N863+F864+G864-I864&gt;=H864,1,0)</f>
        <v>1</v>
      </c>
    </row>
    <row r="865" customFormat="false" ht="15" hidden="false" customHeight="false" outlineLevel="0" collapsed="false">
      <c r="A865" s="6" t="n">
        <v>2025</v>
      </c>
      <c r="B865" s="6" t="n">
        <v>4</v>
      </c>
      <c r="C865" s="4" t="n">
        <v>231</v>
      </c>
      <c r="D865" s="6" t="n">
        <v>30</v>
      </c>
      <c r="E865" s="4" t="n">
        <f aca="false">INDEX(Evaporasi!$B$5:$B$16,MATCH(B865,Evaporasi!$A$5:$A$16,0))</f>
        <v>157.75</v>
      </c>
      <c r="F865" s="17" t="n">
        <f aca="false">Kawasan!$B$11*Kawasan!$B$9*C865/1000</f>
        <v>1921.92</v>
      </c>
      <c r="G865" s="17" t="n">
        <f aca="false">C865*Desain_Kolam!$B$9/1000</f>
        <v>1222.5675</v>
      </c>
      <c r="H865" s="17" t="n">
        <f aca="false">Kawasan!$B$30*D865</f>
        <v>1152</v>
      </c>
      <c r="I865" s="17" t="n">
        <f aca="false">E865*Desain_Kolam!$B$9/1000</f>
        <v>834.891875</v>
      </c>
      <c r="J865" s="17" t="n">
        <f aca="false">F865+G865-H865-I865</f>
        <v>1157.595625</v>
      </c>
      <c r="K865" s="17" t="n">
        <f aca="false">K864+J865</f>
        <v>228546.14375</v>
      </c>
      <c r="L865" s="17" t="n">
        <f aca="false">MAX(L864,K865)</f>
        <v>228546.14375</v>
      </c>
      <c r="M865" s="17" t="n">
        <f aca="false">L865-K865</f>
        <v>0</v>
      </c>
      <c r="N865" s="17" t="n">
        <f aca="false">MIN(Desain_Kolam!$B$21,MAX(0,N864+F865+G865-H865-I865))</f>
        <v>15823.566675</v>
      </c>
      <c r="O865" s="6" t="n">
        <f aca="false">IF(N864+F865+G865-I865&gt;=H865,1,0)</f>
        <v>1</v>
      </c>
    </row>
    <row r="866" customFormat="false" ht="15" hidden="false" customHeight="false" outlineLevel="0" collapsed="false">
      <c r="A866" s="6" t="n">
        <v>2025</v>
      </c>
      <c r="B866" s="6" t="n">
        <v>5</v>
      </c>
      <c r="C866" s="4" t="n">
        <v>231</v>
      </c>
      <c r="D866" s="6" t="n">
        <v>31</v>
      </c>
      <c r="E866" s="4" t="n">
        <f aca="false">INDEX(Evaporasi!$B$5:$B$16,MATCH(B866,Evaporasi!$A$5:$A$16,0))</f>
        <v>158.35</v>
      </c>
      <c r="F866" s="17" t="n">
        <f aca="false">Kawasan!$B$11*Kawasan!$B$9*C866/1000</f>
        <v>1921.92</v>
      </c>
      <c r="G866" s="17" t="n">
        <f aca="false">C866*Desain_Kolam!$B$9/1000</f>
        <v>1222.5675</v>
      </c>
      <c r="H866" s="17" t="n">
        <f aca="false">Kawasan!$B$30*D866</f>
        <v>1190.4</v>
      </c>
      <c r="I866" s="17" t="n">
        <f aca="false">E866*Desain_Kolam!$B$9/1000</f>
        <v>838.067375</v>
      </c>
      <c r="J866" s="17" t="n">
        <f aca="false">F866+G866-H866-I866</f>
        <v>1116.020125</v>
      </c>
      <c r="K866" s="17" t="n">
        <f aca="false">K865+J866</f>
        <v>229662.163875</v>
      </c>
      <c r="L866" s="17" t="n">
        <f aca="false">MAX(L865,K866)</f>
        <v>229662.163875</v>
      </c>
      <c r="M866" s="17" t="n">
        <f aca="false">L866-K866</f>
        <v>0</v>
      </c>
      <c r="N866" s="17" t="n">
        <f aca="false">MIN(Desain_Kolam!$B$21,MAX(0,N865+F866+G866-H866-I866))</f>
        <v>15823.566675</v>
      </c>
      <c r="O866" s="6" t="n">
        <f aca="false">IF(N865+F866+G866-I866&gt;=H866,1,0)</f>
        <v>1</v>
      </c>
    </row>
    <row r="867" customFormat="false" ht="15" hidden="false" customHeight="false" outlineLevel="0" collapsed="false">
      <c r="A867" s="6" t="n">
        <v>2025</v>
      </c>
      <c r="B867" s="6" t="n">
        <v>6</v>
      </c>
      <c r="C867" s="4" t="n">
        <v>167</v>
      </c>
      <c r="D867" s="6" t="n">
        <v>30</v>
      </c>
      <c r="E867" s="4" t="n">
        <f aca="false">INDEX(Evaporasi!$B$5:$B$16,MATCH(B867,Evaporasi!$A$5:$A$16,0))</f>
        <v>150.17</v>
      </c>
      <c r="F867" s="17" t="n">
        <f aca="false">Kawasan!$B$11*Kawasan!$B$9*C867/1000</f>
        <v>1389.44</v>
      </c>
      <c r="G867" s="17" t="n">
        <f aca="false">C867*Desain_Kolam!$B$9/1000</f>
        <v>883.8475</v>
      </c>
      <c r="H867" s="17" t="n">
        <f aca="false">Kawasan!$B$30*D867</f>
        <v>1152</v>
      </c>
      <c r="I867" s="17" t="n">
        <f aca="false">E867*Desain_Kolam!$B$9/1000</f>
        <v>794.774725</v>
      </c>
      <c r="J867" s="17" t="n">
        <f aca="false">F867+G867-H867-I867</f>
        <v>326.512775</v>
      </c>
      <c r="K867" s="17" t="n">
        <f aca="false">K866+J867</f>
        <v>229988.67665</v>
      </c>
      <c r="L867" s="17" t="n">
        <f aca="false">MAX(L866,K867)</f>
        <v>229988.67665</v>
      </c>
      <c r="M867" s="17" t="n">
        <f aca="false">L867-K867</f>
        <v>0</v>
      </c>
      <c r="N867" s="17" t="n">
        <f aca="false">MIN(Desain_Kolam!$B$21,MAX(0,N866+F867+G867-H867-I867))</f>
        <v>15823.566675</v>
      </c>
      <c r="O867" s="6" t="n">
        <f aca="false">IF(N866+F867+G867-I867&gt;=H867,1,0)</f>
        <v>1</v>
      </c>
    </row>
    <row r="868" customFormat="false" ht="15" hidden="false" customHeight="false" outlineLevel="0" collapsed="false">
      <c r="A868" s="6" t="n">
        <v>2025</v>
      </c>
      <c r="B868" s="6" t="n">
        <v>7</v>
      </c>
      <c r="C868" s="4" t="n">
        <v>159</v>
      </c>
      <c r="D868" s="6" t="n">
        <v>31</v>
      </c>
      <c r="E868" s="4" t="n">
        <f aca="false">INDEX(Evaporasi!$B$5:$B$16,MATCH(B868,Evaporasi!$A$5:$A$16,0))</f>
        <v>160.84</v>
      </c>
      <c r="F868" s="17" t="n">
        <f aca="false">Kawasan!$B$11*Kawasan!$B$9*C868/1000</f>
        <v>1322.88</v>
      </c>
      <c r="G868" s="17" t="n">
        <f aca="false">C868*Desain_Kolam!$B$9/1000</f>
        <v>841.5075</v>
      </c>
      <c r="H868" s="17" t="n">
        <f aca="false">Kawasan!$B$30*D868</f>
        <v>1190.4</v>
      </c>
      <c r="I868" s="17" t="n">
        <f aca="false">E868*Desain_Kolam!$B$9/1000</f>
        <v>851.2457</v>
      </c>
      <c r="J868" s="17" t="n">
        <f aca="false">F868+G868-H868-I868</f>
        <v>122.7418</v>
      </c>
      <c r="K868" s="17" t="n">
        <f aca="false">K867+J868</f>
        <v>230111.41845</v>
      </c>
      <c r="L868" s="17" t="n">
        <f aca="false">MAX(L867,K868)</f>
        <v>230111.41845</v>
      </c>
      <c r="M868" s="17" t="n">
        <f aca="false">L868-K868</f>
        <v>0</v>
      </c>
      <c r="N868" s="17" t="n">
        <f aca="false">MIN(Desain_Kolam!$B$21,MAX(0,N867+F868+G868-H868-I868))</f>
        <v>15823.566675</v>
      </c>
      <c r="O868" s="6" t="n">
        <f aca="false">IF(N867+F868+G868-I868&gt;=H868,1,0)</f>
        <v>1</v>
      </c>
    </row>
    <row r="869" customFormat="false" ht="15" hidden="false" customHeight="false" outlineLevel="0" collapsed="false">
      <c r="A869" s="6" t="n">
        <v>2025</v>
      </c>
      <c r="B869" s="6" t="n">
        <v>8</v>
      </c>
      <c r="C869" s="4" t="n">
        <v>392</v>
      </c>
      <c r="D869" s="6" t="n">
        <v>31</v>
      </c>
      <c r="E869" s="4" t="n">
        <f aca="false">INDEX(Evaporasi!$B$5:$B$16,MATCH(B869,Evaporasi!$A$5:$A$16,0))</f>
        <v>161.16</v>
      </c>
      <c r="F869" s="17" t="n">
        <f aca="false">Kawasan!$B$11*Kawasan!$B$9*C869/1000</f>
        <v>3261.44</v>
      </c>
      <c r="G869" s="17" t="n">
        <f aca="false">C869*Desain_Kolam!$B$9/1000</f>
        <v>2074.66</v>
      </c>
      <c r="H869" s="17" t="n">
        <f aca="false">Kawasan!$B$30*D869</f>
        <v>1190.4</v>
      </c>
      <c r="I869" s="17" t="n">
        <f aca="false">E869*Desain_Kolam!$B$9/1000</f>
        <v>852.9393</v>
      </c>
      <c r="J869" s="17" t="n">
        <f aca="false">F869+G869-H869-I869</f>
        <v>3292.7607</v>
      </c>
      <c r="K869" s="17" t="n">
        <f aca="false">K868+J869</f>
        <v>233404.17915</v>
      </c>
      <c r="L869" s="17" t="n">
        <f aca="false">MAX(L868,K869)</f>
        <v>233404.17915</v>
      </c>
      <c r="M869" s="17" t="n">
        <f aca="false">L869-K869</f>
        <v>0</v>
      </c>
      <c r="N869" s="17" t="n">
        <f aca="false">MIN(Desain_Kolam!$B$21,MAX(0,N868+F869+G869-H869-I869))</f>
        <v>15823.566675</v>
      </c>
      <c r="O869" s="6" t="n">
        <f aca="false">IF(N868+F869+G869-I869&gt;=H869,1,0)</f>
        <v>1</v>
      </c>
    </row>
    <row r="870" customFormat="false" ht="15" hidden="false" customHeight="false" outlineLevel="0" collapsed="false">
      <c r="A870" s="6" t="n">
        <v>2025</v>
      </c>
      <c r="B870" s="6" t="n">
        <v>9</v>
      </c>
      <c r="C870" s="4" t="n">
        <v>360</v>
      </c>
      <c r="D870" s="6" t="n">
        <v>30</v>
      </c>
      <c r="E870" s="4" t="n">
        <f aca="false">INDEX(Evaporasi!$B$5:$B$16,MATCH(B870,Evaporasi!$A$5:$A$16,0))</f>
        <v>159.21</v>
      </c>
      <c r="F870" s="17" t="n">
        <f aca="false">Kawasan!$B$11*Kawasan!$B$9*C870/1000</f>
        <v>2995.2</v>
      </c>
      <c r="G870" s="17" t="n">
        <f aca="false">C870*Desain_Kolam!$B$9/1000</f>
        <v>1905.3</v>
      </c>
      <c r="H870" s="17" t="n">
        <f aca="false">Kawasan!$B$30*D870</f>
        <v>1152</v>
      </c>
      <c r="I870" s="17" t="n">
        <f aca="false">E870*Desain_Kolam!$B$9/1000</f>
        <v>842.618925</v>
      </c>
      <c r="J870" s="17" t="n">
        <f aca="false">F870+G870-H870-I870</f>
        <v>2905.881075</v>
      </c>
      <c r="K870" s="17" t="n">
        <f aca="false">K869+J870</f>
        <v>236310.060225</v>
      </c>
      <c r="L870" s="17" t="n">
        <f aca="false">MAX(L869,K870)</f>
        <v>236310.060225</v>
      </c>
      <c r="M870" s="17" t="n">
        <f aca="false">L870-K870</f>
        <v>0</v>
      </c>
      <c r="N870" s="17" t="n">
        <f aca="false">MIN(Desain_Kolam!$B$21,MAX(0,N869+F870+G870-H870-I870))</f>
        <v>15823.566675</v>
      </c>
      <c r="O870" s="6" t="n">
        <f aca="false">IF(N869+F870+G870-I870&gt;=H870,1,0)</f>
        <v>1</v>
      </c>
    </row>
    <row r="871" customFormat="false" ht="15" hidden="false" customHeight="false" outlineLevel="0" collapsed="false">
      <c r="A871" s="6" t="n">
        <v>2025</v>
      </c>
      <c r="B871" s="6" t="n">
        <v>10</v>
      </c>
      <c r="C871" s="4" t="n">
        <v>391</v>
      </c>
      <c r="D871" s="6" t="n">
        <v>31</v>
      </c>
      <c r="E871" s="4" t="n">
        <f aca="false">INDEX(Evaporasi!$B$5:$B$16,MATCH(B871,Evaporasi!$A$5:$A$16,0))</f>
        <v>151.5</v>
      </c>
      <c r="F871" s="17" t="n">
        <f aca="false">Kawasan!$B$11*Kawasan!$B$9*C871/1000</f>
        <v>3253.12</v>
      </c>
      <c r="G871" s="17" t="n">
        <f aca="false">C871*Desain_Kolam!$B$9/1000</f>
        <v>2069.3675</v>
      </c>
      <c r="H871" s="17" t="n">
        <f aca="false">Kawasan!$B$30*D871</f>
        <v>1190.4</v>
      </c>
      <c r="I871" s="17" t="n">
        <f aca="false">E871*Desain_Kolam!$B$9/1000</f>
        <v>801.81375</v>
      </c>
      <c r="J871" s="17" t="n">
        <f aca="false">F871+G871-H871-I871</f>
        <v>3330.27375</v>
      </c>
      <c r="K871" s="17" t="n">
        <f aca="false">K870+J871</f>
        <v>239640.333975</v>
      </c>
      <c r="L871" s="17" t="n">
        <f aca="false">MAX(L870,K871)</f>
        <v>239640.333975</v>
      </c>
      <c r="M871" s="17" t="n">
        <f aca="false">L871-K871</f>
        <v>0</v>
      </c>
      <c r="N871" s="17" t="n">
        <f aca="false">MIN(Desain_Kolam!$B$21,MAX(0,N870+F871+G871-H871-I871))</f>
        <v>15823.566675</v>
      </c>
      <c r="O871" s="6" t="n">
        <f aca="false">IF(N870+F871+G871-I871&gt;=H871,1,0)</f>
        <v>1</v>
      </c>
    </row>
    <row r="872" customFormat="false" ht="15" hidden="false" customHeight="false" outlineLevel="0" collapsed="false">
      <c r="A872" s="6" t="n">
        <v>2025</v>
      </c>
      <c r="B872" s="6" t="n">
        <v>11</v>
      </c>
      <c r="C872" s="4" t="n">
        <v>327</v>
      </c>
      <c r="D872" s="6" t="n">
        <v>30</v>
      </c>
      <c r="E872" s="4" t="n">
        <f aca="false">INDEX(Evaporasi!$B$5:$B$16,MATCH(B872,Evaporasi!$A$5:$A$16,0))</f>
        <v>142.3</v>
      </c>
      <c r="F872" s="17" t="n">
        <f aca="false">Kawasan!$B$11*Kawasan!$B$9*C872/1000</f>
        <v>2720.64</v>
      </c>
      <c r="G872" s="17" t="n">
        <f aca="false">C872*Desain_Kolam!$B$9/1000</f>
        <v>1730.6475</v>
      </c>
      <c r="H872" s="17" t="n">
        <f aca="false">Kawasan!$B$30*D872</f>
        <v>1152</v>
      </c>
      <c r="I872" s="17" t="n">
        <f aca="false">E872*Desain_Kolam!$B$9/1000</f>
        <v>753.12275</v>
      </c>
      <c r="J872" s="17" t="n">
        <f aca="false">F872+G872-H872-I872</f>
        <v>2546.16475</v>
      </c>
      <c r="K872" s="17" t="n">
        <f aca="false">K871+J872</f>
        <v>242186.498725</v>
      </c>
      <c r="L872" s="17" t="n">
        <f aca="false">MAX(L871,K872)</f>
        <v>242186.498725</v>
      </c>
      <c r="M872" s="17" t="n">
        <f aca="false">L872-K872</f>
        <v>0</v>
      </c>
      <c r="N872" s="17" t="n">
        <f aca="false">MIN(Desain_Kolam!$B$21,MAX(0,N871+F872+G872-H872-I872))</f>
        <v>15823.566675</v>
      </c>
      <c r="O872" s="6" t="n">
        <f aca="false">IF(N871+F872+G872-I872&gt;=H872,1,0)</f>
        <v>1</v>
      </c>
    </row>
    <row r="873" customFormat="false" ht="15" hidden="false" customHeight="false" outlineLevel="0" collapsed="false">
      <c r="A873" s="6" t="n">
        <v>2025</v>
      </c>
      <c r="B873" s="6" t="n">
        <v>12</v>
      </c>
      <c r="C873" s="4" t="n">
        <v>140</v>
      </c>
      <c r="D873" s="6" t="n">
        <v>31</v>
      </c>
      <c r="E873" s="4" t="n">
        <f aca="false">INDEX(Evaporasi!$B$5:$B$16,MATCH(B873,Evaporasi!$A$5:$A$16,0))</f>
        <v>145.07</v>
      </c>
      <c r="F873" s="17" t="n">
        <f aca="false">Kawasan!$B$11*Kawasan!$B$9*C873/1000</f>
        <v>1164.8</v>
      </c>
      <c r="G873" s="17" t="n">
        <f aca="false">C873*Desain_Kolam!$B$9/1000</f>
        <v>740.95</v>
      </c>
      <c r="H873" s="17" t="n">
        <f aca="false">Kawasan!$B$30*D873</f>
        <v>1190.4</v>
      </c>
      <c r="I873" s="17" t="n">
        <f aca="false">E873*Desain_Kolam!$B$9/1000</f>
        <v>767.782975</v>
      </c>
      <c r="J873" s="17" t="n">
        <f aca="false">F873+G873-H873-I873</f>
        <v>-52.4329749999998</v>
      </c>
      <c r="K873" s="17" t="n">
        <f aca="false">K872+J873</f>
        <v>242134.06575</v>
      </c>
      <c r="L873" s="17" t="n">
        <f aca="false">MAX(L872,K873)</f>
        <v>242186.498725</v>
      </c>
      <c r="M873" s="17" t="n">
        <f aca="false">L873-K873</f>
        <v>52.4329750000034</v>
      </c>
      <c r="N873" s="17" t="n">
        <f aca="false">MIN(Desain_Kolam!$B$21,MAX(0,N872+F873+G873-H873-I873))</f>
        <v>15771.1337</v>
      </c>
      <c r="O873" s="6" t="n">
        <f aca="false">IF(N872+F873+G873-I873&gt;=H873,1,0)</f>
        <v>1</v>
      </c>
    </row>
    <row r="874" customFormat="false" ht="15" hidden="false" customHeight="false" outlineLevel="0" collapsed="false">
      <c r="A874" s="28" t="s">
        <v>5438</v>
      </c>
      <c r="B874" s="28"/>
      <c r="C874" s="28"/>
      <c r="D874" s="28"/>
      <c r="E874" s="29" t="n">
        <f aca="false">MAX(M706:M873)</f>
        <v>7759.07752499999</v>
      </c>
    </row>
    <row r="875" customFormat="false" ht="15" hidden="false" customHeight="false" outlineLevel="0" collapsed="false">
      <c r="A875" s="28" t="s">
        <v>5428</v>
      </c>
      <c r="B875" s="28"/>
      <c r="C875" s="28"/>
      <c r="D875" s="28"/>
      <c r="E875" s="30" t="n">
        <f aca="false">100*SUM(O706:O873)/COUNT(O706:O873)</f>
        <v>100</v>
      </c>
    </row>
    <row r="876" customFormat="false" ht="15" hidden="false" customHeight="false" outlineLevel="0" collapsed="false">
      <c r="A876" s="28" t="s">
        <v>5429</v>
      </c>
      <c r="B876" s="28"/>
      <c r="C876" s="28"/>
      <c r="D876" s="28"/>
      <c r="E876" s="31" t="n">
        <f aca="false">SUM(O706:O873)</f>
        <v>168</v>
      </c>
    </row>
    <row r="877" customFormat="false" ht="15" hidden="false" customHeight="false" outlineLevel="0" collapsed="false">
      <c r="A877" s="28" t="s">
        <v>5430</v>
      </c>
      <c r="B877" s="28"/>
      <c r="C877" s="28"/>
      <c r="D877" s="28"/>
      <c r="E877" s="29" t="n">
        <f aca="false">K873</f>
        <v>242134.06575</v>
      </c>
    </row>
  </sheetData>
  <mergeCells count="20">
    <mergeCell ref="A174:D174"/>
    <mergeCell ref="A175:D175"/>
    <mergeCell ref="A176:D176"/>
    <mergeCell ref="A177:D177"/>
    <mergeCell ref="A349:D349"/>
    <mergeCell ref="A350:D350"/>
    <mergeCell ref="A351:D351"/>
    <mergeCell ref="A352:D352"/>
    <mergeCell ref="A524:D524"/>
    <mergeCell ref="A525:D525"/>
    <mergeCell ref="A526:D526"/>
    <mergeCell ref="A527:D527"/>
    <mergeCell ref="A699:D699"/>
    <mergeCell ref="A700:D700"/>
    <mergeCell ref="A701:D701"/>
    <mergeCell ref="A702:D702"/>
    <mergeCell ref="A874:D874"/>
    <mergeCell ref="A875:D875"/>
    <mergeCell ref="A876:D876"/>
    <mergeCell ref="A877:D8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5" t="s">
        <v>5439</v>
      </c>
    </row>
    <row r="2" customFormat="false" ht="15" hidden="false" customHeight="false" outlineLevel="0" collapsed="false">
      <c r="A2" s="2" t="s">
        <v>5440</v>
      </c>
    </row>
    <row r="4" customFormat="false" ht="15" hidden="false" customHeight="false" outlineLevel="0" collapsed="false">
      <c r="A4" s="1" t="s">
        <v>5214</v>
      </c>
      <c r="B4" s="1" t="s">
        <v>5129</v>
      </c>
      <c r="C4" s="1" t="s">
        <v>5215</v>
      </c>
      <c r="D4" s="1" t="s">
        <v>5323</v>
      </c>
    </row>
    <row r="5" customFormat="false" ht="15" hidden="false" customHeight="false" outlineLevel="0" collapsed="false">
      <c r="A5" s="3" t="s">
        <v>5441</v>
      </c>
      <c r="B5" s="23" t="n">
        <v>3</v>
      </c>
      <c r="C5" s="3" t="s">
        <v>5218</v>
      </c>
      <c r="D5" s="3" t="s">
        <v>5442</v>
      </c>
    </row>
    <row r="6" customFormat="false" ht="15" hidden="false" customHeight="false" outlineLevel="0" collapsed="false">
      <c r="A6" s="3" t="s">
        <v>5443</v>
      </c>
      <c r="B6" s="17" t="n">
        <f aca="false">Kawasan!$B$14</f>
        <v>0.5</v>
      </c>
      <c r="C6" s="3" t="s">
        <v>5218</v>
      </c>
      <c r="D6" s="3" t="s">
        <v>5444</v>
      </c>
    </row>
    <row r="7" customFormat="false" ht="15" hidden="false" customHeight="false" outlineLevel="0" collapsed="false">
      <c r="A7" s="3" t="s">
        <v>5445</v>
      </c>
      <c r="B7" s="4" t="n">
        <f aca="false">Kawasan!$B$15</f>
        <v>1</v>
      </c>
      <c r="C7" s="3" t="s">
        <v>5235</v>
      </c>
      <c r="D7" s="3" t="s">
        <v>5236</v>
      </c>
    </row>
    <row r="8" customFormat="false" ht="15" hidden="false" customHeight="false" outlineLevel="0" collapsed="false">
      <c r="A8" s="3" t="s">
        <v>5446</v>
      </c>
      <c r="B8" s="12" t="n">
        <f aca="false">Hidrolika_Pipa!$B$51</f>
        <v>0.886213930542575</v>
      </c>
      <c r="C8" s="3" t="s">
        <v>5254</v>
      </c>
      <c r="D8" s="3" t="s">
        <v>5447</v>
      </c>
    </row>
    <row r="9" customFormat="false" ht="15" hidden="false" customHeight="false" outlineLevel="0" collapsed="false">
      <c r="A9" s="3" t="s">
        <v>5448</v>
      </c>
      <c r="B9" s="23" t="n">
        <v>5292.5</v>
      </c>
      <c r="C9" s="3" t="s">
        <v>5232</v>
      </c>
      <c r="D9" s="3" t="s">
        <v>5449</v>
      </c>
    </row>
    <row r="11" customFormat="false" ht="15" hidden="false" customHeight="false" outlineLevel="0" collapsed="false">
      <c r="A11" s="7" t="s">
        <v>5450</v>
      </c>
    </row>
    <row r="12" customFormat="false" ht="15" hidden="false" customHeight="false" outlineLevel="0" collapsed="false">
      <c r="A12" s="1" t="s">
        <v>5238</v>
      </c>
      <c r="B12" s="1" t="s">
        <v>5129</v>
      </c>
      <c r="C12" s="1" t="s">
        <v>5215</v>
      </c>
      <c r="D12" s="1" t="s">
        <v>5359</v>
      </c>
    </row>
    <row r="13" customFormat="false" ht="15" hidden="false" customHeight="false" outlineLevel="0" collapsed="false">
      <c r="A13" s="3" t="s">
        <v>5451</v>
      </c>
      <c r="B13" s="17" t="n">
        <f aca="false">B8*B7*3600</f>
        <v>3190.37014995327</v>
      </c>
      <c r="C13" s="3" t="s">
        <v>5257</v>
      </c>
      <c r="D13" s="3" t="s">
        <v>5452</v>
      </c>
    </row>
    <row r="14" customFormat="false" ht="15" hidden="false" customHeight="false" outlineLevel="0" collapsed="false">
      <c r="A14" s="3" t="s">
        <v>5453</v>
      </c>
      <c r="B14" s="4" t="n">
        <f aca="false">CEILING(SQRT(B13/B5),0.5)</f>
        <v>33</v>
      </c>
      <c r="C14" s="3" t="s">
        <v>5218</v>
      </c>
      <c r="D14" s="3" t="s">
        <v>5454</v>
      </c>
    </row>
    <row r="15" customFormat="false" ht="15" hidden="false" customHeight="false" outlineLevel="0" collapsed="false">
      <c r="A15" s="3" t="s">
        <v>5455</v>
      </c>
      <c r="B15" s="4" t="n">
        <f aca="false">CEILING(B13/(B5*B14),0.5)</f>
        <v>32.5</v>
      </c>
      <c r="C15" s="3" t="s">
        <v>5218</v>
      </c>
    </row>
    <row r="16" customFormat="false" ht="15" hidden="false" customHeight="false" outlineLevel="0" collapsed="false">
      <c r="A16" s="3" t="s">
        <v>5456</v>
      </c>
      <c r="B16" s="17" t="n">
        <f aca="false">B14*B15</f>
        <v>1072.5</v>
      </c>
      <c r="C16" s="3" t="s">
        <v>5232</v>
      </c>
      <c r="D16" s="3" t="s">
        <v>5457</v>
      </c>
    </row>
    <row r="18" customFormat="false" ht="15" hidden="false" customHeight="false" outlineLevel="0" collapsed="false">
      <c r="A18" s="7" t="s">
        <v>5458</v>
      </c>
    </row>
    <row r="19" customFormat="false" ht="15" hidden="false" customHeight="false" outlineLevel="0" collapsed="false">
      <c r="A19" s="1" t="s">
        <v>5238</v>
      </c>
      <c r="B19" s="1" t="s">
        <v>5129</v>
      </c>
      <c r="C19" s="1" t="s">
        <v>5215</v>
      </c>
      <c r="D19" s="1" t="s">
        <v>5359</v>
      </c>
    </row>
    <row r="20" customFormat="false" ht="15" hidden="false" customHeight="false" outlineLevel="0" collapsed="false">
      <c r="A20" s="3" t="s">
        <v>5459</v>
      </c>
      <c r="B20" s="17" t="n">
        <f aca="false">Neraca_Air!$E$524</f>
        <v>15823.566675</v>
      </c>
      <c r="C20" s="3" t="s">
        <v>5257</v>
      </c>
      <c r="D20" s="3" t="s">
        <v>5460</v>
      </c>
    </row>
    <row r="21" customFormat="false" ht="15" hidden="false" customHeight="false" outlineLevel="0" collapsed="false">
      <c r="A21" s="33" t="s">
        <v>5461</v>
      </c>
      <c r="B21" s="29" t="n">
        <f aca="false">MAX(B20,B13)</f>
        <v>15823.566675</v>
      </c>
      <c r="C21" s="3" t="s">
        <v>5257</v>
      </c>
      <c r="D21" s="3" t="s">
        <v>5462</v>
      </c>
    </row>
    <row r="22" customFormat="false" ht="15" hidden="false" customHeight="false" outlineLevel="0" collapsed="false">
      <c r="A22" s="3" t="s">
        <v>5463</v>
      </c>
      <c r="B22" s="4" t="n">
        <f aca="false">CEILING(SQRT(B21/B5),0.5)</f>
        <v>73</v>
      </c>
      <c r="C22" s="3" t="s">
        <v>5218</v>
      </c>
    </row>
    <row r="23" customFormat="false" ht="15" hidden="false" customHeight="false" outlineLevel="0" collapsed="false">
      <c r="A23" s="3" t="s">
        <v>5464</v>
      </c>
      <c r="B23" s="4" t="n">
        <f aca="false">CEILING(B21/(B5*B22),0.5)</f>
        <v>72.5</v>
      </c>
      <c r="C23" s="3" t="s">
        <v>5218</v>
      </c>
    </row>
    <row r="24" customFormat="false" ht="15" hidden="false" customHeight="false" outlineLevel="0" collapsed="false">
      <c r="A24" s="3" t="s">
        <v>5465</v>
      </c>
      <c r="B24" s="17" t="n">
        <f aca="false">B22*B23</f>
        <v>5292.5</v>
      </c>
      <c r="C24" s="3" t="s">
        <v>5232</v>
      </c>
      <c r="D24" s="3" t="s">
        <v>5466</v>
      </c>
    </row>
    <row r="25" customFormat="false" ht="15" hidden="false" customHeight="false" outlineLevel="0" collapsed="false">
      <c r="A25" s="3" t="s">
        <v>5467</v>
      </c>
      <c r="B25" s="17" t="n">
        <f aca="false">B23*B22*B5</f>
        <v>15877.5</v>
      </c>
      <c r="C25" s="3" t="s">
        <v>5257</v>
      </c>
      <c r="D25" s="3" t="s">
        <v>5468</v>
      </c>
    </row>
    <row r="26" customFormat="false" ht="15" hidden="false" customHeight="false" outlineLevel="0" collapsed="false">
      <c r="A26" s="3" t="s">
        <v>5469</v>
      </c>
      <c r="B26" s="17" t="n">
        <f aca="false">B5+B6</f>
        <v>3.5</v>
      </c>
      <c r="C26" s="3" t="s">
        <v>5218</v>
      </c>
      <c r="D26" s="3" t="s">
        <v>5470</v>
      </c>
    </row>
    <row r="28" customFormat="false" ht="15" hidden="false" customHeight="false" outlineLevel="0" collapsed="false">
      <c r="A28" s="7" t="s">
        <v>5471</v>
      </c>
    </row>
    <row r="29" customFormat="false" ht="35.05" hidden="false" customHeight="false" outlineLevel="0" collapsed="false">
      <c r="A29" s="1" t="s">
        <v>5329</v>
      </c>
      <c r="B29" s="1" t="s">
        <v>5472</v>
      </c>
      <c r="C29" s="1" t="s">
        <v>5473</v>
      </c>
      <c r="D29" s="1" t="s">
        <v>5474</v>
      </c>
      <c r="E29" s="1" t="s">
        <v>5475</v>
      </c>
      <c r="F29" s="1" t="s">
        <v>5476</v>
      </c>
      <c r="G29" s="1" t="s">
        <v>5477</v>
      </c>
    </row>
    <row r="30" customFormat="false" ht="15" hidden="false" customHeight="false" outlineLevel="0" collapsed="false">
      <c r="A30" s="6" t="n">
        <v>1</v>
      </c>
      <c r="B30" s="24" t="n">
        <v>1072.5</v>
      </c>
      <c r="C30" s="24" t="n">
        <v>12719.7</v>
      </c>
      <c r="D30" s="24" t="n">
        <v>12719.7</v>
      </c>
      <c r="E30" s="24" t="n">
        <v>65.5</v>
      </c>
      <c r="F30" s="24" t="n">
        <v>65</v>
      </c>
      <c r="G30" s="24" t="n">
        <v>4257.5</v>
      </c>
    </row>
    <row r="31" customFormat="false" ht="15" hidden="false" customHeight="false" outlineLevel="0" collapsed="false">
      <c r="A31" s="6" t="n">
        <v>2</v>
      </c>
      <c r="B31" s="24" t="n">
        <v>4257.5</v>
      </c>
      <c r="C31" s="24" t="n">
        <v>15062.3</v>
      </c>
      <c r="D31" s="24" t="n">
        <v>15062.3</v>
      </c>
      <c r="E31" s="24" t="n">
        <v>71</v>
      </c>
      <c r="F31" s="24" t="n">
        <v>71</v>
      </c>
      <c r="G31" s="24" t="n">
        <v>5041</v>
      </c>
    </row>
    <row r="32" customFormat="false" ht="15" hidden="false" customHeight="false" outlineLevel="0" collapsed="false">
      <c r="A32" s="6" t="n">
        <v>3</v>
      </c>
      <c r="B32" s="24" t="n">
        <v>5041</v>
      </c>
      <c r="C32" s="24" t="n">
        <v>15638.6</v>
      </c>
      <c r="D32" s="24" t="n">
        <v>15638.6</v>
      </c>
      <c r="E32" s="24" t="n">
        <v>72.5</v>
      </c>
      <c r="F32" s="24" t="n">
        <v>72</v>
      </c>
      <c r="G32" s="24" t="n">
        <v>5220</v>
      </c>
    </row>
    <row r="33" customFormat="false" ht="15" hidden="false" customHeight="false" outlineLevel="0" collapsed="false">
      <c r="A33" s="6" t="n">
        <v>4</v>
      </c>
      <c r="B33" s="24" t="n">
        <v>5220</v>
      </c>
      <c r="C33" s="24" t="n">
        <v>15770.2</v>
      </c>
      <c r="D33" s="24" t="n">
        <v>15770.2</v>
      </c>
      <c r="E33" s="24" t="n">
        <v>73</v>
      </c>
      <c r="F33" s="24" t="n">
        <v>72.5</v>
      </c>
      <c r="G33" s="24" t="n">
        <v>5292.5</v>
      </c>
    </row>
    <row r="34" customFormat="false" ht="15" hidden="false" customHeight="false" outlineLevel="0" collapsed="false">
      <c r="A34" s="6" t="n">
        <v>5</v>
      </c>
      <c r="B34" s="24" t="n">
        <v>5292.5</v>
      </c>
      <c r="C34" s="24" t="n">
        <v>15823.6</v>
      </c>
      <c r="D34" s="24" t="n">
        <v>15823.6</v>
      </c>
      <c r="E34" s="24" t="n">
        <v>73</v>
      </c>
      <c r="F34" s="24" t="n">
        <v>72.5</v>
      </c>
      <c r="G34" s="24" t="n">
        <v>5292.5</v>
      </c>
    </row>
    <row r="35" customFormat="false" ht="15" hidden="false" customHeight="false" outlineLevel="0" collapsed="false">
      <c r="A35" s="2" t="s">
        <v>5478</v>
      </c>
    </row>
    <row r="37" customFormat="false" ht="15" hidden="false" customHeight="false" outlineLevel="0" collapsed="false">
      <c r="A37" s="7" t="s">
        <v>5479</v>
      </c>
    </row>
    <row r="38" customFormat="false" ht="15" hidden="false" customHeight="false" outlineLevel="0" collapsed="false">
      <c r="A38" s="1" t="s">
        <v>5480</v>
      </c>
      <c r="B38" s="1" t="s">
        <v>5129</v>
      </c>
      <c r="C38" s="1" t="s">
        <v>5215</v>
      </c>
      <c r="D38" s="1" t="s">
        <v>5143</v>
      </c>
    </row>
    <row r="39" customFormat="false" ht="15" hidden="false" customHeight="false" outlineLevel="0" collapsed="false">
      <c r="A39" s="3" t="s">
        <v>5481</v>
      </c>
      <c r="B39" s="17" t="n">
        <f aca="false">B9</f>
        <v>5292.5</v>
      </c>
      <c r="C39" s="3" t="s">
        <v>5232</v>
      </c>
    </row>
    <row r="40" customFormat="false" ht="15" hidden="false" customHeight="false" outlineLevel="0" collapsed="false">
      <c r="A40" s="3" t="s">
        <v>5482</v>
      </c>
      <c r="B40" s="17" t="n">
        <f aca="false">B24</f>
        <v>5292.5</v>
      </c>
      <c r="C40" s="3" t="s">
        <v>5232</v>
      </c>
    </row>
    <row r="41" customFormat="false" ht="15" hidden="false" customHeight="false" outlineLevel="0" collapsed="false">
      <c r="A41" s="3" t="s">
        <v>5483</v>
      </c>
      <c r="B41" s="17" t="n">
        <f aca="false">B40-B39</f>
        <v>0</v>
      </c>
      <c r="C41" s="3" t="s">
        <v>5232</v>
      </c>
    </row>
    <row r="42" customFormat="false" ht="15" hidden="false" customHeight="false" outlineLevel="0" collapsed="false">
      <c r="A42" s="3" t="s">
        <v>5484</v>
      </c>
      <c r="B42" s="33" t="str">
        <f aca="false">IF(ABS(B41)&lt;=0.01,"KONVERGEN (iterasi tuntas)","ULANG ITERASI - jalankan src/analisis_desain.py")</f>
        <v>KONVERGEN (iterasi tuntas)</v>
      </c>
    </row>
    <row r="44" customFormat="false" ht="15" hidden="false" customHeight="false" outlineLevel="0" collapsed="false">
      <c r="A44" s="7" t="s">
        <v>5485</v>
      </c>
    </row>
    <row r="45" customFormat="false" ht="15" hidden="false" customHeight="false" outlineLevel="0" collapsed="false">
      <c r="A45" s="1" t="s">
        <v>5486</v>
      </c>
      <c r="B45" s="1" t="s">
        <v>5487</v>
      </c>
    </row>
    <row r="46" customFormat="false" ht="15" hidden="false" customHeight="false" outlineLevel="0" collapsed="false">
      <c r="A46" s="15" t="n">
        <v>0.5</v>
      </c>
      <c r="B46" s="17" t="n">
        <f aca="false">$B$8*A46*3600</f>
        <v>1595.18507497664</v>
      </c>
    </row>
    <row r="47" customFormat="false" ht="15" hidden="false" customHeight="false" outlineLevel="0" collapsed="false">
      <c r="A47" s="15" t="n">
        <v>1</v>
      </c>
      <c r="B47" s="17" t="n">
        <f aca="false">$B$8*A47*3600</f>
        <v>3190.37014995327</v>
      </c>
    </row>
    <row r="48" customFormat="false" ht="15" hidden="false" customHeight="false" outlineLevel="0" collapsed="false">
      <c r="A48" s="15" t="n">
        <v>1.5</v>
      </c>
      <c r="B48" s="17" t="n">
        <f aca="false">$B$8*A48*3600</f>
        <v>4785.55522492991</v>
      </c>
    </row>
    <row r="49" customFormat="false" ht="15" hidden="false" customHeight="false" outlineLevel="0" collapsed="false">
      <c r="A49" s="15" t="n">
        <v>2</v>
      </c>
      <c r="B49" s="17" t="n">
        <f aca="false">$B$8*A49*3600</f>
        <v>6380.74029990654</v>
      </c>
    </row>
    <row r="50" customFormat="false" ht="15" hidden="false" customHeight="false" outlineLevel="0" collapsed="false">
      <c r="A50" s="15" t="n">
        <v>3</v>
      </c>
      <c r="B50" s="17" t="n">
        <f aca="false">$B$8*A50*3600</f>
        <v>9571.11044985981</v>
      </c>
    </row>
    <row r="52" customFormat="false" ht="15" hidden="false" customHeight="false" outlineLevel="0" collapsed="false">
      <c r="A52" s="7" t="s">
        <v>5488</v>
      </c>
    </row>
    <row r="53" customFormat="false" ht="15" hidden="false" customHeight="false" outlineLevel="0" collapsed="false">
      <c r="A53" s="1" t="s">
        <v>5489</v>
      </c>
      <c r="B53" s="1" t="s">
        <v>5473</v>
      </c>
      <c r="C53" s="1" t="s">
        <v>5490</v>
      </c>
      <c r="D53" s="1" t="s">
        <v>5491</v>
      </c>
      <c r="E53" s="1" t="s">
        <v>5492</v>
      </c>
    </row>
    <row r="54" customFormat="false" ht="15" hidden="false" customHeight="false" outlineLevel="0" collapsed="false">
      <c r="A54" s="17" t="n">
        <f aca="false">Kawasan!$A$26</f>
        <v>1</v>
      </c>
      <c r="B54" s="17" t="n">
        <f aca="false">Neraca_Air!$E$174</f>
        <v>36252.366675</v>
      </c>
      <c r="C54" s="4" t="n">
        <f aca="false">Neraca_Air!$E$175</f>
        <v>88.6904761904762</v>
      </c>
      <c r="D54" s="6" t="n">
        <f aca="false">Neraca_Air!$E$176</f>
        <v>149</v>
      </c>
      <c r="E54" s="17" t="n">
        <f aca="false">Neraca_Air!$E$177</f>
        <v>45756.4657500001</v>
      </c>
    </row>
    <row r="55" customFormat="false" ht="15" hidden="false" customHeight="false" outlineLevel="0" collapsed="false">
      <c r="A55" s="17" t="n">
        <f aca="false">Kawasan!$A$27</f>
        <v>0.7</v>
      </c>
      <c r="B55" s="17" t="n">
        <f aca="false">Neraca_Air!$E$349</f>
        <v>18741.966675</v>
      </c>
      <c r="C55" s="4" t="n">
        <f aca="false">Neraca_Air!$E$350</f>
        <v>98.8095238095238</v>
      </c>
      <c r="D55" s="6" t="n">
        <f aca="false">Neraca_Air!$E$351</f>
        <v>166</v>
      </c>
      <c r="E55" s="17" t="n">
        <f aca="false">Neraca_Air!$E$352</f>
        <v>163583.02575</v>
      </c>
    </row>
    <row r="56" customFormat="false" ht="15" hidden="false" customHeight="false" outlineLevel="0" collapsed="false">
      <c r="A56" s="17" t="n">
        <f aca="false">Kawasan!$A$28</f>
        <v>0.65</v>
      </c>
      <c r="B56" s="17" t="n">
        <f aca="false">Neraca_Air!$E$524</f>
        <v>15823.566675</v>
      </c>
      <c r="C56" s="34" t="n">
        <f aca="false">Neraca_Air!$E$525</f>
        <v>100</v>
      </c>
      <c r="D56" s="6" t="n">
        <f aca="false">Neraca_Air!$E$526</f>
        <v>168</v>
      </c>
      <c r="E56" s="17" t="n">
        <f aca="false">Neraca_Air!$E$527</f>
        <v>183220.78575</v>
      </c>
    </row>
    <row r="57" customFormat="false" ht="15" hidden="false" customHeight="false" outlineLevel="0" collapsed="false">
      <c r="A57" s="17" t="n">
        <f aca="false">Kawasan!$A$29</f>
        <v>0.6</v>
      </c>
      <c r="B57" s="17" t="n">
        <f aca="false">Neraca_Air!$E$699</f>
        <v>12905.166675</v>
      </c>
      <c r="C57" s="4" t="n">
        <f aca="false">Neraca_Air!$E$700</f>
        <v>100</v>
      </c>
      <c r="D57" s="6" t="n">
        <f aca="false">Neraca_Air!$E$701</f>
        <v>168</v>
      </c>
      <c r="E57" s="17" t="n">
        <f aca="false">Neraca_Air!$E$702</f>
        <v>202858.54575</v>
      </c>
    </row>
    <row r="58" customFormat="false" ht="15" hidden="false" customHeight="false" outlineLevel="0" collapsed="false">
      <c r="A58" s="17" t="n">
        <f aca="false">Kawasan!$A$30</f>
        <v>0.5</v>
      </c>
      <c r="B58" s="17" t="n">
        <f aca="false">Neraca_Air!$E$874</f>
        <v>7759.07752499999</v>
      </c>
      <c r="C58" s="4" t="n">
        <f aca="false">Neraca_Air!$E$875</f>
        <v>100</v>
      </c>
      <c r="D58" s="6" t="n">
        <f aca="false">Neraca_Air!$E$876</f>
        <v>168</v>
      </c>
      <c r="E58" s="17" t="n">
        <f aca="false">Neraca_Air!$E$877</f>
        <v>242134.06575</v>
      </c>
    </row>
    <row r="60" customFormat="false" ht="15" hidden="false" customHeight="false" outlineLevel="0" collapsed="false">
      <c r="A60" s="2" t="s">
        <v>5493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7" min="4" style="0" width="10"/>
  </cols>
  <sheetData>
    <row r="1" customFormat="false" ht="15" hidden="false" customHeight="false" outlineLevel="0" collapsed="false">
      <c r="A1" s="5" t="s">
        <v>5494</v>
      </c>
    </row>
    <row r="3" customFormat="false" ht="15" hidden="false" customHeight="false" outlineLevel="0" collapsed="false">
      <c r="A3" s="7" t="s">
        <v>5495</v>
      </c>
    </row>
    <row r="4" customFormat="false" ht="15" hidden="false" customHeight="false" outlineLevel="0" collapsed="false">
      <c r="A4" s="1" t="s">
        <v>5496</v>
      </c>
      <c r="B4" s="1" t="s">
        <v>5497</v>
      </c>
      <c r="C4" s="1" t="s">
        <v>5498</v>
      </c>
    </row>
    <row r="5" customFormat="false" ht="15" hidden="false" customHeight="false" outlineLevel="0" collapsed="false">
      <c r="A5" s="6" t="n">
        <v>1</v>
      </c>
      <c r="B5" s="13" t="n">
        <v>6.314</v>
      </c>
      <c r="C5" s="13" t="n">
        <v>12.706</v>
      </c>
    </row>
    <row r="6" customFormat="false" ht="15" hidden="false" customHeight="false" outlineLevel="0" collapsed="false">
      <c r="A6" s="6" t="n">
        <v>2</v>
      </c>
      <c r="B6" s="13" t="n">
        <v>2.92</v>
      </c>
      <c r="C6" s="13" t="n">
        <v>4.303</v>
      </c>
    </row>
    <row r="7" customFormat="false" ht="15" hidden="false" customHeight="false" outlineLevel="0" collapsed="false">
      <c r="A7" s="6" t="n">
        <v>3</v>
      </c>
      <c r="B7" s="13" t="n">
        <v>2.353</v>
      </c>
      <c r="C7" s="13" t="n">
        <v>3.182</v>
      </c>
    </row>
    <row r="8" customFormat="false" ht="15" hidden="false" customHeight="false" outlineLevel="0" collapsed="false">
      <c r="A8" s="6" t="n">
        <v>4</v>
      </c>
      <c r="B8" s="13" t="n">
        <v>2.132</v>
      </c>
      <c r="C8" s="13" t="n">
        <v>2.776</v>
      </c>
    </row>
    <row r="9" customFormat="false" ht="15" hidden="false" customHeight="false" outlineLevel="0" collapsed="false">
      <c r="A9" s="6" t="n">
        <v>5</v>
      </c>
      <c r="B9" s="13" t="n">
        <v>2.015</v>
      </c>
      <c r="C9" s="13" t="n">
        <v>2.571</v>
      </c>
    </row>
    <row r="10" customFormat="false" ht="15" hidden="false" customHeight="false" outlineLevel="0" collapsed="false">
      <c r="A10" s="6" t="n">
        <v>6</v>
      </c>
      <c r="B10" s="13" t="n">
        <v>1.943</v>
      </c>
      <c r="C10" s="13" t="n">
        <v>2.447</v>
      </c>
    </row>
    <row r="11" customFormat="false" ht="15" hidden="false" customHeight="false" outlineLevel="0" collapsed="false">
      <c r="A11" s="6" t="n">
        <v>7</v>
      </c>
      <c r="B11" s="13" t="n">
        <v>1.895</v>
      </c>
      <c r="C11" s="13" t="n">
        <v>2.365</v>
      </c>
    </row>
    <row r="12" customFormat="false" ht="15" hidden="false" customHeight="false" outlineLevel="0" collapsed="false">
      <c r="A12" s="6" t="n">
        <v>8</v>
      </c>
      <c r="B12" s="13" t="n">
        <v>1.86</v>
      </c>
      <c r="C12" s="13" t="n">
        <v>2.306</v>
      </c>
    </row>
    <row r="13" customFormat="false" ht="15" hidden="false" customHeight="false" outlineLevel="0" collapsed="false">
      <c r="A13" s="6" t="n">
        <v>9</v>
      </c>
      <c r="B13" s="13" t="n">
        <v>1.833</v>
      </c>
      <c r="C13" s="13" t="n">
        <v>2.262</v>
      </c>
    </row>
    <row r="14" customFormat="false" ht="15" hidden="false" customHeight="false" outlineLevel="0" collapsed="false">
      <c r="A14" s="6" t="n">
        <v>10</v>
      </c>
      <c r="B14" s="13" t="n">
        <v>1.812</v>
      </c>
      <c r="C14" s="13" t="n">
        <v>2.228</v>
      </c>
    </row>
    <row r="15" customFormat="false" ht="15" hidden="false" customHeight="false" outlineLevel="0" collapsed="false">
      <c r="A15" s="6" t="n">
        <v>11</v>
      </c>
      <c r="B15" s="13" t="n">
        <v>1.796</v>
      </c>
      <c r="C15" s="13" t="n">
        <v>2.201</v>
      </c>
    </row>
    <row r="16" customFormat="false" ht="15" hidden="false" customHeight="false" outlineLevel="0" collapsed="false">
      <c r="A16" s="6" t="n">
        <v>12</v>
      </c>
      <c r="B16" s="13" t="n">
        <v>1.782</v>
      </c>
      <c r="C16" s="13" t="n">
        <v>2.179</v>
      </c>
    </row>
    <row r="17" customFormat="false" ht="15" hidden="false" customHeight="false" outlineLevel="0" collapsed="false">
      <c r="A17" s="6" t="n">
        <v>13</v>
      </c>
      <c r="B17" s="13" t="n">
        <v>1.771</v>
      </c>
      <c r="C17" s="13" t="n">
        <v>2.16</v>
      </c>
    </row>
    <row r="18" customFormat="false" ht="15" hidden="false" customHeight="false" outlineLevel="0" collapsed="false">
      <c r="A18" s="6" t="n">
        <v>14</v>
      </c>
      <c r="B18" s="13" t="n">
        <v>1.761</v>
      </c>
      <c r="C18" s="13" t="n">
        <v>2.145</v>
      </c>
    </row>
    <row r="19" customFormat="false" ht="15" hidden="false" customHeight="false" outlineLevel="0" collapsed="false">
      <c r="A19" s="6" t="n">
        <v>15</v>
      </c>
      <c r="B19" s="13" t="n">
        <v>1.753</v>
      </c>
      <c r="C19" s="13" t="n">
        <v>2.131</v>
      </c>
    </row>
    <row r="20" customFormat="false" ht="15" hidden="false" customHeight="false" outlineLevel="0" collapsed="false">
      <c r="A20" s="6" t="n">
        <v>16</v>
      </c>
      <c r="B20" s="13" t="n">
        <v>1.746</v>
      </c>
      <c r="C20" s="13" t="n">
        <v>2.12</v>
      </c>
    </row>
    <row r="21" customFormat="false" ht="15" hidden="false" customHeight="false" outlineLevel="0" collapsed="false">
      <c r="A21" s="6" t="n">
        <v>17</v>
      </c>
      <c r="B21" s="13" t="n">
        <v>1.74</v>
      </c>
      <c r="C21" s="13" t="n">
        <v>2.11</v>
      </c>
    </row>
    <row r="22" customFormat="false" ht="15" hidden="false" customHeight="false" outlineLevel="0" collapsed="false">
      <c r="A22" s="6" t="n">
        <v>18</v>
      </c>
      <c r="B22" s="13" t="n">
        <v>1.734</v>
      </c>
      <c r="C22" s="13" t="n">
        <v>2.101</v>
      </c>
    </row>
    <row r="23" customFormat="false" ht="15" hidden="false" customHeight="false" outlineLevel="0" collapsed="false">
      <c r="A23" s="6" t="n">
        <v>19</v>
      </c>
      <c r="B23" s="13" t="n">
        <v>1.729</v>
      </c>
      <c r="C23" s="13" t="n">
        <v>2.093</v>
      </c>
    </row>
    <row r="24" customFormat="false" ht="15" hidden="false" customHeight="false" outlineLevel="0" collapsed="false">
      <c r="A24" s="6" t="n">
        <v>20</v>
      </c>
      <c r="B24" s="13" t="n">
        <v>1.725</v>
      </c>
      <c r="C24" s="13" t="n">
        <v>2.086</v>
      </c>
    </row>
    <row r="25" customFormat="false" ht="15" hidden="false" customHeight="false" outlineLevel="0" collapsed="false">
      <c r="A25" s="6" t="n">
        <v>21</v>
      </c>
      <c r="B25" s="13" t="n">
        <v>1.721</v>
      </c>
      <c r="C25" s="13" t="n">
        <v>2.08</v>
      </c>
    </row>
    <row r="26" customFormat="false" ht="15" hidden="false" customHeight="false" outlineLevel="0" collapsed="false">
      <c r="A26" s="6" t="n">
        <v>22</v>
      </c>
      <c r="B26" s="13" t="n">
        <v>1.717</v>
      </c>
      <c r="C26" s="13" t="n">
        <v>2.074</v>
      </c>
    </row>
    <row r="27" customFormat="false" ht="15" hidden="false" customHeight="false" outlineLevel="0" collapsed="false">
      <c r="A27" s="6" t="n">
        <v>23</v>
      </c>
      <c r="B27" s="13" t="n">
        <v>1.714</v>
      </c>
      <c r="C27" s="13" t="n">
        <v>2.069</v>
      </c>
    </row>
    <row r="28" customFormat="false" ht="15" hidden="false" customHeight="false" outlineLevel="0" collapsed="false">
      <c r="A28" s="6" t="n">
        <v>24</v>
      </c>
      <c r="B28" s="13" t="n">
        <v>1.711</v>
      </c>
      <c r="C28" s="13" t="n">
        <v>2.064</v>
      </c>
    </row>
    <row r="29" customFormat="false" ht="15" hidden="false" customHeight="false" outlineLevel="0" collapsed="false">
      <c r="A29" s="6" t="n">
        <v>25</v>
      </c>
      <c r="B29" s="13" t="n">
        <v>1.708</v>
      </c>
      <c r="C29" s="13" t="n">
        <v>2.06</v>
      </c>
    </row>
    <row r="30" customFormat="false" ht="15" hidden="false" customHeight="false" outlineLevel="0" collapsed="false">
      <c r="A30" s="6" t="n">
        <v>26</v>
      </c>
      <c r="B30" s="13" t="n">
        <v>1.706</v>
      </c>
      <c r="C30" s="13" t="n">
        <v>2.056</v>
      </c>
    </row>
    <row r="31" customFormat="false" ht="15" hidden="false" customHeight="false" outlineLevel="0" collapsed="false">
      <c r="A31" s="6" t="n">
        <v>27</v>
      </c>
      <c r="B31" s="13" t="n">
        <v>1.703</v>
      </c>
      <c r="C31" s="13" t="n">
        <v>2.052</v>
      </c>
    </row>
    <row r="32" customFormat="false" ht="15" hidden="false" customHeight="false" outlineLevel="0" collapsed="false">
      <c r="A32" s="6" t="n">
        <v>28</v>
      </c>
      <c r="B32" s="13" t="n">
        <v>1.701</v>
      </c>
      <c r="C32" s="13" t="n">
        <v>2.048</v>
      </c>
    </row>
    <row r="33" customFormat="false" ht="15" hidden="false" customHeight="false" outlineLevel="0" collapsed="false">
      <c r="A33" s="6" t="n">
        <v>29</v>
      </c>
      <c r="B33" s="13" t="n">
        <v>1.699</v>
      </c>
      <c r="C33" s="13" t="n">
        <v>2.045</v>
      </c>
    </row>
    <row r="34" customFormat="false" ht="15" hidden="false" customHeight="false" outlineLevel="0" collapsed="false">
      <c r="A34" s="6" t="n">
        <v>30</v>
      </c>
      <c r="B34" s="13" t="n">
        <v>1.697</v>
      </c>
      <c r="C34" s="13" t="n">
        <v>2.042</v>
      </c>
    </row>
    <row r="36" customFormat="false" ht="15" hidden="false" customHeight="false" outlineLevel="0" collapsed="false">
      <c r="A36" s="7" t="s">
        <v>5499</v>
      </c>
    </row>
    <row r="37" customFormat="false" ht="15" hidden="false" customHeight="false" outlineLevel="0" collapsed="false">
      <c r="A37" s="1" t="s">
        <v>5161</v>
      </c>
      <c r="B37" s="1" t="s">
        <v>5500</v>
      </c>
      <c r="C37" s="1" t="s">
        <v>5501</v>
      </c>
    </row>
    <row r="38" customFormat="false" ht="15" hidden="false" customHeight="false" outlineLevel="0" collapsed="false">
      <c r="A38" s="6" t="n">
        <v>10</v>
      </c>
      <c r="B38" s="17" t="n">
        <v>1.14</v>
      </c>
      <c r="C38" s="17" t="n">
        <v>1.29</v>
      </c>
    </row>
    <row r="39" customFormat="false" ht="15" hidden="false" customHeight="false" outlineLevel="0" collapsed="false">
      <c r="A39" s="6" t="n">
        <v>20</v>
      </c>
      <c r="B39" s="17" t="n">
        <v>1.22</v>
      </c>
      <c r="C39" s="17" t="n">
        <v>1.42</v>
      </c>
    </row>
    <row r="40" customFormat="false" ht="15" hidden="false" customHeight="false" outlineLevel="0" collapsed="false">
      <c r="A40" s="2" t="s">
        <v>5502</v>
      </c>
    </row>
    <row r="42" customFormat="false" ht="15" hidden="false" customHeight="false" outlineLevel="0" collapsed="false">
      <c r="A42" s="7" t="s">
        <v>5503</v>
      </c>
    </row>
    <row r="43" customFormat="false" ht="15" hidden="false" customHeight="false" outlineLevel="0" collapsed="false">
      <c r="A43" s="1" t="s">
        <v>5178</v>
      </c>
      <c r="B43" s="1" t="s">
        <v>5504</v>
      </c>
    </row>
    <row r="44" customFormat="false" ht="15" hidden="false" customHeight="false" outlineLevel="0" collapsed="false">
      <c r="A44" s="6" t="n">
        <v>2</v>
      </c>
      <c r="B44" s="13" t="n">
        <v>0</v>
      </c>
    </row>
    <row r="45" customFormat="false" ht="15" hidden="false" customHeight="false" outlineLevel="0" collapsed="false">
      <c r="A45" s="6" t="n">
        <v>5</v>
      </c>
      <c r="B45" s="13" t="n">
        <v>0.84</v>
      </c>
    </row>
    <row r="46" customFormat="false" ht="15" hidden="false" customHeight="false" outlineLevel="0" collapsed="false">
      <c r="A46" s="6" t="n">
        <v>10</v>
      </c>
      <c r="B46" s="13" t="n">
        <v>1.28</v>
      </c>
    </row>
    <row r="47" customFormat="false" ht="15" hidden="false" customHeight="false" outlineLevel="0" collapsed="false">
      <c r="A47" s="6" t="n">
        <v>25</v>
      </c>
      <c r="B47" s="13" t="n">
        <v>1.64</v>
      </c>
    </row>
    <row r="48" customFormat="false" ht="15" hidden="false" customHeight="false" outlineLevel="0" collapsed="false">
      <c r="A48" s="6" t="n">
        <v>50</v>
      </c>
      <c r="B48" s="13" t="n">
        <v>2.05</v>
      </c>
    </row>
    <row r="49" customFormat="false" ht="15" hidden="false" customHeight="false" outlineLevel="0" collapsed="false">
      <c r="A49" s="6" t="n">
        <v>100</v>
      </c>
      <c r="B49" s="13" t="n">
        <v>2.33</v>
      </c>
    </row>
    <row r="51" customFormat="false" ht="15" hidden="false" customHeight="false" outlineLevel="0" collapsed="false">
      <c r="A51" s="7" t="s">
        <v>5505</v>
      </c>
    </row>
    <row r="52" customFormat="false" ht="15" hidden="false" customHeight="false" outlineLevel="0" collapsed="false">
      <c r="A52" s="1" t="s">
        <v>5178</v>
      </c>
      <c r="B52" s="1" t="s">
        <v>5506</v>
      </c>
    </row>
    <row r="53" customFormat="false" ht="15" hidden="false" customHeight="false" outlineLevel="0" collapsed="false">
      <c r="A53" s="6" t="n">
        <v>2</v>
      </c>
      <c r="B53" s="13" t="n">
        <v>0.366</v>
      </c>
    </row>
    <row r="54" customFormat="false" ht="15" hidden="false" customHeight="false" outlineLevel="0" collapsed="false">
      <c r="A54" s="6" t="n">
        <v>5</v>
      </c>
      <c r="B54" s="13" t="n">
        <v>1.51</v>
      </c>
    </row>
    <row r="55" customFormat="false" ht="15" hidden="false" customHeight="false" outlineLevel="0" collapsed="false">
      <c r="A55" s="6" t="n">
        <v>10</v>
      </c>
      <c r="B55" s="13" t="n">
        <v>2.25</v>
      </c>
    </row>
    <row r="56" customFormat="false" ht="15" hidden="false" customHeight="false" outlineLevel="0" collapsed="false">
      <c r="A56" s="6" t="n">
        <v>25</v>
      </c>
      <c r="B56" s="13" t="n">
        <v>3.9</v>
      </c>
    </row>
    <row r="57" customFormat="false" ht="15" hidden="false" customHeight="false" outlineLevel="0" collapsed="false">
      <c r="A57" s="6" t="n">
        <v>50</v>
      </c>
      <c r="B57" s="13" t="n">
        <v>4.6</v>
      </c>
    </row>
    <row r="58" customFormat="false" ht="15" hidden="false" customHeight="false" outlineLevel="0" collapsed="false">
      <c r="A58" s="6" t="n">
        <v>100</v>
      </c>
      <c r="B58" s="13" t="n">
        <v>5.29</v>
      </c>
    </row>
    <row r="60" customFormat="false" ht="15" hidden="false" customHeight="false" outlineLevel="0" collapsed="false">
      <c r="A60" s="7" t="s">
        <v>5507</v>
      </c>
    </row>
    <row r="61" customFormat="false" ht="15" hidden="false" customHeight="false" outlineLevel="0" collapsed="false">
      <c r="A61" s="1" t="s">
        <v>5508</v>
      </c>
      <c r="B61" s="1" t="s">
        <v>5509</v>
      </c>
      <c r="C61" s="1" t="s">
        <v>5510</v>
      </c>
      <c r="D61" s="1" t="s">
        <v>5511</v>
      </c>
      <c r="E61" s="1" t="s">
        <v>5512</v>
      </c>
      <c r="F61" s="1" t="s">
        <v>5513</v>
      </c>
      <c r="G61" s="1" t="s">
        <v>5514</v>
      </c>
    </row>
    <row r="62" customFormat="false" ht="15" hidden="false" customHeight="false" outlineLevel="0" collapsed="false">
      <c r="A62" s="4" t="n">
        <v>-3</v>
      </c>
      <c r="B62" s="13" t="n">
        <v>0.396</v>
      </c>
      <c r="C62" s="13" t="n">
        <v>0.636</v>
      </c>
      <c r="D62" s="13" t="n">
        <v>0.66</v>
      </c>
      <c r="E62" s="13" t="n">
        <v>0.666</v>
      </c>
      <c r="F62" s="13" t="n">
        <v>0.666</v>
      </c>
      <c r="G62" s="13" t="n">
        <v>0.667</v>
      </c>
    </row>
    <row r="63" customFormat="false" ht="15" hidden="false" customHeight="false" outlineLevel="0" collapsed="false">
      <c r="A63" s="4" t="n">
        <v>-2.5</v>
      </c>
      <c r="B63" s="13" t="n">
        <v>0.36</v>
      </c>
      <c r="C63" s="13" t="n">
        <v>0.711</v>
      </c>
      <c r="D63" s="13" t="n">
        <v>0.771</v>
      </c>
      <c r="E63" s="13" t="n">
        <v>0.793</v>
      </c>
      <c r="F63" s="13" t="n">
        <v>0.798</v>
      </c>
      <c r="G63" s="13" t="n">
        <v>0.799</v>
      </c>
    </row>
    <row r="64" customFormat="false" ht="15" hidden="false" customHeight="false" outlineLevel="0" collapsed="false">
      <c r="A64" s="4" t="n">
        <v>-2.2</v>
      </c>
      <c r="B64" s="13" t="n">
        <v>0.33</v>
      </c>
      <c r="C64" s="13" t="n">
        <v>0.752</v>
      </c>
      <c r="D64" s="13" t="n">
        <v>0.844</v>
      </c>
      <c r="E64" s="13" t="n">
        <v>0.888</v>
      </c>
      <c r="F64" s="13" t="n">
        <v>0.9</v>
      </c>
      <c r="G64" s="13" t="n">
        <v>0.905</v>
      </c>
    </row>
    <row r="65" customFormat="false" ht="15" hidden="false" customHeight="false" outlineLevel="0" collapsed="false">
      <c r="A65" s="4" t="n">
        <v>-2</v>
      </c>
      <c r="B65" s="13" t="n">
        <v>0.307</v>
      </c>
      <c r="C65" s="13" t="n">
        <v>0.777</v>
      </c>
      <c r="D65" s="13" t="n">
        <v>0.895</v>
      </c>
      <c r="E65" s="13" t="n">
        <v>0.959</v>
      </c>
      <c r="F65" s="13" t="n">
        <v>0.98</v>
      </c>
      <c r="G65" s="13" t="n">
        <v>0.99</v>
      </c>
    </row>
    <row r="66" customFormat="false" ht="15" hidden="false" customHeight="false" outlineLevel="0" collapsed="false">
      <c r="A66" s="4" t="n">
        <v>-1.8</v>
      </c>
      <c r="B66" s="13" t="n">
        <v>0.282</v>
      </c>
      <c r="C66" s="13" t="n">
        <v>0.799</v>
      </c>
      <c r="D66" s="13" t="n">
        <v>0.945</v>
      </c>
      <c r="E66" s="13" t="n">
        <v>1.035</v>
      </c>
      <c r="F66" s="13" t="n">
        <v>1.069</v>
      </c>
      <c r="G66" s="13" t="n">
        <v>1.087</v>
      </c>
    </row>
    <row r="67" customFormat="false" ht="15" hidden="false" customHeight="false" outlineLevel="0" collapsed="false">
      <c r="A67" s="4" t="n">
        <v>-1.6</v>
      </c>
      <c r="B67" s="13" t="n">
        <v>0.254</v>
      </c>
      <c r="C67" s="13" t="n">
        <v>0.817</v>
      </c>
      <c r="D67" s="13" t="n">
        <v>0.994</v>
      </c>
      <c r="E67" s="13" t="n">
        <v>1.116</v>
      </c>
      <c r="F67" s="13" t="n">
        <v>1.166</v>
      </c>
      <c r="G67" s="13" t="n">
        <v>1.197</v>
      </c>
    </row>
    <row r="68" customFormat="false" ht="15" hidden="false" customHeight="false" outlineLevel="0" collapsed="false">
      <c r="A68" s="4" t="n">
        <v>-1.4</v>
      </c>
      <c r="B68" s="13" t="n">
        <v>0.225</v>
      </c>
      <c r="C68" s="13" t="n">
        <v>0.832</v>
      </c>
      <c r="D68" s="13" t="n">
        <v>1.041</v>
      </c>
      <c r="E68" s="13" t="n">
        <v>1.198</v>
      </c>
      <c r="F68" s="13" t="n">
        <v>1.27</v>
      </c>
      <c r="G68" s="13" t="n">
        <v>1.318</v>
      </c>
    </row>
    <row r="69" customFormat="false" ht="15" hidden="false" customHeight="false" outlineLevel="0" collapsed="false">
      <c r="A69" s="4" t="n">
        <v>-1.2</v>
      </c>
      <c r="B69" s="13" t="n">
        <v>0.195</v>
      </c>
      <c r="C69" s="13" t="n">
        <v>0.844</v>
      </c>
      <c r="D69" s="13" t="n">
        <v>1.086</v>
      </c>
      <c r="E69" s="13" t="n">
        <v>1.282</v>
      </c>
      <c r="F69" s="13" t="n">
        <v>1.379</v>
      </c>
      <c r="G69" s="13" t="n">
        <v>1.449</v>
      </c>
    </row>
    <row r="70" customFormat="false" ht="15" hidden="false" customHeight="false" outlineLevel="0" collapsed="false">
      <c r="A70" s="4" t="n">
        <v>-1</v>
      </c>
      <c r="B70" s="13" t="n">
        <v>0.164</v>
      </c>
      <c r="C70" s="13" t="n">
        <v>0.852</v>
      </c>
      <c r="D70" s="13" t="n">
        <v>1.128</v>
      </c>
      <c r="E70" s="13" t="n">
        <v>1.366</v>
      </c>
      <c r="F70" s="13" t="n">
        <v>1.492</v>
      </c>
      <c r="G70" s="13" t="n">
        <v>1.588</v>
      </c>
    </row>
    <row r="71" customFormat="false" ht="15" hidden="false" customHeight="false" outlineLevel="0" collapsed="false">
      <c r="A71" s="4" t="n">
        <v>-0.9</v>
      </c>
      <c r="B71" s="13" t="n">
        <v>0.148</v>
      </c>
      <c r="C71" s="13" t="n">
        <v>0.854</v>
      </c>
      <c r="D71" s="13" t="n">
        <v>1.147</v>
      </c>
      <c r="E71" s="13" t="n">
        <v>1.407</v>
      </c>
      <c r="F71" s="13" t="n">
        <v>1.549</v>
      </c>
      <c r="G71" s="13" t="n">
        <v>1.66</v>
      </c>
    </row>
    <row r="72" customFormat="false" ht="15" hidden="false" customHeight="false" outlineLevel="0" collapsed="false">
      <c r="A72" s="4" t="n">
        <v>-0.8</v>
      </c>
      <c r="B72" s="13" t="n">
        <v>0.132</v>
      </c>
      <c r="C72" s="13" t="n">
        <v>0.856</v>
      </c>
      <c r="D72" s="13" t="n">
        <v>1.166</v>
      </c>
      <c r="E72" s="13" t="n">
        <v>1.448</v>
      </c>
      <c r="F72" s="13" t="n">
        <v>1.606</v>
      </c>
      <c r="G72" s="13" t="n">
        <v>1.733</v>
      </c>
    </row>
    <row r="73" customFormat="false" ht="15" hidden="false" customHeight="false" outlineLevel="0" collapsed="false">
      <c r="A73" s="4" t="n">
        <v>-0.7</v>
      </c>
      <c r="B73" s="13" t="n">
        <v>0.116</v>
      </c>
      <c r="C73" s="13" t="n">
        <v>0.857</v>
      </c>
      <c r="D73" s="13" t="n">
        <v>1.183</v>
      </c>
      <c r="E73" s="13" t="n">
        <v>1.488</v>
      </c>
      <c r="F73" s="13" t="n">
        <v>1.663</v>
      </c>
      <c r="G73" s="13" t="n">
        <v>1.806</v>
      </c>
    </row>
    <row r="74" customFormat="false" ht="15" hidden="false" customHeight="false" outlineLevel="0" collapsed="false">
      <c r="A74" s="4" t="n">
        <v>-0.6</v>
      </c>
      <c r="B74" s="13" t="n">
        <v>0.099</v>
      </c>
      <c r="C74" s="13" t="n">
        <v>0.857</v>
      </c>
      <c r="D74" s="13" t="n">
        <v>1.2</v>
      </c>
      <c r="E74" s="13" t="n">
        <v>1.528</v>
      </c>
      <c r="F74" s="13" t="n">
        <v>1.72</v>
      </c>
      <c r="G74" s="13" t="n">
        <v>1.88</v>
      </c>
    </row>
    <row r="75" customFormat="false" ht="15" hidden="false" customHeight="false" outlineLevel="0" collapsed="false">
      <c r="A75" s="4" t="n">
        <v>-0.5</v>
      </c>
      <c r="B75" s="13" t="n">
        <v>0.083</v>
      </c>
      <c r="C75" s="13" t="n">
        <v>0.856</v>
      </c>
      <c r="D75" s="13" t="n">
        <v>1.216</v>
      </c>
      <c r="E75" s="13" t="n">
        <v>1.567</v>
      </c>
      <c r="F75" s="13" t="n">
        <v>1.777</v>
      </c>
      <c r="G75" s="13" t="n">
        <v>1.955</v>
      </c>
    </row>
    <row r="76" customFormat="false" ht="15" hidden="false" customHeight="false" outlineLevel="0" collapsed="false">
      <c r="A76" s="4" t="n">
        <v>-0.4</v>
      </c>
      <c r="B76" s="13" t="n">
        <v>0.066</v>
      </c>
      <c r="C76" s="13" t="n">
        <v>0.855</v>
      </c>
      <c r="D76" s="13" t="n">
        <v>1.231</v>
      </c>
      <c r="E76" s="13" t="n">
        <v>1.606</v>
      </c>
      <c r="F76" s="13" t="n">
        <v>1.834</v>
      </c>
      <c r="G76" s="13" t="n">
        <v>2.029</v>
      </c>
    </row>
    <row r="77" customFormat="false" ht="15" hidden="false" customHeight="false" outlineLevel="0" collapsed="false">
      <c r="A77" s="4" t="n">
        <v>-0.3</v>
      </c>
      <c r="B77" s="13" t="n">
        <v>0.05</v>
      </c>
      <c r="C77" s="13" t="n">
        <v>0.853</v>
      </c>
      <c r="D77" s="13" t="n">
        <v>1.245</v>
      </c>
      <c r="E77" s="13" t="n">
        <v>1.643</v>
      </c>
      <c r="F77" s="13" t="n">
        <v>1.89</v>
      </c>
      <c r="G77" s="13" t="n">
        <v>2.104</v>
      </c>
    </row>
    <row r="78" customFormat="false" ht="15" hidden="false" customHeight="false" outlineLevel="0" collapsed="false">
      <c r="A78" s="4" t="n">
        <v>-0.2</v>
      </c>
      <c r="B78" s="13" t="n">
        <v>0.033</v>
      </c>
      <c r="C78" s="13" t="n">
        <v>0.85</v>
      </c>
      <c r="D78" s="13" t="n">
        <v>1.258</v>
      </c>
      <c r="E78" s="13" t="n">
        <v>1.68</v>
      </c>
      <c r="F78" s="13" t="n">
        <v>1.945</v>
      </c>
      <c r="G78" s="13" t="n">
        <v>2.178</v>
      </c>
    </row>
    <row r="79" customFormat="false" ht="15" hidden="false" customHeight="false" outlineLevel="0" collapsed="false">
      <c r="A79" s="4" t="n">
        <v>-0.1</v>
      </c>
      <c r="B79" s="13" t="n">
        <v>0.017</v>
      </c>
      <c r="C79" s="13" t="n">
        <v>0.846</v>
      </c>
      <c r="D79" s="13" t="n">
        <v>1.27</v>
      </c>
      <c r="E79" s="13" t="n">
        <v>1.716</v>
      </c>
      <c r="F79" s="13" t="n">
        <v>2</v>
      </c>
      <c r="G79" s="13" t="n">
        <v>2.252</v>
      </c>
    </row>
    <row r="80" customFormat="false" ht="15" hidden="false" customHeight="false" outlineLevel="0" collapsed="false">
      <c r="A80" s="4" t="n">
        <v>0</v>
      </c>
      <c r="B80" s="13" t="n">
        <v>0</v>
      </c>
      <c r="C80" s="13" t="n">
        <v>0.842</v>
      </c>
      <c r="D80" s="13" t="n">
        <v>1.282</v>
      </c>
      <c r="E80" s="13" t="n">
        <v>1.751</v>
      </c>
      <c r="F80" s="13" t="n">
        <v>2.054</v>
      </c>
      <c r="G80" s="13" t="n">
        <v>2.326</v>
      </c>
    </row>
    <row r="81" customFormat="false" ht="15" hidden="false" customHeight="false" outlineLevel="0" collapsed="false">
      <c r="A81" s="4" t="n">
        <v>0.1</v>
      </c>
      <c r="B81" s="13" t="n">
        <v>-0.017</v>
      </c>
      <c r="C81" s="13" t="n">
        <v>0.836</v>
      </c>
      <c r="D81" s="13" t="n">
        <v>1.292</v>
      </c>
      <c r="E81" s="13" t="n">
        <v>1.785</v>
      </c>
      <c r="F81" s="13" t="n">
        <v>2.107</v>
      </c>
      <c r="G81" s="13" t="n">
        <v>2.4</v>
      </c>
    </row>
    <row r="82" customFormat="false" ht="15" hidden="false" customHeight="false" outlineLevel="0" collapsed="false">
      <c r="A82" s="4" t="n">
        <v>0.2</v>
      </c>
      <c r="B82" s="13" t="n">
        <v>-0.033</v>
      </c>
      <c r="C82" s="13" t="n">
        <v>0.83</v>
      </c>
      <c r="D82" s="13" t="n">
        <v>1.301</v>
      </c>
      <c r="E82" s="13" t="n">
        <v>1.818</v>
      </c>
      <c r="F82" s="13" t="n">
        <v>2.159</v>
      </c>
      <c r="G82" s="13" t="n">
        <v>2.472</v>
      </c>
    </row>
    <row r="83" customFormat="false" ht="15" hidden="false" customHeight="false" outlineLevel="0" collapsed="false">
      <c r="A83" s="4" t="n">
        <v>0.3</v>
      </c>
      <c r="B83" s="13" t="n">
        <v>-0.05</v>
      </c>
      <c r="C83" s="13" t="n">
        <v>0.824</v>
      </c>
      <c r="D83" s="13" t="n">
        <v>1.309</v>
      </c>
      <c r="E83" s="13" t="n">
        <v>1.849</v>
      </c>
      <c r="F83" s="13" t="n">
        <v>2.211</v>
      </c>
      <c r="G83" s="13" t="n">
        <v>2.544</v>
      </c>
    </row>
    <row r="84" customFormat="false" ht="15" hidden="false" customHeight="false" outlineLevel="0" collapsed="false">
      <c r="A84" s="4" t="n">
        <v>0.4</v>
      </c>
      <c r="B84" s="13" t="n">
        <v>-0.066</v>
      </c>
      <c r="C84" s="13" t="n">
        <v>0.816</v>
      </c>
      <c r="D84" s="13" t="n">
        <v>1.317</v>
      </c>
      <c r="E84" s="13" t="n">
        <v>1.88</v>
      </c>
      <c r="F84" s="13" t="n">
        <v>2.261</v>
      </c>
      <c r="G84" s="13" t="n">
        <v>2.615</v>
      </c>
    </row>
    <row r="85" customFormat="false" ht="15" hidden="false" customHeight="false" outlineLevel="0" collapsed="false">
      <c r="A85" s="4" t="n">
        <v>0.5</v>
      </c>
      <c r="B85" s="13" t="n">
        <v>-0.083</v>
      </c>
      <c r="C85" s="13" t="n">
        <v>0.808</v>
      </c>
      <c r="D85" s="13" t="n">
        <v>1.323</v>
      </c>
      <c r="E85" s="13" t="n">
        <v>1.91</v>
      </c>
      <c r="F85" s="13" t="n">
        <v>2.311</v>
      </c>
      <c r="G85" s="13" t="n">
        <v>2.686</v>
      </c>
    </row>
    <row r="86" customFormat="false" ht="15" hidden="false" customHeight="false" outlineLevel="0" collapsed="false">
      <c r="A86" s="4" t="n">
        <v>0.6</v>
      </c>
      <c r="B86" s="13" t="n">
        <v>-0.099</v>
      </c>
      <c r="C86" s="13" t="n">
        <v>0.8</v>
      </c>
      <c r="D86" s="13" t="n">
        <v>1.328</v>
      </c>
      <c r="E86" s="13" t="n">
        <v>1.939</v>
      </c>
      <c r="F86" s="13" t="n">
        <v>2.359</v>
      </c>
      <c r="G86" s="13" t="n">
        <v>2.755</v>
      </c>
    </row>
    <row r="87" customFormat="false" ht="15" hidden="false" customHeight="false" outlineLevel="0" collapsed="false">
      <c r="A87" s="4" t="n">
        <v>0.7</v>
      </c>
      <c r="B87" s="13" t="n">
        <v>-0.116</v>
      </c>
      <c r="C87" s="13" t="n">
        <v>0.79</v>
      </c>
      <c r="D87" s="13" t="n">
        <v>1.333</v>
      </c>
      <c r="E87" s="13" t="n">
        <v>1.967</v>
      </c>
      <c r="F87" s="13" t="n">
        <v>2.407</v>
      </c>
      <c r="G87" s="13" t="n">
        <v>2.824</v>
      </c>
    </row>
    <row r="88" customFormat="false" ht="15" hidden="false" customHeight="false" outlineLevel="0" collapsed="false">
      <c r="A88" s="4" t="n">
        <v>0.8</v>
      </c>
      <c r="B88" s="13" t="n">
        <v>-0.132</v>
      </c>
      <c r="C88" s="13" t="n">
        <v>0.78</v>
      </c>
      <c r="D88" s="13" t="n">
        <v>1.336</v>
      </c>
      <c r="E88" s="13" t="n">
        <v>1.998</v>
      </c>
      <c r="F88" s="13" t="n">
        <v>2.453</v>
      </c>
      <c r="G88" s="13" t="n">
        <v>2.891</v>
      </c>
    </row>
    <row r="89" customFormat="false" ht="15" hidden="false" customHeight="false" outlineLevel="0" collapsed="false">
      <c r="A89" s="4" t="n">
        <v>0.9</v>
      </c>
      <c r="B89" s="13" t="n">
        <v>-0.148</v>
      </c>
      <c r="C89" s="13" t="n">
        <v>0.769</v>
      </c>
      <c r="D89" s="13" t="n">
        <v>1.339</v>
      </c>
      <c r="E89" s="13" t="n">
        <v>2.018</v>
      </c>
      <c r="F89" s="13" t="n">
        <v>2.498</v>
      </c>
      <c r="G89" s="13" t="n">
        <v>2.957</v>
      </c>
    </row>
    <row r="90" customFormat="false" ht="15" hidden="false" customHeight="false" outlineLevel="0" collapsed="false">
      <c r="A90" s="4" t="n">
        <v>1</v>
      </c>
      <c r="B90" s="13" t="n">
        <v>-0.164</v>
      </c>
      <c r="C90" s="13" t="n">
        <v>0.758</v>
      </c>
      <c r="D90" s="13" t="n">
        <v>1.34</v>
      </c>
      <c r="E90" s="13" t="n">
        <v>2.043</v>
      </c>
      <c r="F90" s="13" t="n">
        <v>2.542</v>
      </c>
      <c r="G90" s="13" t="n">
        <v>3.022</v>
      </c>
    </row>
    <row r="91" customFormat="false" ht="15" hidden="false" customHeight="false" outlineLevel="0" collapsed="false">
      <c r="A91" s="4" t="n">
        <v>1.2</v>
      </c>
      <c r="B91" s="13" t="n">
        <v>-0.195</v>
      </c>
      <c r="C91" s="13" t="n">
        <v>0.732</v>
      </c>
      <c r="D91" s="13" t="n">
        <v>1.34</v>
      </c>
      <c r="E91" s="13" t="n">
        <v>2.087</v>
      </c>
      <c r="F91" s="13" t="n">
        <v>2.626</v>
      </c>
      <c r="G91" s="13" t="n">
        <v>3.149</v>
      </c>
    </row>
    <row r="92" customFormat="false" ht="15" hidden="false" customHeight="false" outlineLevel="0" collapsed="false">
      <c r="A92" s="4" t="n">
        <v>1.4</v>
      </c>
      <c r="B92" s="13" t="n">
        <v>-0.225</v>
      </c>
      <c r="C92" s="13" t="n">
        <v>0.705</v>
      </c>
      <c r="D92" s="13" t="n">
        <v>1.337</v>
      </c>
      <c r="E92" s="13" t="n">
        <v>2.128</v>
      </c>
      <c r="F92" s="13" t="n">
        <v>2.706</v>
      </c>
      <c r="G92" s="13" t="n">
        <v>3.271</v>
      </c>
    </row>
    <row r="93" customFormat="false" ht="15" hidden="false" customHeight="false" outlineLevel="0" collapsed="false">
      <c r="A93" s="4" t="n">
        <v>1.6</v>
      </c>
      <c r="B93" s="13" t="n">
        <v>-0.254</v>
      </c>
      <c r="C93" s="13" t="n">
        <v>0.675</v>
      </c>
      <c r="D93" s="13" t="n">
        <v>1.329</v>
      </c>
      <c r="E93" s="13" t="n">
        <v>2.163</v>
      </c>
      <c r="F93" s="13" t="n">
        <v>2.78</v>
      </c>
      <c r="G93" s="13" t="n">
        <v>3.388</v>
      </c>
    </row>
    <row r="94" customFormat="false" ht="15" hidden="false" customHeight="false" outlineLevel="0" collapsed="false">
      <c r="A94" s="4" t="n">
        <v>1.8</v>
      </c>
      <c r="B94" s="13" t="n">
        <v>-0.282</v>
      </c>
      <c r="C94" s="13" t="n">
        <v>0.643</v>
      </c>
      <c r="D94" s="13" t="n">
        <v>1.318</v>
      </c>
      <c r="E94" s="13" t="n">
        <v>2.193</v>
      </c>
      <c r="F94" s="13" t="n">
        <v>2.848</v>
      </c>
      <c r="G94" s="13" t="n">
        <v>3.499</v>
      </c>
    </row>
    <row r="95" customFormat="false" ht="15" hidden="false" customHeight="false" outlineLevel="0" collapsed="false">
      <c r="A95" s="4" t="n">
        <v>2</v>
      </c>
      <c r="B95" s="13" t="n">
        <v>-0.307</v>
      </c>
      <c r="C95" s="13" t="n">
        <v>0.609</v>
      </c>
      <c r="D95" s="13" t="n">
        <v>1.302</v>
      </c>
      <c r="E95" s="13" t="n">
        <v>2.219</v>
      </c>
      <c r="F95" s="13" t="n">
        <v>2.912</v>
      </c>
      <c r="G95" s="13" t="n">
        <v>3.605</v>
      </c>
    </row>
    <row r="96" customFormat="false" ht="15" hidden="false" customHeight="false" outlineLevel="0" collapsed="false">
      <c r="A96" s="4" t="n">
        <v>2.2</v>
      </c>
      <c r="B96" s="13" t="n">
        <v>-0.33</v>
      </c>
      <c r="C96" s="13" t="n">
        <v>0.574</v>
      </c>
      <c r="D96" s="13" t="n">
        <v>1.284</v>
      </c>
      <c r="E96" s="13" t="n">
        <v>2.24</v>
      </c>
      <c r="F96" s="13" t="n">
        <v>2.97</v>
      </c>
      <c r="G96" s="13" t="n">
        <v>3.705</v>
      </c>
    </row>
    <row r="97" customFormat="false" ht="15" hidden="false" customHeight="false" outlineLevel="0" collapsed="false">
      <c r="A97" s="4" t="n">
        <v>2.5</v>
      </c>
      <c r="B97" s="13" t="n">
        <v>-0.36</v>
      </c>
      <c r="C97" s="13" t="n">
        <v>0.518</v>
      </c>
      <c r="D97" s="13" t="n">
        <v>1.25</v>
      </c>
      <c r="E97" s="13" t="n">
        <v>2.262</v>
      </c>
      <c r="F97" s="13" t="n">
        <v>3.048</v>
      </c>
      <c r="G97" s="13" t="n">
        <v>3.845</v>
      </c>
    </row>
    <row r="98" customFormat="false" ht="15" hidden="false" customHeight="false" outlineLevel="0" collapsed="false">
      <c r="A98" s="4" t="n">
        <v>3</v>
      </c>
      <c r="B98" s="13" t="n">
        <v>-0.396</v>
      </c>
      <c r="C98" s="13" t="n">
        <v>0.42</v>
      </c>
      <c r="D98" s="13" t="n">
        <v>1.18</v>
      </c>
      <c r="E98" s="13" t="n">
        <v>2.278</v>
      </c>
      <c r="F98" s="13" t="n">
        <v>3.152</v>
      </c>
      <c r="G98" s="13" t="n">
        <v>4.051</v>
      </c>
    </row>
    <row r="100" customFormat="false" ht="15" hidden="false" customHeight="false" outlineLevel="0" collapsed="false">
      <c r="A100" s="7" t="s">
        <v>5515</v>
      </c>
    </row>
    <row r="101" customFormat="false" ht="15" hidden="false" customHeight="false" outlineLevel="0" collapsed="false">
      <c r="A101" s="1" t="s">
        <v>5189</v>
      </c>
      <c r="B101" s="1" t="s">
        <v>5516</v>
      </c>
    </row>
    <row r="102" customFormat="false" ht="15" hidden="false" customHeight="false" outlineLevel="0" collapsed="false">
      <c r="A102" s="3" t="s">
        <v>5194</v>
      </c>
      <c r="B102" s="17" t="n">
        <v>0.5</v>
      </c>
    </row>
    <row r="103" customFormat="false" ht="15" hidden="false" customHeight="false" outlineLevel="0" collapsed="false">
      <c r="A103" s="3" t="s">
        <v>5195</v>
      </c>
      <c r="B103" s="17" t="n">
        <v>0.2</v>
      </c>
    </row>
    <row r="104" customFormat="false" ht="15" hidden="false" customHeight="false" outlineLevel="0" collapsed="false">
      <c r="A104" s="3" t="s">
        <v>5196</v>
      </c>
      <c r="B104" s="17" t="n">
        <v>0.1</v>
      </c>
    </row>
    <row r="105" customFormat="false" ht="15" hidden="false" customHeight="false" outlineLevel="0" collapsed="false">
      <c r="A105" s="3" t="s">
        <v>5197</v>
      </c>
      <c r="B105" s="17" t="n">
        <v>0.06</v>
      </c>
    </row>
    <row r="106" customFormat="false" ht="15" hidden="false" customHeight="false" outlineLevel="0" collapsed="false">
      <c r="A106" s="3" t="s">
        <v>5198</v>
      </c>
      <c r="B106" s="17" t="n">
        <v>0.14</v>
      </c>
    </row>
    <row r="107" customFormat="false" ht="15" hidden="false" customHeight="false" outlineLevel="0" collapsed="false">
      <c r="A107" s="2" t="s">
        <v>5517</v>
      </c>
    </row>
    <row r="108" customFormat="false" ht="15" hidden="false" customHeight="false" outlineLevel="0" collapsed="false">
      <c r="A108" s="7" t="s">
        <v>5518</v>
      </c>
    </row>
    <row r="109" customFormat="false" ht="15" hidden="false" customHeight="false" outlineLevel="0" collapsed="false">
      <c r="A109" s="1" t="s">
        <v>5519</v>
      </c>
      <c r="B109" s="1" t="s">
        <v>5520</v>
      </c>
    </row>
    <row r="110" customFormat="false" ht="15" hidden="false" customHeight="false" outlineLevel="0" collapsed="false">
      <c r="A110" s="6" t="n">
        <v>1</v>
      </c>
      <c r="B110" s="13" t="n">
        <v>3.841</v>
      </c>
    </row>
    <row r="111" customFormat="false" ht="15" hidden="false" customHeight="false" outlineLevel="0" collapsed="false">
      <c r="A111" s="6" t="n">
        <v>2</v>
      </c>
      <c r="B111" s="13" t="n">
        <v>5.991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2026-10-29T19:45:29Z</dcterms:created>
  <dc:creator>openpyxl</dc:creator>
  <dc:description/>
  <dc:language>en-ID</dc:language>
  <cp:lastModifiedBy/>
  <dcterms:modified xsi:type="dcterms:W3CDTF">2026-10-29T19:45:29Z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